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hartsheet+xml" PartName="/xl/chartsheets/sheet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Transactions" sheetId="2" r:id="rId6"/>
    <sheet state="visible" name="Index Master" sheetId="3" r:id="rId7"/>
    <sheet state="visible" name="Principal and Current Value" sheetId="4" r:id="rId8"/>
    <sheet state="visible" name="Using this sheet" sheetId="5" r:id="rId9"/>
  </sheets>
  <definedNames>
    <definedName name="Indexes">'Index Master'!$A:$A</definedName>
    <definedName hidden="1" localSheetId="0" name="_xlnm._FilterDatabase">Summary!$A$1:$I$5</definedName>
    <definedName hidden="1" localSheetId="1" name="_xlnm._FilterDatabase">Transactions!$A$1:$J$8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4">
      <text>
        <t xml:space="preserve">Greenply spins off Greenpanel as separate entity, hence the price per share/unit is zero.</t>
      </text>
    </comment>
  </commentList>
</comments>
</file>

<file path=xl/sharedStrings.xml><?xml version="1.0" encoding="utf-8"?>
<sst xmlns="http://schemas.openxmlformats.org/spreadsheetml/2006/main" count="68" uniqueCount="55">
  <si>
    <t>Company Name</t>
  </si>
  <si>
    <t>Principal</t>
  </si>
  <si>
    <t>Current Value</t>
  </si>
  <si>
    <t>Profit / Loss</t>
  </si>
  <si>
    <t>XIRR</t>
  </si>
  <si>
    <t>Comparison Index / MF</t>
  </si>
  <si>
    <t>Index Symbol</t>
  </si>
  <si>
    <t>XIRR (Index / MF)</t>
  </si>
  <si>
    <t>Performance</t>
  </si>
  <si>
    <t>Alkem</t>
  </si>
  <si>
    <t>Nifty Pharma</t>
  </si>
  <si>
    <t>Axis Large Cap Fund</t>
  </si>
  <si>
    <t>BSE 100</t>
  </si>
  <si>
    <t>DSP ELSS Tax Saver</t>
  </si>
  <si>
    <t>Kotak ELSS Tax Saver (Direct)</t>
  </si>
  <si>
    <t>Greenply</t>
  </si>
  <si>
    <t>Nifty 500</t>
  </si>
  <si>
    <t>Company / Mutual Fund</t>
  </si>
  <si>
    <t>Symbol</t>
  </si>
  <si>
    <t># of shares / # of units</t>
  </si>
  <si>
    <t>Price per share/unit</t>
  </si>
  <si>
    <t>Buy date</t>
  </si>
  <si>
    <t>Total price</t>
  </si>
  <si>
    <t>Current value</t>
  </si>
  <si>
    <t>Cash flow</t>
  </si>
  <si>
    <t>Current value (Index)</t>
  </si>
  <si>
    <t>Cash flow (Index)</t>
  </si>
  <si>
    <t>NSE:ALKEM</t>
  </si>
  <si>
    <t>NSE:GREENPLY</t>
  </si>
  <si>
    <t>NSE:GREENPANEL</t>
  </si>
  <si>
    <t>MUTF_IN:AXIS_LARG_CAP_12WLRJJ</t>
  </si>
  <si>
    <t>MUTF_IN:DSP_ELSS_TAX_F8PE7V</t>
  </si>
  <si>
    <t>INDEXBOM:BSE-100</t>
  </si>
  <si>
    <t>BSE Sensex</t>
  </si>
  <si>
    <t>INDEXBOM:SENSEX</t>
  </si>
  <si>
    <t>Nifty 50</t>
  </si>
  <si>
    <t>INDEXNSE:NIFTY_50</t>
  </si>
  <si>
    <t>INDEXNSE:NIFTY_500</t>
  </si>
  <si>
    <t>Nifty Bank</t>
  </si>
  <si>
    <t>INDEXNSE:NIFTY_BANK</t>
  </si>
  <si>
    <t>Nifty FMCG</t>
  </si>
  <si>
    <t>INDEXNSE:NIFTY_FMCG</t>
  </si>
  <si>
    <t>Nifty IT</t>
  </si>
  <si>
    <t>INDEXNSE:NIFTY_IT</t>
  </si>
  <si>
    <t>Nifty Midcap 50</t>
  </si>
  <si>
    <t>INDEXNSE:NIFTY_MIDCAP_50</t>
  </si>
  <si>
    <t>Nifty MNC</t>
  </si>
  <si>
    <t>INDEXNSE:NIFTY_MNC</t>
  </si>
  <si>
    <t>Nifty Next 50</t>
  </si>
  <si>
    <t>INDEXNSE:NIFTY_NEXT_50</t>
  </si>
  <si>
    <t>INDEXNSE:NIFTY_PHARMA</t>
  </si>
  <si>
    <t>MUTF_IN:KOTA_ELSS_TAX_1LM4JRZ</t>
  </si>
  <si>
    <r>
      <rPr>
        <sz val="12.0"/>
      </rPr>
      <t xml:space="preserve">You can check the detailed instructions on:
Reddit: </t>
    </r>
    <r>
      <rPr>
        <color rgb="FF1155CC"/>
        <sz val="12.0"/>
        <u/>
      </rPr>
      <t>https://www.reddit.com/r/IndianStockMarket/comments/1kkgex0/google_sheet_to_track_your_equity_and_mutual_fund/</t>
    </r>
    <r>
      <rPr>
        <sz val="12.0"/>
      </rPr>
      <t xml:space="preserve"> 
My blog: </t>
    </r>
    <r>
      <rPr>
        <color rgb="FF1155CC"/>
        <sz val="12.0"/>
        <u/>
      </rPr>
      <t xml:space="preserve">https://naveegator.in/2025/05/09/google-sheet-to-track-your-equity-and-mutual-fund-investments/
</t>
    </r>
    <r>
      <rPr>
        <sz val="12.0"/>
      </rPr>
      <t>Sign in with your Google Account and go to ‘File &gt; Make a Copy’</t>
    </r>
  </si>
  <si>
    <r>
      <rPr>
        <sz val="12.0"/>
      </rPr>
      <t xml:space="preserve">If you found this tracker helpful, do say Hi 👋 to me on:
• Bluesky: </t>
    </r>
    <r>
      <rPr>
        <color rgb="FF1155CC"/>
        <sz val="12.0"/>
        <u/>
      </rPr>
      <t>https://bsky.app/profile/nvn313.bsky.social</t>
    </r>
    <r>
      <rPr>
        <sz val="12.0"/>
      </rPr>
      <t xml:space="preserve"> 
• Threads: </t>
    </r>
    <r>
      <rPr>
        <color rgb="FF1155CC"/>
        <sz val="12.0"/>
        <u/>
      </rPr>
      <t>https://www.threads.net/@_nvn313</t>
    </r>
    <r>
      <rPr>
        <sz val="12.0"/>
      </rPr>
      <t xml:space="preserve">  
• Twitter / X: </t>
    </r>
    <r>
      <rPr>
        <color rgb="FF1155CC"/>
        <sz val="12.0"/>
        <u/>
      </rPr>
      <t>https://x.com/nvn313</t>
    </r>
    <r>
      <rPr>
        <sz val="12.0"/>
      </rPr>
      <t xml:space="preserve"> 
• Reddit: </t>
    </r>
    <r>
      <rPr>
        <color rgb="FF1155CC"/>
        <sz val="12.0"/>
        <u/>
      </rPr>
      <t>https://www.reddit.com/user/naveegator_in/</t>
    </r>
    <r>
      <rPr>
        <sz val="12.0"/>
      </rPr>
      <t xml:space="preserve"> </t>
    </r>
  </si>
  <si>
    <t>Last updated on: 31-Jul-2025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</si>
</sst>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₹]#,##0.00"/>
    <numFmt numFmtId="165" formatCode="0.0000"/>
    <numFmt numFmtId="166" formatCode="d&quot;-&quot;mmm&quot;-&quot;yyyy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u/>
      <sz val="12.0"/>
      <color rgb="FF0000FF"/>
    </font>
    <font>
      <u/>
      <sz val="12.0"/>
      <color rgb="FF0000FF"/>
    </font>
    <font>
      <sz val="12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CCCCCC"/>
        <bgColor rgb="FFCCCCCC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2" fontId="1" numFmtId="0" xfId="0" applyAlignment="1" applyFill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10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2" xfId="0" applyAlignment="1" applyFont="1" applyNumberFormat="1">
      <alignment horizontal="left" readingOrder="0" shrinkToFit="0" vertical="center" wrapText="1"/>
    </xf>
    <xf borderId="0" fillId="2" fontId="2" numFmtId="2" xfId="0" applyAlignment="1" applyFont="1" applyNumberFormat="1">
      <alignment horizontal="left" readingOrder="0" shrinkToFit="0" vertical="center" wrapText="1"/>
    </xf>
    <xf borderId="0" fillId="2" fontId="2" numFmtId="0" xfId="0" applyAlignment="1" applyFont="1">
      <alignment horizontal="left" readingOrder="0" shrinkToFit="0" vertical="center" wrapText="1"/>
    </xf>
    <xf borderId="0" fillId="2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165" xfId="0" applyAlignment="1" applyFont="1" applyNumberFormat="1">
      <alignment readingOrder="0" shrinkToFit="0" vertical="center" wrapText="0"/>
    </xf>
    <xf borderId="0" fillId="0" fontId="3" numFmtId="164" xfId="0" applyAlignment="1" applyFont="1" applyNumberFormat="1">
      <alignment shrinkToFit="0" vertical="center" wrapText="0"/>
    </xf>
    <xf borderId="0" fillId="0" fontId="3" numFmtId="166" xfId="0" applyAlignment="1" applyFont="1" applyNumberFormat="1">
      <alignment shrinkToFit="0" vertical="center" wrapText="0"/>
    </xf>
    <xf borderId="0" fillId="3" fontId="3" numFmtId="164" xfId="0" applyAlignment="1" applyFill="1" applyFont="1" applyNumberFormat="1">
      <alignment shrinkToFit="0" vertical="center" wrapText="0"/>
    </xf>
    <xf borderId="0" fillId="3" fontId="3" numFmtId="164" xfId="0" applyAlignment="1" applyFont="1" applyNumberFormat="1">
      <alignment shrinkToFit="0" vertical="center" wrapText="0"/>
    </xf>
    <xf borderId="0" fillId="0" fontId="3" numFmtId="164" xfId="0" applyAlignment="1" applyFont="1" applyNumberFormat="1">
      <alignment readingOrder="0" shrinkToFit="0" vertical="center" wrapText="0"/>
    </xf>
    <xf borderId="0" fillId="0" fontId="3" numFmtId="166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/>
    </xf>
    <xf borderId="0" fillId="4" fontId="4" numFmtId="0" xfId="0" applyAlignment="1" applyFill="1" applyFont="1">
      <alignment readingOrder="0" shrinkToFit="0" vertical="top" wrapText="1"/>
    </xf>
    <xf borderId="0" fillId="5" fontId="5" numFmtId="0" xfId="0" applyAlignment="1" applyFill="1" applyFont="1">
      <alignment readingOrder="0" shrinkToFit="0" vertical="top" wrapText="1"/>
    </xf>
    <xf borderId="0" fillId="6" fontId="6" numFmtId="0" xfId="0" applyAlignment="1" applyFill="1" applyFont="1">
      <alignment readingOrder="0" shrinkToFit="0" vertical="top" wrapText="1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  <tableStyles count="2">
    <tableStyle count="4" pivot="0" name="Summar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ansaction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chartsheet" Target="chart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Principal and Current Value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Summary!$B$1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Summary!$A$2:$A$5</c:f>
            </c:strRef>
          </c:cat>
          <c:val>
            <c:numRef>
              <c:f>Summary!$B$2:$B$5</c:f>
              <c:numCache/>
            </c:numRef>
          </c:val>
        </c:ser>
        <c:ser>
          <c:idx val="1"/>
          <c:order val="1"/>
          <c:tx>
            <c:strRef>
              <c:f>Summary!$C$1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Summary!$A$2:$A$5</c:f>
            </c:strRef>
          </c:cat>
          <c:val>
            <c:numRef>
              <c:f>Summary!$C$2:$C$5</c:f>
              <c:numCache/>
            </c:numRef>
          </c:val>
        </c:ser>
        <c:axId val="1758131794"/>
        <c:axId val="1197191569"/>
      </c:barChart>
      <c:catAx>
        <c:axId val="17581317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Company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7191569"/>
      </c:catAx>
      <c:valAx>
        <c:axId val="11971915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81317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5" displayName="Summary" name="Summary" id="1">
  <autoFilter ref="$A$1:$I$5"/>
  <tableColumns count="9">
    <tableColumn name="Company Name" id="1"/>
    <tableColumn name="Principal" id="2"/>
    <tableColumn name="Current Value" id="3"/>
    <tableColumn name="Profit / Loss" id="4"/>
    <tableColumn name="XIRR" id="5"/>
    <tableColumn name="Comparison Index / MF" id="6"/>
    <tableColumn name="Index Symbol" id="7"/>
    <tableColumn name="XIRR (Index / MF)" id="8"/>
    <tableColumn name="Performance" id="9"/>
  </tableColumns>
  <tableStyleInfo name="Summary-style" showColumnStripes="0" showFirstColumn="1" showLastColumn="1" showRowStripes="1"/>
</table>
</file>

<file path=xl/tables/table2.xml><?xml version="1.0" encoding="utf-8"?>
<table xmlns="http://schemas.openxmlformats.org/spreadsheetml/2006/main" ref="A1:J8" displayName="Transactions" name="Transactions" id="2">
  <autoFilter ref="$A$1:$J$8"/>
  <tableColumns count="10">
    <tableColumn name="Company / Mutual Fund" id="1"/>
    <tableColumn name="Symbol" id="2"/>
    <tableColumn name="# of shares / # of units" id="3"/>
    <tableColumn name="Price per share/unit" id="4"/>
    <tableColumn name="Buy date" id="5"/>
    <tableColumn name="Total price" id="6"/>
    <tableColumn name="Current value" id="7"/>
    <tableColumn name="Cash flow" id="8"/>
    <tableColumn name="Current value (Index)" id="9"/>
    <tableColumn name="Cash flow (Index)" id="10"/>
  </tableColumns>
  <tableStyleInfo name="Transaction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reddit.com/r/IndianStockMarket/comments/1kkgex0/google_sheet_to_track_your_equity_and_mutual_fund/" TargetMode="External"/><Relationship Id="rId2" Type="http://schemas.openxmlformats.org/officeDocument/2006/relationships/hyperlink" Target="https://bsky.app/profile/nvn313.bsky.social" TargetMode="External"/><Relationship Id="rId3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38"/>
    <col customWidth="1" min="2" max="2" width="15.38"/>
    <col customWidth="1" min="3" max="3" width="19.0"/>
    <col customWidth="1" min="4" max="4" width="17.88"/>
    <col customWidth="1" min="6" max="6" width="27.88"/>
    <col customWidth="1" hidden="1" min="7" max="7" width="22.75"/>
    <col customWidth="1" min="8" max="8" width="22.0"/>
    <col customWidth="1" min="9" max="9" width="15.0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22.5" customHeight="1">
      <c r="A2" s="3" t="s">
        <v>9</v>
      </c>
      <c r="B2" s="4">
        <f>IFERROR(__xludf.DUMMYFUNCTION("SUM(FILTER(Transactions!F:F,Transactions!A:A=A2))"),2713.5775)</f>
        <v>2713.5775</v>
      </c>
      <c r="C2" s="4">
        <f>IFERROR(__xludf.DUMMYFUNCTION("SUM(FILTER(Transactions!G:G,Transactions!A:A=A2))"),5541.5)</f>
        <v>5541.5</v>
      </c>
      <c r="D2" s="5">
        <f>Summary[Current Value]-Summary[Principal]</f>
        <v>2827.9225</v>
      </c>
      <c r="E2" s="6">
        <f>IFERROR(__xludf.DUMMYFUNCTION("XIRR({FILTER(Transactions!H:H,Transactions!A:A=A2); SUM(FILTER(Transactions!G:G,Transactions!A:A=A2))}, {FILTER(Transactions!E:E,Transactions!A:A=A2); TODAY()})"),0.14441181139272075)</f>
        <v>0.1444118114</v>
      </c>
      <c r="F2" s="7" t="s">
        <v>10</v>
      </c>
      <c r="G2" s="8" t="str">
        <f>VLOOKUP(F2, 'Index Master'!A:B, 2, FALSE)</f>
        <v>INDEXNSE:NIFTY_PHARMA</v>
      </c>
      <c r="H2" s="6">
        <f>IFERROR(__xludf.DUMMYFUNCTION("XIRR({FILTER(Transactions!J:J,Transactions!A:A=A2); SUM(FILTER(Transactions!I:I,Transactions!A:A=A2))}, {FILTER(Transactions!E:E,Transactions!A:A=A2); TODAY()})"),0.13872126326089806)</f>
        <v>0.1387212633</v>
      </c>
      <c r="I2" s="8" t="str">
        <f t="shared" ref="I2:I5" si="1">if(H2&gt;E2, "Underperforming", "Outperforming")</f>
        <v>Outperforming</v>
      </c>
    </row>
    <row r="3" ht="22.5" customHeight="1">
      <c r="A3" s="3" t="s">
        <v>11</v>
      </c>
      <c r="B3" s="4">
        <f>IFERROR(__xludf.DUMMYFUNCTION("SUM(FILTER(Transactions!F:F,Transactions!A:A=A3))"),2999.997536)</f>
        <v>2999.997536</v>
      </c>
      <c r="C3" s="4">
        <f>IFERROR(__xludf.DUMMYFUNCTION("SUM(FILTER(Transactions!G:G,Transactions!A:A=A3))"),7117.7157480000005)</f>
        <v>7117.715748</v>
      </c>
      <c r="D3" s="5">
        <f>Summary[Current Value]-Summary[Principal]</f>
        <v>4117.718212</v>
      </c>
      <c r="E3" s="6">
        <f>IFERROR(__xludf.DUMMYFUNCTION("XIRR({FILTER(Transactions!H:H,Transactions!A:A=A3); SUM(FILTER(Transactions!G:G,Transactions!A:A=A3))}, {FILTER(Transactions!E:E,Transactions!A:A=A3); TODAY()})"),0.13533774403187004)</f>
        <v>0.135337744</v>
      </c>
      <c r="F3" s="7" t="s">
        <v>12</v>
      </c>
      <c r="G3" s="8" t="str">
        <f>VLOOKUP(F3, 'Index Master'!A:B, 2, FALSE)</f>
        <v>INDEXBOM:BSE-100</v>
      </c>
      <c r="H3" s="6">
        <f>IFERROR(__xludf.DUMMYFUNCTION("XIRR({FILTER(Transactions!J:J,Transactions!A:A=A3); SUM(FILTER(Transactions!I:I,Transactions!A:A=A3))}, {FILTER(Transactions!E:E,Transactions!A:A=A3); TODAY()})"),0.12440692830283746)</f>
        <v>0.1244069283</v>
      </c>
      <c r="I3" s="8" t="str">
        <f t="shared" si="1"/>
        <v>Outperforming</v>
      </c>
    </row>
    <row r="4" ht="22.5" customHeight="1">
      <c r="A4" s="3" t="s">
        <v>13</v>
      </c>
      <c r="B4" s="4">
        <f>IFERROR(__xludf.DUMMYFUNCTION("SUM(FILTER(Transactions!F:F,Transactions!A:A=A4))"),1000.0018620000001)</f>
        <v>1000.001862</v>
      </c>
      <c r="C4" s="4">
        <f>IFERROR(__xludf.DUMMYFUNCTION("SUM(FILTER(Transactions!G:G,Transactions!A:A=A4))"),3275.8279200000006)</f>
        <v>3275.82792</v>
      </c>
      <c r="D4" s="5">
        <f>Summary[Current Value]-Summary[Principal]</f>
        <v>2275.826058</v>
      </c>
      <c r="E4" s="6">
        <f>IFERROR(__xludf.DUMMYFUNCTION("XIRR({FILTER(Transactions!H:H,Transactions!A:A=A4); SUM(FILTER(Transactions!G:G,Transactions!A:A=A4))}, {FILTER(Transactions!E:E,Transactions!A:A=A4); TODAY()})"),0.16760474006138398)</f>
        <v>0.1676047401</v>
      </c>
      <c r="F4" s="7" t="s">
        <v>14</v>
      </c>
      <c r="G4" s="8" t="str">
        <f>VLOOKUP(F4, 'Index Master'!A:B, 2, FALSE)</f>
        <v>MUTF_IN:KOTA_ELSS_TAX_1LM4JRZ</v>
      </c>
      <c r="H4" s="6">
        <f>IFERROR(__xludf.DUMMYFUNCTION("XIRR({FILTER(Transactions!J:J,Transactions!A:A=A4); SUM(FILTER(Transactions!I:I,Transactions!A:A=A4))}, {FILTER(Transactions!E:E,Transactions!A:A=A4); TODAY()})"),0.15400608051117187)</f>
        <v>0.1540060805</v>
      </c>
      <c r="I4" s="8" t="str">
        <f t="shared" si="1"/>
        <v>Outperforming</v>
      </c>
    </row>
    <row r="5" ht="22.5" customHeight="1">
      <c r="A5" s="3" t="s">
        <v>15</v>
      </c>
      <c r="B5" s="4">
        <f>IFERROR(__xludf.DUMMYFUNCTION("SUM(FILTER(Transactions!F:F,Transactions!A:A=A5))"),284.93)</f>
        <v>284.93</v>
      </c>
      <c r="C5" s="4">
        <f>IFERROR(__xludf.DUMMYFUNCTION("SUM(FILTER(Transactions!G:G,Transactions!A:A=A5))"),401.05)</f>
        <v>401.05</v>
      </c>
      <c r="D5" s="5">
        <f>Summary[Current Value]-Summary[Principal]</f>
        <v>116.12</v>
      </c>
      <c r="E5" s="6">
        <f>IFERROR(__xludf.DUMMYFUNCTION("XIRR({FILTER(Transactions!H:H,Transactions!A:A=A5); SUM(FILTER(Transactions!G:G,Transactions!A:A=A5))}, {FILTER(Transactions!E:E,Transactions!A:A=A5); TODAY()})"),0.03906451574492905)</f>
        <v>0.03906451574</v>
      </c>
      <c r="F5" s="7" t="s">
        <v>16</v>
      </c>
      <c r="G5" s="8" t="str">
        <f>VLOOKUP(F5, 'Index Master'!A:B, 2, FALSE)</f>
        <v>INDEXNSE:NIFTY_500</v>
      </c>
      <c r="H5" s="6">
        <f>IFERROR(__xludf.DUMMYFUNCTION("XIRR({FILTER(Transactions!J:J,Transactions!A:A=A5); SUM(FILTER(Transactions!I:I,Transactions!A:A=A5))}, {FILTER(Transactions!E:E,Transactions!A:A=A5); TODAY()})"),0.12252080606764681)</f>
        <v>0.1225208061</v>
      </c>
      <c r="I5" s="8" t="str">
        <f t="shared" si="1"/>
        <v>Underperforming</v>
      </c>
    </row>
  </sheetData>
  <conditionalFormatting sqref="D2:D5">
    <cfRule type="cellIs" dxfId="5" priority="1" operator="greaterThan">
      <formula>0</formula>
    </cfRule>
  </conditionalFormatting>
  <conditionalFormatting sqref="D2:D5">
    <cfRule type="cellIs" dxfId="6" priority="2" operator="lessThan">
      <formula>0</formula>
    </cfRule>
  </conditionalFormatting>
  <conditionalFormatting sqref="E2:H5">
    <cfRule type="cellIs" dxfId="5" priority="3" operator="greaterThanOrEqual">
      <formula>0</formula>
    </cfRule>
  </conditionalFormatting>
  <conditionalFormatting sqref="E2:H5">
    <cfRule type="cellIs" dxfId="6" priority="4" operator="lessThan">
      <formula>0</formula>
    </cfRule>
  </conditionalFormatting>
  <conditionalFormatting sqref="I2:I5">
    <cfRule type="containsText" dxfId="6" priority="5" operator="containsText" text="Underperforming">
      <formula>NOT(ISERROR(SEARCH(("Underperforming"),(I2))))</formula>
    </cfRule>
  </conditionalFormatting>
  <conditionalFormatting sqref="I2:I5">
    <cfRule type="containsText" dxfId="5" priority="6" operator="containsText" text="Outperforming">
      <formula>NOT(ISERROR(SEARCH(("Outperforming"),(I2))))</formula>
    </cfRule>
  </conditionalFormatting>
  <dataValidations>
    <dataValidation type="list" allowBlank="1" sqref="F2:F5">
      <formula1>#REF!</formula1>
    </dataValidation>
    <dataValidation type="custom" allowBlank="1" showDropDown="1" sqref="B2:E5 H2:H5">
      <formula1>AND(ISNUMBER(B2),(NOT(OR(NOT(ISERROR(DATEVALUE(B2))), AND(ISNUMBER(B2), LEFT(CELL("format", B2))="D")))))</formula1>
    </dataValidation>
    <dataValidation allowBlank="1" showDropDown="1" sqref="G2:G5 I2:I5"/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25"/>
    <col customWidth="1" min="2" max="2" width="31.38"/>
    <col customWidth="1" min="3" max="3" width="15.38"/>
    <col customWidth="1" min="4" max="4" width="18.63"/>
    <col customWidth="1" min="5" max="5" width="16.88"/>
    <col customWidth="1" min="6" max="6" width="17.0"/>
    <col customWidth="1" min="7" max="7" width="19.5"/>
    <col customWidth="1" min="8" max="8" width="16.63"/>
    <col customWidth="1" min="9" max="9" width="21.38"/>
    <col customWidth="1" min="10" max="10" width="14.25"/>
  </cols>
  <sheetData>
    <row r="1" ht="30.75" customHeight="1">
      <c r="A1" s="9" t="s">
        <v>17</v>
      </c>
      <c r="B1" s="10" t="s">
        <v>18</v>
      </c>
      <c r="C1" s="9" t="s">
        <v>19</v>
      </c>
      <c r="D1" s="11" t="s">
        <v>20</v>
      </c>
      <c r="E1" s="9" t="s">
        <v>21</v>
      </c>
      <c r="F1" s="12" t="s">
        <v>22</v>
      </c>
      <c r="G1" s="12" t="s">
        <v>23</v>
      </c>
      <c r="H1" s="13" t="s">
        <v>24</v>
      </c>
      <c r="I1" s="14" t="s">
        <v>25</v>
      </c>
      <c r="J1" s="14" t="s">
        <v>26</v>
      </c>
    </row>
    <row r="2" ht="22.5" customHeight="1">
      <c r="A2" s="15" t="s">
        <v>9</v>
      </c>
      <c r="B2" s="16" t="s">
        <v>27</v>
      </c>
      <c r="C2" s="17">
        <v>1.0</v>
      </c>
      <c r="D2" s="18">
        <v>2713.5775</v>
      </c>
      <c r="E2" s="19">
        <v>44154.0</v>
      </c>
      <c r="F2" s="20">
        <f t="shared" ref="F2:F8" si="1">C2*D2</f>
        <v>2713.5775</v>
      </c>
      <c r="G2" s="20">
        <f>IFERROR(__xludf.DUMMYFUNCTION("GOOGLEFINANCE(B2, ""price"") * C2"),5541.5)</f>
        <v>5541.5</v>
      </c>
      <c r="H2" s="21">
        <f t="shared" ref="H2:H8" si="2">F2*-1</f>
        <v>-2713.5775</v>
      </c>
      <c r="I2" s="21">
        <f>IFERROR(__xludf.DUMMYFUNCTION("(F2/INDEX(GOOGLEFINANCE(VLOOKUP(A2, Summary!A:G, 7, FALSE), ""price"", E2), 2, 2))*GOOGLEFINANCE(VLOOKUP(A2, Summary!A:G, 7, FALSE), ""price"")"),5397.195993312641)</f>
        <v>5397.195993</v>
      </c>
      <c r="J2" s="20">
        <f t="shared" ref="J2:J8" si="3">F2*-1</f>
        <v>-2713.5775</v>
      </c>
    </row>
    <row r="3" ht="22.5" customHeight="1">
      <c r="A3" s="15" t="s">
        <v>15</v>
      </c>
      <c r="B3" s="15" t="s">
        <v>28</v>
      </c>
      <c r="C3" s="17">
        <v>1.0</v>
      </c>
      <c r="D3" s="22">
        <v>284.93</v>
      </c>
      <c r="E3" s="23">
        <v>42830.0</v>
      </c>
      <c r="F3" s="20">
        <f t="shared" si="1"/>
        <v>284.93</v>
      </c>
      <c r="G3" s="20">
        <f>IFERROR(__xludf.DUMMYFUNCTION("GOOGLEFINANCE(B3, ""price"") * C3"),199.9)</f>
        <v>199.9</v>
      </c>
      <c r="H3" s="21">
        <f t="shared" si="2"/>
        <v>-284.93</v>
      </c>
      <c r="I3" s="21">
        <f>IFERROR(__xludf.DUMMYFUNCTION("(F3/INDEX(GOOGLEFINANCE(VLOOKUP(A3, Summary!A:G, 7, FALSE), ""price"", E3), 2, 2))*GOOGLEFINANCE(VLOOKUP(A3, Summary!A:G, 7, FALSE), ""price"")"),798.9134357821398)</f>
        <v>798.9134358</v>
      </c>
      <c r="J3" s="20">
        <f t="shared" si="3"/>
        <v>-284.93</v>
      </c>
    </row>
    <row r="4" ht="22.5" customHeight="1">
      <c r="A4" s="15" t="s">
        <v>15</v>
      </c>
      <c r="B4" s="15" t="s">
        <v>29</v>
      </c>
      <c r="C4" s="17">
        <v>1.0</v>
      </c>
      <c r="D4" s="22">
        <v>0.0</v>
      </c>
      <c r="E4" s="23">
        <v>43762.0</v>
      </c>
      <c r="F4" s="20">
        <f t="shared" si="1"/>
        <v>0</v>
      </c>
      <c r="G4" s="20">
        <f>IFERROR(__xludf.DUMMYFUNCTION("GOOGLEFINANCE(B4, ""price"") * C4"),201.15)</f>
        <v>201.15</v>
      </c>
      <c r="H4" s="21">
        <f t="shared" si="2"/>
        <v>0</v>
      </c>
      <c r="I4" s="21">
        <f>IFERROR(__xludf.DUMMYFUNCTION("(F4/INDEX(GOOGLEFINANCE(VLOOKUP(A4, Summary!A:G, 7, FALSE), ""price"", E4), 2, 2))*GOOGLEFINANCE(VLOOKUP(A4, Summary!A:G, 7, FALSE), ""price"")"),0.0)</f>
        <v>0</v>
      </c>
      <c r="J4" s="20">
        <f t="shared" si="3"/>
        <v>0</v>
      </c>
    </row>
    <row r="5" ht="22.5" customHeight="1">
      <c r="A5" s="15" t="s">
        <v>11</v>
      </c>
      <c r="B5" s="15" t="s">
        <v>30</v>
      </c>
      <c r="C5" s="17">
        <v>34.8918</v>
      </c>
      <c r="D5" s="22">
        <v>28.66</v>
      </c>
      <c r="E5" s="23">
        <v>43571.0</v>
      </c>
      <c r="F5" s="20">
        <f t="shared" si="1"/>
        <v>999.998988</v>
      </c>
      <c r="G5" s="20">
        <f>IFERROR(__xludf.DUMMYFUNCTION("GOOGLEFINANCE(B5, ""price"") * C5"),2376.8294160000005)</f>
        <v>2376.829416</v>
      </c>
      <c r="H5" s="21">
        <f t="shared" si="2"/>
        <v>-999.998988</v>
      </c>
      <c r="I5" s="21">
        <f>IFERROR(__xludf.DUMMYFUNCTION("(F5/INDEX(GOOGLEFINANCE(VLOOKUP(A5, Summary!A:G, 7, FALSE), ""price"", E5), 2, 2))*GOOGLEFINANCE(VLOOKUP(A5, Summary!A:G, 7, FALSE), ""price"")"),2169.1733595720307)</f>
        <v>2169.17336</v>
      </c>
      <c r="J5" s="20">
        <f t="shared" si="3"/>
        <v>-999.998988</v>
      </c>
    </row>
    <row r="6" ht="22.5" customHeight="1">
      <c r="A6" s="15" t="s">
        <v>11</v>
      </c>
      <c r="B6" s="15" t="s">
        <v>30</v>
      </c>
      <c r="C6" s="17">
        <v>35.6633</v>
      </c>
      <c r="D6" s="22">
        <v>28.04</v>
      </c>
      <c r="E6" s="23">
        <v>43601.0</v>
      </c>
      <c r="F6" s="20">
        <f t="shared" si="1"/>
        <v>999.998932</v>
      </c>
      <c r="G6" s="20">
        <f>IFERROR(__xludf.DUMMYFUNCTION("GOOGLEFINANCE(B6, ""price"") * C6"),2429.383996)</f>
        <v>2429.383996</v>
      </c>
      <c r="H6" s="21">
        <f t="shared" si="2"/>
        <v>-999.998932</v>
      </c>
      <c r="I6" s="21">
        <f>IFERROR(__xludf.DUMMYFUNCTION("(F6/INDEX(GOOGLEFINANCE(VLOOKUP(A6, Summary!A:G, 7, FALSE), ""price"", E6), 2, 2))*GOOGLEFINANCE(VLOOKUP(A6, Summary!A:G, 7, FALSE), ""price"")"),2287.9183590488587)</f>
        <v>2287.918359</v>
      </c>
      <c r="J6" s="20">
        <f t="shared" si="3"/>
        <v>-999.998932</v>
      </c>
    </row>
    <row r="7" ht="22.5" customHeight="1">
      <c r="A7" s="15" t="s">
        <v>11</v>
      </c>
      <c r="B7" s="15" t="s">
        <v>30</v>
      </c>
      <c r="C7" s="17">
        <v>33.9328</v>
      </c>
      <c r="D7" s="22">
        <v>29.47</v>
      </c>
      <c r="E7" s="23">
        <v>43633.0</v>
      </c>
      <c r="F7" s="20">
        <f t="shared" si="1"/>
        <v>999.999616</v>
      </c>
      <c r="G7" s="20">
        <f>IFERROR(__xludf.DUMMYFUNCTION("GOOGLEFINANCE(B7, ""price"") * C7"),2311.502336)</f>
        <v>2311.502336</v>
      </c>
      <c r="H7" s="21">
        <f t="shared" si="2"/>
        <v>-999.999616</v>
      </c>
      <c r="I7" s="21">
        <f>IFERROR(__xludf.DUMMYFUNCTION("(F7/INDEX(GOOGLEFINANCE(VLOOKUP(A7, Summary!A:G, 7, FALSE), ""price"", E7), 2, 2))*GOOGLEFINANCE(VLOOKUP(A7, Summary!A:G, 7, FALSE), ""price"")"),2206.995679494255)</f>
        <v>2206.995679</v>
      </c>
      <c r="J7" s="20">
        <f t="shared" si="3"/>
        <v>-999.999616</v>
      </c>
    </row>
    <row r="8" ht="22.5" customHeight="1">
      <c r="A8" s="15" t="s">
        <v>13</v>
      </c>
      <c r="B8" s="15" t="s">
        <v>31</v>
      </c>
      <c r="C8" s="17">
        <v>21.222</v>
      </c>
      <c r="D8" s="22">
        <v>47.121</v>
      </c>
      <c r="E8" s="23">
        <v>43291.0</v>
      </c>
      <c r="F8" s="20">
        <f t="shared" si="1"/>
        <v>1000.001862</v>
      </c>
      <c r="G8" s="20">
        <f>IFERROR(__xludf.DUMMYFUNCTION("GOOGLEFINANCE(B8, ""price"") * C8"),3275.8279200000006)</f>
        <v>3275.82792</v>
      </c>
      <c r="H8" s="21">
        <f t="shared" si="2"/>
        <v>-1000.001862</v>
      </c>
      <c r="I8" s="21">
        <f>IFERROR(__xludf.DUMMYFUNCTION("(F8/INDEX(GOOGLEFINANCE(VLOOKUP(A8, Summary!A:G, 7, FALSE), ""price"", E8), 2, 2))*GOOGLEFINANCE(VLOOKUP(A8, Summary!A:G, 7, FALSE), ""price"")"),2994.75599483414)</f>
        <v>2994.755995</v>
      </c>
      <c r="J8" s="20">
        <f t="shared" si="3"/>
        <v>-1000.001862</v>
      </c>
    </row>
  </sheetData>
  <dataValidations>
    <dataValidation type="custom" allowBlank="1" showDropDown="1" sqref="E2:E8">
      <formula1>OR(NOT(ISERROR(DATEVALUE(E2))), AND(ISNUMBER(E2), LEFT(CELL("format", E2))="D"))</formula1>
    </dataValidation>
    <dataValidation type="custom" allowBlank="1" showDropDown="1" sqref="C2:D8 F2:J8">
      <formula1>AND(ISNUMBER(C2),(NOT(OR(NOT(ISERROR(DATEVALUE(C2))), AND(ISNUMBER(C2), LEFT(CELL("format", C2))="D")))))</formula1>
    </dataValidation>
  </dataValidations>
  <drawing r:id="rId2"/>
  <legacyDrawing r:id="rId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2" max="2" width="30.5"/>
  </cols>
  <sheetData>
    <row r="1">
      <c r="A1" s="24" t="s">
        <v>12</v>
      </c>
      <c r="B1" s="24" t="s">
        <v>32</v>
      </c>
    </row>
    <row r="2">
      <c r="A2" s="24" t="s">
        <v>33</v>
      </c>
      <c r="B2" s="24" t="s">
        <v>34</v>
      </c>
    </row>
    <row r="3">
      <c r="A3" s="24" t="s">
        <v>35</v>
      </c>
      <c r="B3" s="24" t="s">
        <v>36</v>
      </c>
    </row>
    <row r="4">
      <c r="A4" s="24" t="s">
        <v>16</v>
      </c>
      <c r="B4" s="24" t="s">
        <v>37</v>
      </c>
    </row>
    <row r="5">
      <c r="A5" s="24" t="s">
        <v>38</v>
      </c>
      <c r="B5" s="24" t="s">
        <v>39</v>
      </c>
    </row>
    <row r="6">
      <c r="A6" s="24" t="s">
        <v>40</v>
      </c>
      <c r="B6" s="24" t="s">
        <v>41</v>
      </c>
    </row>
    <row r="7">
      <c r="A7" s="24" t="s">
        <v>42</v>
      </c>
      <c r="B7" s="24" t="s">
        <v>43</v>
      </c>
    </row>
    <row r="8">
      <c r="A8" s="24" t="s">
        <v>44</v>
      </c>
      <c r="B8" s="24" t="s">
        <v>45</v>
      </c>
    </row>
    <row r="9">
      <c r="A9" s="24" t="s">
        <v>46</v>
      </c>
      <c r="B9" s="24" t="s">
        <v>47</v>
      </c>
    </row>
    <row r="10">
      <c r="A10" s="24" t="s">
        <v>48</v>
      </c>
      <c r="B10" s="24" t="s">
        <v>49</v>
      </c>
    </row>
    <row r="11">
      <c r="A11" s="24" t="s">
        <v>10</v>
      </c>
      <c r="B11" s="24" t="s">
        <v>50</v>
      </c>
    </row>
    <row r="12">
      <c r="A12" s="24" t="s">
        <v>14</v>
      </c>
      <c r="B12" s="24" t="s">
        <v>51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113.5"/>
  </cols>
  <sheetData>
    <row r="1">
      <c r="A1" s="25" t="s">
        <v>52</v>
      </c>
    </row>
    <row r="2">
      <c r="A2" s="26" t="s">
        <v>53</v>
      </c>
    </row>
    <row r="3">
      <c r="A3" s="27" t="s">
        <v>54</v>
      </c>
    </row>
  </sheetData>
  <hyperlinks>
    <hyperlink r:id="rId1" ref="A1"/>
    <hyperlink r:id="rId2" ref="A2"/>
  </hyperlinks>
  <drawing r:id="rId3"/>
</worksheet>
</file>