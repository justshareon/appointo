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" sheetId="1" r:id="rId4"/>
    <sheet state="visible" name="DASHBOARD" sheetId="2" r:id="rId5"/>
    <sheet state="visible" name="GAINERS" sheetId="3" r:id="rId6"/>
    <sheet state="visible" name="DECLINERS" sheetId="4" r:id="rId7"/>
    <sheet state="visible" name="ACTIVES" sheetId="5" r:id="rId8"/>
    <sheet state="hidden" name="HELP" sheetId="6" r:id="rId9"/>
    <sheet state="visible" name="DATA" sheetId="7" r:id="rId10"/>
  </sheets>
  <definedNames>
    <definedName name="L_DECLINERS_CHANGEPCT">DECLINERS!$I$3:$I$22</definedName>
    <definedName name="L_DECLINERS_PRICE">DECLINERS!$F$3:$F$22</definedName>
    <definedName name="L_GAINERS_PRICE">GAINERS!$F$3:$F$22</definedName>
    <definedName name="L_DECLINERS_CHANGE">DECLINERS!$G$3:$G$22</definedName>
    <definedName name="L_DATA_LAST_TRD_TIME">DATA!$N$4:$N$1624</definedName>
    <definedName name="L_ACTIVES_CHANGEPCT">ACTIVES!$I$3:$I$22</definedName>
    <definedName name="L_GAINERS_CHANGE">GAINERS!$G$3:$G$22</definedName>
    <definedName name="L_DATA_CHNG_PCT_FML">DATA!$E$4:$E$1624</definedName>
    <definedName name="L_DATA_NAME">DATA!$B$4:$B$1624</definedName>
    <definedName name="L_DATA_TOP_GAIN_PCT">DATA!$K$4:$K$1624</definedName>
    <definedName name="L_DATA_TOP_DECLINE_PCT">DATA!$L$4:$L$1624</definedName>
    <definedName name="L_HELP_ABBR">HELP!$C$2:$C$3</definedName>
    <definedName name="L_DATA_TOP_ACTIVES">DATA!$M$4:$M$1624</definedName>
    <definedName name="L_DECLINERS_TICKER">DECLINERS!$C$3:$C$22</definedName>
    <definedName name="L_ACTIVES_TICKERS">ACTIVES!$C$3:$C$22</definedName>
    <definedName name="L_DATA_SYMBOL">DATA!$A$4:$A$1624</definedName>
    <definedName name="L_HELP_PRICE">HELP!$E$2:$E$3</definedName>
    <definedName name="L_GAINERS_TICKER">GAINERS!$C$3:$C$22</definedName>
    <definedName name="L_DATA_VOL">DATA!$I$4:$I$1624</definedName>
    <definedName name="L_ACTIVES_PRICE">ACTIVES!$F$3:$F$22</definedName>
    <definedName name="L_DATA_CHANGE">DATA!$C$4:$C$1624</definedName>
    <definedName name="L_DATA_PRICE">DATA!$H$4:$H$1624</definedName>
    <definedName name="L_GAINERS_CHANGEPCT">GAINERS!$I$3:$I$22</definedName>
    <definedName name="L_ACTIVES_CHANGE">ACTIVES!$G$3:$G$22</definedName>
    <definedName name="L_ACTIVES_VOL">ACTIVES!$E$3:$E$22</definedName>
    <definedName name="L_DATA_CHANGEPCT">DATA!$D$4:$D$1624</definedName>
    <definedName hidden="1" localSheetId="6" name="_xlnm._FilterDatabase">DATA!$A$3:$N$1624</definedName>
  </definedNames>
  <calcPr/>
  <extLst>
    <ext uri="GoogleSheetsCustomDataVersion2">
      <go:sheetsCustomData xmlns:go="http://customooxmlschemas.google.com/" r:id="rId11" roundtripDataChecksum="E4oaVdZ/um1Vpx7leWsVbqSNfG3x4wf4vAobuEEnbzg="/>
    </ext>
  </extLst>
</workbook>
</file>

<file path=xl/sharedStrings.xml><?xml version="1.0" encoding="utf-8"?>
<sst xmlns="http://schemas.openxmlformats.org/spreadsheetml/2006/main" count="1718" uniqueCount="1670">
  <si>
    <t>STOCK MARKET</t>
  </si>
  <si>
    <t>Offset</t>
  </si>
  <si>
    <t>GAINERS</t>
  </si>
  <si>
    <t>DECLINERS</t>
  </si>
  <si>
    <t>No.</t>
  </si>
  <si>
    <t>Row #</t>
  </si>
  <si>
    <t>Ticker</t>
  </si>
  <si>
    <t>Name</t>
  </si>
  <si>
    <t>Volume</t>
  </si>
  <si>
    <t>Price</t>
  </si>
  <si>
    <t>Change</t>
  </si>
  <si>
    <t>Change %</t>
  </si>
  <si>
    <t>Market Cap</t>
  </si>
  <si>
    <t>PE Ratio</t>
  </si>
  <si>
    <t>52 Week Low</t>
  </si>
  <si>
    <t>53 week range</t>
  </si>
  <si>
    <t>52 Week High</t>
  </si>
  <si>
    <t>ACTIVES</t>
  </si>
  <si>
    <t>Stocks tracked</t>
  </si>
  <si>
    <t>Gainers</t>
  </si>
  <si>
    <t>Decliners</t>
  </si>
  <si>
    <t>Not Available</t>
  </si>
  <si>
    <t>TOP GAINERS</t>
  </si>
  <si>
    <t>TOP DECLINERS</t>
  </si>
  <si>
    <t>TOP ACTIVES</t>
  </si>
  <si>
    <t>View More</t>
  </si>
  <si>
    <t>Index</t>
  </si>
  <si>
    <t>Abbreviation</t>
  </si>
  <si>
    <t xml:space="preserve">Symbol </t>
  </si>
  <si>
    <t>Change (%)</t>
  </si>
  <si>
    <t>NIFTY 50</t>
  </si>
  <si>
    <t>ENTER SYMBOL IN THIS COLUMN</t>
  </si>
  <si>
    <t>INDEXNSE:NIFTY_50</t>
  </si>
  <si>
    <t>All other columns are calculated</t>
  </si>
  <si>
    <t>SYMBOL</t>
  </si>
  <si>
    <t>Change% fm</t>
  </si>
  <si>
    <t>Positive Change %</t>
  </si>
  <si>
    <t>Negative Change %</t>
  </si>
  <si>
    <t>Stock Ticker symbol</t>
  </si>
  <si>
    <t>TOP GAINERS BY %</t>
  </si>
  <si>
    <t>TOP DECLINERS BY %</t>
  </si>
  <si>
    <t>TOP ACTIVES BY %</t>
  </si>
  <si>
    <t>Last Trade Time</t>
  </si>
  <si>
    <t xml:space="preserve">to get indices and their symbols: </t>
  </si>
  <si>
    <t>NSE:20MICRONS</t>
  </si>
  <si>
    <t>S&amp;P BSE SENSEX IDX</t>
  </si>
  <si>
    <t>INDEXBOM:SENSEX</t>
  </si>
  <si>
    <t>BSE</t>
  </si>
  <si>
    <t>BOM</t>
  </si>
  <si>
    <t>INDEXBOM</t>
  </si>
  <si>
    <t>ref: https://www.google.com/finance/?hl=en</t>
  </si>
  <si>
    <t>NIFTY</t>
  </si>
  <si>
    <t>NSE:21STCENMGM</t>
  </si>
  <si>
    <t>NSE:3IINFOLTD</t>
  </si>
  <si>
    <t>NSE:3MINDIA</t>
  </si>
  <si>
    <t>NSE:3PLAND</t>
  </si>
  <si>
    <t>NSE:5PAISA</t>
  </si>
  <si>
    <t>NSE:63MOONS</t>
  </si>
  <si>
    <t>NSE:A2ZINFRA</t>
  </si>
  <si>
    <t>NSE:AAKASH</t>
  </si>
  <si>
    <t>NSE:AARON</t>
  </si>
  <si>
    <t>NSE:AARTIDRUGS</t>
  </si>
  <si>
    <t>NSE:AARTIIND</t>
  </si>
  <si>
    <t>NSE:AARTISURF</t>
  </si>
  <si>
    <t>NSE:AARVEEDEN</t>
  </si>
  <si>
    <t>NSE:AARVI</t>
  </si>
  <si>
    <t>NSE:AAVAS</t>
  </si>
  <si>
    <t>NSE:ABAN</t>
  </si>
  <si>
    <t>NSE:ABB</t>
  </si>
  <si>
    <t>NSE:ABBOTINDIA</t>
  </si>
  <si>
    <t>NSE:ABCAPITAL</t>
  </si>
  <si>
    <t>NSE:ABFRL</t>
  </si>
  <si>
    <t>NSE:ACC</t>
  </si>
  <si>
    <t>NSE:ACCELYA</t>
  </si>
  <si>
    <t>NSE:ACCURACY</t>
  </si>
  <si>
    <t>NSE:ACE</t>
  </si>
  <si>
    <t>BOM:524091</t>
  </si>
  <si>
    <t>NSE:ADANIENT</t>
  </si>
  <si>
    <t>NSE:ADANIGREEN</t>
  </si>
  <si>
    <t>NSE:ADANIPORTS</t>
  </si>
  <si>
    <t>NSE:ADANIPOWER</t>
  </si>
  <si>
    <t>NSE:ADANITRANS</t>
  </si>
  <si>
    <t>NSE:ADFFOODS</t>
  </si>
  <si>
    <t>NSE:INCREDIBLE</t>
  </si>
  <si>
    <t>NSE:ADL</t>
  </si>
  <si>
    <t>NSE:ADORWELD</t>
  </si>
  <si>
    <t>NSE:ADROITINFO</t>
  </si>
  <si>
    <t>NSE:ADSL</t>
  </si>
  <si>
    <t>NSE:ADVANIHOTR</t>
  </si>
  <si>
    <t>NSE:ADVENZYMES</t>
  </si>
  <si>
    <t>NSE:AEGISCHEM</t>
  </si>
  <si>
    <t>NSE:AFFLE</t>
  </si>
  <si>
    <t>NSE:ARVIND</t>
  </si>
  <si>
    <t>NSE:AGARIND</t>
  </si>
  <si>
    <t>NSE:BBOX</t>
  </si>
  <si>
    <t>NSE:AGRITECH</t>
  </si>
  <si>
    <t>NSE:AGROPHOS</t>
  </si>
  <si>
    <t>NSE:AHLADA</t>
  </si>
  <si>
    <t>NSE:AHLEAST</t>
  </si>
  <si>
    <t>NSE:AHLUCONT</t>
  </si>
  <si>
    <t>NSE:AHLWEST</t>
  </si>
  <si>
    <t>NSE:AIAENG</t>
  </si>
  <si>
    <t>NSE:AIRAN</t>
  </si>
  <si>
    <t>NSE:AJANTPHARM</t>
  </si>
  <si>
    <t>NSE:AJMERA</t>
  </si>
  <si>
    <t>NSE:AKASH</t>
  </si>
  <si>
    <t>NSE:AKG</t>
  </si>
  <si>
    <t>NSE:ALPHAGEO</t>
  </si>
  <si>
    <t>NSE:AKSHOPTFBR</t>
  </si>
  <si>
    <t>NSE:AKZOINDIA</t>
  </si>
  <si>
    <t>NSE:ALANKIT</t>
  </si>
  <si>
    <t>NSE:ALBERTDAVD</t>
  </si>
  <si>
    <t>NSE:ALEMBICLTD</t>
  </si>
  <si>
    <t>NSE:ALICON</t>
  </si>
  <si>
    <t>NSE:ALKALI</t>
  </si>
  <si>
    <t>NSE:ALKEM</t>
  </si>
  <si>
    <t>NSE:ALKYLAMINE</t>
  </si>
  <si>
    <t>NSE:ALLCARGO</t>
  </si>
  <si>
    <t>NSE:ALLSEC</t>
  </si>
  <si>
    <t>NSE:ALMONDZ</t>
  </si>
  <si>
    <t>NSE:ALOKINDS</t>
  </si>
  <si>
    <t>NSE:ALPA</t>
  </si>
  <si>
    <t>NSE:BANCOINDIA</t>
  </si>
  <si>
    <t>NSE:ALPSINDUS</t>
  </si>
  <si>
    <t>NSE:AMARAJABAT</t>
  </si>
  <si>
    <t>NSE:AMBER</t>
  </si>
  <si>
    <t>NSE:AMBIKCO</t>
  </si>
  <si>
    <t>NSE:AMBUJACEM</t>
  </si>
  <si>
    <t>NSE:AMDIND</t>
  </si>
  <si>
    <t>NSE:AMJLAND</t>
  </si>
  <si>
    <t>NSE:AMRUTANJAN</t>
  </si>
  <si>
    <t>NSE:ANANTRAJ</t>
  </si>
  <si>
    <t>NSE:ANDHRACEMT</t>
  </si>
  <si>
    <t>NSE:ANDHRAPAP</t>
  </si>
  <si>
    <t>NSE:ANDHRSUGAR</t>
  </si>
  <si>
    <t>NSE:ANGELONE</t>
  </si>
  <si>
    <t>NSE:ANIKINDS</t>
  </si>
  <si>
    <t>NSE:ANKITMETAL</t>
  </si>
  <si>
    <t>NSE:ANSALAPI</t>
  </si>
  <si>
    <t>BOM:507828</t>
  </si>
  <si>
    <t>NSE:ANUP</t>
  </si>
  <si>
    <t>NSE:APARINDS</t>
  </si>
  <si>
    <t>NSE:APCL</t>
  </si>
  <si>
    <t>NSE:APCOTEXIND</t>
  </si>
  <si>
    <t>NSE:APEX</t>
  </si>
  <si>
    <t>NSE:APLAPOLLO</t>
  </si>
  <si>
    <t>NSE:APLLTD</t>
  </si>
  <si>
    <t>NSE:APOLLO</t>
  </si>
  <si>
    <t>NSE:APOLLOHOSP</t>
  </si>
  <si>
    <t>NSE:APOLLOPIPE</t>
  </si>
  <si>
    <t>NSE:APOLLOTYRE</t>
  </si>
  <si>
    <t>NSE:APOLSINHOT</t>
  </si>
  <si>
    <t>NSE:APTECHT</t>
  </si>
  <si>
    <t>NSE:ARCHIDPLY</t>
  </si>
  <si>
    <t>NSE:ARCHIES</t>
  </si>
  <si>
    <t>NSE:ARENTERP</t>
  </si>
  <si>
    <t>NSE:ARIES</t>
  </si>
  <si>
    <t>BOM:531381</t>
  </si>
  <si>
    <t>NSE:ARIHANTSUP</t>
  </si>
  <si>
    <t>NSE:ARMANFIN</t>
  </si>
  <si>
    <t>NSE:AROGRANITE</t>
  </si>
  <si>
    <t>NSE:ARROWGREEN</t>
  </si>
  <si>
    <t>NSE:ARSHIYA</t>
  </si>
  <si>
    <t>NSE:ARSSINFRA</t>
  </si>
  <si>
    <t>NSE:ARTEMISMED</t>
  </si>
  <si>
    <t>NSE:ARVINDFASN</t>
  </si>
  <si>
    <t>NSE:ARVSMART</t>
  </si>
  <si>
    <t>NSE:ASAHIINDIA</t>
  </si>
  <si>
    <t>NSE:ASAHISONG</t>
  </si>
  <si>
    <t>NSE:ASAL</t>
  </si>
  <si>
    <t>NSE:ASALCBR</t>
  </si>
  <si>
    <t>NSE:ASHAPURMIN</t>
  </si>
  <si>
    <t>NSE:ASHIANA</t>
  </si>
  <si>
    <t>NSE:ASHIMASYN</t>
  </si>
  <si>
    <t>NSE:ASHOKA</t>
  </si>
  <si>
    <t>NSE:ASHOKLEY</t>
  </si>
  <si>
    <t>NSE:ASIANHOTNR</t>
  </si>
  <si>
    <t>NSE:ASIANPAINT</t>
  </si>
  <si>
    <t>NSE:ASIANTILES</t>
  </si>
  <si>
    <t>NSE:ASPINWALL</t>
  </si>
  <si>
    <t>NSE:ASTEC</t>
  </si>
  <si>
    <t>NSE:ASTERDM</t>
  </si>
  <si>
    <t>NSE:ASTRAL</t>
  </si>
  <si>
    <t>NSE:ASTRAMICRO</t>
  </si>
  <si>
    <t>NSE:ASTRAZEN</t>
  </si>
  <si>
    <t>NSE:ASTRON</t>
  </si>
  <si>
    <t>NSE:ATFL</t>
  </si>
  <si>
    <t>NSE:ATLANTA</t>
  </si>
  <si>
    <t>NSE:ATUL</t>
  </si>
  <si>
    <t>NSE:ATULAUTO</t>
  </si>
  <si>
    <t>NSE:AUBANK</t>
  </si>
  <si>
    <t>NSE:AURIONPRO</t>
  </si>
  <si>
    <t>NSE:AUROPHARMA</t>
  </si>
  <si>
    <t>NSE:AUSOMENT</t>
  </si>
  <si>
    <t>NSE:AUTOAXLES</t>
  </si>
  <si>
    <t>NSE:AUTOIND</t>
  </si>
  <si>
    <t>NSE:AVADHSUGAR</t>
  </si>
  <si>
    <t>NSE:AVANTIFEED</t>
  </si>
  <si>
    <t>NSE:AVTNPL</t>
  </si>
  <si>
    <t>NSE:AWHCL</t>
  </si>
  <si>
    <t>NSE:AXISBANK</t>
  </si>
  <si>
    <t>NSE:AXISCADES</t>
  </si>
  <si>
    <t>NSE:AYMSYNTEX</t>
  </si>
  <si>
    <t>NSE:BAFNAPH</t>
  </si>
  <si>
    <t>NSE:BAGFILMS</t>
  </si>
  <si>
    <t>NSE:BAJAJ-AUTO</t>
  </si>
  <si>
    <t>NSE:BAJAJCON</t>
  </si>
  <si>
    <t>NSE:BAJAJELEC</t>
  </si>
  <si>
    <t>NSE:BAJAJFINSV</t>
  </si>
  <si>
    <t>NSE:BAJAJHIND</t>
  </si>
  <si>
    <t>NSE:BAJAJHLDNG</t>
  </si>
  <si>
    <t>NSE:BAJFINANCE</t>
  </si>
  <si>
    <t>NSE:BALAJITELE</t>
  </si>
  <si>
    <t>NSE:BALAMINES</t>
  </si>
  <si>
    <t>NSE:BALAXI</t>
  </si>
  <si>
    <t>NSE:BALKRISHNA</t>
  </si>
  <si>
    <t>NSE:BALKRISIND</t>
  </si>
  <si>
    <t>NSE:BALLARPUR</t>
  </si>
  <si>
    <t>NSE:BALMLAWRIE</t>
  </si>
  <si>
    <t>NSE:BALPHARMA</t>
  </si>
  <si>
    <t>NSE:BALRAMCHIN</t>
  </si>
  <si>
    <t>NSE:BANARBEADS</t>
  </si>
  <si>
    <t>NSE:BANARISUG</t>
  </si>
  <si>
    <t>NSE:CCL</t>
  </si>
  <si>
    <t>NSE:BANDHANBNK</t>
  </si>
  <si>
    <t>NSE:BANG</t>
  </si>
  <si>
    <t>NSE:BANKA</t>
  </si>
  <si>
    <t>NSE:BANKBARODA</t>
  </si>
  <si>
    <t>NSE:BANKINDIA</t>
  </si>
  <si>
    <t>NSE:BANSWRAS</t>
  </si>
  <si>
    <t>NSE:ASMS</t>
  </si>
  <si>
    <t>NSE:BASF</t>
  </si>
  <si>
    <t>NSE:BASML</t>
  </si>
  <si>
    <t>NSE:BATAINDIA</t>
  </si>
  <si>
    <t>NSE:BAYERCROP</t>
  </si>
  <si>
    <t>NSE:BBL</t>
  </si>
  <si>
    <t>NSE:BBTC</t>
  </si>
  <si>
    <t>NSE:BCG</t>
  </si>
  <si>
    <t>NSE:BCP</t>
  </si>
  <si>
    <t>NSE:BDL</t>
  </si>
  <si>
    <t>NSE:BEARDSELL</t>
  </si>
  <si>
    <t>NSE:BECTORFOOD</t>
  </si>
  <si>
    <t>NSE:BEDMUTHA</t>
  </si>
  <si>
    <t>NSE:BEL</t>
  </si>
  <si>
    <t>NSE:BEML</t>
  </si>
  <si>
    <t>NSE:BEPL</t>
  </si>
  <si>
    <t>NSE:BERGEPAINT</t>
  </si>
  <si>
    <t>NSE:BFINVEST</t>
  </si>
  <si>
    <t>NSE:BFUTILITIE</t>
  </si>
  <si>
    <t>NSE:BGRENERGY</t>
  </si>
  <si>
    <t>NSE:BHAGERIA</t>
  </si>
  <si>
    <t>NSE:BHAGYANGR</t>
  </si>
  <si>
    <t>NSE:BHANDARI</t>
  </si>
  <si>
    <t>NSE:BHARATFORG</t>
  </si>
  <si>
    <t>NSE:BHARATGEAR</t>
  </si>
  <si>
    <t>NSE:BHARATRAS</t>
  </si>
  <si>
    <t>NSE:BHARATWIRE</t>
  </si>
  <si>
    <t>NSE:BHARTIARTL</t>
  </si>
  <si>
    <t>NSE:BHEL</t>
  </si>
  <si>
    <t>NSE:BIGBLOC</t>
  </si>
  <si>
    <t>NSE:BIL</t>
  </si>
  <si>
    <t>NSE:BINDALAGRO</t>
  </si>
  <si>
    <t>NSE:BIOCON</t>
  </si>
  <si>
    <t>NSE:BIOFILCHEM</t>
  </si>
  <si>
    <t>NSE:BIRLACABLE</t>
  </si>
  <si>
    <t>NSE:BIRLACORPN</t>
  </si>
  <si>
    <t>NSE:BIRLAMONEY</t>
  </si>
  <si>
    <t>NSE:BIRLATYRE</t>
  </si>
  <si>
    <t>NSE:BKMINDST</t>
  </si>
  <si>
    <t>NSE:BLBLIMITED</t>
  </si>
  <si>
    <t>NSE:BLISSGVS</t>
  </si>
  <si>
    <t>NSE:BLKASHYAP</t>
  </si>
  <si>
    <t>NSE:BLS</t>
  </si>
  <si>
    <t>NSE:BLUEDART</t>
  </si>
  <si>
    <t>NSE:BLUESTARCO</t>
  </si>
  <si>
    <t>NSE:BODALCHEM</t>
  </si>
  <si>
    <t>NSE:BOMDYEING</t>
  </si>
  <si>
    <t>NSE:BOROLTD</t>
  </si>
  <si>
    <t>NSE:BORORENEW</t>
  </si>
  <si>
    <t>NSE:BOSCHLTD</t>
  </si>
  <si>
    <t>NSE:BPCL</t>
  </si>
  <si>
    <t>NSE:BPL</t>
  </si>
  <si>
    <t>NSE:BRIGADE</t>
  </si>
  <si>
    <t>NSE:BRITANNIA</t>
  </si>
  <si>
    <t>NSE:BRNL</t>
  </si>
  <si>
    <t>NSE:BROOKS</t>
  </si>
  <si>
    <t>NSE:BSE</t>
  </si>
  <si>
    <t>NSE:BSHSL</t>
  </si>
  <si>
    <t>NSE:BSL</t>
  </si>
  <si>
    <t>NSE:BSOFT</t>
  </si>
  <si>
    <t>NSE:RBA</t>
  </si>
  <si>
    <t>NSE:BURNPUR</t>
  </si>
  <si>
    <t>NSE:BUTTERFLY</t>
  </si>
  <si>
    <t>NSE:BVCL</t>
  </si>
  <si>
    <t>NSE:BYKE</t>
  </si>
  <si>
    <t>NSE:ZYDUSLIFE</t>
  </si>
  <si>
    <t>NSE:CALSOFT</t>
  </si>
  <si>
    <t>NSE:CAMLINFINE</t>
  </si>
  <si>
    <t>NSE:CAMS</t>
  </si>
  <si>
    <t>NSE:CANBK</t>
  </si>
  <si>
    <t>NSE:CANFINHOME</t>
  </si>
  <si>
    <t>NSE:CANTABIL</t>
  </si>
  <si>
    <t>NSE:CAPACITE</t>
  </si>
  <si>
    <t>NSE:CAPLIPOINT</t>
  </si>
  <si>
    <t>NSE:CAPTRUST</t>
  </si>
  <si>
    <t>NSE:CARBORUNIV</t>
  </si>
  <si>
    <t>NSE:CAREERP</t>
  </si>
  <si>
    <t>NSE:CARERATING</t>
  </si>
  <si>
    <t>NSE:CASTROLIND</t>
  </si>
  <si>
    <t>NSE:CCCL</t>
  </si>
  <si>
    <t>NSE:CCHHL</t>
  </si>
  <si>
    <t>NSE:CDSL</t>
  </si>
  <si>
    <t>NSE:CENTURYPLY</t>
  </si>
  <si>
    <t>NSE:CEATLTD</t>
  </si>
  <si>
    <t>NSE:JWL</t>
  </si>
  <si>
    <t>NSE:CELEBRITY</t>
  </si>
  <si>
    <t>NSE:CENTENKA</t>
  </si>
  <si>
    <t>NSE:CENTEXT</t>
  </si>
  <si>
    <t>NSE:CENTRALBK</t>
  </si>
  <si>
    <t>NSE:CENTRUM</t>
  </si>
  <si>
    <t>NSE:CENTUM</t>
  </si>
  <si>
    <t>NSE:COLPAL</t>
  </si>
  <si>
    <t>NSE:CENTURYTEX</t>
  </si>
  <si>
    <t>NSE:CERA</t>
  </si>
  <si>
    <t>NSE:CEREBRAINT</t>
  </si>
  <si>
    <t>NSE:CESC</t>
  </si>
  <si>
    <t>NSE:CGCL</t>
  </si>
  <si>
    <t>NSE:CGPOWER</t>
  </si>
  <si>
    <t>NSE:CHALET</t>
  </si>
  <si>
    <t>NSE:CHAMBLFERT</t>
  </si>
  <si>
    <t>NSE:CHEMBOND</t>
  </si>
  <si>
    <t>NSE:CHEMCON</t>
  </si>
  <si>
    <t>NSE:CHEMFAB</t>
  </si>
  <si>
    <t>NSE:CHENNPETRO</t>
  </si>
  <si>
    <t>NSE:CHOLAFIN</t>
  </si>
  <si>
    <t>NSE:CHOLAHLDNG</t>
  </si>
  <si>
    <t>NSE:CIGNITITEC</t>
  </si>
  <si>
    <t>NSE:CINELINE</t>
  </si>
  <si>
    <t>NSE:CINEVISTA</t>
  </si>
  <si>
    <t>NSE:CIPLA</t>
  </si>
  <si>
    <t>NSE:CLEDUCATE</t>
  </si>
  <si>
    <t>NSE:HEUBACHIND</t>
  </si>
  <si>
    <t>NSE:CMICABLES</t>
  </si>
  <si>
    <t>NSE:COALINDIA</t>
  </si>
  <si>
    <t>NSE:COCHINSHIP</t>
  </si>
  <si>
    <t>NSE:COFORGE</t>
  </si>
  <si>
    <t>NSE:CYBERMEDIA</t>
  </si>
  <si>
    <t>NSE:COMPINFO</t>
  </si>
  <si>
    <t>NSE:COMPUSOFT</t>
  </si>
  <si>
    <t>NSE:CONCOR</t>
  </si>
  <si>
    <t>NSE:CONFIPET</t>
  </si>
  <si>
    <t>NSE:CONSOFINVT</t>
  </si>
  <si>
    <t>NSE:CONTROLPR</t>
  </si>
  <si>
    <t>NSE:CORALFINAC</t>
  </si>
  <si>
    <t>NSE:CORDSCABLE</t>
  </si>
  <si>
    <t>NSE:COROMANDEL</t>
  </si>
  <si>
    <t>NSE:COSMOFIRST</t>
  </si>
  <si>
    <t>NSE:COUNCODOS</t>
  </si>
  <si>
    <t>NSE:CREATIVE</t>
  </si>
  <si>
    <t>NSE:CREATIVEYE</t>
  </si>
  <si>
    <t>NSE:CREDITACC</t>
  </si>
  <si>
    <t>NSE:CREST</t>
  </si>
  <si>
    <t>NSE:CRISIL</t>
  </si>
  <si>
    <t>NSE:CROMPTON</t>
  </si>
  <si>
    <t>NSE:CSBBANK</t>
  </si>
  <si>
    <t>NSE:CTE</t>
  </si>
  <si>
    <t>NSE:CUB</t>
  </si>
  <si>
    <t>NSE:CUBEXTUB</t>
  </si>
  <si>
    <t>NSE:CUMMINSIND</t>
  </si>
  <si>
    <t>NSE:CUPID</t>
  </si>
  <si>
    <t>NSE:DIXON</t>
  </si>
  <si>
    <t>NSE:CYBERTECH</t>
  </si>
  <si>
    <t>NSE:CYIENT</t>
  </si>
  <si>
    <t>NSE:DAAWAT</t>
  </si>
  <si>
    <t>NSE:DABUR</t>
  </si>
  <si>
    <t>NSE:DALBHARAT</t>
  </si>
  <si>
    <t>NSE:DALMIASUG</t>
  </si>
  <si>
    <t>NSE:DAMODARIND</t>
  </si>
  <si>
    <t>NSE:DANGEE</t>
  </si>
  <si>
    <t>NSE:DATAMATICS</t>
  </si>
  <si>
    <t>NSE:DBCORP</t>
  </si>
  <si>
    <t>NSE:DBL</t>
  </si>
  <si>
    <t>NSE:DBREALTY</t>
  </si>
  <si>
    <t>NSE:DBSTOCKBRO</t>
  </si>
  <si>
    <t>NSE:DCAL</t>
  </si>
  <si>
    <t>NSE:DCBBANK</t>
  </si>
  <si>
    <t>NSE:DCM</t>
  </si>
  <si>
    <t>NSE:DCMFINSERV</t>
  </si>
  <si>
    <t>NSE:DCMNVL</t>
  </si>
  <si>
    <t>NSE:DCMSHRIRAM</t>
  </si>
  <si>
    <t>NSE:DCW</t>
  </si>
  <si>
    <t>NSE:DECCANCE</t>
  </si>
  <si>
    <t>NSE:DEEPAKFERT</t>
  </si>
  <si>
    <t>NSE:DEEPAKNTR</t>
  </si>
  <si>
    <t>NSE:DEEPENR</t>
  </si>
  <si>
    <t>NSE:DELTACORP</t>
  </si>
  <si>
    <t>NSE:DELTAMAGNT</t>
  </si>
  <si>
    <t>NSE:DEN</t>
  </si>
  <si>
    <t>NSE:DENORA</t>
  </si>
  <si>
    <t>NSE:DFMFOODS</t>
  </si>
  <si>
    <t>NSE:DGCONTENT</t>
  </si>
  <si>
    <t>NSE:DHAMPURSUG</t>
  </si>
  <si>
    <t>NSE:DHANBANK</t>
  </si>
  <si>
    <t>NSE:DHANI</t>
  </si>
  <si>
    <t>NSE:DHANUKA</t>
  </si>
  <si>
    <t>NSE:DHARSUGAR</t>
  </si>
  <si>
    <t>NSE:DHUNINV</t>
  </si>
  <si>
    <t>NSE:DIAMONDYD</t>
  </si>
  <si>
    <t>NSE:DICIND</t>
  </si>
  <si>
    <t>NSE:DIGISPICE</t>
  </si>
  <si>
    <t>NSE:DISHTV</t>
  </si>
  <si>
    <t>NSE:DIVISLAB</t>
  </si>
  <si>
    <t>NSE:DLINKINDIA</t>
  </si>
  <si>
    <t>NSE:DLF</t>
  </si>
  <si>
    <t>NSE:EIDPARRY</t>
  </si>
  <si>
    <t>NSE:DMART</t>
  </si>
  <si>
    <t>NSE:DOLATALGO</t>
  </si>
  <si>
    <t>NSE:DOLLAR</t>
  </si>
  <si>
    <t>NSE:DONEAR</t>
  </si>
  <si>
    <t>NSE:DPABHUSHAN</t>
  </si>
  <si>
    <t>NSE:DPSCLTD</t>
  </si>
  <si>
    <t>NSE:DPWIRES</t>
  </si>
  <si>
    <t>NSE:DREDGECORP</t>
  </si>
  <si>
    <t>NSE:DRREDDY</t>
  </si>
  <si>
    <t>NSE:DSSL</t>
  </si>
  <si>
    <t>NSE:DTIL</t>
  </si>
  <si>
    <t>NSE:DUCON</t>
  </si>
  <si>
    <t>NSE:DVL</t>
  </si>
  <si>
    <t>NSE:DWARKESH</t>
  </si>
  <si>
    <t>NSE:DYNAMATECH</t>
  </si>
  <si>
    <t>NSE:DYNPRO</t>
  </si>
  <si>
    <t>NSE:DELPHIFX</t>
  </si>
  <si>
    <t>NSE:ECLERX</t>
  </si>
  <si>
    <t>NSE:EDELWEISS</t>
  </si>
  <si>
    <t>NSE:EDUCOMP</t>
  </si>
  <si>
    <t>NSE:EICHERMOT</t>
  </si>
  <si>
    <t>NSE:ELECTHERM</t>
  </si>
  <si>
    <t>NSE:EIHAHOTELS</t>
  </si>
  <si>
    <t>NSE:EIHOTEL</t>
  </si>
  <si>
    <t>NSE:ENIL</t>
  </si>
  <si>
    <t>NSE:EKC</t>
  </si>
  <si>
    <t>NSE:ELECON</t>
  </si>
  <si>
    <t>NSE:ELECTCAST</t>
  </si>
  <si>
    <t>NSE:FMGOETZE</t>
  </si>
  <si>
    <t>NSE:ELGIEQUIP</t>
  </si>
  <si>
    <t>NSE:ELGIRUBCO</t>
  </si>
  <si>
    <t>NSE:EMAMILTD</t>
  </si>
  <si>
    <t>NSE:EMAMIPAP</t>
  </si>
  <si>
    <t>NSE:EMAMIREAL</t>
  </si>
  <si>
    <t>NSE:EMKAY</t>
  </si>
  <si>
    <t>NSE:EMMBI</t>
  </si>
  <si>
    <t>NSE:ENDURANCE</t>
  </si>
  <si>
    <t>NSE:ENERGYDEV</t>
  </si>
  <si>
    <t>NSE:ENGINERSIN</t>
  </si>
  <si>
    <t>NSE:GAIL</t>
  </si>
  <si>
    <t>NSE:EPL</t>
  </si>
  <si>
    <t>NSE:EQUITASBNK</t>
  </si>
  <si>
    <t>NSE:ERIS</t>
  </si>
  <si>
    <t>NSE:EROSMEDIA</t>
  </si>
  <si>
    <t>NSE:ESABINDIA</t>
  </si>
  <si>
    <t>NSE:ESCORTS</t>
  </si>
  <si>
    <t>NSE:ESSARSHPNG</t>
  </si>
  <si>
    <t>NSE:ESTER</t>
  </si>
  <si>
    <t>NSE:EUROTEXIND</t>
  </si>
  <si>
    <t>NSE:EVEREADY</t>
  </si>
  <si>
    <t>NSE:EVERESTIND</t>
  </si>
  <si>
    <t>NSE:EXCEL</t>
  </si>
  <si>
    <t>NSE:EXCELINDUS</t>
  </si>
  <si>
    <t>NSE:EXIDEIND</t>
  </si>
  <si>
    <t>NSE:EXPLEOSOL</t>
  </si>
  <si>
    <t>NSE:FACT</t>
  </si>
  <si>
    <t>NSE:FAIRCHEMOR</t>
  </si>
  <si>
    <t>NSE:FCL</t>
  </si>
  <si>
    <t>NSE:FCONSUMER</t>
  </si>
  <si>
    <t>NSE:FCSSOFT</t>
  </si>
  <si>
    <t>NSE:FDC</t>
  </si>
  <si>
    <t>NSE:FEDERALBNK</t>
  </si>
  <si>
    <t>NSE:FEL</t>
  </si>
  <si>
    <t>NSE:FELDVR</t>
  </si>
  <si>
    <t>NSE:FIEMIND</t>
  </si>
  <si>
    <t>NSE:FILATEX</t>
  </si>
  <si>
    <t>NSE:FINCABLES</t>
  </si>
  <si>
    <t>NSE:FINEORG</t>
  </si>
  <si>
    <t>NSE:FINPIPE</t>
  </si>
  <si>
    <t>NSE:FLEXITUFF</t>
  </si>
  <si>
    <t>NSE:FLFL</t>
  </si>
  <si>
    <t>NSE:FLUOROCHEM</t>
  </si>
  <si>
    <t>NSE:GLOBE</t>
  </si>
  <si>
    <t>NSE:FMNL</t>
  </si>
  <si>
    <t>NSE:FORCEMOT</t>
  </si>
  <si>
    <t>NSE:FORTIS</t>
  </si>
  <si>
    <t>NSE:FOSECOIND</t>
  </si>
  <si>
    <t>NSE:FRETAIL</t>
  </si>
  <si>
    <t>NSE:FSC</t>
  </si>
  <si>
    <t>NSE:FSL</t>
  </si>
  <si>
    <t>NSE:GABRIEL</t>
  </si>
  <si>
    <t>NSE:GAEL</t>
  </si>
  <si>
    <t>NSE:INDORAMA</t>
  </si>
  <si>
    <t>NSE:GAL</t>
  </si>
  <si>
    <t>NSE:GALAXYSURF</t>
  </si>
  <si>
    <t>NSE:GALLANTT</t>
  </si>
  <si>
    <t>NSE:AJRINFRA</t>
  </si>
  <si>
    <t>NSE:GANDHITUBE</t>
  </si>
  <si>
    <t>NSE:GANECOS</t>
  </si>
  <si>
    <t>NSE:GANESHHOUC</t>
  </si>
  <si>
    <t>NSE:GANGESSECU</t>
  </si>
  <si>
    <t>NSE:GARFIBRES</t>
  </si>
  <si>
    <t>NSE:GATI</t>
  </si>
  <si>
    <t>NSE:GAYAHWS</t>
  </si>
  <si>
    <t>NSE:GAYAPROJ</t>
  </si>
  <si>
    <t>NSE:GATEWAY</t>
  </si>
  <si>
    <t>NSE:GEECEE</t>
  </si>
  <si>
    <t>NSE:GEEKAYWIRE</t>
  </si>
  <si>
    <t>BOM:539407</t>
  </si>
  <si>
    <t>NSE:GENESYS</t>
  </si>
  <si>
    <t>NSE:GENUSPAPER</t>
  </si>
  <si>
    <t>NSE:GENUSPOWER</t>
  </si>
  <si>
    <t>NSE:GEOJITFSL</t>
  </si>
  <si>
    <t>NSE:GEPIL</t>
  </si>
  <si>
    <t>NSE:GESHIP</t>
  </si>
  <si>
    <t>NSE:GET&amp;D</t>
  </si>
  <si>
    <t>NSE:GFLLIMITED</t>
  </si>
  <si>
    <t>NSE:GFSTEELS</t>
  </si>
  <si>
    <t>NSE:GHCL</t>
  </si>
  <si>
    <t>NSE:GICHSGFIN</t>
  </si>
  <si>
    <t>NSE:GICRE</t>
  </si>
  <si>
    <t>NSE:GILLANDERS</t>
  </si>
  <si>
    <t>NSE:GILLETTE</t>
  </si>
  <si>
    <t>NSE:GINNIFILA</t>
  </si>
  <si>
    <t>NSE:GIPCL</t>
  </si>
  <si>
    <t>NSE:GISOLUTION</t>
  </si>
  <si>
    <t>NSE:GKWLIMITED</t>
  </si>
  <si>
    <t>NSE:GLAND</t>
  </si>
  <si>
    <t>NSE:GLAXO</t>
  </si>
  <si>
    <t>NSE:GLENMARK</t>
  </si>
  <si>
    <t>NSE:GLFL</t>
  </si>
  <si>
    <t>NSE:GLOBAL</t>
  </si>
  <si>
    <t>NSE:GLOBALVECT</t>
  </si>
  <si>
    <t>NSE:INGERRAND</t>
  </si>
  <si>
    <t>NSE:GLOBUSSPR</t>
  </si>
  <si>
    <t>NSE:GMBREW</t>
  </si>
  <si>
    <t>NSE:GMDCLTD</t>
  </si>
  <si>
    <t>NSE:GMMPFAUDLR</t>
  </si>
  <si>
    <t>NSE:GMRINFRA</t>
  </si>
  <si>
    <t>NSE:GNA</t>
  </si>
  <si>
    <t>NSE:GNFC</t>
  </si>
  <si>
    <t>NSE:GOACARBON</t>
  </si>
  <si>
    <t>NSE:GOCLCORP</t>
  </si>
  <si>
    <t>NSE:GODFRYPHLP</t>
  </si>
  <si>
    <t>NSE:GODHA</t>
  </si>
  <si>
    <t>NSE:GODREJAGRO</t>
  </si>
  <si>
    <t>NSE:GODREJCP</t>
  </si>
  <si>
    <t>NSE:GODREJIND</t>
  </si>
  <si>
    <t>NSE:GODREJPROP</t>
  </si>
  <si>
    <t>NSE:GOENKA</t>
  </si>
  <si>
    <t>NSE:GOKEX</t>
  </si>
  <si>
    <t>NSE:GOKUL</t>
  </si>
  <si>
    <t>NSE:GOKULAGRO</t>
  </si>
  <si>
    <t>NSE:GOLDENTOBC</t>
  </si>
  <si>
    <t>NSE:GOLDIAM</t>
  </si>
  <si>
    <t>NSE:GOODLUCK</t>
  </si>
  <si>
    <t>NSE:GOODYEAR</t>
  </si>
  <si>
    <t>NSE:GPIL</t>
  </si>
  <si>
    <t>NSE:GPPL</t>
  </si>
  <si>
    <t>NSE:GPTINFRA</t>
  </si>
  <si>
    <t>NSE:GRANULES</t>
  </si>
  <si>
    <t>NSE:GRAPHITE</t>
  </si>
  <si>
    <t>NSE:GRASIM</t>
  </si>
  <si>
    <t>NSE:GRAVITA</t>
  </si>
  <si>
    <t>NSE:GREAVESCOT</t>
  </si>
  <si>
    <t>NSE:GREENLAM</t>
  </si>
  <si>
    <t>NSE:GREENPANEL</t>
  </si>
  <si>
    <t>NSE:GREENPLY</t>
  </si>
  <si>
    <t>NSE:GREENPOWER</t>
  </si>
  <si>
    <t>NSE:GRINDWELL</t>
  </si>
  <si>
    <t>NSE:GROBTEA</t>
  </si>
  <si>
    <t>NSE:GRPLTD</t>
  </si>
  <si>
    <t>NSE:GRSE</t>
  </si>
  <si>
    <t>NSE:GSCLCEMENT</t>
  </si>
  <si>
    <t>NSE:GSFC</t>
  </si>
  <si>
    <t>NSE:GSPL</t>
  </si>
  <si>
    <t>NSE:GSS</t>
  </si>
  <si>
    <t>NSE:GTL</t>
  </si>
  <si>
    <t>NSE:GTLINFRA</t>
  </si>
  <si>
    <t>BOM:532744</t>
  </si>
  <si>
    <t>NSE:GTPL</t>
  </si>
  <si>
    <t>NSE:GUFICBIO</t>
  </si>
  <si>
    <t>NSE:GUJALKALI</t>
  </si>
  <si>
    <t>NSE:GUJAPOLLO</t>
  </si>
  <si>
    <t>NSE:GUJGASLTD</t>
  </si>
  <si>
    <t>NSE:GUJRAFFIA</t>
  </si>
  <si>
    <t>NSE:GULFOILLUB</t>
  </si>
  <si>
    <t>NSE:GULFPETRO</t>
  </si>
  <si>
    <t>NSE:GULPOLY</t>
  </si>
  <si>
    <t>NSE:HAL</t>
  </si>
  <si>
    <t>NSE:HAPPSTMNDS</t>
  </si>
  <si>
    <t>NSE:HARRMALAYA</t>
  </si>
  <si>
    <t>NSE:HATHWAY</t>
  </si>
  <si>
    <t>NSE:HATSUN</t>
  </si>
  <si>
    <t>NSE:HAVELLS</t>
  </si>
  <si>
    <t>NSE:HAVISHA</t>
  </si>
  <si>
    <t>NSE:HBLPOWER</t>
  </si>
  <si>
    <t>NSE:HBSL</t>
  </si>
  <si>
    <t>NSE:HCC</t>
  </si>
  <si>
    <t>NSE:HCG</t>
  </si>
  <si>
    <t>NSE:HCL-INSYS</t>
  </si>
  <si>
    <t>NSE:HCLTECH</t>
  </si>
  <si>
    <t>NSE:HDFC</t>
  </si>
  <si>
    <t>NSE:HDFCAMC</t>
  </si>
  <si>
    <t>NSE:HDFCBANK</t>
  </si>
  <si>
    <t>NSE:HDFCLIFE</t>
  </si>
  <si>
    <t>NSE:HDIL</t>
  </si>
  <si>
    <t>NSE:HEG</t>
  </si>
  <si>
    <t>NSE:HEIDELBERG</t>
  </si>
  <si>
    <t>NSE:HEMIPROP</t>
  </si>
  <si>
    <t>NSE:HERCULES</t>
  </si>
  <si>
    <t>NSE:HERITGFOOD</t>
  </si>
  <si>
    <t>NSE:HEROMOTOCO</t>
  </si>
  <si>
    <t>NSE:HESTERBIO</t>
  </si>
  <si>
    <t>NSE:HEXATRADEX</t>
  </si>
  <si>
    <t>NSE:HFCL</t>
  </si>
  <si>
    <t>NSE:HGINFRA</t>
  </si>
  <si>
    <t>NSE:HGS</t>
  </si>
  <si>
    <t>NSE:HIKAL</t>
  </si>
  <si>
    <t>NSE:HIL</t>
  </si>
  <si>
    <t>NSE:HILTON</t>
  </si>
  <si>
    <t>NSE:HIMATSEIDE</t>
  </si>
  <si>
    <t>NSE:HINDALCO</t>
  </si>
  <si>
    <t>NSE:HINDCOMPOS</t>
  </si>
  <si>
    <t>NSE:HINDCOPPER</t>
  </si>
  <si>
    <t>NSE:HINDMOTORS</t>
  </si>
  <si>
    <t>NSE:HINDNATGLS</t>
  </si>
  <si>
    <t>NSE:HINDOILEXP</t>
  </si>
  <si>
    <t>NSE:HINDPETRO</t>
  </si>
  <si>
    <t>NSE:HINDUNILVR</t>
  </si>
  <si>
    <t>NSE:HINDZINC</t>
  </si>
  <si>
    <t>NSE:HIRECT</t>
  </si>
  <si>
    <t>NSE:HISARMETAL</t>
  </si>
  <si>
    <t>NSE:HITECH</t>
  </si>
  <si>
    <t>NSE:HITECHCORP</t>
  </si>
  <si>
    <t>NSE:HITECHGEAR</t>
  </si>
  <si>
    <t>NSE:HLVLTD</t>
  </si>
  <si>
    <t>NSE:HMT</t>
  </si>
  <si>
    <t>NSE:HMVL</t>
  </si>
  <si>
    <t>NSE:HNDFDS</t>
  </si>
  <si>
    <t>NSE:HONAUT</t>
  </si>
  <si>
    <t>NSE:HONDAPOWER</t>
  </si>
  <si>
    <t>NSE:UNIVAFOODS</t>
  </si>
  <si>
    <t>NSE:HOVS</t>
  </si>
  <si>
    <t>NSE:HPL</t>
  </si>
  <si>
    <t>NSE:HSCL</t>
  </si>
  <si>
    <t>NSE:AGI</t>
  </si>
  <si>
    <t>NSE:HTMEDIA</t>
  </si>
  <si>
    <t>NSE:HUBTOWN</t>
  </si>
  <si>
    <t>NSE:HUDCO</t>
  </si>
  <si>
    <t>NSE:HUHTAMAKI</t>
  </si>
  <si>
    <t>NSE:IBREALEST</t>
  </si>
  <si>
    <t>NSE:IBULHSGFIN</t>
  </si>
  <si>
    <t>NSE:ICEMAKE</t>
  </si>
  <si>
    <t>NSE:ICICIBANK</t>
  </si>
  <si>
    <t>NSE:ICICIGI</t>
  </si>
  <si>
    <t>NSE:ICICIPRULI</t>
  </si>
  <si>
    <t>NSE:ICIL</t>
  </si>
  <si>
    <t>NSE:ICRA</t>
  </si>
  <si>
    <t>NSE:IDBI</t>
  </si>
  <si>
    <t>NSE:IDEA</t>
  </si>
  <si>
    <t>NSE:IDFC</t>
  </si>
  <si>
    <t>NSE:IDFCFIRSTB</t>
  </si>
  <si>
    <t>NSE:IEX</t>
  </si>
  <si>
    <t>NSE:IFBAGRO</t>
  </si>
  <si>
    <t>NSE:IFBIND</t>
  </si>
  <si>
    <t>NSE:IFCI</t>
  </si>
  <si>
    <t>NSE:IFGLEXPOR</t>
  </si>
  <si>
    <t>NSE:IGARASHI</t>
  </si>
  <si>
    <t>NSE:IGL</t>
  </si>
  <si>
    <t>NSE:IGPL</t>
  </si>
  <si>
    <t>NSE:IIFL</t>
  </si>
  <si>
    <t>NSE:IIFLSEC</t>
  </si>
  <si>
    <t>NSE:360ONE</t>
  </si>
  <si>
    <t>NSE:IITL</t>
  </si>
  <si>
    <t>NSE:IL&amp;FSENGG</t>
  </si>
  <si>
    <t>NSE:IL&amp;FSTRANS</t>
  </si>
  <si>
    <t>NSE:IMAGICAA</t>
  </si>
  <si>
    <t>NSE:IMFA</t>
  </si>
  <si>
    <t>NSE:IMPAL</t>
  </si>
  <si>
    <t>NSE:IMPEXFERRO</t>
  </si>
  <si>
    <t>NSE:INDBANK</t>
  </si>
  <si>
    <t>NSE:INDHOTEL</t>
  </si>
  <si>
    <t>NSE:INDIACEM</t>
  </si>
  <si>
    <t>NSE:INDIAGLYCO</t>
  </si>
  <si>
    <t>NSE:INDIAMART</t>
  </si>
  <si>
    <t>NSE:INDIANB</t>
  </si>
  <si>
    <t>NSE:INDIANCARD</t>
  </si>
  <si>
    <t>NSE:INDIANHUME</t>
  </si>
  <si>
    <t>NSE:INDIGO</t>
  </si>
  <si>
    <t>NSE:INDLMETER</t>
  </si>
  <si>
    <t>NSE:INDNIPPON</t>
  </si>
  <si>
    <t>NSE:INDOCO</t>
  </si>
  <si>
    <t>NSE:INSECTICID</t>
  </si>
  <si>
    <t>NSE:INDOSTAR</t>
  </si>
  <si>
    <t>NSE:INDOTECH</t>
  </si>
  <si>
    <t>NSE:INDOTHAI</t>
  </si>
  <si>
    <t>NSE:INDOWIND</t>
  </si>
  <si>
    <t>NSE:INDRAMEDCO</t>
  </si>
  <si>
    <t>NSE:INDSWFTLAB</t>
  </si>
  <si>
    <t>NSE:INDTERRAIN</t>
  </si>
  <si>
    <t>NSE:INDUSINDBK</t>
  </si>
  <si>
    <t>NSE:INDUSTOWER</t>
  </si>
  <si>
    <t>NSE:STYRENIX</t>
  </si>
  <si>
    <t>NSE:INFIBEAM</t>
  </si>
  <si>
    <t>NSE:INFOBEAN</t>
  </si>
  <si>
    <t>NSE:INFOMEDIA</t>
  </si>
  <si>
    <t>NSE:INFY</t>
  </si>
  <si>
    <t>NSE:JETAIRWAYS</t>
  </si>
  <si>
    <t>BOM:532706</t>
  </si>
  <si>
    <t>NSE:INOXWIND</t>
  </si>
  <si>
    <t>BOM:522263</t>
  </si>
  <si>
    <t>NSE:INSPIRISYS</t>
  </si>
  <si>
    <t>NSE:ESSENTIA</t>
  </si>
  <si>
    <t>NSE:INTELLECT</t>
  </si>
  <si>
    <t>NSE:INTENTECH</t>
  </si>
  <si>
    <t>NSE:INVENTURE</t>
  </si>
  <si>
    <t>NSE:IOB</t>
  </si>
  <si>
    <t>NSE:IOC</t>
  </si>
  <si>
    <t>NSE:IOLCP</t>
  </si>
  <si>
    <t>NSE:IPCALAB</t>
  </si>
  <si>
    <t>NSE:IRB</t>
  </si>
  <si>
    <t>NSE:IRCON</t>
  </si>
  <si>
    <t>NSE:IRCTC</t>
  </si>
  <si>
    <t>NSE:IRISDOREME</t>
  </si>
  <si>
    <t>NSE:ISEC</t>
  </si>
  <si>
    <t>NSE:ISFT</t>
  </si>
  <si>
    <t>NSE:ISMTLTD</t>
  </si>
  <si>
    <t>NSE:ITC</t>
  </si>
  <si>
    <t>NSE:ITDC</t>
  </si>
  <si>
    <t>NSE:ITDCEM</t>
  </si>
  <si>
    <t>NSE:ITI</t>
  </si>
  <si>
    <t>NSE:IVC</t>
  </si>
  <si>
    <t>NSE:IVP</t>
  </si>
  <si>
    <t>NSE:IZMO</t>
  </si>
  <si>
    <t>NSE:J&amp;KBANK</t>
  </si>
  <si>
    <t>NSE:JAGRAN</t>
  </si>
  <si>
    <t>NSE:JAGSNPHARM</t>
  </si>
  <si>
    <t>NSE:JAIBALAJI</t>
  </si>
  <si>
    <t>NSE:JAICORPLTD</t>
  </si>
  <si>
    <t>NSE:JAMNAAUTO</t>
  </si>
  <si>
    <t>NSE:JASH</t>
  </si>
  <si>
    <t>NSE:JAYAGROGN</t>
  </si>
  <si>
    <t>NSE:JAYBARMARU</t>
  </si>
  <si>
    <t>NSE:JAYNECOIND</t>
  </si>
  <si>
    <t>NSE:JAYSREETEA</t>
  </si>
  <si>
    <t>NSE:JBCHEPHARM</t>
  </si>
  <si>
    <t>NSE:JBFIND</t>
  </si>
  <si>
    <t>NSE:JBMA</t>
  </si>
  <si>
    <t>NSE:JCHAC</t>
  </si>
  <si>
    <t>NSE:KAMATHOTEL</t>
  </si>
  <si>
    <t>NSE:JHS</t>
  </si>
  <si>
    <t>NSE:JIKIND</t>
  </si>
  <si>
    <t>NSE:JINDALPHOT</t>
  </si>
  <si>
    <t>NSE:JINDALPOLY</t>
  </si>
  <si>
    <t>NSE:JINDALSAW</t>
  </si>
  <si>
    <t>NSE:JINDALSTEL</t>
  </si>
  <si>
    <t>NSE:JINDRILL</t>
  </si>
  <si>
    <t>NSE:JINDWORLD</t>
  </si>
  <si>
    <t>NSE:JISLDVREQS</t>
  </si>
  <si>
    <t>NSE:JISLJALEQS</t>
  </si>
  <si>
    <t>NSE:JITFINFRA</t>
  </si>
  <si>
    <t>NSE:JKCEMENT</t>
  </si>
  <si>
    <t>NSE:JKIL</t>
  </si>
  <si>
    <t>NSE:JKLAKSHMI</t>
  </si>
  <si>
    <t>NSE:JKPAPER</t>
  </si>
  <si>
    <t>NSE:JKTYRE</t>
  </si>
  <si>
    <t>NSE:JMA</t>
  </si>
  <si>
    <t>NSE:KERNEX</t>
  </si>
  <si>
    <t>NSE:JMFINANCIL</t>
  </si>
  <si>
    <t>NSE:JOCIL</t>
  </si>
  <si>
    <t>NSE:JPASSOCIAT</t>
  </si>
  <si>
    <t>NSE:JPINFRATEC</t>
  </si>
  <si>
    <t>NSE:JPPOWER</t>
  </si>
  <si>
    <t>NSE:JSL</t>
  </si>
  <si>
    <t>NSE:JSLHISAR</t>
  </si>
  <si>
    <t>NSE:JSWENERGY</t>
  </si>
  <si>
    <t>NSE:JSWHL</t>
  </si>
  <si>
    <t>NSE:JSWISPL</t>
  </si>
  <si>
    <t>NSE:JSWSTEEL</t>
  </si>
  <si>
    <t>NSE:JTEKTINDIA</t>
  </si>
  <si>
    <t>NSE:JUBLFOOD</t>
  </si>
  <si>
    <t>NSE:JUBLINDS</t>
  </si>
  <si>
    <t>NSE:WINPRO</t>
  </si>
  <si>
    <t>NSE:JUSTDIAL</t>
  </si>
  <si>
    <t>NSE:JYOTHYLAB</t>
  </si>
  <si>
    <t>NSE:KABRAEXTRU</t>
  </si>
  <si>
    <t>NSE:KAJARIACER</t>
  </si>
  <si>
    <t>NSE:KAKATCEM</t>
  </si>
  <si>
    <t>NSE:KALPATPOWR</t>
  </si>
  <si>
    <t>NSE:KALYANIFRG</t>
  </si>
  <si>
    <t>NSE:KILITCH</t>
  </si>
  <si>
    <t>NSE:KAMDHENU</t>
  </si>
  <si>
    <t>NSE:KANANIIND</t>
  </si>
  <si>
    <t>NSE:KANORICHEM</t>
  </si>
  <si>
    <t>NSE:KANPRPLA</t>
  </si>
  <si>
    <t>NSE:KANSAINER</t>
  </si>
  <si>
    <t>NSE:KAPSTON</t>
  </si>
  <si>
    <t>NSE:KBCGLOBAL</t>
  </si>
  <si>
    <t>NSE:KARMAENG</t>
  </si>
  <si>
    <t>NSE:KARURVYSYA</t>
  </si>
  <si>
    <t>NSE:KAUSHALYA</t>
  </si>
  <si>
    <t>NSE:KAYA</t>
  </si>
  <si>
    <t>NSE:KCP</t>
  </si>
  <si>
    <t>NSE:KCPSUGIND</t>
  </si>
  <si>
    <t>NSE:KDDL</t>
  </si>
  <si>
    <t>NSE:KEC</t>
  </si>
  <si>
    <t>NSE:KECL</t>
  </si>
  <si>
    <t>NSE:KEERTI</t>
  </si>
  <si>
    <t>NSE:KEI</t>
  </si>
  <si>
    <t>NSE:KELLTONTEC</t>
  </si>
  <si>
    <t>NSE:KENNAMET</t>
  </si>
  <si>
    <t>NSE:KINGFA</t>
  </si>
  <si>
    <t>NSE:KESORAMIND</t>
  </si>
  <si>
    <t>NSE:KEYFINSERV</t>
  </si>
  <si>
    <t>NSE:KHADIM</t>
  </si>
  <si>
    <t>NSE:KHAICHEM</t>
  </si>
  <si>
    <t>NSE:KHANDSE</t>
  </si>
  <si>
    <t>NSE:KICL</t>
  </si>
  <si>
    <t>NSE:MANINDS</t>
  </si>
  <si>
    <t>NSE:MARINE</t>
  </si>
  <si>
    <t>NSE:KIOCL</t>
  </si>
  <si>
    <t>NSE:KIRIINDUS</t>
  </si>
  <si>
    <t>NSE:KIRLFER</t>
  </si>
  <si>
    <t>NSE:KIRLOSBROS</t>
  </si>
  <si>
    <t>NSE:KIRLOSENG</t>
  </si>
  <si>
    <t>NSE:KIRLOSIND</t>
  </si>
  <si>
    <t>NSE:KITEX</t>
  </si>
  <si>
    <t>NSE:KKCL</t>
  </si>
  <si>
    <t>NSE:KMSUGAR</t>
  </si>
  <si>
    <t>NSE:KNRCON</t>
  </si>
  <si>
    <t>NSE:KOKUYOCMLN</t>
  </si>
  <si>
    <t>NSE:KOLTEPATIL</t>
  </si>
  <si>
    <t>NSE:KOPRAN</t>
  </si>
  <si>
    <t>NSE:KOTAKBANK</t>
  </si>
  <si>
    <t>NSE:KOTARISUG</t>
  </si>
  <si>
    <t>NSE:KOTHARIPET</t>
  </si>
  <si>
    <t>NSE:KOTHARIPRO</t>
  </si>
  <si>
    <t>NSE:KPITTECH</t>
  </si>
  <si>
    <t>NSE:KPRMILL</t>
  </si>
  <si>
    <t>NSE:KRBL</t>
  </si>
  <si>
    <t>NSE:KREBSBIO</t>
  </si>
  <si>
    <t>NSE:KRIDHANINF</t>
  </si>
  <si>
    <t>NSE:KRISHANA</t>
  </si>
  <si>
    <t>NSE:KSB</t>
  </si>
  <si>
    <t>NSE:KSCL</t>
  </si>
  <si>
    <t>NSE:KSL</t>
  </si>
  <si>
    <t>NSE:KTKBANK</t>
  </si>
  <si>
    <t>NSE:KUANTUM</t>
  </si>
  <si>
    <t>NSE:L&amp;TFH</t>
  </si>
  <si>
    <t>NSE:LAKPRE</t>
  </si>
  <si>
    <t>NSE:LALPATHLAB</t>
  </si>
  <si>
    <t>NSE:LAMBODHARA</t>
  </si>
  <si>
    <t>NSE:LAOPALA</t>
  </si>
  <si>
    <t>NSE:LASA</t>
  </si>
  <si>
    <t>NSE:LAURUSLABS</t>
  </si>
  <si>
    <t>NSE:LAXMIMACH</t>
  </si>
  <si>
    <t>NSE:LEMONTREE</t>
  </si>
  <si>
    <t>NSE:LFIC</t>
  </si>
  <si>
    <t>NSE:LGBBROSLTD</t>
  </si>
  <si>
    <t>NSE:LGBFORGE</t>
  </si>
  <si>
    <t>NSE:LIBAS</t>
  </si>
  <si>
    <t>NSE:LIBERTSHOE</t>
  </si>
  <si>
    <t>NSE:LICHSGFIN</t>
  </si>
  <si>
    <t>NSE:LIKHITHA</t>
  </si>
  <si>
    <t>NSE:LINCOLN</t>
  </si>
  <si>
    <t>NSE:LINC</t>
  </si>
  <si>
    <t>NSE:LINDEINDIA</t>
  </si>
  <si>
    <t>NSE:LOKESHMACH</t>
  </si>
  <si>
    <t>NSE:LOTUSEYE</t>
  </si>
  <si>
    <t>NSE:LOVABLE</t>
  </si>
  <si>
    <t>NSE:LPDC</t>
  </si>
  <si>
    <t>NSE:LSIL</t>
  </si>
  <si>
    <t>NSE:LT</t>
  </si>
  <si>
    <t>NSE:LTIM</t>
  </si>
  <si>
    <t>NSE:LTTS</t>
  </si>
  <si>
    <t>NSE:LUMAXIND</t>
  </si>
  <si>
    <t>NSE:LUMAXTECH</t>
  </si>
  <si>
    <t>NSE:LUPIN</t>
  </si>
  <si>
    <t>NSE:LUXIND</t>
  </si>
  <si>
    <t>NSE:LYKALABS</t>
  </si>
  <si>
    <t>NSE:LYPSAGEMS</t>
  </si>
  <si>
    <t>NSE:M&amp;M</t>
  </si>
  <si>
    <t>NSE:M&amp;MFIN</t>
  </si>
  <si>
    <t>NSE:MAANALU</t>
  </si>
  <si>
    <t>NSE:MACPOWER</t>
  </si>
  <si>
    <t>NSE:MADHAV</t>
  </si>
  <si>
    <t>NSE:MADHUCON</t>
  </si>
  <si>
    <t>NSE:MADRASFERT</t>
  </si>
  <si>
    <t>NSE:MAGADSUGAR</t>
  </si>
  <si>
    <t>NSE:POONAWALLA</t>
  </si>
  <si>
    <t>NSE:MAGNUM</t>
  </si>
  <si>
    <t>NSE:MAHABANK</t>
  </si>
  <si>
    <t>NSE:MAHAPEXLTD</t>
  </si>
  <si>
    <t>NSE:MAHASTEEL</t>
  </si>
  <si>
    <t>NSE:MAHEPC</t>
  </si>
  <si>
    <t>NSE:MAHESHWARI</t>
  </si>
  <si>
    <t>NSE:MAHINDCIE</t>
  </si>
  <si>
    <t>NSE:MAHLIFE</t>
  </si>
  <si>
    <t>NSE:MAHLOG</t>
  </si>
  <si>
    <t>NSE:MAHSCOOTER</t>
  </si>
  <si>
    <t>NSE:MAHSEAMLES</t>
  </si>
  <si>
    <t>NSE:MAITHANALL</t>
  </si>
  <si>
    <t>NSE:AURUM</t>
  </si>
  <si>
    <t>NSE:MALUPAPER</t>
  </si>
  <si>
    <t>NSE:MANAKALUCO</t>
  </si>
  <si>
    <t>NSE:MANAKCOAT</t>
  </si>
  <si>
    <t>NSE:MANAKSIA</t>
  </si>
  <si>
    <t>NSE:MANAKSTEEL</t>
  </si>
  <si>
    <t>NSE:MANALIPETC</t>
  </si>
  <si>
    <t>NSE:MANAPPURAM</t>
  </si>
  <si>
    <t>NSE:MANGALAM</t>
  </si>
  <si>
    <t>NSE:MANGCHEFER</t>
  </si>
  <si>
    <t>NSE:MANGLMCEM</t>
  </si>
  <si>
    <t>NSE:MINDTECK</t>
  </si>
  <si>
    <t>NSE:MANINFRA</t>
  </si>
  <si>
    <t>NSE:MANUGRAPH</t>
  </si>
  <si>
    <t>NSE:MARALOVER</t>
  </si>
  <si>
    <t>NSE:MARATHON</t>
  </si>
  <si>
    <t>NSE:MARICO</t>
  </si>
  <si>
    <t>NSE:NATHBIOGEN</t>
  </si>
  <si>
    <t>NSE:MARKSANS</t>
  </si>
  <si>
    <t>NSE:MARUTI</t>
  </si>
  <si>
    <t>NSE:MASFIN</t>
  </si>
  <si>
    <t>NSE:MASKINVEST</t>
  </si>
  <si>
    <t>NSE:MASTEK</t>
  </si>
  <si>
    <t>NSE:MATRIMONY</t>
  </si>
  <si>
    <t>NSE:MAWANASUG</t>
  </si>
  <si>
    <t>NSE:MAXHEALTH</t>
  </si>
  <si>
    <t>NSE:MAXIND</t>
  </si>
  <si>
    <t>NSE:MAXVIL</t>
  </si>
  <si>
    <t>NSE:MAYURUNIQ</t>
  </si>
  <si>
    <t>NSE:MAZDA</t>
  </si>
  <si>
    <t>NSE:MAZDOCK</t>
  </si>
  <si>
    <t>NSE:MBAPL</t>
  </si>
  <si>
    <t>NSE:MBECL</t>
  </si>
  <si>
    <t>NSE:MBLINFRA</t>
  </si>
  <si>
    <t>NSE:MCDOWELL-N</t>
  </si>
  <si>
    <t>NSE:MCL</t>
  </si>
  <si>
    <t>NSE:MCLEODRUSS</t>
  </si>
  <si>
    <t>NSE:MCX</t>
  </si>
  <si>
    <t>NSE:MEGASOFT</t>
  </si>
  <si>
    <t>NSE:MELSTAR</t>
  </si>
  <si>
    <t>NSE:MENONBE</t>
  </si>
  <si>
    <t>NSE:MEP</t>
  </si>
  <si>
    <t>NSE:MERCATOR</t>
  </si>
  <si>
    <t>NSE:METALFORGE</t>
  </si>
  <si>
    <t>NSE:METROPOLIS</t>
  </si>
  <si>
    <t>NSE:MFSL</t>
  </si>
  <si>
    <t>NSE:MGEL</t>
  </si>
  <si>
    <t>NSE:MGL</t>
  </si>
  <si>
    <t>NSE:MHRIL</t>
  </si>
  <si>
    <t>NSE:MICEL</t>
  </si>
  <si>
    <t>NSE:MIDHANI</t>
  </si>
  <si>
    <t>NSE:MINDACORP</t>
  </si>
  <si>
    <t>NSE:UNOMINDA</t>
  </si>
  <si>
    <t>NSE:NAUKRI</t>
  </si>
  <si>
    <t>NSE:MIRCELECTR</t>
  </si>
  <si>
    <t>NSE:MIRZAINT</t>
  </si>
  <si>
    <t>NSE:MITTAL</t>
  </si>
  <si>
    <t>NSE:MMFL</t>
  </si>
  <si>
    <t>NSE:MMP</t>
  </si>
  <si>
    <t>NSE:MMTC</t>
  </si>
  <si>
    <t>NSE:MODIRUBBER</t>
  </si>
  <si>
    <t>NSE:MOHITIND</t>
  </si>
  <si>
    <t>NSE:MOHOTAIND</t>
  </si>
  <si>
    <t>NSE:MOIL</t>
  </si>
  <si>
    <t>NSE:MOLDTECH</t>
  </si>
  <si>
    <t>NSE:MOLDTKPAC</t>
  </si>
  <si>
    <t>NSE:MONTECARLO</t>
  </si>
  <si>
    <t>NSE:MORARJEE</t>
  </si>
  <si>
    <t>NSE:MOREPENLAB</t>
  </si>
  <si>
    <t>NSE:MOTHERSON</t>
  </si>
  <si>
    <t>NSE:MOTILALOFS</t>
  </si>
  <si>
    <t>NSE:MOTOGENFIN</t>
  </si>
  <si>
    <t>NSE:MPHASIS</t>
  </si>
  <si>
    <t>NSE:MPSLTD</t>
  </si>
  <si>
    <t>NSE:MRF</t>
  </si>
  <si>
    <t>NSE:MRO-TEK</t>
  </si>
  <si>
    <t>NSE:MRPL</t>
  </si>
  <si>
    <t>NSE:MSPL</t>
  </si>
  <si>
    <t>NSE:MSTCLTD</t>
  </si>
  <si>
    <t>NSE:MTEDUCARE</t>
  </si>
  <si>
    <t>NSE:MTNL</t>
  </si>
  <si>
    <t>NSE:MUKANDLTD</t>
  </si>
  <si>
    <t>NSE:MUKTAARTS</t>
  </si>
  <si>
    <t>NSE:MUNJALAU</t>
  </si>
  <si>
    <t>NSE:MUNJALSHOW</t>
  </si>
  <si>
    <t>NSE:MURUDCERA</t>
  </si>
  <si>
    <t>NSE:MUTHOOTCAP</t>
  </si>
  <si>
    <t>NSE:MUTHOOTFIN</t>
  </si>
  <si>
    <t>NSE:NACLIND</t>
  </si>
  <si>
    <t>NSE:NAGAFERT</t>
  </si>
  <si>
    <t>NSE:NAGREEKCAP</t>
  </si>
  <si>
    <t>NSE:NAGREEKEXP</t>
  </si>
  <si>
    <t>NSE:NAHARCAP</t>
  </si>
  <si>
    <t>NSE:NAHARINDUS</t>
  </si>
  <si>
    <t>NSE:NAHARPOLY</t>
  </si>
  <si>
    <t>NSE:NAHARSPING</t>
  </si>
  <si>
    <t>NSE:NAM-INDIA</t>
  </si>
  <si>
    <t>NSE:NATCOPHARM</t>
  </si>
  <si>
    <t>NSE:NBCC</t>
  </si>
  <si>
    <t>NSE:NATIONALUM</t>
  </si>
  <si>
    <t>NSE:NATNLSTEEL</t>
  </si>
  <si>
    <t>BOM:532391</t>
  </si>
  <si>
    <t>NSE:NAVINFLUOR</t>
  </si>
  <si>
    <t>NSE:NAVKARCORP</t>
  </si>
  <si>
    <t>NSE:NAVNETEDUL</t>
  </si>
  <si>
    <t>NSE:RSSOFTWARE</t>
  </si>
  <si>
    <t>NSE:NBIFIN</t>
  </si>
  <si>
    <t>NSE:NAVA</t>
  </si>
  <si>
    <t>NSE:NCC</t>
  </si>
  <si>
    <t>NSE:NCLIND</t>
  </si>
  <si>
    <t>NSE:NDGL</t>
  </si>
  <si>
    <t>NSE:NDL</t>
  </si>
  <si>
    <t>NSE:NDRAUTO</t>
  </si>
  <si>
    <t>NSE:NDTV</t>
  </si>
  <si>
    <t>NSE:NECCLTD</t>
  </si>
  <si>
    <t>NSE:NECLIFE</t>
  </si>
  <si>
    <t>NSE:NELCAST</t>
  </si>
  <si>
    <t>NSE:NELCO</t>
  </si>
  <si>
    <t>NSE:NEOGEN</t>
  </si>
  <si>
    <t>NSE:NESCO</t>
  </si>
  <si>
    <t>NSE:NESTLEIND</t>
  </si>
  <si>
    <t>NSE:NETWORK18</t>
  </si>
  <si>
    <t>NSE:NEULANDLAB</t>
  </si>
  <si>
    <t>NSE:NEWGEN</t>
  </si>
  <si>
    <t>NSE:NEXTMEDIA</t>
  </si>
  <si>
    <t>NSE:NFL</t>
  </si>
  <si>
    <t>NSE:NH</t>
  </si>
  <si>
    <t>NSE:NHPC</t>
  </si>
  <si>
    <t>NSE:NIACL</t>
  </si>
  <si>
    <t>NSE:NIBL</t>
  </si>
  <si>
    <t>NSE:NIITLTD</t>
  </si>
  <si>
    <t>NSE:NILAINFRA</t>
  </si>
  <si>
    <t>NSE:NILASPACES</t>
  </si>
  <si>
    <t>NSE:NILKAMAL</t>
  </si>
  <si>
    <t>NSE:NIPPOBATRY</t>
  </si>
  <si>
    <t>NSE:NIRAJ</t>
  </si>
  <si>
    <t>NSE:NITCO</t>
  </si>
  <si>
    <t>NSE:NITINSPIN</t>
  </si>
  <si>
    <t>NSE:NKIND</t>
  </si>
  <si>
    <t>NSE:NLCINDIA</t>
  </si>
  <si>
    <t>NSE:NMDC</t>
  </si>
  <si>
    <t>NSE:NOCIL</t>
  </si>
  <si>
    <t>NSE:NOIDATOLL</t>
  </si>
  <si>
    <t>NSE:NORBTEAEXP</t>
  </si>
  <si>
    <t>NSE:NOVARTIND</t>
  </si>
  <si>
    <t>NSE:NRAIL</t>
  </si>
  <si>
    <t>NSE:NRBBEARING</t>
  </si>
  <si>
    <t>NSE:NSIL</t>
  </si>
  <si>
    <t>NSE:NTPC</t>
  </si>
  <si>
    <t>NSE:NUCLEUS</t>
  </si>
  <si>
    <t>NSE:NXTDIGITAL</t>
  </si>
  <si>
    <t>NSE:OAL</t>
  </si>
  <si>
    <t>NSE:OBEROIRLTY</t>
  </si>
  <si>
    <t>NSE:OCCL</t>
  </si>
  <si>
    <t>NSE:OFSS</t>
  </si>
  <si>
    <t>NSE:OIL</t>
  </si>
  <si>
    <t>NSE:OILCOUNTUB</t>
  </si>
  <si>
    <t>NSE:OLECTRA</t>
  </si>
  <si>
    <t>NSE:OMAXAUTO</t>
  </si>
  <si>
    <t>NSE:OMAXE</t>
  </si>
  <si>
    <t>NSE:OMKARCHEM</t>
  </si>
  <si>
    <t>NSE:ONELIFECAP</t>
  </si>
  <si>
    <t>NSE:ONEPOINT</t>
  </si>
  <si>
    <t>NSE:ONGC</t>
  </si>
  <si>
    <t>NSE:ONMOBILE</t>
  </si>
  <si>
    <t>NSE:ONWARDTEC</t>
  </si>
  <si>
    <t>NSE:OPTIEMUS</t>
  </si>
  <si>
    <t>NSE:SAFARI</t>
  </si>
  <si>
    <t>NSE:ORBTEXP</t>
  </si>
  <si>
    <t>NSE:ORCHPHARMA</t>
  </si>
  <si>
    <t>NSE:ORICONENT</t>
  </si>
  <si>
    <t>NSE:ORIENTABRA</t>
  </si>
  <si>
    <t>NSE:ORIENTALTL</t>
  </si>
  <si>
    <t>NSE:ORIENTBELL</t>
  </si>
  <si>
    <t>NSE:ORIENTCEM</t>
  </si>
  <si>
    <t>NSE:ORIENTELEC</t>
  </si>
  <si>
    <t>NSE:ORIENTHOT</t>
  </si>
  <si>
    <t>NSE:ORIENTLTD</t>
  </si>
  <si>
    <t>NSE:ORIENTPPR</t>
  </si>
  <si>
    <t>NSE:RHIM</t>
  </si>
  <si>
    <t>NSE:ORISSAMINE</t>
  </si>
  <si>
    <t>NSE:ORTEL</t>
  </si>
  <si>
    <t>NSE:OSWALAGRO</t>
  </si>
  <si>
    <t>NSE:PAGEIND</t>
  </si>
  <si>
    <t>NSE:PAISALO</t>
  </si>
  <si>
    <t>NSE:PALASHSECU</t>
  </si>
  <si>
    <t>NSE:PALREDTEC</t>
  </si>
  <si>
    <t>NSE:PANACEABIO</t>
  </si>
  <si>
    <t>NSE:PANACHE</t>
  </si>
  <si>
    <t>NSE:PANAMAPET</t>
  </si>
  <si>
    <t>NSE:PARACABLES</t>
  </si>
  <si>
    <t>NSE:PARAGMILK</t>
  </si>
  <si>
    <t>NSE:PARSVNATH</t>
  </si>
  <si>
    <t>NSE:PATELENG</t>
  </si>
  <si>
    <t>NSE:PATINTLOG</t>
  </si>
  <si>
    <t>NSE:PCJEWELLER</t>
  </si>
  <si>
    <t>NSE:PDMJEPAPER</t>
  </si>
  <si>
    <t>NSE:PDSL</t>
  </si>
  <si>
    <t>NSE:PEARLPOLY</t>
  </si>
  <si>
    <t>NSE:PEL</t>
  </si>
  <si>
    <t>NSE:PENIND</t>
  </si>
  <si>
    <t>NSE:PENINLAND</t>
  </si>
  <si>
    <t>NSE:PERSISTENT</t>
  </si>
  <si>
    <t>NSE:PETRONET</t>
  </si>
  <si>
    <t>NSE:PFC</t>
  </si>
  <si>
    <t>NSE:PFIZER</t>
  </si>
  <si>
    <t>NSE:PFOCUS</t>
  </si>
  <si>
    <t>NSE:PFS</t>
  </si>
  <si>
    <t>NSE:PGEL</t>
  </si>
  <si>
    <t>NSE:PGHH</t>
  </si>
  <si>
    <t>NSE:PGHL</t>
  </si>
  <si>
    <t>NSE:PGIL</t>
  </si>
  <si>
    <t>NSE:PCBL</t>
  </si>
  <si>
    <t>NSE:PHOENIXLTD</t>
  </si>
  <si>
    <t>NSE:PIDILITIND</t>
  </si>
  <si>
    <t>NSE:PIIND</t>
  </si>
  <si>
    <t>NSE:PILANIINVS</t>
  </si>
  <si>
    <t>NSE:PILITA</t>
  </si>
  <si>
    <t>NSE:PIONEEREMB</t>
  </si>
  <si>
    <t>NSE:PITTIENG</t>
  </si>
  <si>
    <t>NSE:PKTEA</t>
  </si>
  <si>
    <t>NSE:PLASTIBLEN</t>
  </si>
  <si>
    <t>NSE:PNB</t>
  </si>
  <si>
    <t>NSE:PNBGILTS</t>
  </si>
  <si>
    <t>NSE:PNBHOUSING</t>
  </si>
  <si>
    <t>NSE:PNC</t>
  </si>
  <si>
    <t>NSE:PNCINFRA</t>
  </si>
  <si>
    <t>NSE:PODDARHOUS</t>
  </si>
  <si>
    <t>NSE:PODDARMENT</t>
  </si>
  <si>
    <t>NSE:POKARNA</t>
  </si>
  <si>
    <t>NSE:POLYCAB</t>
  </si>
  <si>
    <t>NSE:POLYMED</t>
  </si>
  <si>
    <t>NSE:POLYPLEX</t>
  </si>
  <si>
    <t>NSE:PONNIERODE</t>
  </si>
  <si>
    <t>NSE:POWERGRID</t>
  </si>
  <si>
    <t>NSE:POWERINDIA</t>
  </si>
  <si>
    <t>NSE:POWERMECH</t>
  </si>
  <si>
    <t>NSE:PPAP</t>
  </si>
  <si>
    <t>NSE:PPL</t>
  </si>
  <si>
    <t>NSE:PRAENG</t>
  </si>
  <si>
    <t>NSE:PRAJIND</t>
  </si>
  <si>
    <t>NSE:PRAKASH</t>
  </si>
  <si>
    <t>NSE:PRAKASHSTL</t>
  </si>
  <si>
    <t>NSE:PRAXIS</t>
  </si>
  <si>
    <t>NSE:PRECAM</t>
  </si>
  <si>
    <t>NSE:PRECOT</t>
  </si>
  <si>
    <t>NSE:PRECWIRE</t>
  </si>
  <si>
    <t>NSE:PREMEXPLN</t>
  </si>
  <si>
    <t>NSE:PREMIER</t>
  </si>
  <si>
    <t>NSE:PREMIERPOL</t>
  </si>
  <si>
    <t>NSE:PRESSMN</t>
  </si>
  <si>
    <t>NSE:PRESTIGE</t>
  </si>
  <si>
    <t>NSE:PRICOLLTD</t>
  </si>
  <si>
    <t>NSE:PRIMESECU</t>
  </si>
  <si>
    <t>NSE:PRINCEPIPE</t>
  </si>
  <si>
    <t>NSE:PRIVISCL</t>
  </si>
  <si>
    <t>NSE:PROZONINTU</t>
  </si>
  <si>
    <t>NSE:PRSMJOHNSN</t>
  </si>
  <si>
    <t>NSE:PSB</t>
  </si>
  <si>
    <t>NSE:PSPPROJECT</t>
  </si>
  <si>
    <t>NSE:PTC</t>
  </si>
  <si>
    <t>NSE:PTL</t>
  </si>
  <si>
    <t>NSE:PUNJABCHEM</t>
  </si>
  <si>
    <t>NSE:PURVA</t>
  </si>
  <si>
    <t>NSE:PVR</t>
  </si>
  <si>
    <t>NSE:QUESS</t>
  </si>
  <si>
    <t>NSE:QUICKHEAL</t>
  </si>
  <si>
    <t>NSE:RADAAN</t>
  </si>
  <si>
    <t>NSE:RADICO</t>
  </si>
  <si>
    <t>NSE:RADIOCITY</t>
  </si>
  <si>
    <t>NSE:RAIN</t>
  </si>
  <si>
    <t>NSE:RAJESHEXPO</t>
  </si>
  <si>
    <t>NSE:RAJMET</t>
  </si>
  <si>
    <t>NSE:RAJRATAN</t>
  </si>
  <si>
    <t>NSE:RAJSREESUG</t>
  </si>
  <si>
    <t>NSE:RAJTV</t>
  </si>
  <si>
    <t>NSE:RALLIS</t>
  </si>
  <si>
    <t>NSE:RAMANEWS</t>
  </si>
  <si>
    <t>NSE:RAMASTEEL</t>
  </si>
  <si>
    <t>NSE:RAMCOCEM</t>
  </si>
  <si>
    <t>NSE:RAMCOIND</t>
  </si>
  <si>
    <t>NSE:RAMCOSYS</t>
  </si>
  <si>
    <t>NSE:RAMKY</t>
  </si>
  <si>
    <t>NSE:RANASUG</t>
  </si>
  <si>
    <t>NSE:RANEENGINE</t>
  </si>
  <si>
    <t>NSE:RANEHOLDIN</t>
  </si>
  <si>
    <t>NSE:RATNAMANI</t>
  </si>
  <si>
    <t>NSE:RAYMOND</t>
  </si>
  <si>
    <t>NSE:RBL</t>
  </si>
  <si>
    <t>NSE:RBLBANK</t>
  </si>
  <si>
    <t>NSE:RCF</t>
  </si>
  <si>
    <t>NSE:RCOM</t>
  </si>
  <si>
    <t>NSE:RECLTD</t>
  </si>
  <si>
    <t>NSE:REDINGTON</t>
  </si>
  <si>
    <t>NSE:REFEX</t>
  </si>
  <si>
    <t>NSE:RELAXO</t>
  </si>
  <si>
    <t>NSE:RELCAPITAL</t>
  </si>
  <si>
    <t>NSE:RELIANCE</t>
  </si>
  <si>
    <t>NSE:RELIGARE</t>
  </si>
  <si>
    <t>NSE:RELINFRA</t>
  </si>
  <si>
    <t>NSE:REMSONSIND</t>
  </si>
  <si>
    <t>NSE:RENUKA</t>
  </si>
  <si>
    <t>NSE:REPCOHOME</t>
  </si>
  <si>
    <t>NSE:REPL</t>
  </si>
  <si>
    <t>NSE:REPRO</t>
  </si>
  <si>
    <t>NSE:RESPONIND</t>
  </si>
  <si>
    <t>NSE:REVATHI</t>
  </si>
  <si>
    <t>NSE:RGL</t>
  </si>
  <si>
    <t>NSE:RHFL</t>
  </si>
  <si>
    <t>NSE:RICOAUTO</t>
  </si>
  <si>
    <t>NSE:RIIL</t>
  </si>
  <si>
    <t>NSE:RITES</t>
  </si>
  <si>
    <t>NSE:RKDL</t>
  </si>
  <si>
    <t>NSE:RKEC</t>
  </si>
  <si>
    <t>NSE:RKFORGE</t>
  </si>
  <si>
    <t>NSE:RMCL</t>
  </si>
  <si>
    <t>NSE:RML</t>
  </si>
  <si>
    <t>NSE:RNAVAL</t>
  </si>
  <si>
    <t>NSE:ROHLTD</t>
  </si>
  <si>
    <t>NSE:ROLLT</t>
  </si>
  <si>
    <t>NSE:ROLTA</t>
  </si>
  <si>
    <t>NSE:ROML</t>
  </si>
  <si>
    <t>NSE:ROSSARI</t>
  </si>
  <si>
    <t>NSE:ROSSELLIND</t>
  </si>
  <si>
    <t>NSE:ROUTE</t>
  </si>
  <si>
    <t>NSE:RPGLIFE</t>
  </si>
  <si>
    <t>NSE:RPOWER</t>
  </si>
  <si>
    <t>NSE:RPPINFRA</t>
  </si>
  <si>
    <t>NSE:SANGAMIND</t>
  </si>
  <si>
    <t>NSE:RSWM</t>
  </si>
  <si>
    <t>NSE:RSYSTEMS</t>
  </si>
  <si>
    <t>NSE:RTNINDIA</t>
  </si>
  <si>
    <t>NSE:RTNPOWER</t>
  </si>
  <si>
    <t>NSE:RUBYMILLS</t>
  </si>
  <si>
    <t>NSE:PATANJALI</t>
  </si>
  <si>
    <t>NSE:RUCHINFRA</t>
  </si>
  <si>
    <t>NSE:RUCHIRA</t>
  </si>
  <si>
    <t>NSE:RUPA</t>
  </si>
  <si>
    <t>NSE:RUSHIL</t>
  </si>
  <si>
    <t>NSE:RVHL</t>
  </si>
  <si>
    <t>NSE:RVNL</t>
  </si>
  <si>
    <t>NSE:S&amp;SPOWER</t>
  </si>
  <si>
    <t>NSE:SABEVENTS</t>
  </si>
  <si>
    <t>NSE:SABTN</t>
  </si>
  <si>
    <t>NSE:SADBHAV</t>
  </si>
  <si>
    <t>NSE:SADBHIN</t>
  </si>
  <si>
    <t>NSE:SHAKTIPUMP</t>
  </si>
  <si>
    <t>NSE:SAGARDEEP</t>
  </si>
  <si>
    <t>NSE:SAGCEM</t>
  </si>
  <si>
    <t>NSE:SAIL</t>
  </si>
  <si>
    <t>NSE:SAKAR</t>
  </si>
  <si>
    <t>NSE:SAKHTISUG</t>
  </si>
  <si>
    <t>NSE:SAKSOFT</t>
  </si>
  <si>
    <t>NSE:SAKUMA</t>
  </si>
  <si>
    <t>NSE:SALASAR</t>
  </si>
  <si>
    <t>NSE:SALONA</t>
  </si>
  <si>
    <t>NSE:SALSTEEL</t>
  </si>
  <si>
    <t>NSE:SALZERELEC</t>
  </si>
  <si>
    <t>NSE:SAMBHAAV</t>
  </si>
  <si>
    <t>NSE:SANCO</t>
  </si>
  <si>
    <t>NSE:SANDESH</t>
  </si>
  <si>
    <t>NSE:SANDHAR</t>
  </si>
  <si>
    <t>NSE:TAINWALCHM</t>
  </si>
  <si>
    <t>NSE:SANGHIIND</t>
  </si>
  <si>
    <t>NSE:SANGHVIMOV</t>
  </si>
  <si>
    <t>NSE:SANGINITA</t>
  </si>
  <si>
    <t>NSE:SANOFI</t>
  </si>
  <si>
    <t>NSE:SANWARIA</t>
  </si>
  <si>
    <t>NSE:SARDAEN</t>
  </si>
  <si>
    <t>NSE:SAREGAMA</t>
  </si>
  <si>
    <t>NSE:SARLAPOLY</t>
  </si>
  <si>
    <t>NSE:SASKEN</t>
  </si>
  <si>
    <t>NSE:SASTASUNDR</t>
  </si>
  <si>
    <t>NSE:SATIA</t>
  </si>
  <si>
    <t>NSE:SATIN</t>
  </si>
  <si>
    <t>NSE:SBICARD</t>
  </si>
  <si>
    <t>NSE:SBILIFE</t>
  </si>
  <si>
    <t>NSE:SBIN</t>
  </si>
  <si>
    <t>NSE:SCAPDVR</t>
  </si>
  <si>
    <t>NSE:SCHAEFFLER</t>
  </si>
  <si>
    <t>NSE:SCHAND</t>
  </si>
  <si>
    <t>NSE:SCHNEIDER</t>
  </si>
  <si>
    <t>NSE:SCI</t>
  </si>
  <si>
    <t>NSE:SDBL</t>
  </si>
  <si>
    <t>NSE:SEAMECLTD</t>
  </si>
  <si>
    <t>NSE:SELAN</t>
  </si>
  <si>
    <t>NSE:SELMC</t>
  </si>
  <si>
    <t>NSE:SEPOWER</t>
  </si>
  <si>
    <t>NSE:SEQUENT</t>
  </si>
  <si>
    <t>NSE:SESHAPAPER</t>
  </si>
  <si>
    <t>NSE:SETCO</t>
  </si>
  <si>
    <t>NSE:SETUINFRA</t>
  </si>
  <si>
    <t>NSE:SEYAIND</t>
  </si>
  <si>
    <t>NSE:SEJALLTD</t>
  </si>
  <si>
    <t>NSE:SFL</t>
  </si>
  <si>
    <t>NSE:SGL</t>
  </si>
  <si>
    <t>NSE:SHAHALLOYS</t>
  </si>
  <si>
    <t>NSE:THOMASCOOK</t>
  </si>
  <si>
    <t>NSE:SHALBY</t>
  </si>
  <si>
    <t>NSE:SHALPAINTS</t>
  </si>
  <si>
    <t>NSE:SHANKARA</t>
  </si>
  <si>
    <t>NSE:SHANTIGEAR</t>
  </si>
  <si>
    <t>NSE:SHARDACROP</t>
  </si>
  <si>
    <t>NSE:SHARDAMOTR</t>
  </si>
  <si>
    <t>NSE:SHAREINDIA</t>
  </si>
  <si>
    <t>NSE:SHEMAROO</t>
  </si>
  <si>
    <t>NSE:HINDWAREAP</t>
  </si>
  <si>
    <t>NSE:SHILPAMED</t>
  </si>
  <si>
    <t>NSE:SHIVAMAUTO</t>
  </si>
  <si>
    <t>NSE:SHIVAMILLS</t>
  </si>
  <si>
    <t>NSE:SHIVATEX</t>
  </si>
  <si>
    <t>NSE:SHK</t>
  </si>
  <si>
    <t>NSE:SHOPERSTOP</t>
  </si>
  <si>
    <t>NSE:SHRADHA</t>
  </si>
  <si>
    <t>NSE:SHREDIGCEM</t>
  </si>
  <si>
    <t>NSE:SHREECEM</t>
  </si>
  <si>
    <t>NSE:SHREEPUSHK</t>
  </si>
  <si>
    <t>NSE:SHREERAMA</t>
  </si>
  <si>
    <t>NSE:SHRENIK</t>
  </si>
  <si>
    <t>NSE:SHREYANIND</t>
  </si>
  <si>
    <t>NSE:SHREYAS</t>
  </si>
  <si>
    <t>NSE:SHRIPISTON</t>
  </si>
  <si>
    <t>NSE:SEPC</t>
  </si>
  <si>
    <t>NSE:SHYAMCENT</t>
  </si>
  <si>
    <t>NSE:SIEMENS</t>
  </si>
  <si>
    <t>NSE:SIGIND</t>
  </si>
  <si>
    <t>NSE:SIL</t>
  </si>
  <si>
    <t>NSE:SILGO</t>
  </si>
  <si>
    <t>NSE:SILINV</t>
  </si>
  <si>
    <t>NSE:SILLYMONKS</t>
  </si>
  <si>
    <t>NSE:SIMBHALS</t>
  </si>
  <si>
    <t>NSE:SIMPLEXINF</t>
  </si>
  <si>
    <t>NSE:SINTERCOM</t>
  </si>
  <si>
    <t>NSE:SIRCA</t>
  </si>
  <si>
    <t>NSE:SIS</t>
  </si>
  <si>
    <t>NSE:SITINET</t>
  </si>
  <si>
    <t>NSE:SIYSIL</t>
  </si>
  <si>
    <t>NSE:SJVN</t>
  </si>
  <si>
    <t>NSE:SKFINDIA</t>
  </si>
  <si>
    <t>NSE:SKIL</t>
  </si>
  <si>
    <t>NSE:SKIPPER</t>
  </si>
  <si>
    <t>NSE:SKMEGGPROD</t>
  </si>
  <si>
    <t>NSE:SMARTLINK</t>
  </si>
  <si>
    <t>NSE:SMLISUZU</t>
  </si>
  <si>
    <t>NSE:SMSLIFE</t>
  </si>
  <si>
    <t>NSE:SMSPHARMA</t>
  </si>
  <si>
    <t>NSE:SNOWMAN</t>
  </si>
  <si>
    <t>NSE:SOBHA</t>
  </si>
  <si>
    <t>NSE:SOLARA</t>
  </si>
  <si>
    <t>NSE:SOLARINDS</t>
  </si>
  <si>
    <t>NSE:SOMANYCERA</t>
  </si>
  <si>
    <t>NSE:SOMATEX</t>
  </si>
  <si>
    <t>NSE:SOMICONVEY</t>
  </si>
  <si>
    <t>NSE:SONATSOFTW</t>
  </si>
  <si>
    <t>NSE:SOTL</t>
  </si>
  <si>
    <t>NSE:SOUTHBANK</t>
  </si>
  <si>
    <t>NSE:SOUTHWEST</t>
  </si>
  <si>
    <t>NSE:SPAL</t>
  </si>
  <si>
    <t>NSE:SPANDANA</t>
  </si>
  <si>
    <t>NSE:SPARC</t>
  </si>
  <si>
    <t>NSE:SPECIALITY</t>
  </si>
  <si>
    <t>NSE:SPENCERS</t>
  </si>
  <si>
    <t>NSE:SPENTEX</t>
  </si>
  <si>
    <t>NSE:SPIC</t>
  </si>
  <si>
    <t>NSE:SPICEJET</t>
  </si>
  <si>
    <t>NSE:SPLIL</t>
  </si>
  <si>
    <t>NSE:SPMLINFRA</t>
  </si>
  <si>
    <t>NSE:SPTL</t>
  </si>
  <si>
    <t>NSE:SPYL</t>
  </si>
  <si>
    <t>NSE:SREEL</t>
  </si>
  <si>
    <t>NSE:SREINFRA</t>
  </si>
  <si>
    <t>NSE:SRF</t>
  </si>
  <si>
    <t>NSE:SRHHYPOLTD</t>
  </si>
  <si>
    <t>NSE:SRPL</t>
  </si>
  <si>
    <t>NSE:SHRIRAMFIN</t>
  </si>
  <si>
    <t>NSE:SSWL</t>
  </si>
  <si>
    <t>NSE:STAR</t>
  </si>
  <si>
    <t>NSE:STARCEMENT</t>
  </si>
  <si>
    <t>NSE:STARPAPER</t>
  </si>
  <si>
    <t>NSE:STCINDIA</t>
  </si>
  <si>
    <t>NSE:STEELCITY</t>
  </si>
  <si>
    <t>NSE:STEELXIND</t>
  </si>
  <si>
    <t>NSE:STEL</t>
  </si>
  <si>
    <t>NSE:STERTOOLS</t>
  </si>
  <si>
    <t>NSE:STLTECH</t>
  </si>
  <si>
    <t>NSE:SUBEXLTD</t>
  </si>
  <si>
    <t>NSE:SUBROS</t>
  </si>
  <si>
    <t>NSE:SUDARSCHEM</t>
  </si>
  <si>
    <t>NSE:SUMICHEM</t>
  </si>
  <si>
    <t>NSE:SUMIT</t>
  </si>
  <si>
    <t>NSE:SUMMITSEC</t>
  </si>
  <si>
    <t>NSE:SUNCLAYLTD</t>
  </si>
  <si>
    <t>NSE:SUNDARAM</t>
  </si>
  <si>
    <t>NSE:SUNDARMFIN</t>
  </si>
  <si>
    <t>NSE:SUNDARMHLD</t>
  </si>
  <si>
    <t>NSE:SUNDRMBRAK</t>
  </si>
  <si>
    <t>NSE:SUNDRMFAST</t>
  </si>
  <si>
    <t>NSE:SUNFLAG</t>
  </si>
  <si>
    <t>NSE:SUNPHARMA</t>
  </si>
  <si>
    <t>NSE:SUNTECK</t>
  </si>
  <si>
    <t>NSE:SUNTV</t>
  </si>
  <si>
    <t>NSE:SUPERHOUSE</t>
  </si>
  <si>
    <t>NSE:SUPERSPIN</t>
  </si>
  <si>
    <t>NSE:SPLPETRO</t>
  </si>
  <si>
    <t>NSE:SUPRAJIT</t>
  </si>
  <si>
    <t>NSE:SUPREMEENG</t>
  </si>
  <si>
    <t>NSE:SUPREMEIND</t>
  </si>
  <si>
    <t>NSE:SURANASOL</t>
  </si>
  <si>
    <t>NSE:SURANAT&amp;P</t>
  </si>
  <si>
    <t>NSE:SURYALAXMI</t>
  </si>
  <si>
    <t>NSE:SURYAROSNI</t>
  </si>
  <si>
    <t>NSE:SUTLEJTEX</t>
  </si>
  <si>
    <t>NSE:SUULD</t>
  </si>
  <si>
    <t>NSE:SUVEN</t>
  </si>
  <si>
    <t>NSE:SUVENPHAR</t>
  </si>
  <si>
    <t>NSE:SUZLON</t>
  </si>
  <si>
    <t>NSE:SWANENERGY</t>
  </si>
  <si>
    <t>NSE:SWARAJENG</t>
  </si>
  <si>
    <t>NSE:SWELECTES</t>
  </si>
  <si>
    <t>NSE:SWSOLAR</t>
  </si>
  <si>
    <t>NSE:SYMPHONY</t>
  </si>
  <si>
    <t>NSE:SYNGENE</t>
  </si>
  <si>
    <t>NSE:THOMASCOTT</t>
  </si>
  <si>
    <t>NSE:TAJGVK</t>
  </si>
  <si>
    <t>NSE:TAKE</t>
  </si>
  <si>
    <t>NSE:TALBROAUTO</t>
  </si>
  <si>
    <t>NSE:TANLA</t>
  </si>
  <si>
    <t>NSE:TANTIACONS</t>
  </si>
  <si>
    <t>NSE:TARC</t>
  </si>
  <si>
    <t>NSE:TARMAT</t>
  </si>
  <si>
    <t>NSE:TASTYBITE</t>
  </si>
  <si>
    <t>NSE:TATACHEM</t>
  </si>
  <si>
    <t>NSE:TATACOFFEE</t>
  </si>
  <si>
    <t>NSE:TATACOMM</t>
  </si>
  <si>
    <t>NSE:TATACONSUM</t>
  </si>
  <si>
    <t>NSE:TATAELXSI</t>
  </si>
  <si>
    <t>NSE:TATAINVEST</t>
  </si>
  <si>
    <t>NSE:TATAMETALI</t>
  </si>
  <si>
    <t>NSE:TATAMOTORS</t>
  </si>
  <si>
    <t>NSE:TATAMTRDVR</t>
  </si>
  <si>
    <t>NSE:TATAPOWER</t>
  </si>
  <si>
    <t>NSE:TATASTEEL</t>
  </si>
  <si>
    <t>NSE:TATASTLLP</t>
  </si>
  <si>
    <t>NSE:TBZ</t>
  </si>
  <si>
    <t>NSE:TCI</t>
  </si>
  <si>
    <t>NSE:TCIEXP</t>
  </si>
  <si>
    <t>NSE:TCIFINANCE</t>
  </si>
  <si>
    <t>NSE:TCNSBRANDS</t>
  </si>
  <si>
    <t>NSE:TCPLPACK</t>
  </si>
  <si>
    <t>NSE:TCS</t>
  </si>
  <si>
    <t>NSE:TDPOWERSYS</t>
  </si>
  <si>
    <t>NSE:TEAMLEASE</t>
  </si>
  <si>
    <t>NSE:TECHIN</t>
  </si>
  <si>
    <t>NSE:TECHM</t>
  </si>
  <si>
    <t>NSE:TECHNOE</t>
  </si>
  <si>
    <t>NSE:TEJASNET</t>
  </si>
  <si>
    <t>NSE:TERASOFT</t>
  </si>
  <si>
    <t>NSE:TEXINFRA</t>
  </si>
  <si>
    <t>NSE:TEXMOPIPES</t>
  </si>
  <si>
    <t>NSE:TEXRAIL</t>
  </si>
  <si>
    <t>NSE:TFCILTD</t>
  </si>
  <si>
    <t>NSE:TFL</t>
  </si>
  <si>
    <t>NSE:TGBHOTELS</t>
  </si>
  <si>
    <t>NSE:THANGAMAYL</t>
  </si>
  <si>
    <t>NSE:THEINVEST</t>
  </si>
  <si>
    <t>NSE:THEMISMED</t>
  </si>
  <si>
    <t>NSE:THERMAX</t>
  </si>
  <si>
    <t>NSE:TIIL</t>
  </si>
  <si>
    <t>NSE:TRIL</t>
  </si>
  <si>
    <t>NSE:THYROCARE</t>
  </si>
  <si>
    <t>NSE:TI</t>
  </si>
  <si>
    <t>NSE:TIDEWATER</t>
  </si>
  <si>
    <t>NSE:VENKYS</t>
  </si>
  <si>
    <t>NSE:TIINDIA</t>
  </si>
  <si>
    <t>NSE:TIJARIA</t>
  </si>
  <si>
    <t>NSE:TIL</t>
  </si>
  <si>
    <t>NSE:TIMESGTY</t>
  </si>
  <si>
    <t>NSE:TIMETECHNO</t>
  </si>
  <si>
    <t>NSE:TIMKEN</t>
  </si>
  <si>
    <t>NSE:TINPLATE</t>
  </si>
  <si>
    <t>NSE:TIPSINDLTD</t>
  </si>
  <si>
    <t>NSE:TIRUMALCHM</t>
  </si>
  <si>
    <t>NSE:TIRUPATIFL</t>
  </si>
  <si>
    <t>NSE:TITAN</t>
  </si>
  <si>
    <t>NSE:HEADSUP</t>
  </si>
  <si>
    <t>NSE:TNPETRO</t>
  </si>
  <si>
    <t>NSE:TNPL</t>
  </si>
  <si>
    <t>NSE:TNTELE</t>
  </si>
  <si>
    <t>NSE:TOKYOPLAST</t>
  </si>
  <si>
    <t>NSE:TORNTPHARM</t>
  </si>
  <si>
    <t>NSE:TORNTPOWER</t>
  </si>
  <si>
    <t>NSE:TOTAL</t>
  </si>
  <si>
    <t>NSE:TOUCHWOOD</t>
  </si>
  <si>
    <t>NSE:TPLPLASTEH</t>
  </si>
  <si>
    <t>NSE:TREEHOUSE</t>
  </si>
  <si>
    <t>NSE:TREJHARA</t>
  </si>
  <si>
    <t>NSE:TRENT</t>
  </si>
  <si>
    <t>NSE:TRF</t>
  </si>
  <si>
    <t>NSE:TRIDENT</t>
  </si>
  <si>
    <t>NSE:TRIGYN</t>
  </si>
  <si>
    <t>NSE:VINYLINDIA</t>
  </si>
  <si>
    <t>NSE:TRITURBINE</t>
  </si>
  <si>
    <t>NSE:TRIVENI</t>
  </si>
  <si>
    <t>NSE:TTKHLTCARE</t>
  </si>
  <si>
    <t>NSE:TTKPRESTIG</t>
  </si>
  <si>
    <t>NSE:TTL</t>
  </si>
  <si>
    <t>NSE:TTML</t>
  </si>
  <si>
    <t>NSE:TV18BRDCST</t>
  </si>
  <si>
    <t>NSE:TVSELECT</t>
  </si>
  <si>
    <t>NSE:TVSMOTOR</t>
  </si>
  <si>
    <t>NSE:TVSSRICHAK</t>
  </si>
  <si>
    <t>NSE:TVTODAY</t>
  </si>
  <si>
    <t>NSE:TVVISION</t>
  </si>
  <si>
    <t>NSE:TWL</t>
  </si>
  <si>
    <t>NSE:UBL</t>
  </si>
  <si>
    <t>NSE:UCALFUEL</t>
  </si>
  <si>
    <t>NSE:UCOBANK</t>
  </si>
  <si>
    <t>NSE:UFLEX</t>
  </si>
  <si>
    <t>NSE:UFO</t>
  </si>
  <si>
    <t>NSE:UGARSUGAR</t>
  </si>
  <si>
    <t>NSE:UJAAS</t>
  </si>
  <si>
    <t>NSE:UJJIVAN</t>
  </si>
  <si>
    <t>NSE:UJJIVANSFB</t>
  </si>
  <si>
    <t>NSE:ULTRACEMCO</t>
  </si>
  <si>
    <t>NSE:UMANGDAIRY</t>
  </si>
  <si>
    <t>NSE:UMESLTD</t>
  </si>
  <si>
    <t>NSE:UNICHEMLAB</t>
  </si>
  <si>
    <t>NSE:UNIDT</t>
  </si>
  <si>
    <t>NSE:UNIENTER</t>
  </si>
  <si>
    <t>NSE:UNIONBANK</t>
  </si>
  <si>
    <t>NSE:UNITECH</t>
  </si>
  <si>
    <t>NSE:UNITEDTEA</t>
  </si>
  <si>
    <t>NSE:UNIVASTU</t>
  </si>
  <si>
    <t>NSE:UNIVCABLES</t>
  </si>
  <si>
    <t>NSE:UNIVPHOTO</t>
  </si>
  <si>
    <t>NSE:UPL</t>
  </si>
  <si>
    <t>NSE:URJA</t>
  </si>
  <si>
    <t>NSE:USHAMART</t>
  </si>
  <si>
    <t>NSE:UTIAMC</t>
  </si>
  <si>
    <t>NSE:UTTAMSUGAR</t>
  </si>
  <si>
    <t>NSE:V2RETAIL</t>
  </si>
  <si>
    <t>NSE:VADILALIND</t>
  </si>
  <si>
    <t>NSE:VAIBHAVGBL</t>
  </si>
  <si>
    <t>NSE:VAISHALI</t>
  </si>
  <si>
    <t>NSE:VAKRANGEE</t>
  </si>
  <si>
    <t>NSE:VALIANTORG</t>
  </si>
  <si>
    <t>NSE:VARDHACRLC</t>
  </si>
  <si>
    <t>NSE:VARDMNPOLY</t>
  </si>
  <si>
    <t>NSE:VARROC</t>
  </si>
  <si>
    <t>NSE:VASCONEQ</t>
  </si>
  <si>
    <t>NSE:VASWANI</t>
  </si>
  <si>
    <t>NSE:VBL</t>
  </si>
  <si>
    <t>NSE:VEDL</t>
  </si>
  <si>
    <t>NSE:WSI</t>
  </si>
  <si>
    <t>NSE:VENUSREM</t>
  </si>
  <si>
    <t>NSE:VERTOZ</t>
  </si>
  <si>
    <t>NSE:VESUVIUS</t>
  </si>
  <si>
    <t>NSE:VETO</t>
  </si>
  <si>
    <t>NSE:VGUARD</t>
  </si>
  <si>
    <t>NSE:VHL</t>
  </si>
  <si>
    <t>NSE:VICEROY</t>
  </si>
  <si>
    <t>NSE:VIDHIING</t>
  </si>
  <si>
    <t>NSE:VIJIFIN</t>
  </si>
  <si>
    <t>NSE:VIKASECO</t>
  </si>
  <si>
    <t>NSE:VIKASLIFE</t>
  </si>
  <si>
    <t>NSE:VIKASPROP</t>
  </si>
  <si>
    <t>NSE:VIKASWSP</t>
  </si>
  <si>
    <t>NSE:VIMTALABS</t>
  </si>
  <si>
    <t>NSE:VINATIORGA</t>
  </si>
  <si>
    <t>NSE:VINDHYATEL</t>
  </si>
  <si>
    <t>NSE:VIPCLOTHNG</t>
  </si>
  <si>
    <t>NSE:VIPIND</t>
  </si>
  <si>
    <t>NSE:VIPULLTD</t>
  </si>
  <si>
    <t>NSE:VISAKAIND</t>
  </si>
  <si>
    <t>NSE:VISASTEEL</t>
  </si>
  <si>
    <t>NSE:VISHAL</t>
  </si>
  <si>
    <t>NSE:VISHNU</t>
  </si>
  <si>
    <t>NSE:VISHWARAJ</t>
  </si>
  <si>
    <t>NSE:VIVIDHA</t>
  </si>
  <si>
    <t>NSE:VIVIMEDLAB</t>
  </si>
  <si>
    <t>NSE:VLSFINANCE</t>
  </si>
  <si>
    <t>NSE:VMART</t>
  </si>
  <si>
    <t>NSE:VOLTAMP</t>
  </si>
  <si>
    <t>NSE:VOLTAS</t>
  </si>
  <si>
    <t>NSE:VRLLOG</t>
  </si>
  <si>
    <t>NSE:VSSL</t>
  </si>
  <si>
    <t>NSE:VSTIND</t>
  </si>
  <si>
    <t>NSE:VSTTILLERS</t>
  </si>
  <si>
    <t>NSE:VTL</t>
  </si>
  <si>
    <t>NSE:WABAG</t>
  </si>
  <si>
    <t>NSE:ZFCVINDIA</t>
  </si>
  <si>
    <t>NSE:WALCHANNAG</t>
  </si>
  <si>
    <t>NSE:WANBURY</t>
  </si>
  <si>
    <t>NSE:WATERBASE</t>
  </si>
  <si>
    <t>NSE:WEALTH</t>
  </si>
  <si>
    <t>NSE:WEBELSOLAR</t>
  </si>
  <si>
    <t>NSE:WEIZMANIND</t>
  </si>
  <si>
    <t>NSE:WELCORP</t>
  </si>
  <si>
    <t>NSE:WELENT</t>
  </si>
  <si>
    <t>NSE:WELINV</t>
  </si>
  <si>
    <t>NSE:WELSPUNIND</t>
  </si>
  <si>
    <t>NSE:WENDT</t>
  </si>
  <si>
    <t>NSE:WESTLIFE</t>
  </si>
  <si>
    <t>NSE:WHEELS</t>
  </si>
  <si>
    <t>NSE:WHIRLPOOL</t>
  </si>
  <si>
    <t>NSE:WILLAMAGOR</t>
  </si>
  <si>
    <t>NSE:WINDMACHIN</t>
  </si>
  <si>
    <t>NSE:WIPL</t>
  </si>
  <si>
    <t>NSE:WIPRO</t>
  </si>
  <si>
    <t>NSE:WOCKPHARMA</t>
  </si>
  <si>
    <t>NSE:WONDERLA</t>
  </si>
  <si>
    <t>NSE:WORTH</t>
  </si>
  <si>
    <t>NSE:AKSHARCHEM</t>
  </si>
  <si>
    <t>NSE:WSTCSTPAPR</t>
  </si>
  <si>
    <t>NSE:XCHANGING</t>
  </si>
  <si>
    <t>NSE:XELPMOC</t>
  </si>
  <si>
    <t>NSE:XPROINDIA</t>
  </si>
  <si>
    <t>NSE:YAARI</t>
  </si>
  <si>
    <t>NSE:YESBANK</t>
  </si>
  <si>
    <t>NSE:ZEEL</t>
  </si>
  <si>
    <t>NSE:ZEELEARN</t>
  </si>
  <si>
    <t>NSE:ZEEMEDIA</t>
  </si>
  <si>
    <t>NSE:ZENITHEXPO</t>
  </si>
  <si>
    <t>NSE:ZENSARTECH</t>
  </si>
  <si>
    <t>NSE:ZENTEC</t>
  </si>
  <si>
    <t>NSE:ZODIACLOTH</t>
  </si>
  <si>
    <t>NSE:ZOTA</t>
  </si>
  <si>
    <t>NSE:ZUARI</t>
  </si>
  <si>
    <t>NSE:ZUARIIND</t>
  </si>
  <si>
    <t>NSE:ZYDUSWELL</t>
  </si>
  <si>
    <t>BOM:500820</t>
  </si>
  <si>
    <t>BOM:532215</t>
  </si>
  <si>
    <t>BOM:532977</t>
  </si>
  <si>
    <t>BOM:500034</t>
  </si>
  <si>
    <t>BOM:532978</t>
  </si>
  <si>
    <t>BOM:532454</t>
  </si>
  <si>
    <t>BOM:500124</t>
  </si>
  <si>
    <t>BOM:532281</t>
  </si>
  <si>
    <t>BOM:500010</t>
  </si>
  <si>
    <t>BOM:500180</t>
  </si>
  <si>
    <t>BOM:500696</t>
  </si>
  <si>
    <t>BOM:532174</t>
  </si>
  <si>
    <t>BOM:532187</t>
  </si>
  <si>
    <t>BOM:500209</t>
  </si>
  <si>
    <t>BOM:500875</t>
  </si>
  <si>
    <t>BOM:500247</t>
  </si>
  <si>
    <t>BOM:500510</t>
  </si>
  <si>
    <t>BOM:500520</t>
  </si>
  <si>
    <t>BOM:532500</t>
  </si>
  <si>
    <t>BOM:500790</t>
  </si>
  <si>
    <t>BOM:532555</t>
  </si>
  <si>
    <t>BOM:500312</t>
  </si>
  <si>
    <t>BOM:532898</t>
  </si>
  <si>
    <t>BOM:500325</t>
  </si>
  <si>
    <t>BOM:500112</t>
  </si>
  <si>
    <t>BOM:524715</t>
  </si>
  <si>
    <t>BOM:532540</t>
  </si>
  <si>
    <t>BOM:532755</t>
  </si>
  <si>
    <t>BOM:500114</t>
  </si>
  <si>
    <t>BOM:532538</t>
  </si>
  <si>
    <t>NSE:ZOMATO</t>
  </si>
  <si>
    <t>BOM:543384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</si>
</sst>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-&quot;mm&quot;-&quot;yyyy&quot; &quot;h&quot;:&quot;mm&quot; &quot;am/pm"/>
    <numFmt numFmtId="165" formatCode="#,##0;(#,##0)"/>
    <numFmt numFmtId="166" formatCode="[$₹]#,##0.00"/>
  </numFmts>
  <fonts count="22">
    <font>
      <sz val="10.0"/>
      <color rgb="FF000000"/>
      <name val="Arial"/>
      <scheme val="minor"/>
    </font>
    <font>
      <color theme="1"/>
      <name val="Arial"/>
    </font>
    <font>
      <sz val="22.0"/>
      <color rgb="FF000000"/>
      <name val="Arial"/>
    </font>
    <font>
      <sz val="11.0"/>
      <color theme="1"/>
      <name val="Arial"/>
    </font>
    <font>
      <sz val="22.0"/>
      <color theme="1"/>
      <name val="Arial"/>
    </font>
    <font>
      <b/>
      <sz val="12.0"/>
      <color theme="1"/>
      <name val="Arial"/>
    </font>
    <font>
      <b/>
      <sz val="16.0"/>
      <color theme="1"/>
      <name val="Arial"/>
    </font>
    <font>
      <sz val="14.0"/>
      <color theme="1"/>
      <name val="Arial"/>
    </font>
    <font/>
    <font>
      <sz val="12.0"/>
      <color theme="7"/>
      <name val="Arial"/>
    </font>
    <font>
      <sz val="22.0"/>
      <color theme="7"/>
      <name val="Arial"/>
    </font>
    <font>
      <sz val="22.0"/>
      <color rgb="FFEA4335"/>
      <name val="Arial"/>
    </font>
    <font>
      <sz val="11.0"/>
      <color theme="7"/>
      <name val="Arial"/>
    </font>
    <font>
      <b/>
      <sz val="11.0"/>
      <color rgb="FF00B0F0"/>
      <name val="Arial"/>
    </font>
    <font>
      <color rgb="FFF3F3F3"/>
      <name val="Arial"/>
    </font>
    <font>
      <sz val="12.0"/>
      <color rgb="FF00B0F0"/>
      <name val="Arial"/>
    </font>
    <font>
      <color theme="7"/>
      <name val="Arial"/>
    </font>
    <font>
      <color rgb="FFEA4335"/>
      <name val="Arial"/>
    </font>
    <font>
      <u/>
      <sz val="11.0"/>
      <color rgb="FF0000FF"/>
      <name val="Arial"/>
    </font>
    <font>
      <sz val="11.0"/>
      <color theme="1"/>
      <name val="Calibri"/>
    </font>
    <font>
      <sz val="8.0"/>
      <color theme="1"/>
      <name val="Calibri"/>
    </font>
    <font>
      <color rgb="FF000000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3C78D8"/>
        <bgColor rgb="FF3C78D8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</fills>
  <borders count="3">
    <border/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wrapText="0"/>
    </xf>
    <xf borderId="0" fillId="0" fontId="2" numFmtId="0" xfId="0" applyAlignment="1" applyFont="1">
      <alignment horizontal="center" shrinkToFit="0" vertical="center" wrapText="0"/>
    </xf>
    <xf borderId="0" fillId="0" fontId="3" numFmtId="164" xfId="0" applyFont="1" applyNumberFormat="1"/>
    <xf borderId="0" fillId="0" fontId="3" numFmtId="0" xfId="0" applyFont="1"/>
    <xf borderId="0" fillId="0" fontId="4" numFmtId="0" xfId="0" applyFont="1"/>
    <xf borderId="1" fillId="0" fontId="5" numFmtId="0" xfId="0" applyBorder="1" applyFont="1"/>
    <xf borderId="1" fillId="0" fontId="5" numFmtId="0" xfId="0" applyAlignment="1" applyBorder="1" applyFont="1">
      <alignment horizontal="center"/>
    </xf>
    <xf borderId="0" fillId="0" fontId="6" numFmtId="0" xfId="0" applyAlignment="1" applyFont="1">
      <alignment horizontal="center"/>
    </xf>
    <xf borderId="0" fillId="0" fontId="3" numFmtId="0" xfId="0" applyFont="1"/>
    <xf borderId="2" fillId="0" fontId="1" numFmtId="0" xfId="0" applyBorder="1" applyFont="1"/>
    <xf borderId="2" fillId="0" fontId="7" numFmtId="0" xfId="0" applyAlignment="1" applyBorder="1" applyFont="1">
      <alignment horizontal="center"/>
    </xf>
    <xf borderId="2" fillId="0" fontId="8" numFmtId="0" xfId="0" applyBorder="1" applyFont="1"/>
    <xf borderId="2" fillId="0" fontId="9" numFmtId="0" xfId="0" applyAlignment="1" applyBorder="1" applyFont="1">
      <alignment horizontal="center" vertical="center"/>
    </xf>
    <xf borderId="2" fillId="0" fontId="9" numFmtId="0" xfId="0" applyBorder="1" applyFont="1"/>
    <xf borderId="0" fillId="0" fontId="3" numFmtId="165" xfId="0" applyFont="1" applyNumberFormat="1"/>
    <xf borderId="0" fillId="0" fontId="9" numFmtId="0" xfId="0" applyFont="1"/>
    <xf borderId="0" fillId="0" fontId="4" numFmtId="0" xfId="0" applyAlignment="1" applyFont="1">
      <alignment horizontal="center" vertical="bottom"/>
    </xf>
    <xf borderId="0" fillId="0" fontId="10" numFmtId="0" xfId="0" applyAlignment="1" applyFont="1">
      <alignment horizontal="right"/>
    </xf>
    <xf borderId="0" fillId="0" fontId="3" numFmtId="0" xfId="0" applyAlignment="1" applyFont="1">
      <alignment horizontal="center"/>
    </xf>
    <xf borderId="0" fillId="0" fontId="11" numFmtId="0" xfId="0" applyAlignment="1" applyFont="1">
      <alignment horizontal="right"/>
    </xf>
    <xf borderId="0" fillId="0" fontId="12" numFmtId="0" xfId="0" applyAlignment="1" applyFont="1">
      <alignment horizontal="right"/>
    </xf>
    <xf borderId="0" fillId="0" fontId="3" numFmtId="0" xfId="0" applyAlignment="1" applyFont="1">
      <alignment horizontal="left"/>
    </xf>
    <xf borderId="0" fillId="0" fontId="13" numFmtId="0" xfId="0" applyFont="1"/>
    <xf borderId="0" fillId="0" fontId="1" numFmtId="0" xfId="0" applyAlignment="1" applyFont="1">
      <alignment horizontal="center"/>
    </xf>
    <xf borderId="0" fillId="0" fontId="14" numFmtId="0" xfId="0" applyFont="1"/>
    <xf borderId="0" fillId="0" fontId="3" numFmtId="166" xfId="0" applyFont="1" applyNumberFormat="1"/>
    <xf borderId="0" fillId="0" fontId="15" numFmtId="0" xfId="0" applyAlignment="1" applyFont="1">
      <alignment horizontal="center"/>
    </xf>
    <xf borderId="0" fillId="0" fontId="1" numFmtId="166" xfId="0" applyFont="1" applyNumberFormat="1"/>
    <xf borderId="0" fillId="0" fontId="16" numFmtId="166" xfId="0" applyFont="1" applyNumberFormat="1"/>
    <xf borderId="0" fillId="0" fontId="16" numFmtId="0" xfId="0" applyAlignment="1" applyFont="1">
      <alignment horizontal="right"/>
    </xf>
    <xf borderId="0" fillId="0" fontId="17" numFmtId="166" xfId="0" applyFont="1" applyNumberFormat="1"/>
    <xf borderId="0" fillId="0" fontId="17" numFmtId="0" xfId="0" applyAlignment="1" applyFont="1">
      <alignment horizontal="right"/>
    </xf>
    <xf borderId="0" fillId="0" fontId="1" numFmtId="165" xfId="0" applyAlignment="1" applyFont="1" applyNumberFormat="1">
      <alignment horizontal="right"/>
    </xf>
    <xf borderId="0" fillId="0" fontId="1" numFmtId="0" xfId="0" applyAlignment="1" applyFont="1">
      <alignment horizontal="right"/>
    </xf>
    <xf borderId="0" fillId="0" fontId="18" numFmtId="0" xfId="0" applyFont="1"/>
    <xf borderId="2" fillId="0" fontId="3" numFmtId="0" xfId="0" applyBorder="1" applyFont="1"/>
    <xf borderId="2" fillId="0" fontId="3" numFmtId="165" xfId="0" applyBorder="1" applyFont="1" applyNumberFormat="1"/>
    <xf borderId="2" fillId="0" fontId="3" numFmtId="0" xfId="0" applyAlignment="1" applyBorder="1" applyFont="1">
      <alignment horizontal="center"/>
    </xf>
    <xf borderId="2" fillId="0" fontId="12" numFmtId="0" xfId="0" applyAlignment="1" applyBorder="1" applyFont="1">
      <alignment horizontal="right"/>
    </xf>
    <xf borderId="2" fillId="0" fontId="3" numFmtId="0" xfId="0" applyAlignment="1" applyBorder="1" applyFont="1">
      <alignment horizontal="left"/>
    </xf>
    <xf borderId="2" fillId="0" fontId="3" numFmtId="166" xfId="0" applyBorder="1" applyFont="1" applyNumberFormat="1"/>
    <xf borderId="2" fillId="0" fontId="15" numFmtId="0" xfId="0" applyAlignment="1" applyBorder="1" applyFont="1">
      <alignment horizontal="center"/>
    </xf>
    <xf borderId="0" fillId="0" fontId="19" numFmtId="0" xfId="0" applyFont="1"/>
    <xf borderId="0" fillId="0" fontId="19" numFmtId="0" xfId="0" applyFont="1"/>
    <xf borderId="0" fillId="2" fontId="19" numFmtId="0" xfId="0" applyFill="1" applyFont="1"/>
    <xf borderId="0" fillId="0" fontId="20" numFmtId="0" xfId="0" applyFont="1"/>
    <xf borderId="0" fillId="3" fontId="19" numFmtId="0" xfId="0" applyFill="1" applyFont="1"/>
    <xf borderId="0" fillId="3" fontId="19" numFmtId="165" xfId="0" applyFill="1" applyFont="1" applyNumberFormat="1"/>
    <xf borderId="0" fillId="3" fontId="19" numFmtId="164" xfId="0" applyFill="1" applyFont="1" applyNumberFormat="1"/>
    <xf borderId="0" fillId="4" fontId="19" numFmtId="0" xfId="0" applyFill="1" applyFont="1"/>
    <xf borderId="0" fillId="4" fontId="19" numFmtId="165" xfId="0" applyFill="1" applyFont="1" applyNumberFormat="1"/>
    <xf borderId="0" fillId="4" fontId="19" numFmtId="164" xfId="0" applyFill="1" applyFont="1" applyNumberFormat="1"/>
    <xf borderId="0" fillId="3" fontId="21" numFmtId="0" xfId="0" applyFill="1" applyFont="1"/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color theme="5"/>
      </font>
      <fill>
        <patternFill patternType="solid">
          <fgColor rgb="FFFFFFFF"/>
          <bgColor rgb="FFFFFFFF"/>
        </patternFill>
      </fill>
      <border/>
    </dxf>
    <dxf>
      <font>
        <color rgb="FFEA4335"/>
      </font>
      <fill>
        <patternFill patternType="none"/>
      </fill>
      <border/>
    </dxf>
    <dxf>
      <font>
        <color theme="7"/>
      </font>
      <fill>
        <patternFill patternType="none"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  <dxf>
      <font>
        <color rgb="FFFBBC04"/>
      </font>
      <fill>
        <patternFill patternType="none"/>
      </fill>
      <border/>
    </dxf>
  </dxfs>
  <tableStyles count="4">
    <tableStyle count="3" pivot="0" name="GAINERS-style">
      <tableStyleElement dxfId="1" type="headerRow"/>
      <tableStyleElement dxfId="2" type="firstRowStripe"/>
      <tableStyleElement dxfId="1" type="secondRowStripe"/>
    </tableStyle>
    <tableStyle count="3" pivot="0" name="DECLINERS-style">
      <tableStyleElement dxfId="1" type="headerRow"/>
      <tableStyleElement dxfId="2" type="firstRowStripe"/>
      <tableStyleElement dxfId="3" type="secondRowStripe"/>
    </tableStyle>
    <tableStyle count="3" pivot="0" name="ACTIVES-style">
      <tableStyleElement dxfId="1" type="headerRow"/>
      <tableStyleElement dxfId="2" type="firstRowStripe"/>
      <tableStyleElement dxfId="3" type="secondRowStripe"/>
    </tableStyle>
    <tableStyle count="3" pivot="0" name="HELP-style">
      <tableStyleElement dxfId="7" type="headerRow"/>
      <tableStyleElement dxfId="1" type="firstRowStripe"/>
      <tableStyleElement dxfId="8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3324225" cy="99631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57150</xdr:colOff>
      <xdr:row>0</xdr:row>
      <xdr:rowOff>104775</xdr:rowOff>
    </xdr:from>
    <xdr:ext cx="1143000" cy="76200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O22" displayName="Table_1" name="Table_1" id="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GAINER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2:O22" displayName="Table_2" name="Table_2" id="1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DECLINER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2:O22" displayName="Table_3" name="Table_3" id="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ACTIV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ref="B1:H3" displayName="Table_4" name="Table_4" id="4">
  <tableColumns count="7">
    <tableColumn name="Index" id="1"/>
    <tableColumn name="Abbreviation" id="2"/>
    <tableColumn name="Symbol " id="3"/>
    <tableColumn name="Price" id="4"/>
    <tableColumn name="Change" id="5"/>
    <tableColumn name="Change %" id="6"/>
    <tableColumn name="Change (%)" id="7"/>
  </tableColumns>
  <tableStyleInfo name="HEL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12.13"/>
    <col customWidth="1" min="3" max="5" width="9.38"/>
    <col customWidth="1" min="6" max="6" width="4.75"/>
    <col customWidth="1" min="7" max="7" width="13.0"/>
    <col customWidth="1" min="8" max="9" width="9.38"/>
    <col customWidth="1" min="10" max="10" width="10.13"/>
    <col customWidth="1" min="13" max="13" width="6.25"/>
    <col customWidth="1" min="14" max="16" width="9.38"/>
    <col customWidth="1" min="17" max="17" width="6.13"/>
    <col customWidth="1" min="18" max="18" width="6.75"/>
  </cols>
  <sheetData>
    <row r="1" ht="44.25" customHeight="1">
      <c r="A1" s="1"/>
      <c r="B1" s="1"/>
      <c r="C1" s="2"/>
      <c r="D1" s="3" t="s">
        <v>0</v>
      </c>
      <c r="G1" s="1"/>
      <c r="H1" s="1"/>
      <c r="I1" s="1"/>
      <c r="J1" s="1"/>
      <c r="K1" s="1"/>
      <c r="L1" s="1"/>
      <c r="M1" s="1"/>
      <c r="N1" s="4">
        <f>MAX(L_DATA_LAST_TRD_TIME)+(Q1/24)</f>
        <v>46269.43741</v>
      </c>
      <c r="P1" s="5"/>
      <c r="Q1" s="1">
        <v>-5.5</v>
      </c>
      <c r="R1" s="1" t="s">
        <v>1</v>
      </c>
      <c r="T1" s="1"/>
    </row>
    <row r="2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15.75" customHeight="1">
      <c r="A3" s="1"/>
      <c r="B3" s="1"/>
      <c r="C3" s="1"/>
      <c r="D3" s="9" t="str">
        <f t="array" ref="D3">INDEX(L_HELP_ABBR,1)</f>
        <v>NIFTY 50</v>
      </c>
      <c r="F3" s="1"/>
      <c r="G3" s="1"/>
      <c r="H3" s="1"/>
      <c r="I3" s="1"/>
      <c r="J3" s="1"/>
      <c r="K3" s="9" t="str">
        <f t="array" ref="K3">INDEX(L_HELP_ABBR,2)</f>
        <v>BSE SENSEX</v>
      </c>
      <c r="M3" s="1"/>
      <c r="N3" s="1"/>
      <c r="O3" s="1"/>
      <c r="P3" s="1"/>
      <c r="Q3" s="1"/>
      <c r="R3" s="1"/>
      <c r="S3" s="1"/>
      <c r="T3" s="1"/>
    </row>
    <row r="4" ht="15.75" customHeight="1">
      <c r="A4" s="1"/>
      <c r="B4" s="1"/>
      <c r="C4" s="11"/>
      <c r="D4" s="12">
        <f t="array" ref="D4">INDEX(L_HELP_PRICE,1)</f>
        <v>23897.7</v>
      </c>
      <c r="E4" s="13"/>
      <c r="F4" s="14" t="str">
        <f>IFERROR(IF(HELP!$F$2&lt;0,CHAR(9660),CHAR(9650)),)</f>
        <v>▲</v>
      </c>
      <c r="G4" s="15" t="str">
        <f>HELP!$H$2</f>
        <v>24.25 (0.1%)</v>
      </c>
      <c r="H4" s="13"/>
      <c r="I4" s="1"/>
      <c r="J4" s="1"/>
      <c r="K4" s="12">
        <f t="array" ref="K4">INDEX(L_HELP_PRICE,2)</f>
        <v>76515.43</v>
      </c>
      <c r="L4" s="13"/>
      <c r="M4" s="14" t="str">
        <f>IFERROR(IF(HELP!$F$3&lt;0,CHAR(9660),CHAR(9650)),)</f>
        <v>▲</v>
      </c>
      <c r="N4" s="15" t="str">
        <f>HELP!$H$3</f>
        <v>362.57 (0.48%)</v>
      </c>
      <c r="O4" s="15"/>
      <c r="P4" s="17"/>
      <c r="Q4" s="1"/>
      <c r="R4" s="1"/>
      <c r="S4" s="1"/>
      <c r="T4" s="1"/>
    </row>
    <row r="5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ht="15.75" customHeight="1">
      <c r="A6" s="1"/>
      <c r="B6" s="18">
        <f>COUNTA(L_DATA_SYMBOL)</f>
        <v>1621</v>
      </c>
      <c r="C6" s="1"/>
      <c r="D6" s="19" t="str">
        <f>CHAR(129033)</f>
        <v>🠉</v>
      </c>
      <c r="E6" s="18">
        <f>COUNTIFS(L_DATA_CHANGE,"&gt;0")</f>
        <v>781</v>
      </c>
      <c r="F6" s="1"/>
      <c r="G6" s="21" t="str">
        <f>CHAR(129035)</f>
        <v>🠋</v>
      </c>
      <c r="H6" s="18">
        <f>COUNTIFS(L_DATA_CHANGE,"&lt;0")</f>
        <v>655</v>
      </c>
      <c r="I6" s="1"/>
      <c r="J6" s="18">
        <f>COUNTIFS(L_DATA_PRICE,"")</f>
        <v>164</v>
      </c>
      <c r="K6" s="1"/>
      <c r="L6" s="1"/>
      <c r="M6" s="1"/>
      <c r="N6" s="1"/>
      <c r="O6" s="1"/>
      <c r="P6" s="1"/>
      <c r="Q6" s="1"/>
      <c r="R6" s="1"/>
      <c r="S6" s="1"/>
      <c r="T6" s="1"/>
    </row>
    <row r="7" ht="4.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ht="15.75" customHeight="1">
      <c r="A8" s="1"/>
      <c r="B8" s="5" t="s">
        <v>18</v>
      </c>
      <c r="C8" s="1"/>
      <c r="D8" s="1"/>
      <c r="E8" s="1" t="s">
        <v>19</v>
      </c>
      <c r="F8" s="1"/>
      <c r="G8" s="1"/>
      <c r="H8" s="1" t="s">
        <v>20</v>
      </c>
      <c r="I8" s="1"/>
      <c r="J8" s="1" t="s">
        <v>21</v>
      </c>
      <c r="K8" s="1"/>
      <c r="L8" s="1"/>
      <c r="M8" s="1"/>
      <c r="N8" s="1"/>
      <c r="O8" s="1"/>
      <c r="P8" s="1"/>
      <c r="Q8" s="1"/>
      <c r="R8" s="1"/>
      <c r="S8" s="1"/>
      <c r="T8" s="1"/>
    </row>
    <row r="9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ht="15.7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ht="15.75" customHeight="1">
      <c r="A11" s="1"/>
      <c r="B11" s="24" t="s">
        <v>22</v>
      </c>
      <c r="C11" s="1"/>
      <c r="D11" s="1"/>
      <c r="E11" s="1"/>
      <c r="F11" s="1"/>
      <c r="G11" s="24" t="s">
        <v>23</v>
      </c>
      <c r="H11" s="1"/>
      <c r="I11" s="1"/>
      <c r="J11" s="1"/>
      <c r="K11" s="1"/>
      <c r="L11" s="24" t="s">
        <v>24</v>
      </c>
      <c r="M11" s="1"/>
      <c r="N11" s="1"/>
      <c r="O11" s="1"/>
      <c r="P11" s="1"/>
      <c r="Q11" s="1"/>
      <c r="R11" s="1"/>
      <c r="S11" s="1"/>
      <c r="T11" s="1"/>
    </row>
    <row r="12" ht="15.75" customHeight="1">
      <c r="A12" s="1"/>
      <c r="B12" s="1"/>
      <c r="C12" s="1" t="s">
        <v>9</v>
      </c>
      <c r="D12" s="1" t="s">
        <v>10</v>
      </c>
      <c r="E12" s="1" t="s">
        <v>11</v>
      </c>
      <c r="F12" s="1"/>
      <c r="G12" s="1"/>
      <c r="H12" s="1" t="s">
        <v>9</v>
      </c>
      <c r="I12" s="1" t="s">
        <v>10</v>
      </c>
      <c r="J12" s="1" t="s">
        <v>11</v>
      </c>
      <c r="K12" s="1"/>
      <c r="L12" s="1"/>
      <c r="M12" s="1" t="s">
        <v>9</v>
      </c>
      <c r="N12" s="25" t="s">
        <v>8</v>
      </c>
      <c r="P12" s="1" t="s">
        <v>11</v>
      </c>
      <c r="Q12" s="1"/>
      <c r="R12" s="1"/>
      <c r="S12" s="1"/>
      <c r="T12" s="1"/>
    </row>
    <row r="13" ht="21.75" customHeight="1">
      <c r="A13" s="26">
        <v>1.0</v>
      </c>
      <c r="B13" s="1" t="str">
        <f t="array" ref="B13">INDEX(L_GAINERS_TICKER,$A13)</f>
        <v>NSE:JINDWORLD</v>
      </c>
      <c r="C13" s="29">
        <f t="array" ref="C13">ROUND(INDEX(L_GAINERS_PRICE,A13),2)</f>
        <v>57.78</v>
      </c>
      <c r="D13" s="30">
        <f t="array" ref="D13">INDEX(L_GAINERS_CHANGE,A13)</f>
        <v>9.63</v>
      </c>
      <c r="E13" s="31" t="str">
        <f t="array" ref="E13">INDEX(L_GAINERS_CHANGEPCT,A13)</f>
        <v>20%</v>
      </c>
      <c r="F13" s="1"/>
      <c r="G13" s="1" t="str">
        <f t="array" ref="G13">INDEX(L_DECLINERS_TICKER,$A13)</f>
        <v>NSE:VSSL</v>
      </c>
      <c r="H13" s="29">
        <f t="array" ref="H13">ROUND(INDEX(L_DECLINERS_PRICE,A13),2)</f>
        <v>363.9</v>
      </c>
      <c r="I13" s="32">
        <f t="array" ref="I13">INDEX(L_DECLINERS_CHANGE,A13)</f>
        <v>-0.05</v>
      </c>
      <c r="J13" s="33" t="str">
        <f t="array" ref="J13">INDEX(L_DECLINERS_CHANGEPCT,A13)</f>
        <v>-0.01%</v>
      </c>
      <c r="K13" s="1"/>
      <c r="L13" s="1" t="str">
        <f t="array" ref="L13">INDEX(L_ACTIVES_TICKERS,$A13)</f>
        <v>NSE:PCJEWELLER</v>
      </c>
      <c r="M13" s="29">
        <f t="array" ref="M13">ROUND(INDEX(L_ACTIVES_PRICE,A13),2)</f>
        <v>11.99</v>
      </c>
      <c r="N13" s="1" t="str">
        <f>IFERROR(__xludf.DUMMYFUNCTION("SPARKLINE(INDEX(L_ACTIVES_VOL,A13),{""CHARTTYPE"",""BAR""; ""COLOR1"", ""#00B0F0""; ""MAX"",MAX($O$13:$O$22)})"),"")</f>
        <v/>
      </c>
      <c r="O13" s="34">
        <f t="array" ref="O13">INDEX(L_ACTIVES_VOL,A13)</f>
        <v>1088942848</v>
      </c>
      <c r="P13" s="35" t="str">
        <f t="array" ref="P13">INDEX(L_ACTIVES_CHANGEPCT,A13)</f>
        <v>13.97%</v>
      </c>
      <c r="Q13" s="26">
        <f t="array" ref="Q13">INDEX(L_ACTIVES_CHANGE,A13)</f>
        <v>1.47</v>
      </c>
      <c r="R13" s="1"/>
      <c r="S13" s="1"/>
      <c r="T13" s="1"/>
    </row>
    <row r="14" ht="21.75" customHeight="1">
      <c r="A14" s="26">
        <v>2.0</v>
      </c>
      <c r="B14" s="1" t="str">
        <f t="array" ref="B14">INDEX(L_GAINERS_TICKER,$A14)</f>
        <v>NSE:NRAIL</v>
      </c>
      <c r="C14" s="29">
        <f t="array" ref="C14">ROUND(INDEX(L_GAINERS_PRICE,A14),2)</f>
        <v>595</v>
      </c>
      <c r="D14" s="30">
        <f t="array" ref="D14">INDEX(L_GAINERS_CHANGE,A14)</f>
        <v>98.95</v>
      </c>
      <c r="E14" s="31" t="str">
        <f t="array" ref="E14">INDEX(L_GAINERS_CHANGEPCT,A14)</f>
        <v>19.95%</v>
      </c>
      <c r="F14" s="1"/>
      <c r="G14" s="1" t="str">
        <f t="array" ref="G14">INDEX(L_DECLINERS_TICKER,$A14)</f>
        <v>NSE:BPL</v>
      </c>
      <c r="H14" s="29">
        <f t="array" ref="H14">ROUND(INDEX(L_DECLINERS_PRICE,A14),2)</f>
        <v>49.3</v>
      </c>
      <c r="I14" s="32">
        <f t="array" ref="I14">INDEX(L_DECLINERS_CHANGE,A14)</f>
        <v>-0.01</v>
      </c>
      <c r="J14" s="33" t="str">
        <f t="array" ref="J14">INDEX(L_DECLINERS_CHANGEPCT,A14)</f>
        <v>-0.02%</v>
      </c>
      <c r="K14" s="1"/>
      <c r="L14" s="1" t="str">
        <f t="array" ref="L14">INDEX(L_ACTIVES_TICKERS,$A14)</f>
        <v>NSE:IDEA</v>
      </c>
      <c r="M14" s="29">
        <f t="array" ref="M14">ROUND(INDEX(L_ACTIVES_PRICE,A14),2)</f>
        <v>15.06</v>
      </c>
      <c r="N14" s="1" t="str">
        <f>IFERROR(__xludf.DUMMYFUNCTION("SPARKLINE(INDEX(L_ACTIVES_VOL,A14),{""CHARTTYPE"",""BAR""; ""COLOR1"", ""#00B0F0""; ""MAX"",MAX($O$13:$O$22)})"),"")</f>
        <v/>
      </c>
      <c r="O14" s="34">
        <f t="array" ref="O14">INDEX(L_ACTIVES_VOL,A14)</f>
        <v>525960563</v>
      </c>
      <c r="P14" s="35" t="str">
        <f t="array" ref="P14">INDEX(L_ACTIVES_CHANGEPCT,A14)</f>
        <v>4.01%</v>
      </c>
      <c r="Q14" s="26">
        <f t="array" ref="Q14">INDEX(L_ACTIVES_CHANGE,A14)</f>
        <v>0.58</v>
      </c>
      <c r="R14" s="1"/>
      <c r="S14" s="1"/>
      <c r="T14" s="1"/>
    </row>
    <row r="15" ht="21.75" customHeight="1">
      <c r="A15" s="26">
        <v>3.0</v>
      </c>
      <c r="B15" s="1" t="str">
        <f t="array" ref="B15">INDEX(L_GAINERS_TICKER,$A15)</f>
        <v>NSE:NIACL</v>
      </c>
      <c r="C15" s="29">
        <f t="array" ref="C15">ROUND(INDEX(L_GAINERS_PRICE,A15),2)</f>
        <v>231</v>
      </c>
      <c r="D15" s="30">
        <f t="array" ref="D15">INDEX(L_GAINERS_CHANGE,A15)</f>
        <v>35.67</v>
      </c>
      <c r="E15" s="31" t="str">
        <f t="array" ref="E15">INDEX(L_GAINERS_CHANGEPCT,A15)</f>
        <v>18.26%</v>
      </c>
      <c r="F15" s="1"/>
      <c r="G15" s="1" t="str">
        <f t="array" ref="G15">INDEX(L_DECLINERS_TICKER,$A15)</f>
        <v>NSE:MCL</v>
      </c>
      <c r="H15" s="29">
        <f t="array" ref="H15">ROUND(INDEX(L_DECLINERS_PRICE,A15),2)</f>
        <v>58.49</v>
      </c>
      <c r="I15" s="32">
        <f t="array" ref="I15">INDEX(L_DECLINERS_CHANGE,A15)</f>
        <v>-0.01</v>
      </c>
      <c r="J15" s="33" t="str">
        <f t="array" ref="J15">INDEX(L_DECLINERS_CHANGEPCT,A15)</f>
        <v>-0.02%</v>
      </c>
      <c r="K15" s="1"/>
      <c r="L15" s="1" t="str">
        <f t="array" ref="L15">INDEX(L_ACTIVES_TICKERS,$A15)</f>
        <v>NSE:IFCI</v>
      </c>
      <c r="M15" s="29">
        <f t="array" ref="M15">ROUND(INDEX(L_ACTIVES_PRICE,A15),2)</f>
        <v>102.17</v>
      </c>
      <c r="N15" s="1" t="str">
        <f>IFERROR(__xludf.DUMMYFUNCTION("SPARKLINE(INDEX(L_ACTIVES_VOL,A15),{""CHARTTYPE"",""BAR""; ""COLOR1"", ""#00B0F0""; ""MAX"",MAX($O$13:$O$22)})"),"")</f>
        <v/>
      </c>
      <c r="O15" s="34">
        <f t="array" ref="O15">INDEX(L_ACTIVES_VOL,A15)</f>
        <v>407352536</v>
      </c>
      <c r="P15" s="35" t="str">
        <f t="array" ref="P15">INDEX(L_ACTIVES_CHANGEPCT,A15)</f>
        <v>6.53%</v>
      </c>
      <c r="Q15" s="26">
        <f t="array" ref="Q15">INDEX(L_ACTIVES_CHANGE,A15)</f>
        <v>6.26</v>
      </c>
      <c r="R15" s="1"/>
      <c r="S15" s="1"/>
      <c r="T15" s="1"/>
    </row>
    <row r="16" ht="21.75" customHeight="1">
      <c r="A16" s="26">
        <v>4.0</v>
      </c>
      <c r="B16" s="1" t="str">
        <f t="array" ref="B16">INDEX(L_GAINERS_TICKER,$A16)</f>
        <v>NSE:RML</v>
      </c>
      <c r="C16" s="29">
        <f t="array" ref="C16">ROUND(INDEX(L_GAINERS_PRICE,A16),2)</f>
        <v>1295.4</v>
      </c>
      <c r="D16" s="30">
        <f t="array" ref="D16">INDEX(L_GAINERS_CHANGE,A16)</f>
        <v>168</v>
      </c>
      <c r="E16" s="31" t="str">
        <f t="array" ref="E16">INDEX(L_GAINERS_CHANGEPCT,A16)</f>
        <v>14.9%</v>
      </c>
      <c r="F16" s="1"/>
      <c r="G16" s="1" t="str">
        <f t="array" ref="G16">INDEX(L_DECLINERS_TICKER,$A16)</f>
        <v>NSE:MUTHOOTFIN</v>
      </c>
      <c r="H16" s="29">
        <f t="array" ref="H16">ROUND(INDEX(L_DECLINERS_PRICE,A16),2)</f>
        <v>2926</v>
      </c>
      <c r="I16" s="32">
        <f t="array" ref="I16">INDEX(L_DECLINERS_CHANGE,A16)</f>
        <v>-0.5</v>
      </c>
      <c r="J16" s="33" t="str">
        <f t="array" ref="J16">INDEX(L_DECLINERS_CHANGEPCT,A16)</f>
        <v>-0.02%</v>
      </c>
      <c r="K16" s="1"/>
      <c r="L16" s="1" t="str">
        <f t="array" ref="L16">INDEX(L_ACTIVES_TICKERS,$A16)</f>
        <v>NSE:JINDWORLD</v>
      </c>
      <c r="M16" s="29">
        <f t="array" ref="M16">ROUND(INDEX(L_ACTIVES_PRICE,A16),2)</f>
        <v>57.78</v>
      </c>
      <c r="N16" s="1" t="str">
        <f>IFERROR(__xludf.DUMMYFUNCTION("SPARKLINE(INDEX(L_ACTIVES_VOL,A16),{""CHARTTYPE"",""BAR""; ""COLOR1"", ""#00B0F0""; ""MAX"",MAX($O$13:$O$22)})"),"")</f>
        <v/>
      </c>
      <c r="O16" s="34">
        <f t="array" ref="O16">INDEX(L_ACTIVES_VOL,A16)</f>
        <v>188275533</v>
      </c>
      <c r="P16" s="35" t="str">
        <f t="array" ref="P16">INDEX(L_ACTIVES_CHANGEPCT,A16)</f>
        <v>20%</v>
      </c>
      <c r="Q16" s="26">
        <f t="array" ref="Q16">INDEX(L_ACTIVES_CHANGE,A16)</f>
        <v>9.63</v>
      </c>
      <c r="R16" s="1"/>
      <c r="S16" s="1"/>
      <c r="T16" s="1"/>
    </row>
    <row r="17" ht="21.75" customHeight="1">
      <c r="A17" s="26">
        <v>5.0</v>
      </c>
      <c r="B17" s="1" t="str">
        <f t="array" ref="B17">INDEX(L_GAINERS_TICKER,$A17)</f>
        <v>NSE:PCJEWELLER</v>
      </c>
      <c r="C17" s="29">
        <f t="array" ref="C17">ROUND(INDEX(L_GAINERS_PRICE,A17),2)</f>
        <v>11.99</v>
      </c>
      <c r="D17" s="30">
        <f t="array" ref="D17">INDEX(L_GAINERS_CHANGE,A17)</f>
        <v>1.47</v>
      </c>
      <c r="E17" s="31" t="str">
        <f t="array" ref="E17">INDEX(L_GAINERS_CHANGEPCT,A17)</f>
        <v>13.97%</v>
      </c>
      <c r="F17" s="1"/>
      <c r="G17" s="1" t="str">
        <f t="array" ref="G17">INDEX(L_DECLINERS_TICKER,$A17)</f>
        <v>NSE:RAMCOIND</v>
      </c>
      <c r="H17" s="29">
        <f t="array" ref="H17">ROUND(INDEX(L_DECLINERS_PRICE,A17),2)</f>
        <v>323.95</v>
      </c>
      <c r="I17" s="32">
        <f t="array" ref="I17">INDEX(L_DECLINERS_CHANGE,A17)</f>
        <v>-0.05</v>
      </c>
      <c r="J17" s="33" t="str">
        <f t="array" ref="J17">INDEX(L_DECLINERS_CHANGEPCT,A17)</f>
        <v>-0.02%</v>
      </c>
      <c r="K17" s="1"/>
      <c r="L17" s="1" t="str">
        <f t="array" ref="L17">INDEX(L_ACTIVES_TICKERS,$A17)</f>
        <v>NSE:NIACL</v>
      </c>
      <c r="M17" s="29">
        <f t="array" ref="M17">ROUND(INDEX(L_ACTIVES_PRICE,A17),2)</f>
        <v>231</v>
      </c>
      <c r="N17" s="1" t="str">
        <f>IFERROR(__xludf.DUMMYFUNCTION("SPARKLINE(INDEX(L_ACTIVES_VOL,A17),{""CHARTTYPE"",""BAR""; ""COLOR1"", ""#00B0F0""; ""MAX"",MAX($O$13:$O$22)})"),"")</f>
        <v/>
      </c>
      <c r="O17" s="34">
        <f t="array" ref="O17">INDEX(L_ACTIVES_VOL,A17)</f>
        <v>66928665</v>
      </c>
      <c r="P17" s="35" t="str">
        <f t="array" ref="P17">INDEX(L_ACTIVES_CHANGEPCT,A17)</f>
        <v>18.26%</v>
      </c>
      <c r="Q17" s="26">
        <f t="array" ref="Q17">INDEX(L_ACTIVES_CHANGE,A17)</f>
        <v>35.67</v>
      </c>
      <c r="R17" s="1"/>
      <c r="S17" s="1"/>
      <c r="T17" s="1"/>
    </row>
    <row r="18" ht="21.75" customHeight="1">
      <c r="A18" s="26">
        <v>6.0</v>
      </c>
      <c r="B18" s="1" t="str">
        <f t="array" ref="B18">INDEX(L_GAINERS_TICKER,$A18)</f>
        <v>NSE:MARALOVER</v>
      </c>
      <c r="C18" s="29">
        <f t="array" ref="C18">ROUND(INDEX(L_GAINERS_PRICE,A18),2)</f>
        <v>62.8</v>
      </c>
      <c r="D18" s="30">
        <f t="array" ref="D18">INDEX(L_GAINERS_CHANGE,A18)</f>
        <v>7.54</v>
      </c>
      <c r="E18" s="31" t="str">
        <f t="array" ref="E18">INDEX(L_GAINERS_CHANGEPCT,A18)</f>
        <v>13.64%</v>
      </c>
      <c r="F18" s="1"/>
      <c r="G18" s="1" t="str">
        <f t="array" ref="G18">INDEX(L_DECLINERS_TICKER,$A18)</f>
        <v>NSE:ALBERTDAVD</v>
      </c>
      <c r="H18" s="29">
        <f t="array" ref="H18">ROUND(INDEX(L_DECLINERS_PRICE,A18),2)</f>
        <v>869.9</v>
      </c>
      <c r="I18" s="32">
        <f t="array" ref="I18">INDEX(L_DECLINERS_CHANGE,A18)</f>
        <v>-0.25</v>
      </c>
      <c r="J18" s="33" t="str">
        <f t="array" ref="J18">INDEX(L_DECLINERS_CHANGEPCT,A18)</f>
        <v>-0.03%</v>
      </c>
      <c r="K18" s="1"/>
      <c r="L18" s="1" t="str">
        <f t="array" ref="L18">INDEX(L_ACTIVES_TICKERS,$A18)</f>
        <v>NSE:ALOKINDS</v>
      </c>
      <c r="M18" s="29">
        <f t="array" ref="M18">ROUND(INDEX(L_ACTIVES_PRICE,A18),2)</f>
        <v>7.86</v>
      </c>
      <c r="N18" s="1" t="str">
        <f>IFERROR(__xludf.DUMMYFUNCTION("SPARKLINE(INDEX(L_ACTIVES_VOL,A18),{""CHARTTYPE"",""BAR""; ""COLOR1"", ""#00B0F0""; ""MAX"",MAX($O$13:$O$22)})"),"")</f>
        <v/>
      </c>
      <c r="O18" s="34">
        <f t="array" ref="O18">INDEX(L_ACTIVES_VOL,A18)</f>
        <v>65791332</v>
      </c>
      <c r="P18" s="35" t="str">
        <f t="array" ref="P18">INDEX(L_ACTIVES_CHANGEPCT,A18)</f>
        <v>4.38%</v>
      </c>
      <c r="Q18" s="26">
        <f t="array" ref="Q18">INDEX(L_ACTIVES_CHANGE,A18)</f>
        <v>0.33</v>
      </c>
      <c r="R18" s="1"/>
      <c r="S18" s="1"/>
      <c r="T18" s="1"/>
    </row>
    <row r="19" ht="21.75" customHeight="1">
      <c r="A19" s="26">
        <v>7.0</v>
      </c>
      <c r="B19" s="1" t="str">
        <f t="array" ref="B19">INDEX(L_GAINERS_TICKER,$A19)</f>
        <v>NSE:CYBERMEDIA</v>
      </c>
      <c r="C19" s="29">
        <f t="array" ref="C19">ROUND(INDEX(L_GAINERS_PRICE,A19),2)</f>
        <v>26.75</v>
      </c>
      <c r="D19" s="30">
        <f t="array" ref="D19">INDEX(L_GAINERS_CHANGE,A19)</f>
        <v>2.87</v>
      </c>
      <c r="E19" s="31" t="str">
        <f t="array" ref="E19">INDEX(L_GAINERS_CHANGEPCT,A19)</f>
        <v>12.02%</v>
      </c>
      <c r="F19" s="1"/>
      <c r="G19" s="1" t="str">
        <f t="array" ref="G19">INDEX(L_DECLINERS_TICKER,$A19)</f>
        <v>NSE:DCM</v>
      </c>
      <c r="H19" s="29">
        <f t="array" ref="H19">ROUND(INDEX(L_DECLINERS_PRICE,A19),2)</f>
        <v>76.95</v>
      </c>
      <c r="I19" s="32">
        <f t="array" ref="I19">INDEX(L_DECLINERS_CHANGE,A19)</f>
        <v>-0.02</v>
      </c>
      <c r="J19" s="33" t="str">
        <f t="array" ref="J19">INDEX(L_DECLINERS_CHANGEPCT,A19)</f>
        <v>-0.03%</v>
      </c>
      <c r="K19" s="1"/>
      <c r="L19" s="1" t="str">
        <f t="array" ref="L19">INDEX(L_ACTIVES_TICKERS,$A19)</f>
        <v>NSE:SUZLON</v>
      </c>
      <c r="M19" s="29">
        <f t="array" ref="M19">ROUND(INDEX(L_ACTIVES_PRICE,A19),2)</f>
        <v>45.33</v>
      </c>
      <c r="N19" s="1" t="str">
        <f>IFERROR(__xludf.DUMMYFUNCTION("SPARKLINE(INDEX(L_ACTIVES_VOL,A19),{""CHARTTYPE"",""BAR""; ""COLOR1"", ""#00B0F0""; ""MAX"",MAX($O$13:$O$22)})"),"")</f>
        <v/>
      </c>
      <c r="O19" s="34">
        <f t="array" ref="O19">INDEX(L_ACTIVES_VOL,A19)</f>
        <v>55366085</v>
      </c>
      <c r="P19" s="35" t="str">
        <f t="array" ref="P19">INDEX(L_ACTIVES_CHANGEPCT,A19)</f>
        <v>-1.52%</v>
      </c>
      <c r="Q19" s="26">
        <f t="array" ref="Q19">INDEX(L_ACTIVES_CHANGE,A19)</f>
        <v>-0.7</v>
      </c>
      <c r="R19" s="1"/>
      <c r="S19" s="1"/>
      <c r="T19" s="1"/>
    </row>
    <row r="20" ht="21.75" customHeight="1">
      <c r="A20" s="26">
        <v>8.0</v>
      </c>
      <c r="B20" s="1" t="str">
        <f t="array" ref="B20">INDEX(L_GAINERS_TICKER,$A20)</f>
        <v>NSE:JISLJALEQS</v>
      </c>
      <c r="C20" s="29">
        <f t="array" ref="C20">ROUND(INDEX(L_GAINERS_PRICE,A20),2)</f>
        <v>31.2</v>
      </c>
      <c r="D20" s="30">
        <f t="array" ref="D20">INDEX(L_GAINERS_CHANGE,A20)</f>
        <v>3.04</v>
      </c>
      <c r="E20" s="31" t="str">
        <f t="array" ref="E20">INDEX(L_GAINERS_CHANGEPCT,A20)</f>
        <v>10.8%</v>
      </c>
      <c r="F20" s="1"/>
      <c r="G20" s="1" t="str">
        <f t="array" ref="G20">INDEX(L_DECLINERS_TICKER,$A20)</f>
        <v>NSE:GOACARBON</v>
      </c>
      <c r="H20" s="29">
        <f t="array" ref="H20">ROUND(INDEX(L_DECLINERS_PRICE,A20),2)</f>
        <v>375.15</v>
      </c>
      <c r="I20" s="32">
        <f t="array" ref="I20">INDEX(L_DECLINERS_CHANGE,A20)</f>
        <v>-0.1</v>
      </c>
      <c r="J20" s="33" t="str">
        <f t="array" ref="J20">INDEX(L_DECLINERS_CHANGEPCT,A20)</f>
        <v>-0.03%</v>
      </c>
      <c r="K20" s="1"/>
      <c r="L20" s="1" t="str">
        <f t="array" ref="L20">INDEX(L_ACTIVES_TICKERS,$A20)</f>
        <v>NSE:JAYNECOIND</v>
      </c>
      <c r="M20" s="29">
        <f t="array" ref="M20">ROUND(INDEX(L_ACTIVES_PRICE,A20),2)</f>
        <v>88.7</v>
      </c>
      <c r="N20" s="1" t="str">
        <f>IFERROR(__xludf.DUMMYFUNCTION("SPARKLINE(INDEX(L_ACTIVES_VOL,A20),{""CHARTTYPE"",""BAR""; ""COLOR1"", ""#00B0F0""; ""MAX"",MAX($O$13:$O$22)})"),"")</f>
        <v/>
      </c>
      <c r="O20" s="34">
        <f t="array" ref="O20">INDEX(L_ACTIVES_VOL,A20)</f>
        <v>49840056</v>
      </c>
      <c r="P20" s="35" t="str">
        <f t="array" ref="P20">INDEX(L_ACTIVES_CHANGEPCT,A20)</f>
        <v>-10.11%</v>
      </c>
      <c r="Q20" s="26">
        <f t="array" ref="Q20">INDEX(L_ACTIVES_CHANGE,A20)</f>
        <v>-9.98</v>
      </c>
      <c r="R20" s="1"/>
      <c r="S20" s="1"/>
      <c r="T20" s="1"/>
    </row>
    <row r="21" ht="21.75" customHeight="1">
      <c r="A21" s="26">
        <v>9.0</v>
      </c>
      <c r="B21" s="1" t="str">
        <f t="array" ref="B21">INDEX(L_GAINERS_TICKER,$A21)</f>
        <v>NSE:TBZ</v>
      </c>
      <c r="C21" s="29">
        <f t="array" ref="C21">ROUND(INDEX(L_GAINERS_PRICE,A21),2)</f>
        <v>480.85</v>
      </c>
      <c r="D21" s="30">
        <f t="array" ref="D21">INDEX(L_GAINERS_CHANGE,A21)</f>
        <v>43.7</v>
      </c>
      <c r="E21" s="31" t="str">
        <f t="array" ref="E21">INDEX(L_GAINERS_CHANGEPCT,A21)</f>
        <v>10%</v>
      </c>
      <c r="F21" s="1"/>
      <c r="G21" s="1" t="str">
        <f t="array" ref="G21">INDEX(L_DECLINERS_TICKER,$A21)</f>
        <v>NSE:ICEMAKE</v>
      </c>
      <c r="H21" s="29">
        <f t="array" ref="H21">ROUND(INDEX(L_DECLINERS_PRICE,A21),2)</f>
        <v>739</v>
      </c>
      <c r="I21" s="32">
        <f t="array" ref="I21">INDEX(L_DECLINERS_CHANGE,A21)</f>
        <v>-0.25</v>
      </c>
      <c r="J21" s="33" t="str">
        <f t="array" ref="J21">INDEX(L_DECLINERS_CHANGEPCT,A21)</f>
        <v>-0.03%</v>
      </c>
      <c r="K21" s="1"/>
      <c r="L21" s="1" t="str">
        <f t="array" ref="L21">INDEX(L_ACTIVES_TICKERS,$A21)</f>
        <v>NSE:RESPONIND</v>
      </c>
      <c r="M21" s="29">
        <f t="array" ref="M21">ROUND(INDEX(L_ACTIVES_PRICE,A21),2)</f>
        <v>151.99</v>
      </c>
      <c r="N21" s="1" t="str">
        <f>IFERROR(__xludf.DUMMYFUNCTION("SPARKLINE(INDEX(L_ACTIVES_VOL,A21),{""CHARTTYPE"",""BAR""; ""COLOR1"", ""#00B0F0""; ""MAX"",MAX($O$13:$O$22)})"),"")</f>
        <v/>
      </c>
      <c r="O21" s="34">
        <f t="array" ref="O21">INDEX(L_ACTIVES_VOL,A21)</f>
        <v>40184929</v>
      </c>
      <c r="P21" s="35" t="str">
        <f t="array" ref="P21">INDEX(L_ACTIVES_CHANGEPCT,A21)</f>
        <v>0.08%</v>
      </c>
      <c r="Q21" s="26">
        <f t="array" ref="Q21">INDEX(L_ACTIVES_CHANGE,A21)</f>
        <v>0.12</v>
      </c>
      <c r="R21" s="1"/>
      <c r="S21" s="1"/>
      <c r="T21" s="1"/>
    </row>
    <row r="22" ht="21.75" customHeight="1">
      <c r="A22" s="26">
        <v>10.0</v>
      </c>
      <c r="B22" s="1" t="str">
        <f t="array" ref="B22">INDEX(L_GAINERS_TICKER,$A22)</f>
        <v>NSE:UNITECH</v>
      </c>
      <c r="C22" s="29">
        <f t="array" ref="C22">ROUND(INDEX(L_GAINERS_PRICE,A22),2)</f>
        <v>4.08</v>
      </c>
      <c r="D22" s="30">
        <f t="array" ref="D22">INDEX(L_GAINERS_CHANGE,A22)</f>
        <v>0.37</v>
      </c>
      <c r="E22" s="31" t="str">
        <f t="array" ref="E22">INDEX(L_GAINERS_CHANGEPCT,A22)</f>
        <v>9.97%</v>
      </c>
      <c r="F22" s="1"/>
      <c r="G22" s="1" t="str">
        <f t="array" ref="G22">INDEX(L_DECLINERS_TICKER,$A22)</f>
        <v>NSE:MAHEPC</v>
      </c>
      <c r="H22" s="29">
        <f t="array" ref="H22">ROUND(INDEX(L_DECLINERS_PRICE,A22),2)</f>
        <v>103.22</v>
      </c>
      <c r="I22" s="32">
        <f t="array" ref="I22">INDEX(L_DECLINERS_CHANGE,A22)</f>
        <v>-0.03</v>
      </c>
      <c r="J22" s="33" t="str">
        <f t="array" ref="J22">INDEX(L_DECLINERS_CHANGEPCT,A22)</f>
        <v>-0.03%</v>
      </c>
      <c r="K22" s="1"/>
      <c r="L22" s="1" t="str">
        <f t="array" ref="L22">INDEX(L_ACTIVES_TICKERS,$A22)</f>
        <v>NSE:TATASTEEL</v>
      </c>
      <c r="M22" s="29">
        <f t="array" ref="M22">ROUND(INDEX(L_ACTIVES_PRICE,A22),2)</f>
        <v>189.22</v>
      </c>
      <c r="N22" s="1" t="str">
        <f>IFERROR(__xludf.DUMMYFUNCTION("SPARKLINE(INDEX(L_ACTIVES_VOL,A22),{""CHARTTYPE"",""BAR""; ""COLOR1"", ""#00B0F0""; ""MAX"",MAX($O$13:$O$22)})"),"")</f>
        <v/>
      </c>
      <c r="O22" s="34">
        <f t="array" ref="O22">INDEX(L_ACTIVES_VOL,A22)</f>
        <v>36500951</v>
      </c>
      <c r="P22" s="35" t="str">
        <f t="array" ref="P22">INDEX(L_ACTIVES_CHANGEPCT,A22)</f>
        <v>2.73%</v>
      </c>
      <c r="Q22" s="26">
        <f t="array" ref="Q22">INDEX(L_ACTIVES_CHANGE,A22)</f>
        <v>5.02</v>
      </c>
      <c r="R22" s="1"/>
      <c r="S22" s="1"/>
      <c r="T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ht="15.75" customHeight="1">
      <c r="A24" s="1"/>
      <c r="B24" s="36" t="s">
        <v>25</v>
      </c>
      <c r="C24" s="1"/>
      <c r="D24" s="1"/>
      <c r="E24" s="1"/>
      <c r="F24" s="1"/>
      <c r="G24" s="36" t="s">
        <v>25</v>
      </c>
      <c r="H24" s="1"/>
      <c r="I24" s="1"/>
      <c r="J24" s="1"/>
      <c r="K24" s="1"/>
      <c r="L24" s="36" t="s">
        <v>25</v>
      </c>
      <c r="M24" s="1"/>
      <c r="N24" s="1"/>
      <c r="O24" s="1"/>
      <c r="P24" s="1"/>
      <c r="Q24" s="1"/>
      <c r="R24" s="1"/>
      <c r="S24" s="1"/>
      <c r="T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D1:F1"/>
    <mergeCell ref="N1:O1"/>
    <mergeCell ref="D3:E3"/>
    <mergeCell ref="K3:L3"/>
    <mergeCell ref="D4:E4"/>
    <mergeCell ref="G4:H4"/>
    <mergeCell ref="K4:L4"/>
    <mergeCell ref="N12:O12"/>
  </mergeCells>
  <conditionalFormatting sqref="F4">
    <cfRule type="expression" dxfId="4" priority="1">
      <formula>INDIRECT("HELP!$F$2")&lt;0</formula>
    </cfRule>
  </conditionalFormatting>
  <conditionalFormatting sqref="M4">
    <cfRule type="expression" dxfId="4" priority="2">
      <formula>INDIRECT("HELP!$F$3")&lt;0</formula>
    </cfRule>
  </conditionalFormatting>
  <conditionalFormatting sqref="G4:H4">
    <cfRule type="expression" dxfId="4" priority="3">
      <formula>INDIRECT("HELP!$F$2")&lt;0</formula>
    </cfRule>
  </conditionalFormatting>
  <conditionalFormatting sqref="N4:P4">
    <cfRule type="expression" dxfId="4" priority="4">
      <formula>INDIRECT("HELP!$F$3")&lt;0</formula>
    </cfRule>
  </conditionalFormatting>
  <conditionalFormatting sqref="D13:E22">
    <cfRule type="expression" dxfId="5" priority="5">
      <formula>$D13&lt;0</formula>
    </cfRule>
  </conditionalFormatting>
  <conditionalFormatting sqref="I13:J22">
    <cfRule type="expression" dxfId="6" priority="6">
      <formula>$I13&gt;0</formula>
    </cfRule>
  </conditionalFormatting>
  <conditionalFormatting sqref="P13:P22">
    <cfRule type="expression" dxfId="5" priority="7">
      <formula>$Q13&lt;0</formula>
    </cfRule>
  </conditionalFormatting>
  <conditionalFormatting sqref="P13:P22">
    <cfRule type="expression" dxfId="6" priority="8">
      <formula>$Q13&gt;0</formula>
    </cfRule>
  </conditionalFormatting>
  <hyperlinks>
    <hyperlink display="View More" location="GAINERS!A1" ref="B24"/>
    <hyperlink display="View More" location="DECLINERS!A1" ref="G24"/>
    <hyperlink display="View More" location="ACTIVES!A1" ref="L24"/>
  </hyperlin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4.88"/>
    <col customWidth="1" min="2" max="2" width="12.63"/>
    <col customWidth="1" min="3" max="3" width="15.13"/>
    <col customWidth="1" min="4" max="4" width="28.88"/>
    <col customWidth="1" min="5" max="6" width="12.63"/>
    <col customWidth="1" min="8" max="8" width="4.25"/>
    <col customWidth="1" hidden="1" min="10" max="10" width="5.75"/>
    <col customWidth="1" min="11" max="11" width="19.0"/>
    <col customWidth="1" min="13" max="13" width="13.88"/>
    <col customWidth="1" min="14" max="14" width="15.88"/>
    <col customWidth="1" min="15" max="15" width="13.75"/>
  </cols>
  <sheetData>
    <row r="1" ht="25.5" customHeight="1">
      <c r="A1" s="6" t="s">
        <v>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15.75" customHeight="1">
      <c r="A2" s="7" t="s">
        <v>4</v>
      </c>
      <c r="B2" s="7" t="s">
        <v>5</v>
      </c>
      <c r="C2" s="7" t="s">
        <v>6</v>
      </c>
      <c r="D2" s="7" t="s">
        <v>7</v>
      </c>
      <c r="E2" s="8" t="s">
        <v>8</v>
      </c>
      <c r="F2" s="8" t="s">
        <v>9</v>
      </c>
      <c r="G2" s="8" t="s">
        <v>10</v>
      </c>
      <c r="H2" s="7"/>
      <c r="I2" s="7" t="s">
        <v>11</v>
      </c>
      <c r="J2" s="7"/>
      <c r="K2" s="8" t="s">
        <v>12</v>
      </c>
      <c r="L2" s="8" t="s">
        <v>13</v>
      </c>
      <c r="M2" s="7" t="s">
        <v>14</v>
      </c>
      <c r="N2" s="8" t="s">
        <v>15</v>
      </c>
      <c r="O2" s="7" t="s">
        <v>16</v>
      </c>
      <c r="P2" s="1"/>
      <c r="Q2" s="1"/>
      <c r="R2" s="1"/>
      <c r="S2" s="1"/>
    </row>
    <row r="3" ht="15.75" customHeight="1">
      <c r="A3" s="10">
        <v>1.0</v>
      </c>
      <c r="B3" s="10">
        <f>MATCH(A3,L_DATA_TOP_GAIN_PCT,0)</f>
        <v>714</v>
      </c>
      <c r="C3" s="10" t="str">
        <f t="array" ref="C3">IFERROR(INDEX(L_DATA_SYMBOL,B3),)</f>
        <v>NSE:JINDWORLD</v>
      </c>
      <c r="D3" s="10" t="str">
        <f>IFERROR(__xludf.DUMMYFUNCTION("IFERROR(GOOGLEFINANCE(C3,""NAME""),)"),"Jindal Worldwide Ltd")</f>
        <v>Jindal Worldwide Ltd</v>
      </c>
      <c r="E3" s="16">
        <f t="array" ref="E3">IFERROR(INDEX(L_DATA_VOL,$B3),)</f>
        <v>188275533</v>
      </c>
      <c r="F3" s="10">
        <f t="array" ref="F3">IFERROR(INDEX(L_DATA_PRICE,$B3),)</f>
        <v>57.78</v>
      </c>
      <c r="G3" s="20">
        <f t="array" ref="G3">IFERROR(INDEX(L_DATA_CHANGE,$B3),)</f>
        <v>9.63</v>
      </c>
      <c r="H3" s="22" t="str">
        <f t="shared" ref="H3:H22" si="1">IFERROR(IF($J3="","",IFS($J3&gt;=0.05,CHAR(129033),$J3&lt;0,CHAR(129035),$J3&lt;0.05,CHAR(129034))),)</f>
        <v>🠉</v>
      </c>
      <c r="I3" s="23" t="str">
        <f t="array" ref="I3">IFERROR(INDEX(L_DATA_CHNG_PCT_FML,$B3),)</f>
        <v>20%</v>
      </c>
      <c r="J3" s="10">
        <f t="array" ref="J3">IFERROR(INDEX(L_DATA_CHANGEPCT,$B3),)</f>
        <v>20</v>
      </c>
      <c r="K3" s="27">
        <f>IFERROR(__xludf.DUMMYFUNCTION("IFERROR(GOOGLEFINANCE(C3,""MARKETCAP""),)"),5.7879571825E10)</f>
        <v>57879571825</v>
      </c>
      <c r="L3" s="10">
        <f>IFERROR(__xludf.DUMMYFUNCTION("IFERROR(GOOGLEFINANCE(C3,""PE""),)"),69.35)</f>
        <v>69.35</v>
      </c>
      <c r="M3" s="27">
        <f>IFERROR(__xludf.DUMMYFUNCTION("IFERROR(GOOGLEFINANCE(C3,""LOW52""),)"),17.85)</f>
        <v>17.85</v>
      </c>
      <c r="N3" s="28" t="str">
        <f t="shared" ref="N3:N22" si="2">IFERROR(REPT(CHAR(45),QUOTIENT(($F3 -$M3),ROUND( ($O3-$M3) /10,2)))
&amp;CHAR(9660)&amp;REPT(CHAR(45),9-QUOTIENT(($F3 -$M3),ROUND( ($O3-$M3) /10,2))),"")</f>
        <v/>
      </c>
      <c r="O3" s="27">
        <f>IFERROR(__xludf.DUMMYFUNCTION("IFERROR(GOOGLEFINANCE(C3,""HIGH52""),)"),57.78)</f>
        <v>57.78</v>
      </c>
      <c r="P3" s="1"/>
      <c r="Q3" s="1"/>
      <c r="R3" s="1"/>
      <c r="S3" s="1"/>
    </row>
    <row r="4" ht="15.75" customHeight="1">
      <c r="A4" s="10">
        <v>2.0</v>
      </c>
      <c r="B4" s="10">
        <f>MATCH(A4,L_DATA_TOP_GAIN_PCT,0)</f>
        <v>1004</v>
      </c>
      <c r="C4" s="10" t="str">
        <f t="array" ref="C4">IFERROR(INDEX(L_DATA_SYMBOL,B4),)</f>
        <v>NSE:NRAIL</v>
      </c>
      <c r="D4" s="10" t="str">
        <f>IFERROR(__xludf.DUMMYFUNCTION("IFERROR(GOOGLEFINANCE(C4,""NAME""),)"),"N R Agarwal Industries Ltd")</f>
        <v>N R Agarwal Industries Ltd</v>
      </c>
      <c r="E4" s="16">
        <f t="array" ref="E4">IFERROR(INDEX(L_DATA_VOL,$B4),)</f>
        <v>157426</v>
      </c>
      <c r="F4" s="10">
        <f t="array" ref="F4">IFERROR(INDEX(L_DATA_PRICE,$B4),)</f>
        <v>595</v>
      </c>
      <c r="G4" s="20">
        <f t="array" ref="G4">IFERROR(INDEX(L_DATA_CHANGE,$B4),)</f>
        <v>98.95</v>
      </c>
      <c r="H4" s="22" t="str">
        <f t="shared" si="1"/>
        <v>🠉</v>
      </c>
      <c r="I4" s="23" t="str">
        <f t="array" ref="I4">IFERROR(INDEX(L_DATA_CHNG_PCT_FML,$B4),)</f>
        <v>19.95%</v>
      </c>
      <c r="J4" s="10">
        <f t="array" ref="J4">IFERROR(INDEX(L_DATA_CHANGEPCT,$B4),)</f>
        <v>19.95</v>
      </c>
      <c r="K4" s="27">
        <f>IFERROR(__xludf.DUMMYFUNCTION("IFERROR(GOOGLEFINANCE(C4,""MARKETCAP""),)"),1.012635855E10)</f>
        <v>10126358550</v>
      </c>
      <c r="L4" s="10">
        <f>IFERROR(__xludf.DUMMYFUNCTION("IFERROR(GOOGLEFINANCE(C4,""PE""),)"),16.3)</f>
        <v>16.3</v>
      </c>
      <c r="M4" s="27">
        <f>IFERROR(__xludf.DUMMYFUNCTION("IFERROR(GOOGLEFINANCE(C4,""LOW52""),)"),357.3)</f>
        <v>357.3</v>
      </c>
      <c r="N4" s="28" t="str">
        <f t="shared" si="2"/>
        <v>---------▼</v>
      </c>
      <c r="O4" s="27">
        <f>IFERROR(__xludf.DUMMYFUNCTION("IFERROR(GOOGLEFINANCE(C4,""HIGH52""),)"),595.25)</f>
        <v>595.25</v>
      </c>
      <c r="P4" s="1"/>
      <c r="Q4" s="1"/>
      <c r="R4" s="1"/>
      <c r="S4" s="1"/>
    </row>
    <row r="5" ht="15.75" customHeight="1">
      <c r="A5" s="10">
        <v>3.0</v>
      </c>
      <c r="B5" s="10">
        <f>MATCH(A5,L_DATA_TOP_GAIN_PCT,0)</f>
        <v>987</v>
      </c>
      <c r="C5" s="10" t="str">
        <f t="array" ref="C5">IFERROR(INDEX(L_DATA_SYMBOL,B5),)</f>
        <v>NSE:NIACL</v>
      </c>
      <c r="D5" s="10" t="str">
        <f>IFERROR(__xludf.DUMMYFUNCTION("IFERROR(GOOGLEFINANCE(C5,""NAME""),)"),"New India Assurance Company Ltd")</f>
        <v>New India Assurance Company Ltd</v>
      </c>
      <c r="E5" s="16">
        <f t="array" ref="E5">IFERROR(INDEX(L_DATA_VOL,$B5),)</f>
        <v>66928665</v>
      </c>
      <c r="F5" s="10">
        <f t="array" ref="F5">IFERROR(INDEX(L_DATA_PRICE,$B5),)</f>
        <v>231</v>
      </c>
      <c r="G5" s="20">
        <f t="array" ref="G5">IFERROR(INDEX(L_DATA_CHANGE,$B5),)</f>
        <v>35.67</v>
      </c>
      <c r="H5" s="22" t="str">
        <f t="shared" si="1"/>
        <v>🠉</v>
      </c>
      <c r="I5" s="23" t="str">
        <f t="array" ref="I5">IFERROR(INDEX(L_DATA_CHNG_PCT_FML,$B5),)</f>
        <v>18.26%</v>
      </c>
      <c r="J5" s="10">
        <f t="array" ref="J5">IFERROR(INDEX(L_DATA_CHANGEPCT,$B5),)</f>
        <v>18.26</v>
      </c>
      <c r="K5" s="27">
        <f>IFERROR(__xludf.DUMMYFUNCTION("IFERROR(GOOGLEFINANCE(C5,""MARKETCAP""),)"),3.77922191018E11)</f>
        <v>377922191018</v>
      </c>
      <c r="L5" s="10">
        <f>IFERROR(__xludf.DUMMYFUNCTION("IFERROR(GOOGLEFINANCE(C5,""PE""),)"),49.33)</f>
        <v>49.33</v>
      </c>
      <c r="M5" s="27">
        <f>IFERROR(__xludf.DUMMYFUNCTION("IFERROR(GOOGLEFINANCE(C5,""LOW52""),)"),116.97)</f>
        <v>116.97</v>
      </c>
      <c r="N5" s="28" t="str">
        <f t="shared" si="2"/>
        <v>---------▼</v>
      </c>
      <c r="O5" s="27">
        <f>IFERROR(__xludf.DUMMYFUNCTION("IFERROR(GOOGLEFINANCE(C5,""HIGH52""),)"),234.39)</f>
        <v>234.39</v>
      </c>
      <c r="P5" s="1"/>
      <c r="Q5" s="1"/>
      <c r="R5" s="1"/>
      <c r="S5" s="1"/>
    </row>
    <row r="6" ht="15.75" customHeight="1">
      <c r="A6" s="10">
        <v>4.0</v>
      </c>
      <c r="B6" s="10">
        <f>MATCH(A6,L_DATA_TOP_GAIN_PCT,0)</f>
        <v>1175</v>
      </c>
      <c r="C6" s="10" t="str">
        <f t="array" ref="C6">IFERROR(INDEX(L_DATA_SYMBOL,B6),)</f>
        <v>NSE:RML</v>
      </c>
      <c r="D6" s="10" t="str">
        <f>IFERROR(__xludf.DUMMYFUNCTION("IFERROR(GOOGLEFINANCE(C6,""NAME""),)"),"Rane (Madras) Ltd")</f>
        <v>Rane (Madras) Ltd</v>
      </c>
      <c r="E6" s="16">
        <f t="array" ref="E6">IFERROR(INDEX(L_DATA_VOL,$B6),)</f>
        <v>2195205</v>
      </c>
      <c r="F6" s="10">
        <f t="array" ref="F6">IFERROR(INDEX(L_DATA_PRICE,$B6),)</f>
        <v>1295.4</v>
      </c>
      <c r="G6" s="20">
        <f t="array" ref="G6">IFERROR(INDEX(L_DATA_CHANGE,$B6),)</f>
        <v>168</v>
      </c>
      <c r="H6" s="22" t="str">
        <f t="shared" si="1"/>
        <v>🠉</v>
      </c>
      <c r="I6" s="23" t="str">
        <f t="array" ref="I6">IFERROR(INDEX(L_DATA_CHNG_PCT_FML,$B6),)</f>
        <v>14.9%</v>
      </c>
      <c r="J6" s="10">
        <f t="array" ref="J6">IFERROR(INDEX(L_DATA_CHANGEPCT,$B6),)</f>
        <v>14.9</v>
      </c>
      <c r="K6" s="27">
        <f>IFERROR(__xludf.DUMMYFUNCTION("IFERROR(GOOGLEFINANCE(C6,""MARKETCAP""),)"),3.5818691156E10)</f>
        <v>35818691156</v>
      </c>
      <c r="L6" s="10">
        <f>IFERROR(__xludf.DUMMYFUNCTION("IFERROR(GOOGLEFINANCE(C6,""PE""),)"),30.08)</f>
        <v>30.08</v>
      </c>
      <c r="M6" s="27">
        <f>IFERROR(__xludf.DUMMYFUNCTION("IFERROR(GOOGLEFINANCE(C6,""LOW52""),)"),608.5)</f>
        <v>608.5</v>
      </c>
      <c r="N6" s="28" t="str">
        <f t="shared" si="2"/>
        <v>---------▼</v>
      </c>
      <c r="O6" s="27">
        <f>IFERROR(__xludf.DUMMYFUNCTION("IFERROR(GOOGLEFINANCE(C6,""HIGH52""),)"),1333.0)</f>
        <v>1333</v>
      </c>
      <c r="P6" s="1"/>
      <c r="Q6" s="1"/>
      <c r="R6" s="1"/>
      <c r="S6" s="1"/>
    </row>
    <row r="7" ht="15.75" customHeight="1">
      <c r="A7" s="10">
        <v>5.0</v>
      </c>
      <c r="B7" s="10">
        <f>MATCH(A7,L_DATA_TOP_GAIN_PCT,0)</f>
        <v>1054</v>
      </c>
      <c r="C7" s="10" t="str">
        <f t="array" ref="C7">IFERROR(INDEX(L_DATA_SYMBOL,B7),)</f>
        <v>NSE:PCJEWELLER</v>
      </c>
      <c r="D7" s="10" t="str">
        <f>IFERROR(__xludf.DUMMYFUNCTION("IFERROR(GOOGLEFINANCE(C7,""NAME""),)"),"PC Jeweller Ltd")</f>
        <v>PC Jeweller Ltd</v>
      </c>
      <c r="E7" s="16">
        <f t="array" ref="E7">IFERROR(INDEX(L_DATA_VOL,$B7),)</f>
        <v>1088942848</v>
      </c>
      <c r="F7" s="10">
        <f t="array" ref="F7">IFERROR(INDEX(L_DATA_PRICE,$B7),)</f>
        <v>11.99</v>
      </c>
      <c r="G7" s="20">
        <f t="array" ref="G7">IFERROR(INDEX(L_DATA_CHANGE,$B7),)</f>
        <v>1.47</v>
      </c>
      <c r="H7" s="22" t="str">
        <f t="shared" si="1"/>
        <v>🠉</v>
      </c>
      <c r="I7" s="23" t="str">
        <f t="array" ref="I7">IFERROR(INDEX(L_DATA_CHNG_PCT_FML,$B7),)</f>
        <v>13.97%</v>
      </c>
      <c r="J7" s="10">
        <f t="array" ref="J7">IFERROR(INDEX(L_DATA_CHANGEPCT,$B7),)</f>
        <v>13.97</v>
      </c>
      <c r="K7" s="27">
        <f>IFERROR(__xludf.DUMMYFUNCTION("IFERROR(GOOGLEFINANCE(C7,""MARKETCAP""),)"),1.15830228986E11)</f>
        <v>115830228986</v>
      </c>
      <c r="L7" s="10">
        <f>IFERROR(__xludf.DUMMYFUNCTION("IFERROR(GOOGLEFINANCE(C7,""PE""),)"),15.18)</f>
        <v>15.18</v>
      </c>
      <c r="M7" s="27">
        <f>IFERROR(__xludf.DUMMYFUNCTION("IFERROR(GOOGLEFINANCE(C7,""LOW52""),)"),7.47)</f>
        <v>7.47</v>
      </c>
      <c r="N7" s="28" t="str">
        <f t="shared" si="2"/>
        <v>-----▼----</v>
      </c>
      <c r="O7" s="27">
        <f>IFERROR(__xludf.DUMMYFUNCTION("IFERROR(GOOGLEFINANCE(C7,""HIGH52""),)"),15.38)</f>
        <v>15.38</v>
      </c>
      <c r="P7" s="1"/>
      <c r="Q7" s="1"/>
      <c r="R7" s="1"/>
      <c r="S7" s="1"/>
    </row>
    <row r="8" ht="15.75" customHeight="1">
      <c r="A8" s="10">
        <v>6.0</v>
      </c>
      <c r="B8" s="10">
        <f>MATCH(A8,L_DATA_TOP_GAIN_PCT,0)</f>
        <v>873</v>
      </c>
      <c r="C8" s="10" t="str">
        <f t="array" ref="C8">IFERROR(INDEX(L_DATA_SYMBOL,B8),)</f>
        <v>NSE:MARALOVER</v>
      </c>
      <c r="D8" s="10" t="str">
        <f>IFERROR(__xludf.DUMMYFUNCTION("IFERROR(GOOGLEFINANCE(C8,""NAME""),)"),"Maral Overseas Ltd")</f>
        <v>Maral Overseas Ltd</v>
      </c>
      <c r="E8" s="16">
        <f t="array" ref="E8">IFERROR(INDEX(L_DATA_VOL,$B8),)</f>
        <v>313426</v>
      </c>
      <c r="F8" s="10">
        <f t="array" ref="F8">IFERROR(INDEX(L_DATA_PRICE,$B8),)</f>
        <v>62.8</v>
      </c>
      <c r="G8" s="20">
        <f t="array" ref="G8">IFERROR(INDEX(L_DATA_CHANGE,$B8),)</f>
        <v>7.54</v>
      </c>
      <c r="H8" s="22" t="str">
        <f t="shared" si="1"/>
        <v>🠉</v>
      </c>
      <c r="I8" s="23" t="str">
        <f t="array" ref="I8">IFERROR(INDEX(L_DATA_CHNG_PCT_FML,$B8),)</f>
        <v>13.64%</v>
      </c>
      <c r="J8" s="10">
        <f t="array" ref="J8">IFERROR(INDEX(L_DATA_CHANGEPCT,$B8),)</f>
        <v>13.64</v>
      </c>
      <c r="K8" s="27">
        <f>IFERROR(__xludf.DUMMYFUNCTION("IFERROR(GOOGLEFINANCE(C8,""MARKETCAP""),)"),2.584463006E9)</f>
        <v>2584463006</v>
      </c>
      <c r="L8" s="10">
        <f>IFERROR(__xludf.DUMMYFUNCTION("IFERROR(GOOGLEFINANCE(C8,""PE""),)"),11.94)</f>
        <v>11.94</v>
      </c>
      <c r="M8" s="27">
        <f>IFERROR(__xludf.DUMMYFUNCTION("IFERROR(GOOGLEFINANCE(C8,""LOW52""),)"),34.11)</f>
        <v>34.11</v>
      </c>
      <c r="N8" s="28" t="str">
        <f t="shared" si="2"/>
        <v>---------▼</v>
      </c>
      <c r="O8" s="27">
        <f>IFERROR(__xludf.DUMMYFUNCTION("IFERROR(GOOGLEFINANCE(C8,""HIGH52""),)"),65.79)</f>
        <v>65.79</v>
      </c>
      <c r="P8" s="1"/>
      <c r="Q8" s="1"/>
      <c r="R8" s="1"/>
      <c r="S8" s="1"/>
    </row>
    <row r="9" ht="15.75" customHeight="1">
      <c r="A9" s="10">
        <v>7.0</v>
      </c>
      <c r="B9" s="10">
        <f>MATCH(A9,L_DATA_TOP_GAIN_PCT,0)</f>
        <v>297</v>
      </c>
      <c r="C9" s="10" t="str">
        <f t="array" ref="C9">IFERROR(INDEX(L_DATA_SYMBOL,B9),)</f>
        <v>NSE:CYBERMEDIA</v>
      </c>
      <c r="D9" s="10" t="str">
        <f>IFERROR(__xludf.DUMMYFUNCTION("IFERROR(GOOGLEFINANCE(C9,""NAME""),)"),"Cyber Media India Ltd")</f>
        <v>Cyber Media India Ltd</v>
      </c>
      <c r="E9" s="16">
        <f t="array" ref="E9">IFERROR(INDEX(L_DATA_VOL,$B9),)</f>
        <v>2157521</v>
      </c>
      <c r="F9" s="10">
        <f t="array" ref="F9">IFERROR(INDEX(L_DATA_PRICE,$B9),)</f>
        <v>26.75</v>
      </c>
      <c r="G9" s="20">
        <f t="array" ref="G9">IFERROR(INDEX(L_DATA_CHANGE,$B9),)</f>
        <v>2.87</v>
      </c>
      <c r="H9" s="22" t="str">
        <f t="shared" si="1"/>
        <v>🠉</v>
      </c>
      <c r="I9" s="23" t="str">
        <f t="array" ref="I9">IFERROR(INDEX(L_DATA_CHNG_PCT_FML,$B9),)</f>
        <v>12.02%</v>
      </c>
      <c r="J9" s="10">
        <f t="array" ref="J9">IFERROR(INDEX(L_DATA_CHANGEPCT,$B9),)</f>
        <v>12.02</v>
      </c>
      <c r="K9" s="27">
        <f>IFERROR(__xludf.DUMMYFUNCTION("IFERROR(GOOGLEFINANCE(C9,""MARKETCAP""),)"),5.49307687E8)</f>
        <v>549307687</v>
      </c>
      <c r="L9" s="10">
        <f>IFERROR(__xludf.DUMMYFUNCTION("IFERROR(GOOGLEFINANCE(C9,""PE""),)"),14.93)</f>
        <v>14.93</v>
      </c>
      <c r="M9" s="27">
        <f>IFERROR(__xludf.DUMMYFUNCTION("IFERROR(GOOGLEFINANCE(C9,""LOW52""),)"),11.3)</f>
        <v>11.3</v>
      </c>
      <c r="N9" s="28" t="str">
        <f t="shared" si="2"/>
        <v>--------▼-</v>
      </c>
      <c r="O9" s="27">
        <f>IFERROR(__xludf.DUMMYFUNCTION("IFERROR(GOOGLEFINANCE(C9,""HIGH52""),)"),28.45)</f>
        <v>28.45</v>
      </c>
      <c r="P9" s="1"/>
      <c r="Q9" s="1"/>
      <c r="R9" s="1"/>
      <c r="S9" s="1"/>
    </row>
    <row r="10" ht="15.75" customHeight="1">
      <c r="A10" s="10">
        <v>8.0</v>
      </c>
      <c r="B10" s="10">
        <f>MATCH(A10,L_DATA_TOP_GAIN_PCT,0)</f>
        <v>716</v>
      </c>
      <c r="C10" s="10" t="str">
        <f t="array" ref="C10">IFERROR(INDEX(L_DATA_SYMBOL,B10),)</f>
        <v>NSE:JISLJALEQS</v>
      </c>
      <c r="D10" s="10" t="str">
        <f>IFERROR(__xludf.DUMMYFUNCTION("IFERROR(GOOGLEFINANCE(C10,""NAME""),)"),"Jain Irrigation Systems Ltd")</f>
        <v>Jain Irrigation Systems Ltd</v>
      </c>
      <c r="E10" s="16">
        <f t="array" ref="E10">IFERROR(INDEX(L_DATA_VOL,$B10),)</f>
        <v>29548721</v>
      </c>
      <c r="F10" s="10">
        <f t="array" ref="F10">IFERROR(INDEX(L_DATA_PRICE,$B10),)</f>
        <v>31.2</v>
      </c>
      <c r="G10" s="20">
        <f t="array" ref="G10">IFERROR(INDEX(L_DATA_CHANGE,$B10),)</f>
        <v>3.04</v>
      </c>
      <c r="H10" s="22" t="str">
        <f t="shared" si="1"/>
        <v>🠉</v>
      </c>
      <c r="I10" s="23" t="str">
        <f t="array" ref="I10">IFERROR(INDEX(L_DATA_CHNG_PCT_FML,$B10),)</f>
        <v>10.8%</v>
      </c>
      <c r="J10" s="10">
        <f t="array" ref="J10">IFERROR(INDEX(L_DATA_CHANGEPCT,$B10),)</f>
        <v>10.8</v>
      </c>
      <c r="K10" s="27">
        <f>IFERROR(__xludf.DUMMYFUNCTION("IFERROR(GOOGLEFINANCE(C10,""MARKETCAP""),)"),2.2590978121E10)</f>
        <v>22590978121</v>
      </c>
      <c r="L10" s="10" t="str">
        <f>IFERROR(__xludf.DUMMYFUNCTION("IFERROR(GOOGLEFINANCE(C10,""PE""),)"),"")</f>
        <v/>
      </c>
      <c r="M10" s="27">
        <f>IFERROR(__xludf.DUMMYFUNCTION("IFERROR(GOOGLEFINANCE(C10,""LOW52""),)"),26.11)</f>
        <v>26.11</v>
      </c>
      <c r="N10" s="28" t="str">
        <f t="shared" si="2"/>
        <v>-▼--------</v>
      </c>
      <c r="O10" s="27">
        <f>IFERROR(__xludf.DUMMYFUNCTION("IFERROR(GOOGLEFINANCE(C10,""HIGH52""),)"),59.0)</f>
        <v>59</v>
      </c>
      <c r="P10" s="1"/>
      <c r="Q10" s="1"/>
      <c r="R10" s="1"/>
      <c r="S10" s="1"/>
    </row>
    <row r="11" ht="15.75" customHeight="1">
      <c r="A11" s="10">
        <v>9.0</v>
      </c>
      <c r="B11" s="10">
        <f>MATCH(A11,L_DATA_TOP_GAIN_PCT,0)</f>
        <v>1402</v>
      </c>
      <c r="C11" s="10" t="str">
        <f t="array" ref="C11">IFERROR(INDEX(L_DATA_SYMBOL,B11),)</f>
        <v>NSE:TBZ</v>
      </c>
      <c r="D11" s="10" t="str">
        <f>IFERROR(__xludf.DUMMYFUNCTION("IFERROR(GOOGLEFINANCE(C11,""NAME""),)"),"Tribhovandas Bhimji Zaveri Ltd")</f>
        <v>Tribhovandas Bhimji Zaveri Ltd</v>
      </c>
      <c r="E11" s="16">
        <f t="array" ref="E11">IFERROR(INDEX(L_DATA_VOL,$B11),)</f>
        <v>3486401</v>
      </c>
      <c r="F11" s="10">
        <f t="array" ref="F11">IFERROR(INDEX(L_DATA_PRICE,$B11),)</f>
        <v>480.85</v>
      </c>
      <c r="G11" s="20">
        <f t="array" ref="G11">IFERROR(INDEX(L_DATA_CHANGE,$B11),)</f>
        <v>43.7</v>
      </c>
      <c r="H11" s="22" t="str">
        <f t="shared" si="1"/>
        <v>🠉</v>
      </c>
      <c r="I11" s="23" t="str">
        <f t="array" ref="I11">IFERROR(INDEX(L_DATA_CHNG_PCT_FML,$B11),)</f>
        <v>10%</v>
      </c>
      <c r="J11" s="10">
        <f t="array" ref="J11">IFERROR(INDEX(L_DATA_CHANGEPCT,$B11),)</f>
        <v>10</v>
      </c>
      <c r="K11" s="27">
        <f>IFERROR(__xludf.DUMMYFUNCTION("IFERROR(GOOGLEFINANCE(C11,""MARKETCAP""),)"),3.2087414225E10)</f>
        <v>32087414225</v>
      </c>
      <c r="L11" s="10">
        <f>IFERROR(__xludf.DUMMYFUNCTION("IFERROR(GOOGLEFINANCE(C11,""PE""),)"),15.01)</f>
        <v>15.01</v>
      </c>
      <c r="M11" s="27">
        <f>IFERROR(__xludf.DUMMYFUNCTION("IFERROR(GOOGLEFINANCE(C11,""LOW52""),)"),110.5)</f>
        <v>110.5</v>
      </c>
      <c r="N11" s="28" t="str">
        <f t="shared" si="2"/>
        <v>---------▼</v>
      </c>
      <c r="O11" s="27">
        <f>IFERROR(__xludf.DUMMYFUNCTION("IFERROR(GOOGLEFINANCE(C11,""HIGH52""),)"),480.85)</f>
        <v>480.85</v>
      </c>
      <c r="P11" s="1"/>
      <c r="Q11" s="1"/>
      <c r="R11" s="1"/>
      <c r="S11" s="1"/>
    </row>
    <row r="12" ht="15.75" customHeight="1">
      <c r="A12" s="10">
        <v>10.0</v>
      </c>
      <c r="B12" s="10">
        <f>MATCH(A12,L_DATA_TOP_GAIN_PCT,0)</f>
        <v>1489</v>
      </c>
      <c r="C12" s="10" t="str">
        <f t="array" ref="C12">IFERROR(INDEX(L_DATA_SYMBOL,B12),)</f>
        <v>NSE:UNITECH</v>
      </c>
      <c r="D12" s="10" t="str">
        <f>IFERROR(__xludf.DUMMYFUNCTION("IFERROR(GOOGLEFINANCE(C12,""NAME""),)"),"Unitech Ltd")</f>
        <v>Unitech Ltd</v>
      </c>
      <c r="E12" s="16">
        <f t="array" ref="E12">IFERROR(INDEX(L_DATA_VOL,$B12),)</f>
        <v>14406516</v>
      </c>
      <c r="F12" s="10">
        <f t="array" ref="F12">IFERROR(INDEX(L_DATA_PRICE,$B12),)</f>
        <v>4.08</v>
      </c>
      <c r="G12" s="20">
        <f t="array" ref="G12">IFERROR(INDEX(L_DATA_CHANGE,$B12),)</f>
        <v>0.37</v>
      </c>
      <c r="H12" s="22" t="str">
        <f t="shared" si="1"/>
        <v>🠉</v>
      </c>
      <c r="I12" s="23" t="str">
        <f t="array" ref="I12">IFERROR(INDEX(L_DATA_CHNG_PCT_FML,$B12),)</f>
        <v>9.97%</v>
      </c>
      <c r="J12" s="10">
        <f t="array" ref="J12">IFERROR(INDEX(L_DATA_CHANGEPCT,$B12),)</f>
        <v>9.97</v>
      </c>
      <c r="K12" s="27">
        <f>IFERROR(__xludf.DUMMYFUNCTION("IFERROR(GOOGLEFINANCE(C12,""MARKETCAP""),)"),1.0671906518E10)</f>
        <v>10671906518</v>
      </c>
      <c r="L12" s="10" t="str">
        <f>IFERROR(__xludf.DUMMYFUNCTION("IFERROR(GOOGLEFINANCE(C12,""PE""),)"),"")</f>
        <v/>
      </c>
      <c r="M12" s="27">
        <f>IFERROR(__xludf.DUMMYFUNCTION("IFERROR(GOOGLEFINANCE(C12,""LOW52""),)"),3.1)</f>
        <v>3.1</v>
      </c>
      <c r="N12" s="28" t="str">
        <f t="shared" si="2"/>
        <v>--▼-------</v>
      </c>
      <c r="O12" s="27">
        <f>IFERROR(__xludf.DUMMYFUNCTION("IFERROR(GOOGLEFINANCE(C12,""HIGH52""),)"),7.93)</f>
        <v>7.93</v>
      </c>
      <c r="P12" s="1"/>
      <c r="Q12" s="1"/>
      <c r="R12" s="1"/>
      <c r="S12" s="1"/>
    </row>
    <row r="13" ht="15.75" customHeight="1">
      <c r="A13" s="10">
        <v>11.0</v>
      </c>
      <c r="B13" s="10">
        <f>MATCH(A13,L_DATA_TOP_GAIN_PCT,0)</f>
        <v>1166</v>
      </c>
      <c r="C13" s="10" t="str">
        <f t="array" ref="C13">IFERROR(INDEX(L_DATA_SYMBOL,B13),)</f>
        <v>NSE:RGL</v>
      </c>
      <c r="D13" s="10" t="str">
        <f>IFERROR(__xludf.DUMMYFUNCTION("IFERROR(GOOGLEFINANCE(C13,""NAME""),)"),"Renaissance Global Ltd")</f>
        <v>Renaissance Global Ltd</v>
      </c>
      <c r="E13" s="16">
        <f t="array" ref="E13">IFERROR(INDEX(L_DATA_VOL,$B13),)</f>
        <v>3035236</v>
      </c>
      <c r="F13" s="10">
        <f t="array" ref="F13">IFERROR(INDEX(L_DATA_PRICE,$B13),)</f>
        <v>149.35</v>
      </c>
      <c r="G13" s="20">
        <f t="array" ref="G13">IFERROR(INDEX(L_DATA_CHANGE,$B13),)</f>
        <v>12.23</v>
      </c>
      <c r="H13" s="22" t="str">
        <f t="shared" si="1"/>
        <v>🠉</v>
      </c>
      <c r="I13" s="23" t="str">
        <f t="array" ref="I13">IFERROR(INDEX(L_DATA_CHNG_PCT_FML,$B13),)</f>
        <v>8.92%</v>
      </c>
      <c r="J13" s="10">
        <f t="array" ref="J13">IFERROR(INDEX(L_DATA_CHANGEPCT,$B13),)</f>
        <v>8.92</v>
      </c>
      <c r="K13" s="27">
        <f>IFERROR(__xludf.DUMMYFUNCTION("IFERROR(GOOGLEFINANCE(C13,""MARKETCAP""),)"),1.5964313581E10)</f>
        <v>15964313581</v>
      </c>
      <c r="L13" s="10">
        <f>IFERROR(__xludf.DUMMYFUNCTION("IFERROR(GOOGLEFINANCE(C13,""PE""),)"),14.7)</f>
        <v>14.7</v>
      </c>
      <c r="M13" s="27">
        <f>IFERROR(__xludf.DUMMYFUNCTION("IFERROR(GOOGLEFINANCE(C13,""LOW52""),)"),85.0)</f>
        <v>85</v>
      </c>
      <c r="N13" s="28" t="str">
        <f t="shared" si="2"/>
        <v>--------▼-</v>
      </c>
      <c r="O13" s="27">
        <f>IFERROR(__xludf.DUMMYFUNCTION("IFERROR(GOOGLEFINANCE(C13,""HIGH52""),)"),159.0)</f>
        <v>159</v>
      </c>
      <c r="P13" s="1"/>
      <c r="Q13" s="1"/>
      <c r="R13" s="1"/>
      <c r="S13" s="1"/>
    </row>
    <row r="14" ht="15.75" customHeight="1">
      <c r="A14" s="10">
        <v>12.0</v>
      </c>
      <c r="B14" s="10">
        <f>MATCH(A14,L_DATA_TOP_GAIN_PCT,0)</f>
        <v>569</v>
      </c>
      <c r="C14" s="10" t="str">
        <f t="array" ref="C14">IFERROR(INDEX(L_DATA_SYMBOL,B14),)</f>
        <v>NSE:HESTERBIO</v>
      </c>
      <c r="D14" s="10" t="str">
        <f>IFERROR(__xludf.DUMMYFUNCTION("IFERROR(GOOGLEFINANCE(C14,""NAME""),)"),"Hester Biosciences Ltd")</f>
        <v>Hester Biosciences Ltd</v>
      </c>
      <c r="E14" s="16">
        <f t="array" ref="E14">IFERROR(INDEX(L_DATA_VOL,$B14),)</f>
        <v>93542</v>
      </c>
      <c r="F14" s="10">
        <f t="array" ref="F14">IFERROR(INDEX(L_DATA_PRICE,$B14),)</f>
        <v>2391</v>
      </c>
      <c r="G14" s="20">
        <f t="array" ref="G14">IFERROR(INDEX(L_DATA_CHANGE,$B14),)</f>
        <v>189.3</v>
      </c>
      <c r="H14" s="22" t="str">
        <f t="shared" si="1"/>
        <v>🠉</v>
      </c>
      <c r="I14" s="23" t="str">
        <f t="array" ref="I14">IFERROR(INDEX(L_DATA_CHNG_PCT_FML,$B14),)</f>
        <v>8.6%</v>
      </c>
      <c r="J14" s="10">
        <f t="array" ref="J14">IFERROR(INDEX(L_DATA_CHANGEPCT,$B14),)</f>
        <v>8.6</v>
      </c>
      <c r="K14" s="27">
        <f>IFERROR(__xludf.DUMMYFUNCTION("IFERROR(GOOGLEFINANCE(C14,""MARKETCAP""),)"),2.0339907042E10)</f>
        <v>20339907042</v>
      </c>
      <c r="L14" s="10">
        <f>IFERROR(__xludf.DUMMYFUNCTION("IFERROR(GOOGLEFINANCE(C14,""PE""),)"),15.07)</f>
        <v>15.07</v>
      </c>
      <c r="M14" s="27">
        <f>IFERROR(__xludf.DUMMYFUNCTION("IFERROR(GOOGLEFINANCE(C14,""LOW52""),)"),1239.3)</f>
        <v>1239.3</v>
      </c>
      <c r="N14" s="28" t="str">
        <f t="shared" si="2"/>
        <v>-------▼--</v>
      </c>
      <c r="O14" s="27">
        <f>IFERROR(__xludf.DUMMYFUNCTION("IFERROR(GOOGLEFINANCE(C14,""HIGH52""),)"),2683.6)</f>
        <v>2683.6</v>
      </c>
      <c r="P14" s="1"/>
      <c r="Q14" s="1"/>
      <c r="R14" s="1"/>
      <c r="S14" s="1"/>
    </row>
    <row r="15" ht="15.75" customHeight="1">
      <c r="A15" s="10">
        <v>13.0</v>
      </c>
      <c r="B15" s="10">
        <f>MATCH(A15,L_DATA_TOP_GAIN_PCT,0)</f>
        <v>107</v>
      </c>
      <c r="C15" s="10" t="str">
        <f t="array" ref="C15">IFERROR(INDEX(L_DATA_SYMBOL,B15),)</f>
        <v>BOM:531381</v>
      </c>
      <c r="D15" s="10" t="str">
        <f>IFERROR(__xludf.DUMMYFUNCTION("IFERROR(GOOGLEFINANCE(C15,""NAME""),)"),"Arihant Foundations &amp; Housing Ltd.")</f>
        <v>Arihant Foundations &amp; Housing Ltd.</v>
      </c>
      <c r="E15" s="16">
        <f t="array" ref="E15">IFERROR(INDEX(L_DATA_VOL,$B15),)</f>
        <v>324</v>
      </c>
      <c r="F15" s="10">
        <f t="array" ref="F15">IFERROR(INDEX(L_DATA_PRICE,$B15),)</f>
        <v>999</v>
      </c>
      <c r="G15" s="20">
        <f t="array" ref="G15">IFERROR(INDEX(L_DATA_CHANGE,$B15),)</f>
        <v>76.65</v>
      </c>
      <c r="H15" s="22" t="str">
        <f t="shared" si="1"/>
        <v>🠉</v>
      </c>
      <c r="I15" s="23" t="str">
        <f t="array" ref="I15">IFERROR(INDEX(L_DATA_CHNG_PCT_FML,$B15),)</f>
        <v>8.31%</v>
      </c>
      <c r="J15" s="10">
        <f t="array" ref="J15">IFERROR(INDEX(L_DATA_CHANGEPCT,$B15),)</f>
        <v>8.31</v>
      </c>
      <c r="K15" s="27">
        <f>IFERROR(__xludf.DUMMYFUNCTION("IFERROR(GOOGLEFINANCE(C15,""MARKETCAP""),)"),1.083162753E10)</f>
        <v>10831627530</v>
      </c>
      <c r="L15" s="10">
        <f>IFERROR(__xludf.DUMMYFUNCTION("IFERROR(GOOGLEFINANCE(C15,""PE""),)"),14.95)</f>
        <v>14.95</v>
      </c>
      <c r="M15" s="27">
        <f>IFERROR(__xludf.DUMMYFUNCTION("IFERROR(GOOGLEFINANCE(C15,""LOW52""),)"),730.6)</f>
        <v>730.6</v>
      </c>
      <c r="N15" s="28" t="str">
        <f t="shared" si="2"/>
        <v>----▼-----</v>
      </c>
      <c r="O15" s="27">
        <f>IFERROR(__xludf.DUMMYFUNCTION("IFERROR(GOOGLEFINANCE(C15,""HIGH52""),)"),1288.0)</f>
        <v>1288</v>
      </c>
      <c r="P15" s="1"/>
      <c r="Q15" s="1"/>
      <c r="R15" s="1"/>
      <c r="S15" s="1"/>
    </row>
    <row r="16" ht="15.75" customHeight="1">
      <c r="A16" s="10">
        <v>14.0</v>
      </c>
      <c r="B16" s="10">
        <f>MATCH(A16,L_DATA_TOP_GAIN_PCT,0)</f>
        <v>1299</v>
      </c>
      <c r="C16" s="10" t="str">
        <f t="array" ref="C16">IFERROR(INDEX(L_DATA_SYMBOL,B16),)</f>
        <v>NSE:SKIPPER</v>
      </c>
      <c r="D16" s="10" t="str">
        <f>IFERROR(__xludf.DUMMYFUNCTION("IFERROR(GOOGLEFINANCE(C16,""NAME""),)"),"Skipper Ltd (India)")</f>
        <v>Skipper Ltd (India)</v>
      </c>
      <c r="E16" s="16">
        <f t="array" ref="E16">IFERROR(INDEX(L_DATA_VOL,$B16),)</f>
        <v>10118419</v>
      </c>
      <c r="F16" s="10">
        <f t="array" ref="F16">IFERROR(INDEX(L_DATA_PRICE,$B16),)</f>
        <v>591.75</v>
      </c>
      <c r="G16" s="20">
        <f t="array" ref="G16">IFERROR(INDEX(L_DATA_CHANGE,$B16),)</f>
        <v>44.85</v>
      </c>
      <c r="H16" s="22" t="str">
        <f t="shared" si="1"/>
        <v>🠉</v>
      </c>
      <c r="I16" s="23" t="str">
        <f t="array" ref="I16">IFERROR(INDEX(L_DATA_CHNG_PCT_FML,$B16),)</f>
        <v>8.2%</v>
      </c>
      <c r="J16" s="10">
        <f t="array" ref="J16">IFERROR(INDEX(L_DATA_CHANGEPCT,$B16),)</f>
        <v>8.2</v>
      </c>
      <c r="K16" s="27">
        <f>IFERROR(__xludf.DUMMYFUNCTION("IFERROR(GOOGLEFINANCE(C16,""MARKETCAP""),)"),7.225817235E10)</f>
        <v>72258172350</v>
      </c>
      <c r="L16" s="10">
        <f>IFERROR(__xludf.DUMMYFUNCTION("IFERROR(GOOGLEFINANCE(C16,""PE""),)"),29.69)</f>
        <v>29.69</v>
      </c>
      <c r="M16" s="27">
        <f>IFERROR(__xludf.DUMMYFUNCTION("IFERROR(GOOGLEFINANCE(C16,""LOW52""),)"),327.05)</f>
        <v>327.05</v>
      </c>
      <c r="N16" s="28" t="str">
        <f t="shared" si="2"/>
        <v>---------▼</v>
      </c>
      <c r="O16" s="27">
        <f>IFERROR(__xludf.DUMMYFUNCTION("IFERROR(GOOGLEFINANCE(C16,""HIGH52""),)"),609.0)</f>
        <v>609</v>
      </c>
      <c r="P16" s="1"/>
      <c r="Q16" s="1"/>
      <c r="R16" s="1"/>
      <c r="S16" s="1"/>
    </row>
    <row r="17" ht="15.75" customHeight="1">
      <c r="A17" s="10">
        <v>15.0</v>
      </c>
      <c r="B17" s="10">
        <f>MATCH(A17,L_DATA_TOP_GAIN_PCT,0)</f>
        <v>493</v>
      </c>
      <c r="C17" s="10" t="str">
        <f t="array" ref="C17">IFERROR(INDEX(L_DATA_SYMBOL,B17),)</f>
        <v>NSE:GMMPFAUDLR</v>
      </c>
      <c r="D17" s="10" t="str">
        <f>IFERROR(__xludf.DUMMYFUNCTION("IFERROR(GOOGLEFINANCE(C17,""NAME""),)"),"Gmm Pfaudler Ltd")</f>
        <v>Gmm Pfaudler Ltd</v>
      </c>
      <c r="E17" s="16">
        <f t="array" ref="E17">IFERROR(INDEX(L_DATA_VOL,$B17),)</f>
        <v>1049404</v>
      </c>
      <c r="F17" s="10">
        <f t="array" ref="F17">IFERROR(INDEX(L_DATA_PRICE,$B17),)</f>
        <v>1160</v>
      </c>
      <c r="G17" s="20">
        <f t="array" ref="G17">IFERROR(INDEX(L_DATA_CHANGE,$B17),)</f>
        <v>86.5</v>
      </c>
      <c r="H17" s="22" t="str">
        <f t="shared" si="1"/>
        <v>🠉</v>
      </c>
      <c r="I17" s="23" t="str">
        <f t="array" ref="I17">IFERROR(INDEX(L_DATA_CHNG_PCT_FML,$B17),)</f>
        <v>8.06%</v>
      </c>
      <c r="J17" s="10">
        <f t="array" ref="J17">IFERROR(INDEX(L_DATA_CHANGEPCT,$B17),)</f>
        <v>8.06</v>
      </c>
      <c r="K17" s="27">
        <f>IFERROR(__xludf.DUMMYFUNCTION("IFERROR(GOOGLEFINANCE(C17,""MARKETCAP""),)"),5.21503752E10)</f>
        <v>52150375200</v>
      </c>
      <c r="L17" s="10">
        <f>IFERROR(__xludf.DUMMYFUNCTION("IFERROR(GOOGLEFINANCE(C17,""PE""),)"),73.88)</f>
        <v>73.88</v>
      </c>
      <c r="M17" s="27">
        <f>IFERROR(__xludf.DUMMYFUNCTION("IFERROR(GOOGLEFINANCE(C17,""LOW52""),)"),735.0)</f>
        <v>735</v>
      </c>
      <c r="N17" s="28" t="str">
        <f t="shared" si="2"/>
        <v>-------▼--</v>
      </c>
      <c r="O17" s="27">
        <f>IFERROR(__xludf.DUMMYFUNCTION("IFERROR(GOOGLEFINANCE(C17,""HIGH52""),)"),1307.5)</f>
        <v>1307.5</v>
      </c>
      <c r="P17" s="1"/>
      <c r="Q17" s="1"/>
      <c r="R17" s="1"/>
      <c r="S17" s="1"/>
    </row>
    <row r="18" ht="15.75" customHeight="1">
      <c r="A18" s="10">
        <v>16.0</v>
      </c>
      <c r="B18" s="10">
        <f>MATCH(A18,L_DATA_TOP_GAIN_PCT,0)</f>
        <v>472</v>
      </c>
      <c r="C18" s="10" t="str">
        <f t="array" ref="C18">IFERROR(INDEX(L_DATA_SYMBOL,B18),)</f>
        <v>NSE:GFLLIMITED</v>
      </c>
      <c r="D18" s="10" t="str">
        <f>IFERROR(__xludf.DUMMYFUNCTION("IFERROR(GOOGLEFINANCE(C18,""NAME""),)"),"GFL Ltd")</f>
        <v>GFL Ltd</v>
      </c>
      <c r="E18" s="16">
        <f t="array" ref="E18">IFERROR(INDEX(L_DATA_VOL,$B18),)</f>
        <v>497897</v>
      </c>
      <c r="F18" s="10">
        <f t="array" ref="F18">IFERROR(INDEX(L_DATA_PRICE,$B18),)</f>
        <v>63.3</v>
      </c>
      <c r="G18" s="20">
        <f t="array" ref="G18">IFERROR(INDEX(L_DATA_CHANGE,$B18),)</f>
        <v>4.65</v>
      </c>
      <c r="H18" s="22" t="str">
        <f t="shared" si="1"/>
        <v>🠉</v>
      </c>
      <c r="I18" s="23" t="str">
        <f t="array" ref="I18">IFERROR(INDEX(L_DATA_CHNG_PCT_FML,$B18),)</f>
        <v>7.93%</v>
      </c>
      <c r="J18" s="10">
        <f t="array" ref="J18">IFERROR(INDEX(L_DATA_CHANGEPCT,$B18),)</f>
        <v>7.93</v>
      </c>
      <c r="K18" s="27">
        <f>IFERROR(__xludf.DUMMYFUNCTION("IFERROR(GOOGLEFINANCE(C18,""MARKETCAP""),)"),6.876089529E9)</f>
        <v>6876089529</v>
      </c>
      <c r="L18" s="10">
        <f>IFERROR(__xludf.DUMMYFUNCTION("IFERROR(GOOGLEFINANCE(C18,""PE""),)"),11.47)</f>
        <v>11.47</v>
      </c>
      <c r="M18" s="27">
        <f>IFERROR(__xludf.DUMMYFUNCTION("IFERROR(GOOGLEFINANCE(C18,""LOW52""),)"),37.25)</f>
        <v>37.25</v>
      </c>
      <c r="N18" s="28" t="str">
        <f t="shared" si="2"/>
        <v>-----▼----</v>
      </c>
      <c r="O18" s="27">
        <f>IFERROR(__xludf.DUMMYFUNCTION("IFERROR(GOOGLEFINANCE(C18,""HIGH52""),)"),81.0)</f>
        <v>81</v>
      </c>
      <c r="P18" s="1"/>
      <c r="Q18" s="1"/>
      <c r="R18" s="1"/>
      <c r="S18" s="1"/>
    </row>
    <row r="19" ht="15.75" customHeight="1">
      <c r="A19" s="10">
        <v>17.0</v>
      </c>
      <c r="B19" s="10">
        <f>MATCH(A19,L_DATA_TOP_GAIN_PCT,0)</f>
        <v>1414</v>
      </c>
      <c r="C19" s="10" t="str">
        <f t="array" ref="C19">IFERROR(INDEX(L_DATA_SYMBOL,B19),)</f>
        <v>NSE:TEJASNET</v>
      </c>
      <c r="D19" s="10" t="str">
        <f>IFERROR(__xludf.DUMMYFUNCTION("IFERROR(GOOGLEFINANCE(C19,""NAME""),)"),"Tejas Networks Ltd")</f>
        <v>Tejas Networks Ltd</v>
      </c>
      <c r="E19" s="16">
        <f t="array" ref="E19">IFERROR(INDEX(L_DATA_VOL,$B19),)</f>
        <v>26085952</v>
      </c>
      <c r="F19" s="10">
        <f t="array" ref="F19">IFERROR(INDEX(L_DATA_PRICE,$B19),)</f>
        <v>612</v>
      </c>
      <c r="G19" s="20">
        <f t="array" ref="G19">IFERROR(INDEX(L_DATA_CHANGE,$B19),)</f>
        <v>44.55</v>
      </c>
      <c r="H19" s="22" t="str">
        <f t="shared" si="1"/>
        <v>🠉</v>
      </c>
      <c r="I19" s="23" t="str">
        <f t="array" ref="I19">IFERROR(INDEX(L_DATA_CHNG_PCT_FML,$B19),)</f>
        <v>7.85%</v>
      </c>
      <c r="J19" s="10">
        <f t="array" ref="J19">IFERROR(INDEX(L_DATA_CHANGEPCT,$B19),)</f>
        <v>7.85</v>
      </c>
      <c r="K19" s="27">
        <f>IFERROR(__xludf.DUMMYFUNCTION("IFERROR(GOOGLEFINANCE(C19,""MARKETCAP""),)"),1.06907988091E11)</f>
        <v>106907988091</v>
      </c>
      <c r="L19" s="10" t="str">
        <f>IFERROR(__xludf.DUMMYFUNCTION("IFERROR(GOOGLEFINANCE(C19,""PE""),)"),"")</f>
        <v/>
      </c>
      <c r="M19" s="27">
        <f>IFERROR(__xludf.DUMMYFUNCTION("IFERROR(GOOGLEFINANCE(C19,""LOW52""),)"),294.0)</f>
        <v>294</v>
      </c>
      <c r="N19" s="28" t="str">
        <f t="shared" si="2"/>
        <v>---------▼</v>
      </c>
      <c r="O19" s="27">
        <f>IFERROR(__xludf.DUMMYFUNCTION("IFERROR(GOOGLEFINANCE(C19,""HIGH52""),)"),644.75)</f>
        <v>644.75</v>
      </c>
      <c r="P19" s="1"/>
      <c r="Q19" s="1"/>
      <c r="R19" s="1"/>
      <c r="S19" s="1"/>
    </row>
    <row r="20" ht="15.75" customHeight="1">
      <c r="A20" s="10">
        <v>18.0</v>
      </c>
      <c r="B20" s="10">
        <f>MATCH(A20,L_DATA_TOP_GAIN_PCT,0)</f>
        <v>1122</v>
      </c>
      <c r="C20" s="10" t="str">
        <f t="array" ref="C20">IFERROR(INDEX(L_DATA_SYMBOL,B20),)</f>
        <v>NSE:PURVA</v>
      </c>
      <c r="D20" s="10" t="str">
        <f>IFERROR(__xludf.DUMMYFUNCTION("IFERROR(GOOGLEFINANCE(C20,""NAME""),)"),"Puravankara Ltd")</f>
        <v>Puravankara Ltd</v>
      </c>
      <c r="E20" s="16">
        <f t="array" ref="E20">IFERROR(INDEX(L_DATA_VOL,$B20),)</f>
        <v>17390475</v>
      </c>
      <c r="F20" s="10">
        <f t="array" ref="F20">IFERROR(INDEX(L_DATA_PRICE,$B20),)</f>
        <v>227.5</v>
      </c>
      <c r="G20" s="20">
        <f t="array" ref="G20">IFERROR(INDEX(L_DATA_CHANGE,$B20),)</f>
        <v>16.41</v>
      </c>
      <c r="H20" s="22" t="str">
        <f t="shared" si="1"/>
        <v>🠉</v>
      </c>
      <c r="I20" s="23" t="str">
        <f t="array" ref="I20">IFERROR(INDEX(L_DATA_CHNG_PCT_FML,$B20),)</f>
        <v>7.77%</v>
      </c>
      <c r="J20" s="10">
        <f t="array" ref="J20">IFERROR(INDEX(L_DATA_CHANGEPCT,$B20),)</f>
        <v>7.77</v>
      </c>
      <c r="K20" s="27">
        <f>IFERROR(__xludf.DUMMYFUNCTION("IFERROR(GOOGLEFINANCE(C20,""MARKETCAP""),)"),5.4797563925E10)</f>
        <v>54797563925</v>
      </c>
      <c r="L20" s="10">
        <f>IFERROR(__xludf.DUMMYFUNCTION("IFERROR(GOOGLEFINANCE(C20,""PE""),)"),33.7)</f>
        <v>33.7</v>
      </c>
      <c r="M20" s="27">
        <f>IFERROR(__xludf.DUMMYFUNCTION("IFERROR(GOOGLEFINANCE(C20,""LOW52""),)"),160.69)</f>
        <v>160.69</v>
      </c>
      <c r="N20" s="28" t="str">
        <f t="shared" si="2"/>
        <v>----▼-----</v>
      </c>
      <c r="O20" s="27">
        <f>IFERROR(__xludf.DUMMYFUNCTION("IFERROR(GOOGLEFINANCE(C20,""HIGH52""),)"),296.45)</f>
        <v>296.45</v>
      </c>
      <c r="P20" s="1"/>
      <c r="Q20" s="1"/>
      <c r="R20" s="1"/>
      <c r="S20" s="1"/>
    </row>
    <row r="21" ht="15.75" customHeight="1">
      <c r="A21" s="10">
        <v>19.0</v>
      </c>
      <c r="B21" s="10">
        <f>MATCH(A21,L_DATA_TOP_GAIN_PCT,0)</f>
        <v>1569</v>
      </c>
      <c r="C21" s="10" t="str">
        <f t="array" ref="C21">IFERROR(INDEX(L_DATA_SYMBOL,B21),)</f>
        <v>NSE:WOCKPHARMA</v>
      </c>
      <c r="D21" s="10" t="str">
        <f>IFERROR(__xludf.DUMMYFUNCTION("IFERROR(GOOGLEFINANCE(C21,""NAME""),)"),"Wockhardt Ltd")</f>
        <v>Wockhardt Ltd</v>
      </c>
      <c r="E21" s="16">
        <f t="array" ref="E21">IFERROR(INDEX(L_DATA_VOL,$B21),)</f>
        <v>3557646</v>
      </c>
      <c r="F21" s="10">
        <f t="array" ref="F21">IFERROR(INDEX(L_DATA_PRICE,$B21),)</f>
        <v>2097</v>
      </c>
      <c r="G21" s="20">
        <f t="array" ref="G21">IFERROR(INDEX(L_DATA_CHANGE,$B21),)</f>
        <v>146.4</v>
      </c>
      <c r="H21" s="22" t="str">
        <f t="shared" si="1"/>
        <v>🠉</v>
      </c>
      <c r="I21" s="23" t="str">
        <f t="array" ref="I21">IFERROR(INDEX(L_DATA_CHNG_PCT_FML,$B21),)</f>
        <v>7.51%</v>
      </c>
      <c r="J21" s="10">
        <f t="array" ref="J21">IFERROR(INDEX(L_DATA_CHANGEPCT,$B21),)</f>
        <v>7.51</v>
      </c>
      <c r="K21" s="27">
        <f>IFERROR(__xludf.DUMMYFUNCTION("IFERROR(GOOGLEFINANCE(C21,""MARKETCAP""),)"),3.40213494925E11)</f>
        <v>340213494925</v>
      </c>
      <c r="L21" s="10">
        <f>IFERROR(__xludf.DUMMYFUNCTION("IFERROR(GOOGLEFINANCE(C21,""PE""),)"),83.3)</f>
        <v>83.3</v>
      </c>
      <c r="M21" s="27">
        <f>IFERROR(__xludf.DUMMYFUNCTION("IFERROR(GOOGLEFINANCE(C21,""LOW52""),)"),1086.7)</f>
        <v>1086.7</v>
      </c>
      <c r="N21" s="28" t="str">
        <f t="shared" si="2"/>
        <v>-------▼--</v>
      </c>
      <c r="O21" s="27">
        <f>IFERROR(__xludf.DUMMYFUNCTION("IFERROR(GOOGLEFINANCE(C21,""HIGH52""),)"),2422.3)</f>
        <v>2422.3</v>
      </c>
      <c r="P21" s="1"/>
      <c r="Q21" s="1"/>
      <c r="R21" s="1"/>
      <c r="S21" s="1"/>
    </row>
    <row r="22" ht="15.75" customHeight="1">
      <c r="A22" s="37">
        <v>20.0</v>
      </c>
      <c r="B22" s="37">
        <f>MATCH(A22,L_DATA_TOP_GAIN_PCT,0)</f>
        <v>863</v>
      </c>
      <c r="C22" s="37" t="str">
        <f t="array" ref="C22">IFERROR(INDEX(L_DATA_SYMBOL,B22),)</f>
        <v>NSE:MANAKSIA</v>
      </c>
      <c r="D22" s="37" t="str">
        <f>IFERROR(__xludf.DUMMYFUNCTION("IFERROR(GOOGLEFINANCE(C22,""NAME""),)"),"Manaksia Ltd")</f>
        <v>Manaksia Ltd</v>
      </c>
      <c r="E22" s="38">
        <f t="array" ref="E22">IFERROR(INDEX(L_DATA_VOL,$B22),)</f>
        <v>235473</v>
      </c>
      <c r="F22" s="37">
        <f t="array" ref="F22">IFERROR(INDEX(L_DATA_PRICE,$B22),)</f>
        <v>63.4</v>
      </c>
      <c r="G22" s="39">
        <f t="array" ref="G22">IFERROR(INDEX(L_DATA_CHANGE,$B22),)</f>
        <v>4.28</v>
      </c>
      <c r="H22" s="40" t="str">
        <f t="shared" si="1"/>
        <v>🠉</v>
      </c>
      <c r="I22" s="41" t="str">
        <f t="array" ref="I22">IFERROR(INDEX(L_DATA_CHNG_PCT_FML,$B22),)</f>
        <v>7.24%</v>
      </c>
      <c r="J22" s="37">
        <f t="array" ref="J22">IFERROR(INDEX(L_DATA_CHANGEPCT,$B22),)</f>
        <v>7.24</v>
      </c>
      <c r="K22" s="42">
        <f>IFERROR(__xludf.DUMMYFUNCTION("IFERROR(GOOGLEFINANCE(C22,""MARKETCAP""),)"),4.155323418E9)</f>
        <v>4155323418</v>
      </c>
      <c r="L22" s="37">
        <f>IFERROR(__xludf.DUMMYFUNCTION("IFERROR(GOOGLEFINANCE(C22,""PE""),)"),6.61)</f>
        <v>6.61</v>
      </c>
      <c r="M22" s="42">
        <f>IFERROR(__xludf.DUMMYFUNCTION("IFERROR(GOOGLEFINANCE(C22,""LOW52""),)"),42.1)</f>
        <v>42.1</v>
      </c>
      <c r="N22" s="43" t="str">
        <f t="shared" si="2"/>
        <v>------▼---</v>
      </c>
      <c r="O22" s="42">
        <f>IFERROR(__xludf.DUMMYFUNCTION("IFERROR(GOOGLEFINANCE(C22,""HIGH52""),)"),73.4)</f>
        <v>73.4</v>
      </c>
      <c r="P22" s="1"/>
      <c r="Q22" s="1"/>
      <c r="R22" s="1"/>
      <c r="S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22">
    <cfRule type="expression" dxfId="5" priority="1">
      <formula>$J3&lt;0</formula>
    </cfRule>
  </conditionalFormatting>
  <conditionalFormatting sqref="H3:H22">
    <cfRule type="expression" dxfId="9" priority="2">
      <formula>$J3&lt;0.05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4.88"/>
    <col customWidth="1" hidden="1" min="2" max="2" width="12.63"/>
    <col customWidth="1" min="3" max="3" width="15.13"/>
    <col customWidth="1" min="4" max="4" width="28.88"/>
    <col customWidth="1" min="5" max="6" width="12.63"/>
    <col customWidth="1" min="8" max="8" width="4.25"/>
    <col customWidth="1" hidden="1" min="10" max="10" width="5.75"/>
    <col customWidth="1" min="11" max="11" width="19.0"/>
    <col customWidth="1" min="13" max="13" width="13.88"/>
    <col customWidth="1" min="14" max="14" width="15.88"/>
    <col customWidth="1" min="15" max="15" width="13.75"/>
  </cols>
  <sheetData>
    <row r="1" ht="25.5" customHeight="1">
      <c r="A1" s="6" t="s">
        <v>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15.75" customHeight="1">
      <c r="A2" s="7" t="s">
        <v>4</v>
      </c>
      <c r="B2" s="7" t="s">
        <v>5</v>
      </c>
      <c r="C2" s="7" t="s">
        <v>6</v>
      </c>
      <c r="D2" s="7" t="s">
        <v>7</v>
      </c>
      <c r="E2" s="8" t="s">
        <v>8</v>
      </c>
      <c r="F2" s="8" t="s">
        <v>9</v>
      </c>
      <c r="G2" s="8" t="s">
        <v>10</v>
      </c>
      <c r="H2" s="7"/>
      <c r="I2" s="7" t="s">
        <v>11</v>
      </c>
      <c r="J2" s="7"/>
      <c r="K2" s="8" t="s">
        <v>12</v>
      </c>
      <c r="L2" s="8" t="s">
        <v>13</v>
      </c>
      <c r="M2" s="7" t="s">
        <v>14</v>
      </c>
      <c r="N2" s="8" t="s">
        <v>15</v>
      </c>
      <c r="O2" s="7" t="s">
        <v>16</v>
      </c>
      <c r="P2" s="1"/>
      <c r="Q2" s="1"/>
      <c r="R2" s="1"/>
      <c r="S2" s="1"/>
    </row>
    <row r="3" ht="15.75" customHeight="1">
      <c r="A3" s="10">
        <v>1.0</v>
      </c>
      <c r="B3" s="10">
        <f>MATCH(A3,L_DATA_TOP_DECLINE_PCT,0)</f>
        <v>1545</v>
      </c>
      <c r="C3" s="10" t="str">
        <f t="array" ref="C3">IFERROR(INDEX(L_DATA_SYMBOL,B3),)</f>
        <v>NSE:VSSL</v>
      </c>
      <c r="D3" s="10" t="str">
        <f>IFERROR(__xludf.DUMMYFUNCTION("IFERROR(GOOGLEFINANCE(C3,""NAME""),)"),"Vardhman Special Steels Ltd")</f>
        <v>Vardhman Special Steels Ltd</v>
      </c>
      <c r="E3" s="16">
        <f t="array" ref="E3">IFERROR(INDEX(L_DATA_VOL,$B3),)</f>
        <v>140547</v>
      </c>
      <c r="F3" s="10">
        <f t="array" ref="F3">IFERROR(INDEX(L_DATA_PRICE,$B3),)</f>
        <v>363.9</v>
      </c>
      <c r="G3" s="20">
        <f t="array" ref="G3">IFERROR(INDEX(L_DATA_CHANGE,$B3),)</f>
        <v>-0.05</v>
      </c>
      <c r="H3" s="22" t="str">
        <f t="shared" ref="H3:H22" si="1">IFERROR(IF($J3="","",IFS($J3&gt;=0.05,CHAR(129033),$J3&lt;0,CHAR(129035),$J3&lt;0.05,CHAR(129034))),)</f>
        <v>🠋</v>
      </c>
      <c r="I3" s="23" t="str">
        <f t="array" ref="I3">IFERROR(INDEX(L_DATA_CHNG_PCT_FML,$B3),)</f>
        <v>-0.01%</v>
      </c>
      <c r="J3" s="10">
        <f t="array" ref="J3">IFERROR(INDEX(L_DATA_CHANGEPCT,$B3),)</f>
        <v>-0.01</v>
      </c>
      <c r="K3" s="27">
        <f>IFERROR(__xludf.DUMMYFUNCTION("IFERROR(GOOGLEFINANCE(C3,""MARKETCAP""),)"),3.5189551533E10)</f>
        <v>35189551533</v>
      </c>
      <c r="L3" s="10">
        <f>IFERROR(__xludf.DUMMYFUNCTION("IFERROR(GOOGLEFINANCE(C3,""PE""),)"),24.56)</f>
        <v>24.56</v>
      </c>
      <c r="M3" s="27">
        <f>IFERROR(__xludf.DUMMYFUNCTION("IFERROR(GOOGLEFINANCE(C3,""LOW52""),)"),206.4)</f>
        <v>206.4</v>
      </c>
      <c r="N3" s="28" t="str">
        <f t="shared" ref="N3:N22" si="2">IFERROR(REPT(CHAR(45),QUOTIENT(($F3 -$M3),ROUND( ($O3-$M3) /10,2)))
&amp;CHAR(9660)&amp;REPT(CHAR(45),9-QUOTIENT(($F3 -$M3),ROUND( ($O3-$M3) /10,2))),"")</f>
        <v>---------▼</v>
      </c>
      <c r="O3" s="27">
        <f>IFERROR(__xludf.DUMMYFUNCTION("IFERROR(GOOGLEFINANCE(C3,""HIGH52""),)"),375.95)</f>
        <v>375.95</v>
      </c>
      <c r="P3" s="1"/>
      <c r="Q3" s="1"/>
      <c r="R3" s="1"/>
      <c r="S3" s="1"/>
    </row>
    <row r="4" ht="15.75" customHeight="1">
      <c r="A4" s="10">
        <v>2.0</v>
      </c>
      <c r="B4" s="10">
        <f>MATCH(A4,L_DATA_TOP_DECLINE_PCT,0)</f>
        <v>232</v>
      </c>
      <c r="C4" s="10" t="str">
        <f t="array" ref="C4">IFERROR(INDEX(L_DATA_SYMBOL,B4),)</f>
        <v>NSE:BPL</v>
      </c>
      <c r="D4" s="10" t="str">
        <f>IFERROR(__xludf.DUMMYFUNCTION("IFERROR(GOOGLEFINANCE(C4,""NAME""),)"),"BPL Ltd")</f>
        <v>BPL Ltd</v>
      </c>
      <c r="E4" s="16">
        <f t="array" ref="E4">IFERROR(INDEX(L_DATA_VOL,$B4),)</f>
        <v>56301</v>
      </c>
      <c r="F4" s="10">
        <f t="array" ref="F4">IFERROR(INDEX(L_DATA_PRICE,$B4),)</f>
        <v>49.3</v>
      </c>
      <c r="G4" s="20">
        <f t="array" ref="G4">IFERROR(INDEX(L_DATA_CHANGE,$B4),)</f>
        <v>-0.01</v>
      </c>
      <c r="H4" s="22" t="str">
        <f t="shared" si="1"/>
        <v>🠋</v>
      </c>
      <c r="I4" s="23" t="str">
        <f t="array" ref="I4">IFERROR(INDEX(L_DATA_CHNG_PCT_FML,$B4),)</f>
        <v>-0.02%</v>
      </c>
      <c r="J4" s="10">
        <f t="array" ref="J4">IFERROR(INDEX(L_DATA_CHANGEPCT,$B4),)</f>
        <v>-0.02</v>
      </c>
      <c r="K4" s="27">
        <f>IFERROR(__xludf.DUMMYFUNCTION("IFERROR(GOOGLEFINANCE(C4,""MARKETCAP""),)"),2.414012305E9)</f>
        <v>2414012305</v>
      </c>
      <c r="L4" s="10" t="str">
        <f>IFERROR(__xludf.DUMMYFUNCTION("IFERROR(GOOGLEFINANCE(C4,""PE""),)"),"")</f>
        <v/>
      </c>
      <c r="M4" s="27">
        <f>IFERROR(__xludf.DUMMYFUNCTION("IFERROR(GOOGLEFINANCE(C4,""LOW52""),)"),37.61)</f>
        <v>37.61</v>
      </c>
      <c r="N4" s="28" t="str">
        <f t="shared" si="2"/>
        <v>--▼-------</v>
      </c>
      <c r="O4" s="27">
        <f>IFERROR(__xludf.DUMMYFUNCTION("IFERROR(GOOGLEFINANCE(C4,""HIGH52""),)"),91.28)</f>
        <v>91.28</v>
      </c>
      <c r="P4" s="1"/>
      <c r="Q4" s="1"/>
      <c r="R4" s="1"/>
      <c r="S4" s="1"/>
    </row>
    <row r="5" ht="15.75" customHeight="1">
      <c r="A5" s="10">
        <v>3.0</v>
      </c>
      <c r="B5" s="10">
        <f>MATCH(A5,L_DATA_TOP_DECLINE_PCT,0)</f>
        <v>894</v>
      </c>
      <c r="C5" s="10" t="str">
        <f t="array" ref="C5">IFERROR(INDEX(L_DATA_SYMBOL,B5),)</f>
        <v>NSE:MCL</v>
      </c>
      <c r="D5" s="10" t="str">
        <f>IFERROR(__xludf.DUMMYFUNCTION("IFERROR(GOOGLEFINANCE(C5,""NAME""),)"),"M Tek Copper Ltd")</f>
        <v>M Tek Copper Ltd</v>
      </c>
      <c r="E5" s="16">
        <f t="array" ref="E5">IFERROR(INDEX(L_DATA_VOL,$B5),)</f>
        <v>25283</v>
      </c>
      <c r="F5" s="10">
        <f t="array" ref="F5">IFERROR(INDEX(L_DATA_PRICE,$B5),)</f>
        <v>58.49</v>
      </c>
      <c r="G5" s="20">
        <f t="array" ref="G5">IFERROR(INDEX(L_DATA_CHANGE,$B5),)</f>
        <v>-0.01</v>
      </c>
      <c r="H5" s="22" t="str">
        <f t="shared" si="1"/>
        <v>🠋</v>
      </c>
      <c r="I5" s="23" t="str">
        <f t="array" ref="I5">IFERROR(INDEX(L_DATA_CHNG_PCT_FML,$B5),)</f>
        <v>-0.02%</v>
      </c>
      <c r="J5" s="10">
        <f t="array" ref="J5">IFERROR(INDEX(L_DATA_CHANGEPCT,$B5),)</f>
        <v>-0.02</v>
      </c>
      <c r="K5" s="27">
        <f>IFERROR(__xludf.DUMMYFUNCTION("IFERROR(GOOGLEFINANCE(C5,""MARKETCAP""),)"),1.587582417E9)</f>
        <v>1587582417</v>
      </c>
      <c r="L5" s="10">
        <f>IFERROR(__xludf.DUMMYFUNCTION("IFERROR(GOOGLEFINANCE(C5,""PE""),)"),35.23)</f>
        <v>35.23</v>
      </c>
      <c r="M5" s="27">
        <f>IFERROR(__xludf.DUMMYFUNCTION("IFERROR(GOOGLEFINANCE(C5,""LOW52""),)"),42.0)</f>
        <v>42</v>
      </c>
      <c r="N5" s="28" t="str">
        <f t="shared" si="2"/>
        <v>---▼------</v>
      </c>
      <c r="O5" s="27">
        <f>IFERROR(__xludf.DUMMYFUNCTION("IFERROR(GOOGLEFINANCE(C5,""HIGH52""),)"),93.2)</f>
        <v>93.2</v>
      </c>
      <c r="P5" s="1"/>
      <c r="Q5" s="1"/>
      <c r="R5" s="1"/>
      <c r="S5" s="1"/>
    </row>
    <row r="6" ht="15.75" customHeight="1">
      <c r="A6" s="10">
        <v>4.0</v>
      </c>
      <c r="B6" s="10">
        <f>MATCH(A6,L_DATA_TOP_DECLINE_PCT,0)</f>
        <v>946</v>
      </c>
      <c r="C6" s="10" t="str">
        <f t="array" ref="C6">IFERROR(INDEX(L_DATA_SYMBOL,B6),)</f>
        <v>NSE:MUTHOOTFIN</v>
      </c>
      <c r="D6" s="10" t="str">
        <f>IFERROR(__xludf.DUMMYFUNCTION("IFERROR(GOOGLEFINANCE(C6,""NAME""),)"),"Muthoot Finance Ltd")</f>
        <v>Muthoot Finance Ltd</v>
      </c>
      <c r="E6" s="16">
        <f t="array" ref="E6">IFERROR(INDEX(L_DATA_VOL,$B6),)</f>
        <v>583485</v>
      </c>
      <c r="F6" s="10">
        <f t="array" ref="F6">IFERROR(INDEX(L_DATA_PRICE,$B6),)</f>
        <v>2926</v>
      </c>
      <c r="G6" s="20">
        <f t="array" ref="G6">IFERROR(INDEX(L_DATA_CHANGE,$B6),)</f>
        <v>-0.5</v>
      </c>
      <c r="H6" s="22" t="str">
        <f t="shared" si="1"/>
        <v>🠋</v>
      </c>
      <c r="I6" s="23" t="str">
        <f t="array" ref="I6">IFERROR(INDEX(L_DATA_CHNG_PCT_FML,$B6),)</f>
        <v>-0.02%</v>
      </c>
      <c r="J6" s="10">
        <f t="array" ref="J6">IFERROR(INDEX(L_DATA_CHANGEPCT,$B6),)</f>
        <v>-0.02</v>
      </c>
      <c r="K6" s="27">
        <f>IFERROR(__xludf.DUMMYFUNCTION("IFERROR(GOOGLEFINANCE(C6,""MARKETCAP""),)"),1.173010136E12)</f>
        <v>1173010136000</v>
      </c>
      <c r="L6" s="10">
        <f>IFERROR(__xludf.DUMMYFUNCTION("IFERROR(GOOGLEFINANCE(C6,""PE""),)"),10.33)</f>
        <v>10.33</v>
      </c>
      <c r="M6" s="27">
        <f>IFERROR(__xludf.DUMMYFUNCTION("IFERROR(GOOGLEFINANCE(C6,""LOW52""),)"),2671.0)</f>
        <v>2671</v>
      </c>
      <c r="N6" s="28" t="str">
        <f t="shared" si="2"/>
        <v>-▼--------</v>
      </c>
      <c r="O6" s="27">
        <f>IFERROR(__xludf.DUMMYFUNCTION("IFERROR(GOOGLEFINANCE(C6,""HIGH52""),)"),4149.5)</f>
        <v>4149.5</v>
      </c>
      <c r="P6" s="1"/>
      <c r="Q6" s="1"/>
      <c r="R6" s="1"/>
      <c r="S6" s="1"/>
    </row>
    <row r="7" ht="15.75" customHeight="1">
      <c r="A7" s="10">
        <v>5.0</v>
      </c>
      <c r="B7" s="10">
        <f>MATCH(A7,L_DATA_TOP_DECLINE_PCT,0)</f>
        <v>1139</v>
      </c>
      <c r="C7" s="10" t="str">
        <f t="array" ref="C7">IFERROR(INDEX(L_DATA_SYMBOL,B7),)</f>
        <v>NSE:RAMCOIND</v>
      </c>
      <c r="D7" s="10" t="str">
        <f>IFERROR(__xludf.DUMMYFUNCTION("IFERROR(GOOGLEFINANCE(C7,""NAME""),)"),"Ramco Industries Ltd")</f>
        <v>Ramco Industries Ltd</v>
      </c>
      <c r="E7" s="16">
        <f t="array" ref="E7">IFERROR(INDEX(L_DATA_VOL,$B7),)</f>
        <v>105342</v>
      </c>
      <c r="F7" s="10">
        <f t="array" ref="F7">IFERROR(INDEX(L_DATA_PRICE,$B7),)</f>
        <v>323.95</v>
      </c>
      <c r="G7" s="20">
        <f t="array" ref="G7">IFERROR(INDEX(L_DATA_CHANGE,$B7),)</f>
        <v>-0.05</v>
      </c>
      <c r="H7" s="22" t="str">
        <f t="shared" si="1"/>
        <v>🠋</v>
      </c>
      <c r="I7" s="23" t="str">
        <f t="array" ref="I7">IFERROR(INDEX(L_DATA_CHNG_PCT_FML,$B7),)</f>
        <v>-0.02%</v>
      </c>
      <c r="J7" s="10">
        <f t="array" ref="J7">IFERROR(INDEX(L_DATA_CHANGEPCT,$B7),)</f>
        <v>-0.02</v>
      </c>
      <c r="K7" s="27">
        <f>IFERROR(__xludf.DUMMYFUNCTION("IFERROR(GOOGLEFINANCE(C7,""MARKETCAP""),)"),2.8132327661E10)</f>
        <v>28132327661</v>
      </c>
      <c r="L7" s="10">
        <f>IFERROR(__xludf.DUMMYFUNCTION("IFERROR(GOOGLEFINANCE(C7,""PE""),)"),8.57)</f>
        <v>8.57</v>
      </c>
      <c r="M7" s="27">
        <f>IFERROR(__xludf.DUMMYFUNCTION("IFERROR(GOOGLEFINANCE(C7,""LOW52""),)"),230.65)</f>
        <v>230.65</v>
      </c>
      <c r="N7" s="28" t="str">
        <f t="shared" si="2"/>
        <v>-----▼----</v>
      </c>
      <c r="O7" s="27">
        <f>IFERROR(__xludf.DUMMYFUNCTION("IFERROR(GOOGLEFINANCE(C7,""HIGH52""),)"),398.05)</f>
        <v>398.05</v>
      </c>
      <c r="P7" s="1"/>
      <c r="Q7" s="1"/>
      <c r="R7" s="1"/>
      <c r="S7" s="1"/>
    </row>
    <row r="8" ht="15.75" customHeight="1">
      <c r="A8" s="10">
        <v>6.0</v>
      </c>
      <c r="B8" s="10">
        <f>MATCH(A8,L_DATA_TOP_DECLINE_PCT,0)</f>
        <v>61</v>
      </c>
      <c r="C8" s="10" t="str">
        <f t="array" ref="C8">IFERROR(INDEX(L_DATA_SYMBOL,B8),)</f>
        <v>NSE:ALBERTDAVD</v>
      </c>
      <c r="D8" s="10" t="str">
        <f>IFERROR(__xludf.DUMMYFUNCTION("IFERROR(GOOGLEFINANCE(C8,""NAME""),)"),"Albert David Ltd")</f>
        <v>Albert David Ltd</v>
      </c>
      <c r="E8" s="16">
        <f t="array" ref="E8">IFERROR(INDEX(L_DATA_VOL,$B8),)</f>
        <v>3339</v>
      </c>
      <c r="F8" s="10">
        <f t="array" ref="F8">IFERROR(INDEX(L_DATA_PRICE,$B8),)</f>
        <v>869.9</v>
      </c>
      <c r="G8" s="20">
        <f t="array" ref="G8">IFERROR(INDEX(L_DATA_CHANGE,$B8),)</f>
        <v>-0.25</v>
      </c>
      <c r="H8" s="22" t="str">
        <f t="shared" si="1"/>
        <v>🠋</v>
      </c>
      <c r="I8" s="23" t="str">
        <f t="array" ref="I8">IFERROR(INDEX(L_DATA_CHNG_PCT_FML,$B8),)</f>
        <v>-0.03%</v>
      </c>
      <c r="J8" s="10">
        <f t="array" ref="J8">IFERROR(INDEX(L_DATA_CHANGEPCT,$B8),)</f>
        <v>-0.03</v>
      </c>
      <c r="K8" s="27">
        <f>IFERROR(__xludf.DUMMYFUNCTION("IFERROR(GOOGLEFINANCE(C8,""MARKETCAP""),)"),4.964659493E9)</f>
        <v>4964659493</v>
      </c>
      <c r="L8" s="10">
        <f>IFERROR(__xludf.DUMMYFUNCTION("IFERROR(GOOGLEFINANCE(C8,""PE""),)"),22.0)</f>
        <v>22</v>
      </c>
      <c r="M8" s="27">
        <f>IFERROR(__xludf.DUMMYFUNCTION("IFERROR(GOOGLEFINANCE(C8,""LOW52""),)"),579.9)</f>
        <v>579.9</v>
      </c>
      <c r="N8" s="28" t="str">
        <f t="shared" si="2"/>
        <v>--------▼-</v>
      </c>
      <c r="O8" s="27">
        <f>IFERROR(__xludf.DUMMYFUNCTION("IFERROR(GOOGLEFINANCE(C8,""HIGH52""),)"),931.85)</f>
        <v>931.85</v>
      </c>
      <c r="P8" s="1"/>
      <c r="Q8" s="1"/>
      <c r="R8" s="1"/>
      <c r="S8" s="1"/>
    </row>
    <row r="9" ht="15.75" customHeight="1">
      <c r="A9" s="10">
        <v>7.0</v>
      </c>
      <c r="B9" s="10">
        <f>MATCH(A9,L_DATA_TOP_DECLINE_PCT,0)</f>
        <v>337</v>
      </c>
      <c r="C9" s="10" t="str">
        <f t="array" ref="C9">IFERROR(INDEX(L_DATA_SYMBOL,B9),)</f>
        <v>NSE:DCM</v>
      </c>
      <c r="D9" s="10" t="str">
        <f>IFERROR(__xludf.DUMMYFUNCTION("IFERROR(GOOGLEFINANCE(C9,""NAME""),)"),"DCM Ltd")</f>
        <v>DCM Ltd</v>
      </c>
      <c r="E9" s="16">
        <f t="array" ref="E9">IFERROR(INDEX(L_DATA_VOL,$B9),)</f>
        <v>16163</v>
      </c>
      <c r="F9" s="10">
        <f t="array" ref="F9">IFERROR(INDEX(L_DATA_PRICE,$B9),)</f>
        <v>76.95</v>
      </c>
      <c r="G9" s="20">
        <f t="array" ref="G9">IFERROR(INDEX(L_DATA_CHANGE,$B9),)</f>
        <v>-0.02</v>
      </c>
      <c r="H9" s="22" t="str">
        <f t="shared" si="1"/>
        <v>🠋</v>
      </c>
      <c r="I9" s="23" t="str">
        <f t="array" ref="I9">IFERROR(INDEX(L_DATA_CHNG_PCT_FML,$B9),)</f>
        <v>-0.03%</v>
      </c>
      <c r="J9" s="10">
        <f t="array" ref="J9">IFERROR(INDEX(L_DATA_CHANGEPCT,$B9),)</f>
        <v>-0.03</v>
      </c>
      <c r="K9" s="27">
        <f>IFERROR(__xludf.DUMMYFUNCTION("IFERROR(GOOGLEFINANCE(C9,""MARKETCAP""),)"),1.4265097E9)</f>
        <v>1426509700</v>
      </c>
      <c r="L9" s="10">
        <f>IFERROR(__xludf.DUMMYFUNCTION("IFERROR(GOOGLEFINANCE(C9,""PE""),)"),116.59)</f>
        <v>116.59</v>
      </c>
      <c r="M9" s="27">
        <f>IFERROR(__xludf.DUMMYFUNCTION("IFERROR(GOOGLEFINANCE(C9,""LOW52""),)"),55.0)</f>
        <v>55</v>
      </c>
      <c r="N9" s="28" t="str">
        <f t="shared" si="2"/>
        <v>----▼-----</v>
      </c>
      <c r="O9" s="27">
        <f>IFERROR(__xludf.DUMMYFUNCTION("IFERROR(GOOGLEFINANCE(C9,""HIGH52""),)"),105.0)</f>
        <v>105</v>
      </c>
      <c r="P9" s="1"/>
      <c r="Q9" s="1"/>
      <c r="R9" s="1"/>
      <c r="S9" s="1"/>
    </row>
    <row r="10" ht="15.75" customHeight="1">
      <c r="A10" s="10">
        <v>8.0</v>
      </c>
      <c r="B10" s="10">
        <f>MATCH(A10,L_DATA_TOP_DECLINE_PCT,0)</f>
        <v>497</v>
      </c>
      <c r="C10" s="10" t="str">
        <f t="array" ref="C10">IFERROR(INDEX(L_DATA_SYMBOL,B10),)</f>
        <v>NSE:GOACARBON</v>
      </c>
      <c r="D10" s="10" t="str">
        <f>IFERROR(__xludf.DUMMYFUNCTION("IFERROR(GOOGLEFINANCE(C10,""NAME""),)"),"Goa Carbon Ltd")</f>
        <v>Goa Carbon Ltd</v>
      </c>
      <c r="E10" s="16">
        <f t="array" ref="E10">IFERROR(INDEX(L_DATA_VOL,$B10),)</f>
        <v>9112</v>
      </c>
      <c r="F10" s="10">
        <f t="array" ref="F10">IFERROR(INDEX(L_DATA_PRICE,$B10),)</f>
        <v>375.15</v>
      </c>
      <c r="G10" s="20">
        <f t="array" ref="G10">IFERROR(INDEX(L_DATA_CHANGE,$B10),)</f>
        <v>-0.1</v>
      </c>
      <c r="H10" s="22" t="str">
        <f t="shared" si="1"/>
        <v>🠋</v>
      </c>
      <c r="I10" s="23" t="str">
        <f t="array" ref="I10">IFERROR(INDEX(L_DATA_CHNG_PCT_FML,$B10),)</f>
        <v>-0.03%</v>
      </c>
      <c r="J10" s="10">
        <f t="array" ref="J10">IFERROR(INDEX(L_DATA_CHANGEPCT,$B10),)</f>
        <v>-0.03</v>
      </c>
      <c r="K10" s="27">
        <f>IFERROR(__xludf.DUMMYFUNCTION("IFERROR(GOOGLEFINANCE(C10,""MARKETCAP""),)"),3.443958089E9)</f>
        <v>3443958089</v>
      </c>
      <c r="L10" s="10" t="str">
        <f>IFERROR(__xludf.DUMMYFUNCTION("IFERROR(GOOGLEFINANCE(C10,""PE""),)"),"")</f>
        <v/>
      </c>
      <c r="M10" s="27">
        <f>IFERROR(__xludf.DUMMYFUNCTION("IFERROR(GOOGLEFINANCE(C10,""LOW52""),)"),272.85)</f>
        <v>272.85</v>
      </c>
      <c r="N10" s="28" t="str">
        <f t="shared" si="2"/>
        <v>----▼-----</v>
      </c>
      <c r="O10" s="27">
        <f>IFERROR(__xludf.DUMMYFUNCTION("IFERROR(GOOGLEFINANCE(C10,""HIGH52""),)"),494.9)</f>
        <v>494.9</v>
      </c>
      <c r="P10" s="1"/>
      <c r="Q10" s="1"/>
      <c r="R10" s="1"/>
      <c r="S10" s="1"/>
    </row>
    <row r="11" ht="15.75" customHeight="1">
      <c r="A11" s="10">
        <v>9.0</v>
      </c>
      <c r="B11" s="10">
        <f>MATCH(A11,L_DATA_TOP_DECLINE_PCT,0)</f>
        <v>609</v>
      </c>
      <c r="C11" s="10" t="str">
        <f t="array" ref="C11">IFERROR(INDEX(L_DATA_SYMBOL,B11),)</f>
        <v>NSE:ICEMAKE</v>
      </c>
      <c r="D11" s="10" t="str">
        <f>IFERROR(__xludf.DUMMYFUNCTION("IFERROR(GOOGLEFINANCE(C11,""NAME""),)"),"Ice Make Refrigeration Ltd")</f>
        <v>Ice Make Refrigeration Ltd</v>
      </c>
      <c r="E11" s="16">
        <f t="array" ref="E11">IFERROR(INDEX(L_DATA_VOL,$B11),)</f>
        <v>7174</v>
      </c>
      <c r="F11" s="10">
        <f t="array" ref="F11">IFERROR(INDEX(L_DATA_PRICE,$B11),)</f>
        <v>739</v>
      </c>
      <c r="G11" s="20">
        <f t="array" ref="G11">IFERROR(INDEX(L_DATA_CHANGE,$B11),)</f>
        <v>-0.25</v>
      </c>
      <c r="H11" s="22" t="str">
        <f t="shared" si="1"/>
        <v>🠋</v>
      </c>
      <c r="I11" s="23" t="str">
        <f t="array" ref="I11">IFERROR(INDEX(L_DATA_CHNG_PCT_FML,$B11),)</f>
        <v>-0.03%</v>
      </c>
      <c r="J11" s="10">
        <f t="array" ref="J11">IFERROR(INDEX(L_DATA_CHANGEPCT,$B11),)</f>
        <v>-0.03</v>
      </c>
      <c r="K11" s="27">
        <f>IFERROR(__xludf.DUMMYFUNCTION("IFERROR(GOOGLEFINANCE(C11,""MARKETCAP""),)"),1.166122047E10)</f>
        <v>11661220470</v>
      </c>
      <c r="L11" s="10">
        <f>IFERROR(__xludf.DUMMYFUNCTION("IFERROR(GOOGLEFINANCE(C11,""PE""),)"),97.49)</f>
        <v>97.49</v>
      </c>
      <c r="M11" s="27">
        <f>IFERROR(__xludf.DUMMYFUNCTION("IFERROR(GOOGLEFINANCE(C11,""LOW52""),)"),660.3)</f>
        <v>660.3</v>
      </c>
      <c r="N11" s="28" t="str">
        <f t="shared" si="2"/>
        <v>---▼------</v>
      </c>
      <c r="O11" s="27">
        <f>IFERROR(__xludf.DUMMYFUNCTION("IFERROR(GOOGLEFINANCE(C11,""HIGH52""),)"),920.0)</f>
        <v>920</v>
      </c>
      <c r="P11" s="1"/>
      <c r="Q11" s="1"/>
      <c r="R11" s="1"/>
      <c r="S11" s="1"/>
    </row>
    <row r="12" ht="15.75" customHeight="1">
      <c r="A12" s="10">
        <v>10.0</v>
      </c>
      <c r="B12" s="10">
        <f>MATCH(A12,L_DATA_TOP_DECLINE_PCT,0)</f>
        <v>851</v>
      </c>
      <c r="C12" s="10" t="str">
        <f t="array" ref="C12">IFERROR(INDEX(L_DATA_SYMBOL,B12),)</f>
        <v>NSE:MAHEPC</v>
      </c>
      <c r="D12" s="10" t="str">
        <f>IFERROR(__xludf.DUMMYFUNCTION("IFERROR(GOOGLEFINANCE(C12,""NAME""),)"),"Mahindra EPC Irrigation Ltd")</f>
        <v>Mahindra EPC Irrigation Ltd</v>
      </c>
      <c r="E12" s="16">
        <f t="array" ref="E12">IFERROR(INDEX(L_DATA_VOL,$B12),)</f>
        <v>7636</v>
      </c>
      <c r="F12" s="10">
        <f t="array" ref="F12">IFERROR(INDEX(L_DATA_PRICE,$B12),)</f>
        <v>103.22</v>
      </c>
      <c r="G12" s="20">
        <f t="array" ref="G12">IFERROR(INDEX(L_DATA_CHANGE,$B12),)</f>
        <v>-0.03</v>
      </c>
      <c r="H12" s="22" t="str">
        <f t="shared" si="1"/>
        <v>🠋</v>
      </c>
      <c r="I12" s="23" t="str">
        <f t="array" ref="I12">IFERROR(INDEX(L_DATA_CHNG_PCT_FML,$B12),)</f>
        <v>-0.03%</v>
      </c>
      <c r="J12" s="10">
        <f t="array" ref="J12">IFERROR(INDEX(L_DATA_CHANGEPCT,$B12),)</f>
        <v>-0.03</v>
      </c>
      <c r="K12" s="27">
        <f>IFERROR(__xludf.DUMMYFUNCTION("IFERROR(GOOGLEFINANCE(C12,""MARKETCAP""),)"),2.885076449E9)</f>
        <v>2885076449</v>
      </c>
      <c r="L12" s="10">
        <f>IFERROR(__xludf.DUMMYFUNCTION("IFERROR(GOOGLEFINANCE(C12,""PE""),)"),30.28)</f>
        <v>30.28</v>
      </c>
      <c r="M12" s="27">
        <f>IFERROR(__xludf.DUMMYFUNCTION("IFERROR(GOOGLEFINANCE(C12,""LOW52""),)"),91.91)</f>
        <v>91.91</v>
      </c>
      <c r="N12" s="28" t="str">
        <f t="shared" si="2"/>
        <v>-▼--------</v>
      </c>
      <c r="O12" s="27">
        <f>IFERROR(__xludf.DUMMYFUNCTION("IFERROR(GOOGLEFINANCE(C12,""HIGH52""),)"),167.99)</f>
        <v>167.99</v>
      </c>
      <c r="P12" s="1"/>
      <c r="Q12" s="1"/>
      <c r="R12" s="1"/>
      <c r="S12" s="1"/>
    </row>
    <row r="13" ht="15.75" customHeight="1">
      <c r="A13" s="10">
        <v>11.0</v>
      </c>
      <c r="B13" s="10">
        <f>MATCH(A13,L_DATA_TOP_DECLINE_PCT,0)</f>
        <v>156</v>
      </c>
      <c r="C13" s="10" t="str">
        <f t="array" ref="C13">IFERROR(INDEX(L_DATA_SYMBOL,B13),)</f>
        <v>NSE:BAJAJ-AUTO</v>
      </c>
      <c r="D13" s="10" t="str">
        <f>IFERROR(__xludf.DUMMYFUNCTION("IFERROR(GOOGLEFINANCE(C13,""NAME""),)"),"Bajaj Auto Ltd")</f>
        <v>Bajaj Auto Ltd</v>
      </c>
      <c r="E13" s="16">
        <f t="array" ref="E13">IFERROR(INDEX(L_DATA_VOL,$B13),)</f>
        <v>154199</v>
      </c>
      <c r="F13" s="10">
        <f t="array" ref="F13">IFERROR(INDEX(L_DATA_PRICE,$B13),)</f>
        <v>11915</v>
      </c>
      <c r="G13" s="20">
        <f t="array" ref="G13">IFERROR(INDEX(L_DATA_CHANGE,$B13),)</f>
        <v>-5</v>
      </c>
      <c r="H13" s="22" t="str">
        <f t="shared" si="1"/>
        <v>🠋</v>
      </c>
      <c r="I13" s="23" t="str">
        <f t="array" ref="I13">IFERROR(INDEX(L_DATA_CHNG_PCT_FML,$B13),)</f>
        <v>-0.04%</v>
      </c>
      <c r="J13" s="10">
        <f t="array" ref="J13">IFERROR(INDEX(L_DATA_CHANGEPCT,$B13),)</f>
        <v>-0.04</v>
      </c>
      <c r="K13" s="27">
        <f>IFERROR(__xludf.DUMMYFUNCTION("IFERROR(GOOGLEFINANCE(C13,""MARKETCAP""),)"),3.328466121094E12)</f>
        <v>3328466121094</v>
      </c>
      <c r="L13" s="10">
        <f>IFERROR(__xludf.DUMMYFUNCTION("IFERROR(GOOGLEFINANCE(C13,""PE""),)"),28.34)</f>
        <v>28.34</v>
      </c>
      <c r="M13" s="27">
        <f>IFERROR(__xludf.DUMMYFUNCTION("IFERROR(GOOGLEFINANCE(C13,""LOW52""),)"),8491.5)</f>
        <v>8491.5</v>
      </c>
      <c r="N13" s="28" t="str">
        <f t="shared" si="2"/>
        <v>--------▼-</v>
      </c>
      <c r="O13" s="27">
        <f>IFERROR(__xludf.DUMMYFUNCTION("IFERROR(GOOGLEFINANCE(C13,""HIGH52""),)"),12470.0)</f>
        <v>12470</v>
      </c>
      <c r="P13" s="1"/>
      <c r="Q13" s="1"/>
      <c r="R13" s="1"/>
      <c r="S13" s="1"/>
    </row>
    <row r="14" ht="15.75" customHeight="1">
      <c r="A14" s="10">
        <v>12.0</v>
      </c>
      <c r="B14" s="10">
        <f>MATCH(A14,L_DATA_TOP_DECLINE_PCT,0)</f>
        <v>835</v>
      </c>
      <c r="C14" s="10" t="str">
        <f t="array" ref="C14">IFERROR(INDEX(L_DATA_SYMBOL,B14),)</f>
        <v>NSE:LUXIND</v>
      </c>
      <c r="D14" s="10" t="str">
        <f>IFERROR(__xludf.DUMMYFUNCTION("IFERROR(GOOGLEFINANCE(C14,""NAME""),)"),"Lux Industries Ltd")</f>
        <v>Lux Industries Ltd</v>
      </c>
      <c r="E14" s="16">
        <f t="array" ref="E14">IFERROR(INDEX(L_DATA_VOL,$B14),)</f>
        <v>9331</v>
      </c>
      <c r="F14" s="10">
        <f t="array" ref="F14">IFERROR(INDEX(L_DATA_PRICE,$B14),)</f>
        <v>1171.2</v>
      </c>
      <c r="G14" s="20">
        <f t="array" ref="G14">IFERROR(INDEX(L_DATA_CHANGE,$B14),)</f>
        <v>-0.5</v>
      </c>
      <c r="H14" s="22" t="str">
        <f t="shared" si="1"/>
        <v>🠋</v>
      </c>
      <c r="I14" s="23" t="str">
        <f t="array" ref="I14">IFERROR(INDEX(L_DATA_CHNG_PCT_FML,$B14),)</f>
        <v>-0.04%</v>
      </c>
      <c r="J14" s="10">
        <f t="array" ref="J14">IFERROR(INDEX(L_DATA_CHANGEPCT,$B14),)</f>
        <v>-0.04</v>
      </c>
      <c r="K14" s="27">
        <f>IFERROR(__xludf.DUMMYFUNCTION("IFERROR(GOOGLEFINANCE(C14,""MARKETCAP""),)"),3.5219950147E10)</f>
        <v>35219950147</v>
      </c>
      <c r="L14" s="10">
        <f>IFERROR(__xludf.DUMMYFUNCTION("IFERROR(GOOGLEFINANCE(C14,""PE""),)"),34.41)</f>
        <v>34.41</v>
      </c>
      <c r="M14" s="27">
        <f>IFERROR(__xludf.DUMMYFUNCTION("IFERROR(GOOGLEFINANCE(C14,""LOW52""),)"),824.05)</f>
        <v>824.05</v>
      </c>
      <c r="N14" s="28" t="str">
        <f t="shared" si="2"/>
        <v>---▼------</v>
      </c>
      <c r="O14" s="27">
        <f>IFERROR(__xludf.DUMMYFUNCTION("IFERROR(GOOGLEFINANCE(C14,""HIGH52""),)"),1823.35)</f>
        <v>1823.35</v>
      </c>
      <c r="P14" s="1"/>
      <c r="Q14" s="1"/>
      <c r="R14" s="1"/>
      <c r="S14" s="1"/>
    </row>
    <row r="15" ht="15.75" customHeight="1">
      <c r="A15" s="10">
        <v>13.0</v>
      </c>
      <c r="B15" s="10">
        <f>MATCH(A15,L_DATA_TOP_DECLINE_PCT,0)</f>
        <v>1608</v>
      </c>
      <c r="C15" s="10" t="str">
        <f t="array" ref="C15">IFERROR(INDEX(L_DATA_SYMBOL,B15),)</f>
        <v>BOM:532500</v>
      </c>
      <c r="D15" s="10" t="str">
        <f>IFERROR(__xludf.DUMMYFUNCTION("IFERROR(GOOGLEFINANCE(C15,""NAME""),)"),"Maruti Suzuki India Ltd")</f>
        <v>Maruti Suzuki India Ltd</v>
      </c>
      <c r="E15" s="16">
        <f t="array" ref="E15">IFERROR(INDEX(L_DATA_VOL,$B15),)</f>
        <v>18510</v>
      </c>
      <c r="F15" s="10">
        <f t="array" ref="F15">IFERROR(INDEX(L_DATA_PRICE,$B15),)</f>
        <v>12700</v>
      </c>
      <c r="G15" s="20">
        <f t="array" ref="G15">IFERROR(INDEX(L_DATA_CHANGE,$B15),)</f>
        <v>-5</v>
      </c>
      <c r="H15" s="22" t="str">
        <f t="shared" si="1"/>
        <v>🠋</v>
      </c>
      <c r="I15" s="23" t="str">
        <f t="array" ref="I15">IFERROR(INDEX(L_DATA_CHNG_PCT_FML,$B15),)</f>
        <v>-0.04%</v>
      </c>
      <c r="J15" s="10">
        <f t="array" ref="J15">IFERROR(INDEX(L_DATA_CHANGEPCT,$B15),)</f>
        <v>-0.04</v>
      </c>
      <c r="K15" s="27">
        <f>IFERROR(__xludf.DUMMYFUNCTION("IFERROR(GOOGLEFINANCE(C15,""MARKETCAP""),)"),3.99338165E12)</f>
        <v>3993381650000</v>
      </c>
      <c r="L15" s="10">
        <f>IFERROR(__xludf.DUMMYFUNCTION("IFERROR(GOOGLEFINANCE(C15,""PE""),)"),27.86)</f>
        <v>27.86</v>
      </c>
      <c r="M15" s="27">
        <f>IFERROR(__xludf.DUMMYFUNCTION("IFERROR(GOOGLEFINANCE(C15,""LOW52""),)"),12202.1)</f>
        <v>12202.1</v>
      </c>
      <c r="N15" s="28" t="str">
        <f t="shared" si="2"/>
        <v>▼---------</v>
      </c>
      <c r="O15" s="27">
        <f>IFERROR(__xludf.DUMMYFUNCTION("IFERROR(GOOGLEFINANCE(C15,""HIGH52""),)"),17371.6)</f>
        <v>17371.6</v>
      </c>
      <c r="P15" s="1"/>
      <c r="Q15" s="1"/>
      <c r="R15" s="1"/>
      <c r="S15" s="1"/>
    </row>
    <row r="16" ht="15.75" customHeight="1">
      <c r="A16" s="10">
        <v>14.0</v>
      </c>
      <c r="B16" s="10">
        <f>MATCH(A16,L_DATA_TOP_DECLINE_PCT,0)</f>
        <v>677</v>
      </c>
      <c r="C16" s="10" t="str">
        <f t="array" ref="C16">IFERROR(INDEX(L_DATA_SYMBOL,B16),)</f>
        <v>NSE:IRB</v>
      </c>
      <c r="D16" s="10" t="str">
        <f>IFERROR(__xludf.DUMMYFUNCTION("IFERROR(GOOGLEFINANCE(C16,""NAME""),)"),"Irb Infrastructure Developers Ltd")</f>
        <v>Irb Infrastructure Developers Ltd</v>
      </c>
      <c r="E16" s="16">
        <f t="array" ref="E16">IFERROR(INDEX(L_DATA_VOL,$B16),)</f>
        <v>6862525</v>
      </c>
      <c r="F16" s="10">
        <f t="array" ref="F16">IFERROR(INDEX(L_DATA_PRICE,$B16),)</f>
        <v>19.66</v>
      </c>
      <c r="G16" s="20">
        <f t="array" ref="G16">IFERROR(INDEX(L_DATA_CHANGE,$B16),)</f>
        <v>-0.01</v>
      </c>
      <c r="H16" s="22" t="str">
        <f t="shared" si="1"/>
        <v>🠋</v>
      </c>
      <c r="I16" s="23" t="str">
        <f t="array" ref="I16">IFERROR(INDEX(L_DATA_CHNG_PCT_FML,$B16),)</f>
        <v>-0.05%</v>
      </c>
      <c r="J16" s="10">
        <f t="array" ref="J16">IFERROR(INDEX(L_DATA_CHANGEPCT,$B16),)</f>
        <v>-0.05</v>
      </c>
      <c r="K16" s="27">
        <f>IFERROR(__xludf.DUMMYFUNCTION("IFERROR(GOOGLEFINANCE(C16,""MARKETCAP""),)"),1.18536362948E11)</f>
        <v>118536362948</v>
      </c>
      <c r="L16" s="10">
        <f>IFERROR(__xludf.DUMMYFUNCTION("IFERROR(GOOGLEFINANCE(C16,""PE""),)"),25.1)</f>
        <v>25.1</v>
      </c>
      <c r="M16" s="27">
        <f>IFERROR(__xludf.DUMMYFUNCTION("IFERROR(GOOGLEFINANCE(C16,""LOW52""),)"),18.76)</f>
        <v>18.76</v>
      </c>
      <c r="N16" s="28" t="str">
        <f t="shared" si="2"/>
        <v>-▼--------</v>
      </c>
      <c r="O16" s="27">
        <f>IFERROR(__xludf.DUMMYFUNCTION("IFERROR(GOOGLEFINANCE(C16,""HIGH52""),)"),23.95)</f>
        <v>23.95</v>
      </c>
      <c r="P16" s="1"/>
      <c r="Q16" s="1"/>
      <c r="R16" s="1"/>
      <c r="S16" s="1"/>
    </row>
    <row r="17" ht="15.75" customHeight="1">
      <c r="A17" s="10">
        <v>15.0</v>
      </c>
      <c r="B17" s="10">
        <f>MATCH(A17,L_DATA_TOP_DECLINE_PCT,0)</f>
        <v>1497</v>
      </c>
      <c r="C17" s="10" t="str">
        <f t="array" ref="C17">IFERROR(INDEX(L_DATA_SYMBOL,B17),)</f>
        <v>NSE:UTIAMC</v>
      </c>
      <c r="D17" s="10" t="str">
        <f>IFERROR(__xludf.DUMMYFUNCTION("IFERROR(GOOGLEFINANCE(C17,""NAME""),)"),"UTI Asset Management Company Ltd")</f>
        <v>UTI Asset Management Company Ltd</v>
      </c>
      <c r="E17" s="16">
        <f t="array" ref="E17">IFERROR(INDEX(L_DATA_VOL,$B17),)</f>
        <v>48517</v>
      </c>
      <c r="F17" s="10">
        <f t="array" ref="F17">IFERROR(INDEX(L_DATA_PRICE,$B17),)</f>
        <v>880</v>
      </c>
      <c r="G17" s="20">
        <f t="array" ref="G17">IFERROR(INDEX(L_DATA_CHANGE,$B17),)</f>
        <v>-0.4</v>
      </c>
      <c r="H17" s="22" t="str">
        <f t="shared" si="1"/>
        <v>🠋</v>
      </c>
      <c r="I17" s="23" t="str">
        <f t="array" ref="I17">IFERROR(INDEX(L_DATA_CHNG_PCT_FML,$B17),)</f>
        <v>-0.05%</v>
      </c>
      <c r="J17" s="10">
        <f t="array" ref="J17">IFERROR(INDEX(L_DATA_CHANGEPCT,$B17),)</f>
        <v>-0.05</v>
      </c>
      <c r="K17" s="27">
        <f>IFERROR(__xludf.DUMMYFUNCTION("IFERROR(GOOGLEFINANCE(C17,""MARKETCAP""),)"),1.1311432E11)</f>
        <v>113114320000</v>
      </c>
      <c r="L17" s="10">
        <f>IFERROR(__xludf.DUMMYFUNCTION("IFERROR(GOOGLEFINANCE(C17,""PE""),)"),24.58)</f>
        <v>24.58</v>
      </c>
      <c r="M17" s="27">
        <f>IFERROR(__xludf.DUMMYFUNCTION("IFERROR(GOOGLEFINANCE(C17,""LOW52""),)"),866.0)</f>
        <v>866</v>
      </c>
      <c r="N17" s="28" t="str">
        <f t="shared" si="2"/>
        <v>▼---------</v>
      </c>
      <c r="O17" s="27">
        <f>IFERROR(__xludf.DUMMYFUNCTION("IFERROR(GOOGLEFINANCE(C17,""HIGH52""),)"),1418.0)</f>
        <v>1418</v>
      </c>
      <c r="P17" s="1"/>
      <c r="Q17" s="1"/>
      <c r="R17" s="1"/>
      <c r="S17" s="1"/>
    </row>
    <row r="18" ht="15.75" customHeight="1">
      <c r="A18" s="10">
        <v>16.0</v>
      </c>
      <c r="B18" s="10">
        <f>MATCH(A18,L_DATA_TOP_DECLINE_PCT,0)</f>
        <v>65</v>
      </c>
      <c r="C18" s="10" t="str">
        <f t="array" ref="C18">IFERROR(INDEX(L_DATA_SYMBOL,B18),)</f>
        <v>NSE:ALKEM</v>
      </c>
      <c r="D18" s="10" t="str">
        <f>IFERROR(__xludf.DUMMYFUNCTION("IFERROR(GOOGLEFINANCE(C18,""NAME""),)"),"Alkem Laboratories Ltd")</f>
        <v>Alkem Laboratories Ltd</v>
      </c>
      <c r="E18" s="16">
        <f t="array" ref="E18">IFERROR(INDEX(L_DATA_VOL,$B18),)</f>
        <v>63261</v>
      </c>
      <c r="F18" s="10">
        <f t="array" ref="F18">IFERROR(INDEX(L_DATA_PRICE,$B18),)</f>
        <v>5190</v>
      </c>
      <c r="G18" s="20">
        <f t="array" ref="G18">IFERROR(INDEX(L_DATA_CHANGE,$B18),)</f>
        <v>-3</v>
      </c>
      <c r="H18" s="22" t="str">
        <f t="shared" si="1"/>
        <v>🠋</v>
      </c>
      <c r="I18" s="23" t="str">
        <f t="array" ref="I18">IFERROR(INDEX(L_DATA_CHNG_PCT_FML,$B18),)</f>
        <v>-0.06%</v>
      </c>
      <c r="J18" s="10">
        <f t="array" ref="J18">IFERROR(INDEX(L_DATA_CHANGEPCT,$B18),)</f>
        <v>-0.06</v>
      </c>
      <c r="K18" s="27">
        <f>IFERROR(__xludf.DUMMYFUNCTION("IFERROR(GOOGLEFINANCE(C18,""MARKETCAP""),)"),6.2054235E11)</f>
        <v>620542350000</v>
      </c>
      <c r="L18" s="10">
        <f>IFERROR(__xludf.DUMMYFUNCTION("IFERROR(GOOGLEFINANCE(C18,""PE""),)"),28.76)</f>
        <v>28.76</v>
      </c>
      <c r="M18" s="27">
        <f>IFERROR(__xludf.DUMMYFUNCTION("IFERROR(GOOGLEFINANCE(C18,""LOW52""),)"),5075.0)</f>
        <v>5075</v>
      </c>
      <c r="N18" s="28" t="str">
        <f t="shared" si="2"/>
        <v>-▼--------</v>
      </c>
      <c r="O18" s="27">
        <f>IFERROR(__xludf.DUMMYFUNCTION("IFERROR(GOOGLEFINANCE(C18,""HIGH52""),)"),5933.5)</f>
        <v>5933.5</v>
      </c>
      <c r="P18" s="1"/>
      <c r="Q18" s="1"/>
      <c r="R18" s="1"/>
      <c r="S18" s="1"/>
    </row>
    <row r="19" ht="15.75" customHeight="1">
      <c r="A19" s="10">
        <v>17.0</v>
      </c>
      <c r="B19" s="10">
        <f>MATCH(A19,L_DATA_TOP_DECLINE_PCT,0)</f>
        <v>220</v>
      </c>
      <c r="C19" s="10" t="str">
        <f t="array" ref="C19">IFERROR(INDEX(L_DATA_SYMBOL,B19),)</f>
        <v>NSE:BLBLIMITED</v>
      </c>
      <c r="D19" s="10" t="str">
        <f>IFERROR(__xludf.DUMMYFUNCTION("IFERROR(GOOGLEFINANCE(C19,""NAME""),)"),"BLB Ltd")</f>
        <v>BLB Ltd</v>
      </c>
      <c r="E19" s="16">
        <f t="array" ref="E19">IFERROR(INDEX(L_DATA_VOL,$B19),)</f>
        <v>117198</v>
      </c>
      <c r="F19" s="10">
        <f t="array" ref="F19">IFERROR(INDEX(L_DATA_PRICE,$B19),)</f>
        <v>16.95</v>
      </c>
      <c r="G19" s="20">
        <f t="array" ref="G19">IFERROR(INDEX(L_DATA_CHANGE,$B19),)</f>
        <v>-0.01</v>
      </c>
      <c r="H19" s="22" t="str">
        <f t="shared" si="1"/>
        <v>🠋</v>
      </c>
      <c r="I19" s="23" t="str">
        <f t="array" ref="I19">IFERROR(INDEX(L_DATA_CHNG_PCT_FML,$B19),)</f>
        <v>-0.06%</v>
      </c>
      <c r="J19" s="10">
        <f t="array" ref="J19">IFERROR(INDEX(L_DATA_CHANGEPCT,$B19),)</f>
        <v>-0.06</v>
      </c>
      <c r="K19" s="27">
        <f>IFERROR(__xludf.DUMMYFUNCTION("IFERROR(GOOGLEFINANCE(C19,""MARKETCAP""),)"),8.96066027E8)</f>
        <v>896066027</v>
      </c>
      <c r="L19" s="10">
        <f>IFERROR(__xludf.DUMMYFUNCTION("IFERROR(GOOGLEFINANCE(C19,""PE""),)"),3.28)</f>
        <v>3.28</v>
      </c>
      <c r="M19" s="27">
        <f>IFERROR(__xludf.DUMMYFUNCTION("IFERROR(GOOGLEFINANCE(C19,""LOW52""),)"),12.0)</f>
        <v>12</v>
      </c>
      <c r="N19" s="28" t="str">
        <f t="shared" si="2"/>
        <v>----▼-----</v>
      </c>
      <c r="O19" s="27">
        <f>IFERROR(__xludf.DUMMYFUNCTION("IFERROR(GOOGLEFINANCE(C19,""HIGH52""),)"),22.47)</f>
        <v>22.47</v>
      </c>
      <c r="P19" s="1"/>
      <c r="Q19" s="1"/>
      <c r="R19" s="1"/>
      <c r="S19" s="1"/>
    </row>
    <row r="20" ht="15.75" customHeight="1">
      <c r="A20" s="10">
        <v>18.0</v>
      </c>
      <c r="B20" s="10">
        <f>MATCH(A20,L_DATA_TOP_DECLINE_PCT,0)</f>
        <v>844</v>
      </c>
      <c r="C20" s="10" t="str">
        <f t="array" ref="C20">IFERROR(INDEX(L_DATA_SYMBOL,B20),)</f>
        <v>NSE:MADRASFERT</v>
      </c>
      <c r="D20" s="10" t="str">
        <f>IFERROR(__xludf.DUMMYFUNCTION("IFERROR(GOOGLEFINANCE(C20,""NAME""),)"),"Madras Fertilizers Ltd")</f>
        <v>Madras Fertilizers Ltd</v>
      </c>
      <c r="E20" s="16">
        <f t="array" ref="E20">IFERROR(INDEX(L_DATA_VOL,$B20),)</f>
        <v>26810</v>
      </c>
      <c r="F20" s="10">
        <f t="array" ref="F20">IFERROR(INDEX(L_DATA_PRICE,$B20),)</f>
        <v>65.09</v>
      </c>
      <c r="G20" s="20">
        <f t="array" ref="G20">IFERROR(INDEX(L_DATA_CHANGE,$B20),)</f>
        <v>-0.04</v>
      </c>
      <c r="H20" s="22" t="str">
        <f t="shared" si="1"/>
        <v>🠋</v>
      </c>
      <c r="I20" s="23" t="str">
        <f t="array" ref="I20">IFERROR(INDEX(L_DATA_CHNG_PCT_FML,$B20),)</f>
        <v>-0.06%</v>
      </c>
      <c r="J20" s="10">
        <f t="array" ref="J20">IFERROR(INDEX(L_DATA_CHANGEPCT,$B20),)</f>
        <v>-0.06</v>
      </c>
      <c r="K20" s="27">
        <f>IFERROR(__xludf.DUMMYFUNCTION("IFERROR(GOOGLEFINANCE(C20,""MARKETCAP""),)"),1.0486083027E10)</f>
        <v>10486083027</v>
      </c>
      <c r="L20" s="10">
        <f>IFERROR(__xludf.DUMMYFUNCTION("IFERROR(GOOGLEFINANCE(C20,""PE""),)"),14.76)</f>
        <v>14.76</v>
      </c>
      <c r="M20" s="27">
        <f>IFERROR(__xludf.DUMMYFUNCTION("IFERROR(GOOGLEFINANCE(C20,""LOW52""),)"),52.56)</f>
        <v>52.56</v>
      </c>
      <c r="N20" s="28" t="str">
        <f t="shared" si="2"/>
        <v>--▼-------</v>
      </c>
      <c r="O20" s="27">
        <f>IFERROR(__xludf.DUMMYFUNCTION("IFERROR(GOOGLEFINANCE(C20,""HIGH52""),)"),96.39)</f>
        <v>96.39</v>
      </c>
      <c r="P20" s="1"/>
      <c r="Q20" s="1"/>
      <c r="R20" s="1"/>
      <c r="S20" s="1"/>
    </row>
    <row r="21" ht="15.75" customHeight="1">
      <c r="A21" s="10">
        <v>19.0</v>
      </c>
      <c r="B21" s="10">
        <f>MATCH(A21,L_DATA_TOP_DECLINE_PCT,0)</f>
        <v>656</v>
      </c>
      <c r="C21" s="10" t="str">
        <f t="array" ref="C21">IFERROR(INDEX(L_DATA_SYMBOL,B21),)</f>
        <v>NSE:INDTERRAIN</v>
      </c>
      <c r="D21" s="10" t="str">
        <f>IFERROR(__xludf.DUMMYFUNCTION("IFERROR(GOOGLEFINANCE(C21,""NAME""),)"),"Indian Terrain Fashions Ltd")</f>
        <v>Indian Terrain Fashions Ltd</v>
      </c>
      <c r="E21" s="16">
        <f t="array" ref="E21">IFERROR(INDEX(L_DATA_VOL,$B21),)</f>
        <v>17159</v>
      </c>
      <c r="F21" s="10">
        <f t="array" ref="F21">IFERROR(INDEX(L_DATA_PRICE,$B21),)</f>
        <v>30.2</v>
      </c>
      <c r="G21" s="20">
        <f t="array" ref="G21">IFERROR(INDEX(L_DATA_CHANGE,$B21),)</f>
        <v>-0.02</v>
      </c>
      <c r="H21" s="22" t="str">
        <f t="shared" si="1"/>
        <v>🠋</v>
      </c>
      <c r="I21" s="23" t="str">
        <f t="array" ref="I21">IFERROR(INDEX(L_DATA_CHNG_PCT_FML,$B21),)</f>
        <v>-0.07%</v>
      </c>
      <c r="J21" s="10">
        <f t="array" ref="J21">IFERROR(INDEX(L_DATA_CHANGEPCT,$B21),)</f>
        <v>-0.07</v>
      </c>
      <c r="K21" s="27">
        <f>IFERROR(__xludf.DUMMYFUNCTION("IFERROR(GOOGLEFINANCE(C21,""MARKETCAP""),)"),1.530154612E9)</f>
        <v>1530154612</v>
      </c>
      <c r="L21" s="10">
        <f>IFERROR(__xludf.DUMMYFUNCTION("IFERROR(GOOGLEFINANCE(C21,""PE""),)"),377.78)</f>
        <v>377.78</v>
      </c>
      <c r="M21" s="27">
        <f>IFERROR(__xludf.DUMMYFUNCTION("IFERROR(GOOGLEFINANCE(C21,""LOW52""),)"),24.56)</f>
        <v>24.56</v>
      </c>
      <c r="N21" s="28" t="str">
        <f t="shared" si="2"/>
        <v>---▼------</v>
      </c>
      <c r="O21" s="27">
        <f>IFERROR(__xludf.DUMMYFUNCTION("IFERROR(GOOGLEFINANCE(C21,""HIGH52""),)"),42.62)</f>
        <v>42.62</v>
      </c>
      <c r="P21" s="1"/>
      <c r="Q21" s="1"/>
      <c r="R21" s="1"/>
      <c r="S21" s="1"/>
    </row>
    <row r="22" ht="15.75" customHeight="1">
      <c r="A22" s="37">
        <v>20.0</v>
      </c>
      <c r="B22" s="37">
        <f>MATCH(A22,L_DATA_TOP_DECLINE_PCT,0)</f>
        <v>278</v>
      </c>
      <c r="C22" s="37" t="str">
        <f t="array" ref="C22">IFERROR(INDEX(L_DATA_SYMBOL,B22),)</f>
        <v>NSE:CGPOWER</v>
      </c>
      <c r="D22" s="37" t="str">
        <f>IFERROR(__xludf.DUMMYFUNCTION("IFERROR(GOOGLEFINANCE(C22,""NAME""),)"),"CG Power and Industrial Solutions Ltd")</f>
        <v>CG Power and Industrial Solutions Ltd</v>
      </c>
      <c r="E22" s="38">
        <f t="array" ref="E22">IFERROR(INDEX(L_DATA_VOL,$B22),)</f>
        <v>2159759</v>
      </c>
      <c r="F22" s="37">
        <f t="array" ref="F22">IFERROR(INDEX(L_DATA_PRICE,$B22),)</f>
        <v>894.25</v>
      </c>
      <c r="G22" s="39">
        <f t="array" ref="G22">IFERROR(INDEX(L_DATA_CHANGE,$B22),)</f>
        <v>-0.75</v>
      </c>
      <c r="H22" s="40" t="str">
        <f t="shared" si="1"/>
        <v>🠋</v>
      </c>
      <c r="I22" s="41" t="str">
        <f t="array" ref="I22">IFERROR(INDEX(L_DATA_CHNG_PCT_FML,$B22),)</f>
        <v>-0.08%</v>
      </c>
      <c r="J22" s="37">
        <f t="array" ref="J22">IFERROR(INDEX(L_DATA_CHANGEPCT,$B22),)</f>
        <v>-0.08</v>
      </c>
      <c r="K22" s="42">
        <f>IFERROR(__xludf.DUMMYFUNCTION("IFERROR(GOOGLEFINANCE(C22,""MARKETCAP""),)"),1.368172614682E12)</f>
        <v>1368172614682</v>
      </c>
      <c r="L22" s="37">
        <f>IFERROR(__xludf.DUMMYFUNCTION("IFERROR(GOOGLEFINANCE(C22,""PE""),)"),112.61)</f>
        <v>112.61</v>
      </c>
      <c r="M22" s="42">
        <f>IFERROR(__xludf.DUMMYFUNCTION("IFERROR(GOOGLEFINANCE(C22,""LOW52""),)"),525.5)</f>
        <v>525.5</v>
      </c>
      <c r="N22" s="43" t="str">
        <f t="shared" si="2"/>
        <v>--------▼-</v>
      </c>
      <c r="O22" s="42">
        <f>IFERROR(__xludf.DUMMYFUNCTION("IFERROR(GOOGLEFINANCE(C22,""HIGH52""),)"),980.9)</f>
        <v>980.9</v>
      </c>
      <c r="P22" s="1"/>
      <c r="Q22" s="1"/>
      <c r="R22" s="1"/>
      <c r="S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22">
    <cfRule type="expression" dxfId="5" priority="1">
      <formula>$J3&lt;0</formula>
    </cfRule>
  </conditionalFormatting>
  <conditionalFormatting sqref="H3:H22">
    <cfRule type="expression" dxfId="9" priority="2">
      <formula>$J3&lt;0.05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4.88"/>
    <col customWidth="1" hidden="1" min="2" max="2" width="12.63"/>
    <col customWidth="1" min="3" max="3" width="15.13"/>
    <col customWidth="1" min="4" max="4" width="28.88"/>
    <col customWidth="1" min="5" max="6" width="12.63"/>
    <col customWidth="1" min="8" max="8" width="4.25"/>
    <col customWidth="1" hidden="1" min="10" max="10" width="5.75"/>
    <col customWidth="1" min="11" max="11" width="19.0"/>
    <col customWidth="1" min="13" max="13" width="13.88"/>
    <col customWidth="1" min="14" max="14" width="15.88"/>
    <col customWidth="1" min="15" max="15" width="13.75"/>
  </cols>
  <sheetData>
    <row r="1" ht="25.5" customHeight="1">
      <c r="A1" s="6" t="s">
        <v>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15.75" customHeight="1">
      <c r="A2" s="7" t="s">
        <v>4</v>
      </c>
      <c r="B2" s="7" t="s">
        <v>5</v>
      </c>
      <c r="C2" s="7" t="s">
        <v>6</v>
      </c>
      <c r="D2" s="7" t="s">
        <v>7</v>
      </c>
      <c r="E2" s="8" t="s">
        <v>8</v>
      </c>
      <c r="F2" s="8" t="s">
        <v>9</v>
      </c>
      <c r="G2" s="8" t="s">
        <v>10</v>
      </c>
      <c r="H2" s="7"/>
      <c r="I2" s="7" t="s">
        <v>11</v>
      </c>
      <c r="J2" s="7"/>
      <c r="K2" s="8" t="s">
        <v>12</v>
      </c>
      <c r="L2" s="8" t="s">
        <v>13</v>
      </c>
      <c r="M2" s="7" t="s">
        <v>14</v>
      </c>
      <c r="N2" s="8" t="s">
        <v>15</v>
      </c>
      <c r="O2" s="7" t="s">
        <v>16</v>
      </c>
      <c r="P2" s="1"/>
      <c r="Q2" s="1"/>
      <c r="R2" s="1"/>
      <c r="S2" s="1"/>
    </row>
    <row r="3" ht="15.75" customHeight="1">
      <c r="A3" s="10">
        <v>1.0</v>
      </c>
      <c r="B3" s="10">
        <f>MATCH(A3,L_DATA_TOP_ACTIVES,0)</f>
        <v>1054</v>
      </c>
      <c r="C3" s="10" t="str">
        <f t="array" ref="C3">IFERROR(INDEX(L_DATA_SYMBOL,B3),)</f>
        <v>NSE:PCJEWELLER</v>
      </c>
      <c r="D3" s="10" t="str">
        <f>IFERROR(__xludf.DUMMYFUNCTION("IFERROR(GOOGLEFINANCE(C3,""NAME""),)"),"PC Jeweller Ltd")</f>
        <v>PC Jeweller Ltd</v>
      </c>
      <c r="E3" s="16">
        <f t="array" ref="E3">IFERROR(INDEX(L_DATA_VOL,$B3),)</f>
        <v>1088942848</v>
      </c>
      <c r="F3" s="10">
        <f t="array" ref="F3">IFERROR(INDEX(L_DATA_PRICE,$B3),)</f>
        <v>11.99</v>
      </c>
      <c r="G3" s="20">
        <f t="array" ref="G3">IFERROR(INDEX(L_DATA_CHANGE,$B3),)</f>
        <v>1.47</v>
      </c>
      <c r="H3" s="22" t="str">
        <f t="shared" ref="H3:H22" si="1">IFERROR(IF($J3="","",IFS($J3&gt;=0.05,CHAR(129033),$J3&lt;0,CHAR(129035),$J3&lt;0.05,CHAR(129034))),)</f>
        <v>🠉</v>
      </c>
      <c r="I3" s="23" t="str">
        <f t="array" ref="I3">IFERROR(INDEX(L_DATA_CHNG_PCT_FML,$B3),)</f>
        <v>13.97%</v>
      </c>
      <c r="J3" s="10">
        <f t="array" ref="J3">IFERROR(INDEX(L_DATA_CHANGEPCT,$B3),)</f>
        <v>13.97</v>
      </c>
      <c r="K3" s="27">
        <f>IFERROR(__xludf.DUMMYFUNCTION("IFERROR(GOOGLEFINANCE(C3,""MARKETCAP""),)"),1.15830228986E11)</f>
        <v>115830228986</v>
      </c>
      <c r="L3" s="10">
        <f>IFERROR(__xludf.DUMMYFUNCTION("IFERROR(GOOGLEFINANCE(C3,""PE""),)"),15.18)</f>
        <v>15.18</v>
      </c>
      <c r="M3" s="27">
        <f>IFERROR(__xludf.DUMMYFUNCTION("IFERROR(GOOGLEFINANCE(C3,""LOW52""),)"),7.47)</f>
        <v>7.47</v>
      </c>
      <c r="N3" s="28" t="str">
        <f t="shared" ref="N3:N22" si="2">IFERROR(REPT(CHAR(45),QUOTIENT(($F3 -$M3),ROUND( ($O3-$M3) /10,2)))
&amp;CHAR(9660)&amp;REPT(CHAR(45),9-QUOTIENT(($F3 -$M3),ROUND( ($O3-$M3) /10,2))),"")</f>
        <v>-----▼----</v>
      </c>
      <c r="O3" s="27">
        <f>IFERROR(__xludf.DUMMYFUNCTION("IFERROR(GOOGLEFINANCE(C3,""HIGH52""),)"),15.38)</f>
        <v>15.38</v>
      </c>
      <c r="P3" s="1"/>
      <c r="Q3" s="1"/>
      <c r="R3" s="1"/>
      <c r="S3" s="1"/>
    </row>
    <row r="4" ht="15.75" customHeight="1">
      <c r="A4" s="10">
        <v>2.0</v>
      </c>
      <c r="B4" s="10">
        <f>MATCH(A4,L_DATA_TOP_ACTIVES,0)</f>
        <v>616</v>
      </c>
      <c r="C4" s="10" t="str">
        <f t="array" ref="C4">IFERROR(INDEX(L_DATA_SYMBOL,B4),)</f>
        <v>NSE:IDEA</v>
      </c>
      <c r="D4" s="10" t="str">
        <f>IFERROR(__xludf.DUMMYFUNCTION("IFERROR(GOOGLEFINANCE(C4,""NAME""),)"),"Vodafone Idea Ltd")</f>
        <v>Vodafone Idea Ltd</v>
      </c>
      <c r="E4" s="16">
        <f t="array" ref="E4">IFERROR(INDEX(L_DATA_VOL,$B4),)</f>
        <v>525960563</v>
      </c>
      <c r="F4" s="10">
        <f t="array" ref="F4">IFERROR(INDEX(L_DATA_PRICE,$B4),)</f>
        <v>15.06</v>
      </c>
      <c r="G4" s="20">
        <f t="array" ref="G4">IFERROR(INDEX(L_DATA_CHANGE,$B4),)</f>
        <v>0.58</v>
      </c>
      <c r="H4" s="22" t="str">
        <f t="shared" si="1"/>
        <v>🠉</v>
      </c>
      <c r="I4" s="23" t="str">
        <f t="array" ref="I4">IFERROR(INDEX(L_DATA_CHNG_PCT_FML,$B4),)</f>
        <v>4.01%</v>
      </c>
      <c r="J4" s="10">
        <f t="array" ref="J4">IFERROR(INDEX(L_DATA_CHANGEPCT,$B4),)</f>
        <v>4.01</v>
      </c>
      <c r="K4" s="27">
        <f>IFERROR(__xludf.DUMMYFUNCTION("IFERROR(GOOGLEFINANCE(C4,""MARKETCAP""),)"),1.626228454797E12)</f>
        <v>1626228454797</v>
      </c>
      <c r="L4" s="10">
        <f>IFERROR(__xludf.DUMMYFUNCTION("IFERROR(GOOGLEFINANCE(C4,""PE""),)"),4.35)</f>
        <v>4.35</v>
      </c>
      <c r="M4" s="27">
        <f>IFERROR(__xludf.DUMMYFUNCTION("IFERROR(GOOGLEFINANCE(C4,""LOW52""),)"),6.58)</f>
        <v>6.58</v>
      </c>
      <c r="N4" s="28" t="str">
        <f t="shared" si="2"/>
        <v>---------▼</v>
      </c>
      <c r="O4" s="27">
        <f>IFERROR(__xludf.DUMMYFUNCTION("IFERROR(GOOGLEFINANCE(C4,""HIGH52""),)"),15.37)</f>
        <v>15.37</v>
      </c>
      <c r="P4" s="1"/>
      <c r="Q4" s="1"/>
      <c r="R4" s="1"/>
      <c r="S4" s="1"/>
    </row>
    <row r="5" ht="15.75" customHeight="1">
      <c r="A5" s="10">
        <v>3.0</v>
      </c>
      <c r="B5" s="10">
        <f>MATCH(A5,L_DATA_TOP_ACTIVES,0)</f>
        <v>622</v>
      </c>
      <c r="C5" s="10" t="str">
        <f t="array" ref="C5">IFERROR(INDEX(L_DATA_SYMBOL,B5),)</f>
        <v>NSE:IFCI</v>
      </c>
      <c r="D5" s="10" t="str">
        <f>IFERROR(__xludf.DUMMYFUNCTION("IFERROR(GOOGLEFINANCE(C5,""NAME""),)"),"IFCI Ltd")</f>
        <v>IFCI Ltd</v>
      </c>
      <c r="E5" s="16">
        <f t="array" ref="E5">IFERROR(INDEX(L_DATA_VOL,$B5),)</f>
        <v>407352536</v>
      </c>
      <c r="F5" s="10">
        <f t="array" ref="F5">IFERROR(INDEX(L_DATA_PRICE,$B5),)</f>
        <v>102.17</v>
      </c>
      <c r="G5" s="20">
        <f t="array" ref="G5">IFERROR(INDEX(L_DATA_CHANGE,$B5),)</f>
        <v>6.26</v>
      </c>
      <c r="H5" s="22" t="str">
        <f t="shared" si="1"/>
        <v>🠉</v>
      </c>
      <c r="I5" s="23" t="str">
        <f t="array" ref="I5">IFERROR(INDEX(L_DATA_CHNG_PCT_FML,$B5),)</f>
        <v>6.53%</v>
      </c>
      <c r="J5" s="10">
        <f t="array" ref="J5">IFERROR(INDEX(L_DATA_CHANGEPCT,$B5),)</f>
        <v>6.53</v>
      </c>
      <c r="K5" s="27">
        <f>IFERROR(__xludf.DUMMYFUNCTION("IFERROR(GOOGLEFINANCE(C5,""MARKETCAP""),)"),2.65370656805E11)</f>
        <v>265370656805</v>
      </c>
      <c r="L5" s="10">
        <f>IFERROR(__xludf.DUMMYFUNCTION("IFERROR(GOOGLEFINANCE(C5,""PE""),)"),159.64)</f>
        <v>159.64</v>
      </c>
      <c r="M5" s="27">
        <f>IFERROR(__xludf.DUMMYFUNCTION("IFERROR(GOOGLEFINANCE(C5,""LOW52""),)"),46.23)</f>
        <v>46.23</v>
      </c>
      <c r="N5" s="28" t="str">
        <f t="shared" si="2"/>
        <v>---------▼</v>
      </c>
      <c r="O5" s="27">
        <f>IFERROR(__xludf.DUMMYFUNCTION("IFERROR(GOOGLEFINANCE(C5,""HIGH52""),)"),107.5)</f>
        <v>107.5</v>
      </c>
      <c r="P5" s="1"/>
      <c r="Q5" s="1"/>
      <c r="R5" s="1"/>
      <c r="S5" s="1"/>
    </row>
    <row r="6" ht="15.75" customHeight="1">
      <c r="A6" s="10">
        <v>4.0</v>
      </c>
      <c r="B6" s="10">
        <f>MATCH(A6,L_DATA_TOP_ACTIVES,0)</f>
        <v>714</v>
      </c>
      <c r="C6" s="10" t="str">
        <f t="array" ref="C6">IFERROR(INDEX(L_DATA_SYMBOL,B6),)</f>
        <v>NSE:JINDWORLD</v>
      </c>
      <c r="D6" s="10" t="str">
        <f>IFERROR(__xludf.DUMMYFUNCTION("IFERROR(GOOGLEFINANCE(C6,""NAME""),)"),"Jindal Worldwide Ltd")</f>
        <v>Jindal Worldwide Ltd</v>
      </c>
      <c r="E6" s="16">
        <f t="array" ref="E6">IFERROR(INDEX(L_DATA_VOL,$B6),)</f>
        <v>188275533</v>
      </c>
      <c r="F6" s="10">
        <f t="array" ref="F6">IFERROR(INDEX(L_DATA_PRICE,$B6),)</f>
        <v>57.78</v>
      </c>
      <c r="G6" s="20">
        <f t="array" ref="G6">IFERROR(INDEX(L_DATA_CHANGE,$B6),)</f>
        <v>9.63</v>
      </c>
      <c r="H6" s="22" t="str">
        <f t="shared" si="1"/>
        <v>🠉</v>
      </c>
      <c r="I6" s="23" t="str">
        <f t="array" ref="I6">IFERROR(INDEX(L_DATA_CHNG_PCT_FML,$B6),)</f>
        <v>20%</v>
      </c>
      <c r="J6" s="10">
        <f t="array" ref="J6">IFERROR(INDEX(L_DATA_CHANGEPCT,$B6),)</f>
        <v>20</v>
      </c>
      <c r="K6" s="27">
        <f>IFERROR(__xludf.DUMMYFUNCTION("IFERROR(GOOGLEFINANCE(C6,""MARKETCAP""),)"),5.7879571825E10)</f>
        <v>57879571825</v>
      </c>
      <c r="L6" s="10">
        <f>IFERROR(__xludf.DUMMYFUNCTION("IFERROR(GOOGLEFINANCE(C6,""PE""),)"),69.35)</f>
        <v>69.35</v>
      </c>
      <c r="M6" s="27">
        <f>IFERROR(__xludf.DUMMYFUNCTION("IFERROR(GOOGLEFINANCE(C6,""LOW52""),)"),17.85)</f>
        <v>17.85</v>
      </c>
      <c r="N6" s="28" t="str">
        <f t="shared" si="2"/>
        <v/>
      </c>
      <c r="O6" s="27">
        <f>IFERROR(__xludf.DUMMYFUNCTION("IFERROR(GOOGLEFINANCE(C6,""HIGH52""),)"),57.78)</f>
        <v>57.78</v>
      </c>
      <c r="P6" s="1"/>
      <c r="Q6" s="1"/>
      <c r="R6" s="1"/>
      <c r="S6" s="1"/>
    </row>
    <row r="7" ht="15.75" customHeight="1">
      <c r="A7" s="10">
        <v>5.0</v>
      </c>
      <c r="B7" s="10">
        <f>MATCH(A7,L_DATA_TOP_ACTIVES,0)</f>
        <v>987</v>
      </c>
      <c r="C7" s="10" t="str">
        <f t="array" ref="C7">IFERROR(INDEX(L_DATA_SYMBOL,B7),)</f>
        <v>NSE:NIACL</v>
      </c>
      <c r="D7" s="10" t="str">
        <f>IFERROR(__xludf.DUMMYFUNCTION("IFERROR(GOOGLEFINANCE(C7,""NAME""),)"),"New India Assurance Company Ltd")</f>
        <v>New India Assurance Company Ltd</v>
      </c>
      <c r="E7" s="16">
        <f t="array" ref="E7">IFERROR(INDEX(L_DATA_VOL,$B7),)</f>
        <v>66928665</v>
      </c>
      <c r="F7" s="10">
        <f t="array" ref="F7">IFERROR(INDEX(L_DATA_PRICE,$B7),)</f>
        <v>231</v>
      </c>
      <c r="G7" s="20">
        <f t="array" ref="G7">IFERROR(INDEX(L_DATA_CHANGE,$B7),)</f>
        <v>35.67</v>
      </c>
      <c r="H7" s="22" t="str">
        <f t="shared" si="1"/>
        <v>🠉</v>
      </c>
      <c r="I7" s="23" t="str">
        <f t="array" ref="I7">IFERROR(INDEX(L_DATA_CHNG_PCT_FML,$B7),)</f>
        <v>18.26%</v>
      </c>
      <c r="J7" s="10">
        <f t="array" ref="J7">IFERROR(INDEX(L_DATA_CHANGEPCT,$B7),)</f>
        <v>18.26</v>
      </c>
      <c r="K7" s="27">
        <f>IFERROR(__xludf.DUMMYFUNCTION("IFERROR(GOOGLEFINANCE(C7,""MARKETCAP""),)"),3.77922191018E11)</f>
        <v>377922191018</v>
      </c>
      <c r="L7" s="10">
        <f>IFERROR(__xludf.DUMMYFUNCTION("IFERROR(GOOGLEFINANCE(C7,""PE""),)"),49.33)</f>
        <v>49.33</v>
      </c>
      <c r="M7" s="27">
        <f>IFERROR(__xludf.DUMMYFUNCTION("IFERROR(GOOGLEFINANCE(C7,""LOW52""),)"),116.97)</f>
        <v>116.97</v>
      </c>
      <c r="N7" s="28" t="str">
        <f t="shared" si="2"/>
        <v>---------▼</v>
      </c>
      <c r="O7" s="27">
        <f>IFERROR(__xludf.DUMMYFUNCTION("IFERROR(GOOGLEFINANCE(C7,""HIGH52""),)"),234.39)</f>
        <v>234.39</v>
      </c>
      <c r="P7" s="1"/>
      <c r="Q7" s="1"/>
      <c r="R7" s="1"/>
      <c r="S7" s="1"/>
    </row>
    <row r="8" ht="15.75" customHeight="1">
      <c r="A8" s="10">
        <v>6.0</v>
      </c>
      <c r="B8" s="10">
        <f>MATCH(A8,L_DATA_TOP_ACTIVES,0)</f>
        <v>70</v>
      </c>
      <c r="C8" s="10" t="str">
        <f t="array" ref="C8">IFERROR(INDEX(L_DATA_SYMBOL,B8),)</f>
        <v>NSE:ALOKINDS</v>
      </c>
      <c r="D8" s="10" t="str">
        <f>IFERROR(__xludf.DUMMYFUNCTION("IFERROR(GOOGLEFINANCE(C8,""NAME""),)"),"Alok Industries Ltd")</f>
        <v>Alok Industries Ltd</v>
      </c>
      <c r="E8" s="16">
        <f t="array" ref="E8">IFERROR(INDEX(L_DATA_VOL,$B8),)</f>
        <v>65791332</v>
      </c>
      <c r="F8" s="10">
        <f t="array" ref="F8">IFERROR(INDEX(L_DATA_PRICE,$B8),)</f>
        <v>7.86</v>
      </c>
      <c r="G8" s="20">
        <f t="array" ref="G8">IFERROR(INDEX(L_DATA_CHANGE,$B8),)</f>
        <v>0.33</v>
      </c>
      <c r="H8" s="22" t="str">
        <f t="shared" si="1"/>
        <v>🠉</v>
      </c>
      <c r="I8" s="23" t="str">
        <f t="array" ref="I8">IFERROR(INDEX(L_DATA_CHNG_PCT_FML,$B8),)</f>
        <v>4.38%</v>
      </c>
      <c r="J8" s="10">
        <f t="array" ref="J8">IFERROR(INDEX(L_DATA_CHANGEPCT,$B8),)</f>
        <v>4.38</v>
      </c>
      <c r="K8" s="27">
        <f>IFERROR(__xludf.DUMMYFUNCTION("IFERROR(GOOGLEFINANCE(C8,""MARKETCAP""),)"),3.9091439049E10)</f>
        <v>39091439049</v>
      </c>
      <c r="L8" s="10" t="str">
        <f>IFERROR(__xludf.DUMMYFUNCTION("IFERROR(GOOGLEFINANCE(C8,""PE""),)"),"")</f>
        <v/>
      </c>
      <c r="M8" s="27">
        <f>IFERROR(__xludf.DUMMYFUNCTION("IFERROR(GOOGLEFINANCE(C8,""LOW52""),)"),7.06)</f>
        <v>7.06</v>
      </c>
      <c r="N8" s="28" t="str">
        <f t="shared" si="2"/>
        <v>▼---------</v>
      </c>
      <c r="O8" s="27">
        <f>IFERROR(__xludf.DUMMYFUNCTION("IFERROR(GOOGLEFINANCE(C8,""HIGH52""),)"),19.34)</f>
        <v>19.34</v>
      </c>
      <c r="P8" s="1"/>
      <c r="Q8" s="1"/>
      <c r="R8" s="1"/>
      <c r="S8" s="1"/>
    </row>
    <row r="9" ht="15.75" customHeight="1">
      <c r="A9" s="10">
        <v>7.0</v>
      </c>
      <c r="B9" s="10">
        <f>MATCH(A9,L_DATA_TOP_ACTIVES,0)</f>
        <v>1374</v>
      </c>
      <c r="C9" s="10" t="str">
        <f t="array" ref="C9">IFERROR(INDEX(L_DATA_SYMBOL,B9),)</f>
        <v>NSE:SUZLON</v>
      </c>
      <c r="D9" s="10" t="str">
        <f>IFERROR(__xludf.DUMMYFUNCTION("IFERROR(GOOGLEFINANCE(C9,""NAME""),)"),"Suzlon Energy Ltd")</f>
        <v>Suzlon Energy Ltd</v>
      </c>
      <c r="E9" s="16">
        <f t="array" ref="E9">IFERROR(INDEX(L_DATA_VOL,$B9),)</f>
        <v>55366085</v>
      </c>
      <c r="F9" s="10">
        <f t="array" ref="F9">IFERROR(INDEX(L_DATA_PRICE,$B9),)</f>
        <v>45.33</v>
      </c>
      <c r="G9" s="20">
        <f t="array" ref="G9">IFERROR(INDEX(L_DATA_CHANGE,$B9),)</f>
        <v>-0.7</v>
      </c>
      <c r="H9" s="22" t="str">
        <f t="shared" si="1"/>
        <v>🠋</v>
      </c>
      <c r="I9" s="23" t="str">
        <f t="array" ref="I9">IFERROR(INDEX(L_DATA_CHNG_PCT_FML,$B9),)</f>
        <v>-1.52%</v>
      </c>
      <c r="J9" s="10">
        <f t="array" ref="J9">IFERROR(INDEX(L_DATA_CHANGEPCT,$B9),)</f>
        <v>-1.52</v>
      </c>
      <c r="K9" s="27">
        <f>IFERROR(__xludf.DUMMYFUNCTION("IFERROR(GOOGLEFINANCE(C9,""MARKETCAP""),)"),6.21979656039E11)</f>
        <v>621979656039</v>
      </c>
      <c r="L9" s="10">
        <f>IFERROR(__xludf.DUMMYFUNCTION("IFERROR(GOOGLEFINANCE(C9,""PE""),)"),19.95)</f>
        <v>19.95</v>
      </c>
      <c r="M9" s="27">
        <f>IFERROR(__xludf.DUMMYFUNCTION("IFERROR(GOOGLEFINANCE(C9,""LOW52""),)"),38.19)</f>
        <v>38.19</v>
      </c>
      <c r="N9" s="28" t="str">
        <f t="shared" si="2"/>
        <v>---▼------</v>
      </c>
      <c r="O9" s="27">
        <f>IFERROR(__xludf.DUMMYFUNCTION("IFERROR(GOOGLEFINANCE(C9,""HIGH52""),)"),61.5)</f>
        <v>61.5</v>
      </c>
      <c r="P9" s="1"/>
      <c r="Q9" s="1"/>
      <c r="R9" s="1"/>
      <c r="S9" s="1"/>
    </row>
    <row r="10" ht="15.75" customHeight="1">
      <c r="A10" s="10">
        <v>8.0</v>
      </c>
      <c r="B10" s="10">
        <f>MATCH(A10,L_DATA_TOP_ACTIVES,0)</f>
        <v>700</v>
      </c>
      <c r="C10" s="10" t="str">
        <f t="array" ref="C10">IFERROR(INDEX(L_DATA_SYMBOL,B10),)</f>
        <v>NSE:JAYNECOIND</v>
      </c>
      <c r="D10" s="10" t="str">
        <f>IFERROR(__xludf.DUMMYFUNCTION("IFERROR(GOOGLEFINANCE(C10,""NAME""),)"),"Jayaswal Neco Industries Ltd")</f>
        <v>Jayaswal Neco Industries Ltd</v>
      </c>
      <c r="E10" s="16">
        <f t="array" ref="E10">IFERROR(INDEX(L_DATA_VOL,$B10),)</f>
        <v>49840056</v>
      </c>
      <c r="F10" s="10">
        <f t="array" ref="F10">IFERROR(INDEX(L_DATA_PRICE,$B10),)</f>
        <v>88.7</v>
      </c>
      <c r="G10" s="20">
        <f t="array" ref="G10">IFERROR(INDEX(L_DATA_CHANGE,$B10),)</f>
        <v>-9.98</v>
      </c>
      <c r="H10" s="22" t="str">
        <f t="shared" si="1"/>
        <v>🠋</v>
      </c>
      <c r="I10" s="23" t="str">
        <f t="array" ref="I10">IFERROR(INDEX(L_DATA_CHNG_PCT_FML,$B10),)</f>
        <v>-10.11%</v>
      </c>
      <c r="J10" s="10">
        <f t="array" ref="J10">IFERROR(INDEX(L_DATA_CHANGEPCT,$B10),)</f>
        <v>-10.11</v>
      </c>
      <c r="K10" s="27">
        <f>IFERROR(__xludf.DUMMYFUNCTION("IFERROR(GOOGLEFINANCE(C10,""MARKETCAP""),)"),8.6669884143E10)</f>
        <v>86669884143</v>
      </c>
      <c r="L10" s="10">
        <f>IFERROR(__xludf.DUMMYFUNCTION("IFERROR(GOOGLEFINANCE(C10,""PE""),)"),15.27)</f>
        <v>15.27</v>
      </c>
      <c r="M10" s="27">
        <f>IFERROR(__xludf.DUMMYFUNCTION("IFERROR(GOOGLEFINANCE(C10,""LOW52""),)"),58.46)</f>
        <v>58.46</v>
      </c>
      <c r="N10" s="28" t="str">
        <f t="shared" si="2"/>
        <v>-----▼----</v>
      </c>
      <c r="O10" s="27">
        <f>IFERROR(__xludf.DUMMYFUNCTION("IFERROR(GOOGLEFINANCE(C10,""HIGH52""),)"),117.0)</f>
        <v>117</v>
      </c>
      <c r="P10" s="1"/>
      <c r="Q10" s="1"/>
      <c r="R10" s="1"/>
      <c r="S10" s="1"/>
    </row>
    <row r="11" ht="15.75" customHeight="1">
      <c r="A11" s="10">
        <v>9.0</v>
      </c>
      <c r="B11" s="10">
        <f>MATCH(A11,L_DATA_TOP_ACTIVES,0)</f>
        <v>1164</v>
      </c>
      <c r="C11" s="10" t="str">
        <f t="array" ref="C11">IFERROR(INDEX(L_DATA_SYMBOL,B11),)</f>
        <v>NSE:RESPONIND</v>
      </c>
      <c r="D11" s="10" t="str">
        <f>IFERROR(__xludf.DUMMYFUNCTION("IFERROR(GOOGLEFINANCE(C11,""NAME""),)"),"Responsive Industries Ltd")</f>
        <v>Responsive Industries Ltd</v>
      </c>
      <c r="E11" s="16">
        <f t="array" ref="E11">IFERROR(INDEX(L_DATA_VOL,$B11),)</f>
        <v>40184929</v>
      </c>
      <c r="F11" s="10">
        <f t="array" ref="F11">IFERROR(INDEX(L_DATA_PRICE,$B11),)</f>
        <v>151.99</v>
      </c>
      <c r="G11" s="20">
        <f t="array" ref="G11">IFERROR(INDEX(L_DATA_CHANGE,$B11),)</f>
        <v>0.12</v>
      </c>
      <c r="H11" s="22" t="str">
        <f t="shared" si="1"/>
        <v>🠉</v>
      </c>
      <c r="I11" s="23" t="str">
        <f t="array" ref="I11">IFERROR(INDEX(L_DATA_CHNG_PCT_FML,$B11),)</f>
        <v>0.08%</v>
      </c>
      <c r="J11" s="10">
        <f t="array" ref="J11">IFERROR(INDEX(L_DATA_CHANGEPCT,$B11),)</f>
        <v>0.08</v>
      </c>
      <c r="K11" s="27">
        <f>IFERROR(__xludf.DUMMYFUNCTION("IFERROR(GOOGLEFINANCE(C11,""MARKETCAP""),)"),4.1327824263E10)</f>
        <v>41327824263</v>
      </c>
      <c r="L11" s="10">
        <f>IFERROR(__xludf.DUMMYFUNCTION("IFERROR(GOOGLEFINANCE(C11,""PE""),)"),40.03)</f>
        <v>40.03</v>
      </c>
      <c r="M11" s="27">
        <f>IFERROR(__xludf.DUMMYFUNCTION("IFERROR(GOOGLEFINANCE(C11,""LOW52""),)"),117.25)</f>
        <v>117.25</v>
      </c>
      <c r="N11" s="28" t="str">
        <f t="shared" si="2"/>
        <v>--▼-------</v>
      </c>
      <c r="O11" s="27">
        <f>IFERROR(__xludf.DUMMYFUNCTION("IFERROR(GOOGLEFINANCE(C11,""HIGH52""),)"),240.9)</f>
        <v>240.9</v>
      </c>
      <c r="P11" s="1"/>
      <c r="Q11" s="1"/>
      <c r="R11" s="1"/>
      <c r="S11" s="1"/>
    </row>
    <row r="12" ht="15.75" customHeight="1">
      <c r="A12" s="10">
        <v>10.0</v>
      </c>
      <c r="B12" s="10">
        <f>MATCH(A12,L_DATA_TOP_ACTIVES,0)</f>
        <v>1400</v>
      </c>
      <c r="C12" s="10" t="str">
        <f t="array" ref="C12">IFERROR(INDEX(L_DATA_SYMBOL,B12),)</f>
        <v>NSE:TATASTEEL</v>
      </c>
      <c r="D12" s="10" t="str">
        <f>IFERROR(__xludf.DUMMYFUNCTION("IFERROR(GOOGLEFINANCE(C12,""NAME""),)"),"Tata Steel Ltd")</f>
        <v>Tata Steel Ltd</v>
      </c>
      <c r="E12" s="16">
        <f t="array" ref="E12">IFERROR(INDEX(L_DATA_VOL,$B12),)</f>
        <v>36500951</v>
      </c>
      <c r="F12" s="10">
        <f t="array" ref="F12">IFERROR(INDEX(L_DATA_PRICE,$B12),)</f>
        <v>189.22</v>
      </c>
      <c r="G12" s="20">
        <f t="array" ref="G12">IFERROR(INDEX(L_DATA_CHANGE,$B12),)</f>
        <v>5.02</v>
      </c>
      <c r="H12" s="22" t="str">
        <f t="shared" si="1"/>
        <v>🠉</v>
      </c>
      <c r="I12" s="23" t="str">
        <f t="array" ref="I12">IFERROR(INDEX(L_DATA_CHNG_PCT_FML,$B12),)</f>
        <v>2.73%</v>
      </c>
      <c r="J12" s="10">
        <f t="array" ref="J12">IFERROR(INDEX(L_DATA_CHANGEPCT,$B12),)</f>
        <v>2.73</v>
      </c>
      <c r="K12" s="27">
        <f>IFERROR(__xludf.DUMMYFUNCTION("IFERROR(GOOGLEFINANCE(C12,""MARKETCAP""),)"),2.35870866E12)</f>
        <v>2358708660000</v>
      </c>
      <c r="L12" s="10">
        <f>IFERROR(__xludf.DUMMYFUNCTION("IFERROR(GOOGLEFINANCE(C12,""PE""),)"),21.37)</f>
        <v>21.37</v>
      </c>
      <c r="M12" s="27">
        <f>IFERROR(__xludf.DUMMYFUNCTION("IFERROR(GOOGLEFINANCE(C12,""LOW52""),)"),160.06)</f>
        <v>160.06</v>
      </c>
      <c r="N12" s="28" t="str">
        <f t="shared" si="2"/>
        <v>----▼-----</v>
      </c>
      <c r="O12" s="27">
        <f>IFERROR(__xludf.DUMMYFUNCTION("IFERROR(GOOGLEFINANCE(C12,""HIGH52""),)"),224.4)</f>
        <v>224.4</v>
      </c>
      <c r="P12" s="1"/>
      <c r="Q12" s="1"/>
      <c r="R12" s="1"/>
      <c r="S12" s="1"/>
    </row>
    <row r="13" ht="15.75" customHeight="1">
      <c r="A13" s="10">
        <v>11.0</v>
      </c>
      <c r="B13" s="10">
        <f>MATCH(A13,L_DATA_TOP_ACTIVES,0)</f>
        <v>534</v>
      </c>
      <c r="C13" s="10" t="str">
        <f t="array" ref="C13">IFERROR(INDEX(L_DATA_SYMBOL,B13),)</f>
        <v>NSE:GTLINFRA</v>
      </c>
      <c r="D13" s="10" t="str">
        <f>IFERROR(__xludf.DUMMYFUNCTION("IFERROR(GOOGLEFINANCE(C13,""NAME""),)"),"GTL Infrastructure Limited")</f>
        <v>GTL Infrastructure Limited</v>
      </c>
      <c r="E13" s="16">
        <f t="array" ref="E13">IFERROR(INDEX(L_DATA_VOL,$B13),)</f>
        <v>35008053</v>
      </c>
      <c r="F13" s="10">
        <f t="array" ref="F13">IFERROR(INDEX(L_DATA_PRICE,$B13),)</f>
        <v>1.17</v>
      </c>
      <c r="G13" s="20">
        <f t="array" ref="G13">IFERROR(INDEX(L_DATA_CHANGE,$B13),)</f>
        <v>0.01</v>
      </c>
      <c r="H13" s="22" t="str">
        <f t="shared" si="1"/>
        <v>🠉</v>
      </c>
      <c r="I13" s="23" t="str">
        <f t="array" ref="I13">IFERROR(INDEX(L_DATA_CHNG_PCT_FML,$B13),)</f>
        <v>0.86%</v>
      </c>
      <c r="J13" s="10">
        <f t="array" ref="J13">IFERROR(INDEX(L_DATA_CHANGEPCT,$B13),)</f>
        <v>0.86</v>
      </c>
      <c r="K13" s="27">
        <f>IFERROR(__xludf.DUMMYFUNCTION("IFERROR(GOOGLEFINANCE(C13,""MARKETCAP""),)"),1.4858567172E10)</f>
        <v>14858567172</v>
      </c>
      <c r="L13" s="10">
        <f>IFERROR(__xludf.DUMMYFUNCTION("IFERROR(GOOGLEFINANCE(C13,""PE""),)"),1.43)</f>
        <v>1.43</v>
      </c>
      <c r="M13" s="27">
        <f>IFERROR(__xludf.DUMMYFUNCTION("IFERROR(GOOGLEFINANCE(C13,""LOW52""),)"),0.96)</f>
        <v>0.96</v>
      </c>
      <c r="N13" s="28" t="str">
        <f t="shared" si="2"/>
        <v>---▼------</v>
      </c>
      <c r="O13" s="27">
        <f>IFERROR(__xludf.DUMMYFUNCTION("IFERROR(GOOGLEFINANCE(C13,""HIGH52""),)"),1.67)</f>
        <v>1.67</v>
      </c>
      <c r="P13" s="1"/>
      <c r="Q13" s="1"/>
      <c r="R13" s="1"/>
      <c r="S13" s="1"/>
    </row>
    <row r="14" ht="15.75" customHeight="1">
      <c r="A14" s="10">
        <v>12.0</v>
      </c>
      <c r="B14" s="10">
        <f>MATCH(A14,L_DATA_TOP_ACTIVES,0)</f>
        <v>1578</v>
      </c>
      <c r="C14" s="10" t="str">
        <f t="array" ref="C14">IFERROR(INDEX(L_DATA_SYMBOL,B14),)</f>
        <v>NSE:YESBANK</v>
      </c>
      <c r="D14" s="10" t="str">
        <f>IFERROR(__xludf.DUMMYFUNCTION("IFERROR(GOOGLEFINANCE(C14,""NAME""),)"),"Yes Bank Ltd")</f>
        <v>Yes Bank Ltd</v>
      </c>
      <c r="E14" s="16">
        <f t="array" ref="E14">IFERROR(INDEX(L_DATA_VOL,$B14),)</f>
        <v>31739702</v>
      </c>
      <c r="F14" s="10">
        <f t="array" ref="F14">IFERROR(INDEX(L_DATA_PRICE,$B14),)</f>
        <v>22.47</v>
      </c>
      <c r="G14" s="20">
        <f t="array" ref="G14">IFERROR(INDEX(L_DATA_CHANGE,$B14),)</f>
        <v>-0.07</v>
      </c>
      <c r="H14" s="22" t="str">
        <f t="shared" si="1"/>
        <v>🠋</v>
      </c>
      <c r="I14" s="23" t="str">
        <f t="array" ref="I14">IFERROR(INDEX(L_DATA_CHNG_PCT_FML,$B14),)</f>
        <v>-0.31%</v>
      </c>
      <c r="J14" s="10">
        <f t="array" ref="J14">IFERROR(INDEX(L_DATA_CHANGEPCT,$B14),)</f>
        <v>-0.31</v>
      </c>
      <c r="K14" s="27">
        <f>IFERROR(__xludf.DUMMYFUNCTION("IFERROR(GOOGLEFINANCE(C14,""MARKETCAP""),)"),7.05619919518E11)</f>
        <v>705619919518</v>
      </c>
      <c r="L14" s="10">
        <f>IFERROR(__xludf.DUMMYFUNCTION("IFERROR(GOOGLEFINANCE(C14,""PE""),)"),18.76)</f>
        <v>18.76</v>
      </c>
      <c r="M14" s="27">
        <f>IFERROR(__xludf.DUMMYFUNCTION("IFERROR(GOOGLEFINANCE(C14,""LOW52""),)"),17.2)</f>
        <v>17.2</v>
      </c>
      <c r="N14" s="28" t="str">
        <f t="shared" si="2"/>
        <v>------▼---</v>
      </c>
      <c r="O14" s="27">
        <f>IFERROR(__xludf.DUMMYFUNCTION("IFERROR(GOOGLEFINANCE(C14,""HIGH52""),)"),25.78)</f>
        <v>25.78</v>
      </c>
      <c r="P14" s="1"/>
      <c r="Q14" s="1"/>
      <c r="R14" s="1"/>
      <c r="S14" s="1"/>
    </row>
    <row r="15" ht="15.75" customHeight="1">
      <c r="A15" s="10">
        <v>13.0</v>
      </c>
      <c r="B15" s="10">
        <f>MATCH(A15,L_DATA_TOP_ACTIVES,0)</f>
        <v>1043</v>
      </c>
      <c r="C15" s="10" t="str">
        <f t="array" ref="C15">IFERROR(INDEX(L_DATA_SYMBOL,B15),)</f>
        <v>NSE:PAISALO</v>
      </c>
      <c r="D15" s="10" t="str">
        <f>IFERROR(__xludf.DUMMYFUNCTION("IFERROR(GOOGLEFINANCE(C15,""NAME""),)"),"Paisalo Digital Ltd")</f>
        <v>Paisalo Digital Ltd</v>
      </c>
      <c r="E15" s="16">
        <f t="array" ref="E15">IFERROR(INDEX(L_DATA_VOL,$B15),)</f>
        <v>31201929</v>
      </c>
      <c r="F15" s="10">
        <f t="array" ref="F15">IFERROR(INDEX(L_DATA_PRICE,$B15),)</f>
        <v>74.02</v>
      </c>
      <c r="G15" s="20">
        <f t="array" ref="G15">IFERROR(INDEX(L_DATA_CHANGE,$B15),)</f>
        <v>3.74</v>
      </c>
      <c r="H15" s="22" t="str">
        <f t="shared" si="1"/>
        <v>🠉</v>
      </c>
      <c r="I15" s="23" t="str">
        <f t="array" ref="I15">IFERROR(INDEX(L_DATA_CHNG_PCT_FML,$B15),)</f>
        <v>5.32%</v>
      </c>
      <c r="J15" s="10">
        <f t="array" ref="J15">IFERROR(INDEX(L_DATA_CHANGEPCT,$B15),)</f>
        <v>5.32</v>
      </c>
      <c r="K15" s="27">
        <f>IFERROR(__xludf.DUMMYFUNCTION("IFERROR(GOOGLEFINANCE(C15,""MARKETCAP""),)"),6.75509148E10)</f>
        <v>67550914800</v>
      </c>
      <c r="L15" s="10">
        <f>IFERROR(__xludf.DUMMYFUNCTION("IFERROR(GOOGLEFINANCE(C15,""PE""),)"),26.72)</f>
        <v>26.72</v>
      </c>
      <c r="M15" s="27">
        <f>IFERROR(__xludf.DUMMYFUNCTION("IFERROR(GOOGLEFINANCE(C15,""LOW52""),)"),30.0)</f>
        <v>30</v>
      </c>
      <c r="N15" s="28" t="str">
        <f t="shared" si="2"/>
        <v>---------▼</v>
      </c>
      <c r="O15" s="27">
        <f>IFERROR(__xludf.DUMMYFUNCTION("IFERROR(GOOGLEFINANCE(C15,""HIGH52""),)"),77.39)</f>
        <v>77.39</v>
      </c>
      <c r="P15" s="1"/>
      <c r="Q15" s="1"/>
      <c r="R15" s="1"/>
      <c r="S15" s="1"/>
    </row>
    <row r="16" ht="15.75" customHeight="1">
      <c r="A16" s="10">
        <v>14.0</v>
      </c>
      <c r="B16" s="10">
        <f>MATCH(A16,L_DATA_TOP_ACTIVES,0)</f>
        <v>729</v>
      </c>
      <c r="C16" s="10" t="str">
        <f t="array" ref="C16">IFERROR(INDEX(L_DATA_SYMBOL,B16),)</f>
        <v>NSE:JPPOWER</v>
      </c>
      <c r="D16" s="10" t="str">
        <f>IFERROR(__xludf.DUMMYFUNCTION("IFERROR(GOOGLEFINANCE(C16,""NAME""),)"),"Jaiprakash Power Ventures Ltd")</f>
        <v>Jaiprakash Power Ventures Ltd</v>
      </c>
      <c r="E16" s="16">
        <f t="array" ref="E16">IFERROR(INDEX(L_DATA_VOL,$B16),)</f>
        <v>30695821</v>
      </c>
      <c r="F16" s="10">
        <f t="array" ref="F16">IFERROR(INDEX(L_DATA_PRICE,$B16),)</f>
        <v>16.36</v>
      </c>
      <c r="G16" s="20">
        <f t="array" ref="G16">IFERROR(INDEX(L_DATA_CHANGE,$B16),)</f>
        <v>0.22</v>
      </c>
      <c r="H16" s="22" t="str">
        <f t="shared" si="1"/>
        <v>🠉</v>
      </c>
      <c r="I16" s="23" t="str">
        <f t="array" ref="I16">IFERROR(INDEX(L_DATA_CHNG_PCT_FML,$B16),)</f>
        <v>1.36%</v>
      </c>
      <c r="J16" s="10">
        <f t="array" ref="J16">IFERROR(INDEX(L_DATA_CHANGEPCT,$B16),)</f>
        <v>1.36</v>
      </c>
      <c r="K16" s="27">
        <f>IFERROR(__xludf.DUMMYFUNCTION("IFERROR(GOOGLEFINANCE(C16,""MARKETCAP""),)"),1.11637950394E11)</f>
        <v>111637950394</v>
      </c>
      <c r="L16" s="10" t="str">
        <f>IFERROR(__xludf.DUMMYFUNCTION("IFERROR(GOOGLEFINANCE(C16,""PE""),)"),"")</f>
        <v/>
      </c>
      <c r="M16" s="27">
        <f>IFERROR(__xludf.DUMMYFUNCTION("IFERROR(GOOGLEFINANCE(C16,""LOW52""),)"),13.15)</f>
        <v>13.15</v>
      </c>
      <c r="N16" s="28" t="str">
        <f t="shared" si="2"/>
        <v>--▼-------</v>
      </c>
      <c r="O16" s="27">
        <f>IFERROR(__xludf.DUMMYFUNCTION("IFERROR(GOOGLEFINANCE(C16,""HIGH52""),)"),24.5)</f>
        <v>24.5</v>
      </c>
      <c r="P16" s="1"/>
      <c r="Q16" s="1"/>
      <c r="R16" s="1"/>
      <c r="S16" s="1"/>
    </row>
    <row r="17" ht="15.75" customHeight="1">
      <c r="A17" s="10">
        <v>15.0</v>
      </c>
      <c r="B17" s="10">
        <f>MATCH(A17,L_DATA_TOP_ACTIVES,0)</f>
        <v>716</v>
      </c>
      <c r="C17" s="10" t="str">
        <f t="array" ref="C17">IFERROR(INDEX(L_DATA_SYMBOL,B17),)</f>
        <v>NSE:JISLJALEQS</v>
      </c>
      <c r="D17" s="10" t="str">
        <f>IFERROR(__xludf.DUMMYFUNCTION("IFERROR(GOOGLEFINANCE(C17,""NAME""),)"),"Jain Irrigation Systems Ltd")</f>
        <v>Jain Irrigation Systems Ltd</v>
      </c>
      <c r="E17" s="16">
        <f t="array" ref="E17">IFERROR(INDEX(L_DATA_VOL,$B17),)</f>
        <v>29548721</v>
      </c>
      <c r="F17" s="10">
        <f t="array" ref="F17">IFERROR(INDEX(L_DATA_PRICE,$B17),)</f>
        <v>31.2</v>
      </c>
      <c r="G17" s="20">
        <f t="array" ref="G17">IFERROR(INDEX(L_DATA_CHANGE,$B17),)</f>
        <v>3.04</v>
      </c>
      <c r="H17" s="22" t="str">
        <f t="shared" si="1"/>
        <v>🠉</v>
      </c>
      <c r="I17" s="23" t="str">
        <f t="array" ref="I17">IFERROR(INDEX(L_DATA_CHNG_PCT_FML,$B17),)</f>
        <v>10.8%</v>
      </c>
      <c r="J17" s="10">
        <f t="array" ref="J17">IFERROR(INDEX(L_DATA_CHANGEPCT,$B17),)</f>
        <v>10.8</v>
      </c>
      <c r="K17" s="27">
        <f>IFERROR(__xludf.DUMMYFUNCTION("IFERROR(GOOGLEFINANCE(C17,""MARKETCAP""),)"),2.2590978121E10)</f>
        <v>22590978121</v>
      </c>
      <c r="L17" s="10" t="str">
        <f>IFERROR(__xludf.DUMMYFUNCTION("IFERROR(GOOGLEFINANCE(C17,""PE""),)"),"")</f>
        <v/>
      </c>
      <c r="M17" s="27">
        <f>IFERROR(__xludf.DUMMYFUNCTION("IFERROR(GOOGLEFINANCE(C17,""LOW52""),)"),26.11)</f>
        <v>26.11</v>
      </c>
      <c r="N17" s="28" t="str">
        <f t="shared" si="2"/>
        <v>-▼--------</v>
      </c>
      <c r="O17" s="27">
        <f>IFERROR(__xludf.DUMMYFUNCTION("IFERROR(GOOGLEFINANCE(C17,""HIGH52""),)"),59.0)</f>
        <v>59</v>
      </c>
      <c r="P17" s="1"/>
      <c r="Q17" s="1"/>
      <c r="R17" s="1"/>
      <c r="S17" s="1"/>
    </row>
    <row r="18" ht="15.75" customHeight="1">
      <c r="A18" s="10">
        <v>16.0</v>
      </c>
      <c r="B18" s="10">
        <f>MATCH(A18,L_DATA_TOP_ACTIVES,0)</f>
        <v>85</v>
      </c>
      <c r="C18" s="10" t="str">
        <f t="array" ref="C18">IFERROR(INDEX(L_DATA_SYMBOL,B18),)</f>
        <v>NSE:ANGELONE</v>
      </c>
      <c r="D18" s="10" t="str">
        <f>IFERROR(__xludf.DUMMYFUNCTION("IFERROR(GOOGLEFINANCE(C18,""NAME""),)"),"Angel One Ltd")</f>
        <v>Angel One Ltd</v>
      </c>
      <c r="E18" s="16">
        <f t="array" ref="E18">IFERROR(INDEX(L_DATA_VOL,$B18),)</f>
        <v>29274355</v>
      </c>
      <c r="F18" s="10">
        <f t="array" ref="F18">IFERROR(INDEX(L_DATA_PRICE,$B18),)</f>
        <v>299.45</v>
      </c>
      <c r="G18" s="20">
        <f t="array" ref="G18">IFERROR(INDEX(L_DATA_CHANGE,$B18),)</f>
        <v>13.45</v>
      </c>
      <c r="H18" s="22" t="str">
        <f t="shared" si="1"/>
        <v>🠉</v>
      </c>
      <c r="I18" s="23" t="str">
        <f t="array" ref="I18">IFERROR(INDEX(L_DATA_CHNG_PCT_FML,$B18),)</f>
        <v>4.7%</v>
      </c>
      <c r="J18" s="10">
        <f t="array" ref="J18">IFERROR(INDEX(L_DATA_CHANGEPCT,$B18),)</f>
        <v>4.7</v>
      </c>
      <c r="K18" s="27">
        <f>IFERROR(__xludf.DUMMYFUNCTION("IFERROR(GOOGLEFINANCE(C18,""MARKETCAP""),)"),2.689776608E10)</f>
        <v>26897766080</v>
      </c>
      <c r="L18" s="10">
        <f>IFERROR(__xludf.DUMMYFUNCTION("IFERROR(GOOGLEFINANCE(C18,""PE""),)"),27.02)</f>
        <v>27.02</v>
      </c>
      <c r="M18" s="27">
        <f>IFERROR(__xludf.DUMMYFUNCTION("IFERROR(GOOGLEFINANCE(C18,""LOW52""),)"),208.63)</f>
        <v>208.63</v>
      </c>
      <c r="N18" s="28" t="str">
        <f t="shared" si="2"/>
        <v>-----▼----</v>
      </c>
      <c r="O18" s="27">
        <f>IFERROR(__xludf.DUMMYFUNCTION("IFERROR(GOOGLEFINANCE(C18,""HIGH52""),)"),360.45)</f>
        <v>360.45</v>
      </c>
      <c r="P18" s="1"/>
      <c r="Q18" s="1"/>
      <c r="R18" s="1"/>
      <c r="S18" s="1"/>
    </row>
    <row r="19" ht="15.75" customHeight="1">
      <c r="A19" s="10">
        <v>17.0</v>
      </c>
      <c r="B19" s="10">
        <f>MATCH(A19,L_DATA_TOP_ACTIVES,0)</f>
        <v>1213</v>
      </c>
      <c r="C19" s="10" t="str">
        <f t="array" ref="C19">IFERROR(INDEX(L_DATA_SYMBOL,B19),)</f>
        <v>NSE:SALASAR</v>
      </c>
      <c r="D19" s="10" t="str">
        <f>IFERROR(__xludf.DUMMYFUNCTION("IFERROR(GOOGLEFINANCE(C19,""NAME""),)"),"Salasar Techno Engineering Ltd")</f>
        <v>Salasar Techno Engineering Ltd</v>
      </c>
      <c r="E19" s="16">
        <f t="array" ref="E19">IFERROR(INDEX(L_DATA_VOL,$B19),)</f>
        <v>26712678</v>
      </c>
      <c r="F19" s="10">
        <f t="array" ref="F19">IFERROR(INDEX(L_DATA_PRICE,$B19),)</f>
        <v>5.21</v>
      </c>
      <c r="G19" s="20">
        <f t="array" ref="G19">IFERROR(INDEX(L_DATA_CHANGE,$B19),)</f>
        <v>0.13</v>
      </c>
      <c r="H19" s="22" t="str">
        <f t="shared" si="1"/>
        <v>🠉</v>
      </c>
      <c r="I19" s="23" t="str">
        <f t="array" ref="I19">IFERROR(INDEX(L_DATA_CHNG_PCT_FML,$B19),)</f>
        <v>2.56%</v>
      </c>
      <c r="J19" s="10">
        <f t="array" ref="J19">IFERROR(INDEX(L_DATA_CHANGEPCT,$B19),)</f>
        <v>2.56</v>
      </c>
      <c r="K19" s="27">
        <f>IFERROR(__xludf.DUMMYFUNCTION("IFERROR(GOOGLEFINANCE(C19,""MARKETCAP""),)"),9.106819566E9)</f>
        <v>9106819566</v>
      </c>
      <c r="L19" s="10">
        <f>IFERROR(__xludf.DUMMYFUNCTION("IFERROR(GOOGLEFINANCE(C19,""PE""),)"),65.13)</f>
        <v>65.13</v>
      </c>
      <c r="M19" s="27">
        <f>IFERROR(__xludf.DUMMYFUNCTION("IFERROR(GOOGLEFINANCE(C19,""LOW52""),)"),4.73)</f>
        <v>4.73</v>
      </c>
      <c r="N19" s="28" t="str">
        <f t="shared" si="2"/>
        <v>▼---------</v>
      </c>
      <c r="O19" s="27">
        <f>IFERROR(__xludf.DUMMYFUNCTION("IFERROR(GOOGLEFINANCE(C19,""HIGH52""),)"),10.99)</f>
        <v>10.99</v>
      </c>
      <c r="P19" s="1"/>
      <c r="Q19" s="1"/>
      <c r="R19" s="1"/>
      <c r="S19" s="1"/>
    </row>
    <row r="20" ht="15.75" customHeight="1">
      <c r="A20" s="10">
        <v>18.0</v>
      </c>
      <c r="B20" s="10">
        <f>MATCH(A20,L_DATA_TOP_ACTIVES,0)</f>
        <v>1414</v>
      </c>
      <c r="C20" s="10" t="str">
        <f t="array" ref="C20">IFERROR(INDEX(L_DATA_SYMBOL,B20),)</f>
        <v>NSE:TEJASNET</v>
      </c>
      <c r="D20" s="10" t="str">
        <f>IFERROR(__xludf.DUMMYFUNCTION("IFERROR(GOOGLEFINANCE(C20,""NAME""),)"),"Tejas Networks Ltd")</f>
        <v>Tejas Networks Ltd</v>
      </c>
      <c r="E20" s="16">
        <f t="array" ref="E20">IFERROR(INDEX(L_DATA_VOL,$B20),)</f>
        <v>26085952</v>
      </c>
      <c r="F20" s="10">
        <f t="array" ref="F20">IFERROR(INDEX(L_DATA_PRICE,$B20),)</f>
        <v>612</v>
      </c>
      <c r="G20" s="20">
        <f t="array" ref="G20">IFERROR(INDEX(L_DATA_CHANGE,$B20),)</f>
        <v>44.55</v>
      </c>
      <c r="H20" s="22" t="str">
        <f t="shared" si="1"/>
        <v>🠉</v>
      </c>
      <c r="I20" s="23" t="str">
        <f t="array" ref="I20">IFERROR(INDEX(L_DATA_CHNG_PCT_FML,$B20),)</f>
        <v>7.85%</v>
      </c>
      <c r="J20" s="10">
        <f t="array" ref="J20">IFERROR(INDEX(L_DATA_CHANGEPCT,$B20),)</f>
        <v>7.85</v>
      </c>
      <c r="K20" s="27">
        <f>IFERROR(__xludf.DUMMYFUNCTION("IFERROR(GOOGLEFINANCE(C20,""MARKETCAP""),)"),1.06907988091E11)</f>
        <v>106907988091</v>
      </c>
      <c r="L20" s="10" t="str">
        <f>IFERROR(__xludf.DUMMYFUNCTION("IFERROR(GOOGLEFINANCE(C20,""PE""),)"),"")</f>
        <v/>
      </c>
      <c r="M20" s="27">
        <f>IFERROR(__xludf.DUMMYFUNCTION("IFERROR(GOOGLEFINANCE(C20,""LOW52""),)"),294.0)</f>
        <v>294</v>
      </c>
      <c r="N20" s="28" t="str">
        <f t="shared" si="2"/>
        <v>---------▼</v>
      </c>
      <c r="O20" s="27">
        <f>IFERROR(__xludf.DUMMYFUNCTION("IFERROR(GOOGLEFINANCE(C20,""HIGH52""),)"),644.75)</f>
        <v>644.75</v>
      </c>
      <c r="P20" s="1"/>
      <c r="Q20" s="1"/>
      <c r="R20" s="1"/>
      <c r="S20" s="1"/>
    </row>
    <row r="21" ht="15.75" customHeight="1">
      <c r="A21" s="10">
        <v>19.0</v>
      </c>
      <c r="B21" s="10">
        <f>MATCH(A21,L_DATA_TOP_ACTIVES,0)</f>
        <v>666</v>
      </c>
      <c r="C21" s="10" t="str">
        <f t="array" ref="C21">IFERROR(INDEX(L_DATA_SYMBOL,B21),)</f>
        <v>NSE:INOXWIND</v>
      </c>
      <c r="D21" s="10" t="str">
        <f>IFERROR(__xludf.DUMMYFUNCTION("IFERROR(GOOGLEFINANCE(C21,""NAME""),)"),"Inox Wind Ltd")</f>
        <v>Inox Wind Ltd</v>
      </c>
      <c r="E21" s="16">
        <f t="array" ref="E21">IFERROR(INDEX(L_DATA_VOL,$B21),)</f>
        <v>22688206</v>
      </c>
      <c r="F21" s="10">
        <f t="array" ref="F21">IFERROR(INDEX(L_DATA_PRICE,$B21),)</f>
        <v>74.4</v>
      </c>
      <c r="G21" s="20">
        <f t="array" ref="G21">IFERROR(INDEX(L_DATA_CHANGE,$B21),)</f>
        <v>0.4</v>
      </c>
      <c r="H21" s="22" t="str">
        <f t="shared" si="1"/>
        <v>🠉</v>
      </c>
      <c r="I21" s="23" t="str">
        <f t="array" ref="I21">IFERROR(INDEX(L_DATA_CHNG_PCT_FML,$B21),)</f>
        <v>0.54%</v>
      </c>
      <c r="J21" s="10">
        <f t="array" ref="J21">IFERROR(INDEX(L_DATA_CHANGEPCT,$B21),)</f>
        <v>0.54</v>
      </c>
      <c r="K21" s="27">
        <f>IFERROR(__xludf.DUMMYFUNCTION("IFERROR(GOOGLEFINANCE(C21,""MARKETCAP""),)"),9.7208515347E10)</f>
        <v>97208515347</v>
      </c>
      <c r="L21" s="10">
        <f>IFERROR(__xludf.DUMMYFUNCTION("IFERROR(GOOGLEFINANCE(C21,""PE""),)"),30.87)</f>
        <v>30.87</v>
      </c>
      <c r="M21" s="27">
        <f>IFERROR(__xludf.DUMMYFUNCTION("IFERROR(GOOGLEFINANCE(C21,""LOW52""),)"),68.0)</f>
        <v>68</v>
      </c>
      <c r="N21" s="28" t="str">
        <f t="shared" si="2"/>
        <v>▼---------</v>
      </c>
      <c r="O21" s="27">
        <f>IFERROR(__xludf.DUMMYFUNCTION("IFERROR(GOOGLEFINANCE(C21,""HIGH52""),)"),159.3)</f>
        <v>159.3</v>
      </c>
      <c r="P21" s="1"/>
      <c r="Q21" s="1"/>
      <c r="R21" s="1"/>
      <c r="S21" s="1"/>
    </row>
    <row r="22" ht="15.75" customHeight="1">
      <c r="A22" s="37">
        <v>20.0</v>
      </c>
      <c r="B22" s="37">
        <f>MATCH(A22,L_DATA_TOP_ACTIVES,0)</f>
        <v>160</v>
      </c>
      <c r="C22" s="37" t="str">
        <f t="array" ref="C22">IFERROR(INDEX(L_DATA_SYMBOL,B22),)</f>
        <v>NSE:BAJAJHIND</v>
      </c>
      <c r="D22" s="37" t="str">
        <f>IFERROR(__xludf.DUMMYFUNCTION("IFERROR(GOOGLEFINANCE(C22,""NAME""),)"),"Bajaj Hindusthan Sugar Ltd")</f>
        <v>Bajaj Hindusthan Sugar Ltd</v>
      </c>
      <c r="E22" s="38">
        <f t="array" ref="E22">IFERROR(INDEX(L_DATA_VOL,$B22),)</f>
        <v>21280859</v>
      </c>
      <c r="F22" s="37">
        <f t="array" ref="F22">IFERROR(INDEX(L_DATA_PRICE,$B22),)</f>
        <v>21.96</v>
      </c>
      <c r="G22" s="39">
        <f t="array" ref="G22">IFERROR(INDEX(L_DATA_CHANGE,$B22),)</f>
        <v>-0.12</v>
      </c>
      <c r="H22" s="40" t="str">
        <f t="shared" si="1"/>
        <v>🠋</v>
      </c>
      <c r="I22" s="41" t="str">
        <f t="array" ref="I22">IFERROR(INDEX(L_DATA_CHNG_PCT_FML,$B22),)</f>
        <v>-0.54%</v>
      </c>
      <c r="J22" s="37">
        <f t="array" ref="J22">IFERROR(INDEX(L_DATA_CHANGEPCT,$B22),)</f>
        <v>-0.54</v>
      </c>
      <c r="K22" s="42">
        <f>IFERROR(__xludf.DUMMYFUNCTION("IFERROR(GOOGLEFINANCE(C22,""MARKETCAP""),)"),5.2007707432E10)</f>
        <v>52007707432</v>
      </c>
      <c r="L22" s="37">
        <f>IFERROR(__xludf.DUMMYFUNCTION("IFERROR(GOOGLEFINANCE(C22,""PE""),)"),24.15)</f>
        <v>24.15</v>
      </c>
      <c r="M22" s="42">
        <f>IFERROR(__xludf.DUMMYFUNCTION("IFERROR(GOOGLEFINANCE(C22,""LOW52""),)"),14.85)</f>
        <v>14.85</v>
      </c>
      <c r="N22" s="43" t="str">
        <f t="shared" si="2"/>
        <v>------▼---</v>
      </c>
      <c r="O22" s="42">
        <f>IFERROR(__xludf.DUMMYFUNCTION("IFERROR(GOOGLEFINANCE(C22,""HIGH52""),)"),26.0)</f>
        <v>26</v>
      </c>
      <c r="P22" s="1"/>
      <c r="Q22" s="1"/>
      <c r="R22" s="1"/>
      <c r="S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22">
    <cfRule type="expression" dxfId="5" priority="1">
      <formula>$J3&lt;0</formula>
    </cfRule>
  </conditionalFormatting>
  <conditionalFormatting sqref="H3:H22">
    <cfRule type="expression" dxfId="9" priority="2">
      <formula>$J3&lt;0.05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8.63"/>
    <col customWidth="1" min="3" max="3" width="12.63"/>
    <col customWidth="1" min="4" max="4" width="16.88"/>
    <col customWidth="1" min="5" max="6" width="12.63"/>
    <col customWidth="1" min="8" max="8" width="16.38"/>
  </cols>
  <sheetData>
    <row r="1" ht="15.75" customHeight="1">
      <c r="A1" s="44"/>
      <c r="B1" s="45" t="s">
        <v>26</v>
      </c>
      <c r="C1" s="45" t="s">
        <v>27</v>
      </c>
      <c r="D1" s="45" t="s">
        <v>28</v>
      </c>
      <c r="E1" s="45" t="s">
        <v>9</v>
      </c>
      <c r="F1" s="45" t="s">
        <v>10</v>
      </c>
      <c r="G1" s="45" t="s">
        <v>11</v>
      </c>
      <c r="H1" s="45" t="s">
        <v>29</v>
      </c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ht="15.75" customHeight="1">
      <c r="A2" s="44"/>
      <c r="B2" s="45" t="s">
        <v>30</v>
      </c>
      <c r="C2" s="45" t="str">
        <f>IFERROR(__xludf.DUMMYFUNCTION("GOOGLEFINANCE(""INDEXNSE:NIFTY_50"",""NAME"")"),"NIFTY 50")</f>
        <v>NIFTY 50</v>
      </c>
      <c r="D2" s="45" t="s">
        <v>32</v>
      </c>
      <c r="E2" s="45">
        <f>IFERROR(__xludf.DUMMYFUNCTION("GOOGLEFINANCE(D2,""PRICE"")"),23897.7)</f>
        <v>23897.7</v>
      </c>
      <c r="F2" s="45">
        <f>IFERROR(__xludf.DUMMYFUNCTION("ROUND(GOOGLEFINANCE(D2,""CHANGE""),2)"),24.25)</f>
        <v>24.25</v>
      </c>
      <c r="G2" s="45">
        <f>IFERROR(__xludf.DUMMYFUNCTION("ROUND(GOOGLEFINANCE(D2,""CHANGEPCT""),2)"),0.1)</f>
        <v>0.1</v>
      </c>
      <c r="H2" s="45" t="str">
        <f t="shared" ref="H2:H3" si="1">F2&amp;" ("&amp;G2&amp;"%)"</f>
        <v>24.25 (0.1%)</v>
      </c>
      <c r="I2" s="44"/>
      <c r="J2" s="44"/>
      <c r="K2" s="44"/>
      <c r="L2" s="47"/>
      <c r="M2" s="47"/>
      <c r="N2" s="47"/>
      <c r="O2" s="47"/>
      <c r="P2" s="47" t="s">
        <v>43</v>
      </c>
      <c r="Q2" s="47"/>
      <c r="R2" s="47"/>
      <c r="S2" s="44"/>
      <c r="T2" s="44"/>
      <c r="U2" s="44"/>
      <c r="V2" s="44"/>
      <c r="W2" s="44"/>
      <c r="X2" s="44"/>
      <c r="Y2" s="44"/>
      <c r="Z2" s="44"/>
    </row>
    <row r="3" ht="15.75" customHeight="1">
      <c r="A3" s="44"/>
      <c r="B3" s="45" t="s">
        <v>45</v>
      </c>
      <c r="C3" s="45" t="str">
        <f>IFERROR(__xludf.DUMMYFUNCTION("GOOGLEFINANCE(""INDEXBOM:SENSEX"",""NAME"")"),"BSE SENSEX")</f>
        <v>BSE SENSEX</v>
      </c>
      <c r="D3" s="45" t="s">
        <v>46</v>
      </c>
      <c r="E3" s="45">
        <f>IFERROR(__xludf.DUMMYFUNCTION("GOOGLEFINANCE(D3,""PRICE"")"),76515.43)</f>
        <v>76515.43</v>
      </c>
      <c r="F3" s="45">
        <f>IFERROR(__xludf.DUMMYFUNCTION("ROUND(GOOGLEFINANCE(D3,""CHANGE""),2)"),362.57)</f>
        <v>362.57</v>
      </c>
      <c r="G3" s="45">
        <f>IFERROR(__xludf.DUMMYFUNCTION("ROUND(GOOGLEFINANCE(D3,""CHANGEPCT""),2)"),0.48)</f>
        <v>0.48</v>
      </c>
      <c r="H3" s="45" t="str">
        <f t="shared" si="1"/>
        <v>362.57 (0.48%)</v>
      </c>
      <c r="I3" s="44"/>
      <c r="J3" s="44"/>
      <c r="K3" s="44"/>
      <c r="L3" s="47" t="s">
        <v>47</v>
      </c>
      <c r="M3" s="47" t="s">
        <v>48</v>
      </c>
      <c r="N3" s="47" t="s">
        <v>49</v>
      </c>
      <c r="O3" s="47" t="str">
        <f>IFERROR(__xludf.DUMMYFUNCTION("GOOGLEFINANCE(""INDEXBOM:SENSEX"",""NAME"")"),"BSE SENSEX")</f>
        <v>BSE SENSEX</v>
      </c>
      <c r="P3" s="47" t="s">
        <v>50</v>
      </c>
      <c r="Q3" s="47"/>
      <c r="R3" s="47"/>
      <c r="S3" s="44"/>
      <c r="T3" s="44"/>
      <c r="U3" s="44"/>
      <c r="V3" s="44"/>
      <c r="W3" s="44"/>
      <c r="X3" s="44"/>
      <c r="Y3" s="44"/>
      <c r="Z3" s="44"/>
    </row>
    <row r="4" ht="15.75" customHeight="1">
      <c r="A4" s="44"/>
      <c r="B4" s="44"/>
      <c r="C4" s="44"/>
      <c r="D4" s="44"/>
      <c r="E4" s="44"/>
      <c r="F4" s="44"/>
      <c r="G4" s="44"/>
      <c r="H4" s="44"/>
      <c r="I4" s="44"/>
      <c r="J4" s="44"/>
      <c r="K4" s="44"/>
      <c r="L4" s="47" t="s">
        <v>30</v>
      </c>
      <c r="M4" s="47" t="s">
        <v>51</v>
      </c>
      <c r="N4" s="47"/>
      <c r="O4" s="47" t="str">
        <f>IFERROR(__xludf.DUMMYFUNCTION("GOOGLEFINANCE(""INDEXNSE:NIFTY_50"",""NAME"")"),"NIFTY 50")</f>
        <v>NIFTY 50</v>
      </c>
      <c r="P4" s="47"/>
      <c r="Q4" s="47"/>
      <c r="R4" s="47"/>
      <c r="S4" s="44"/>
      <c r="T4" s="44"/>
      <c r="U4" s="44"/>
      <c r="V4" s="44"/>
      <c r="W4" s="44"/>
      <c r="X4" s="44"/>
      <c r="Y4" s="44"/>
      <c r="Z4" s="44"/>
    </row>
    <row r="5" ht="15.75" customHeight="1">
      <c r="A5" s="44"/>
      <c r="B5" s="44"/>
      <c r="C5" s="5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ht="15.75" customHeight="1">
      <c r="A6" s="44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ht="15.75" customHeight="1">
      <c r="A7" s="44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</row>
    <row r="8" ht="15.75" customHeight="1">
      <c r="A8" s="44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 ht="15.75" customHeight="1">
      <c r="A9" s="44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</row>
    <row r="10" ht="15.75" customHeight="1">
      <c r="A10" s="44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</row>
    <row r="11" ht="15.75" customHeight="1">
      <c r="A11" s="44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</row>
    <row r="12" ht="15.75" customHeight="1">
      <c r="A12" s="44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44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</row>
    <row r="14" ht="15.75" customHeight="1">
      <c r="A14" s="44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</row>
    <row r="15" ht="15.75" customHeight="1">
      <c r="A15" s="44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</row>
    <row r="16" ht="15.75" customHeight="1">
      <c r="A16" s="44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</row>
    <row r="17" ht="15.75" customHeight="1">
      <c r="A17" s="44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</row>
    <row r="18" ht="15.75" customHeight="1">
      <c r="A18" s="44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</row>
    <row r="19" ht="15.75" customHeight="1">
      <c r="A19" s="44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</row>
    <row r="20" ht="15.75" customHeight="1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</row>
    <row r="21" ht="15.75" customHeight="1">
      <c r="A21" s="44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</row>
    <row r="22" ht="15.75" customHeight="1">
      <c r="A22" s="44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</row>
    <row r="23" ht="15.75" customHeight="1">
      <c r="A23" s="44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</row>
    <row r="24" ht="15.75" customHeight="1">
      <c r="A24" s="44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</row>
    <row r="25" ht="15.75" customHeight="1">
      <c r="A25" s="44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</row>
    <row r="26" ht="15.75" customHeight="1">
      <c r="A26" s="44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</row>
    <row r="27" ht="15.75" customHeight="1">
      <c r="A27" s="44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</row>
    <row r="28" ht="15.75" customHeight="1">
      <c r="A28" s="44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</row>
    <row r="29" ht="15.75" customHeight="1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</row>
    <row r="30" ht="15.75" customHeight="1">
      <c r="A30" s="44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</row>
    <row r="31" ht="15.75" customHeight="1">
      <c r="A31" s="44"/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</row>
    <row r="32" ht="15.75" customHeight="1">
      <c r="A32" s="44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</row>
    <row r="33" ht="15.75" customHeight="1">
      <c r="A33" s="44"/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</row>
    <row r="34" ht="15.75" customHeight="1">
      <c r="A34" s="44"/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</row>
    <row r="35" ht="15.75" customHeight="1">
      <c r="A35" s="44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</row>
    <row r="36" ht="15.75" customHeight="1">
      <c r="A36" s="44"/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</row>
    <row r="37" ht="15.75" customHeight="1">
      <c r="A37" s="44"/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</row>
    <row r="38" ht="15.75" customHeight="1">
      <c r="A38" s="44"/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</row>
    <row r="39" ht="15.75" customHeight="1">
      <c r="A39" s="44"/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</row>
    <row r="40" ht="15.75" customHeight="1">
      <c r="A40" s="44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</row>
    <row r="41" ht="15.75" customHeight="1">
      <c r="A41" s="44"/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</row>
    <row r="42" ht="15.75" customHeight="1">
      <c r="A42" s="44"/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</row>
    <row r="43" ht="15.75" customHeight="1">
      <c r="A43" s="44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</row>
    <row r="44" ht="15.75" customHeight="1">
      <c r="A44" s="44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</row>
    <row r="45" ht="15.75" customHeight="1">
      <c r="A45" s="44"/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</row>
    <row r="46" ht="15.75" customHeight="1">
      <c r="A46" s="44"/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</row>
    <row r="47" ht="15.75" customHeight="1">
      <c r="A47" s="44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</row>
    <row r="48" ht="15.75" customHeight="1">
      <c r="A48" s="44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</row>
    <row r="49" ht="15.75" customHeight="1">
      <c r="A49" s="44"/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</row>
    <row r="50" ht="15.75" customHeight="1">
      <c r="A50" s="44"/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</row>
    <row r="51" ht="15.75" customHeight="1">
      <c r="A51" s="44"/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</row>
    <row r="52" ht="15.75" customHeight="1">
      <c r="A52" s="44"/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</row>
    <row r="53" ht="15.75" customHeight="1">
      <c r="A53" s="44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</row>
    <row r="54" ht="15.75" customHeight="1">
      <c r="A54" s="44"/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</row>
    <row r="55" ht="15.75" customHeight="1">
      <c r="A55" s="44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</row>
    <row r="56" ht="15.75" customHeight="1">
      <c r="A56" s="44"/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</row>
    <row r="57" ht="15.7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</row>
    <row r="58" ht="15.75" customHeight="1">
      <c r="A58" s="44"/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</row>
    <row r="59" ht="15.75" customHeight="1">
      <c r="A59" s="44"/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</row>
    <row r="60" ht="15.75" customHeight="1">
      <c r="A60" s="44"/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</row>
    <row r="61" ht="15.75" customHeight="1">
      <c r="A61" s="44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</row>
    <row r="62" ht="15.75" customHeight="1">
      <c r="A62" s="44"/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3" ht="15.75" customHeight="1">
      <c r="A63" s="44"/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</row>
    <row r="64" ht="15.75" customHeight="1">
      <c r="A64" s="44"/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</row>
    <row r="65" ht="15.75" customHeight="1">
      <c r="A65" s="44"/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</row>
    <row r="66" ht="15.75" customHeight="1">
      <c r="A66" s="44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</row>
    <row r="67" ht="15.75" customHeight="1">
      <c r="A67" s="44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</row>
    <row r="68" ht="15.75" customHeight="1">
      <c r="A68" s="44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</row>
    <row r="69" ht="15.75" customHeight="1">
      <c r="A69" s="44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</row>
    <row r="70" ht="15.75" customHeight="1">
      <c r="A70" s="44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</row>
    <row r="71" ht="15.75" customHeight="1">
      <c r="A71" s="44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</row>
    <row r="72" ht="15.75" customHeight="1">
      <c r="A72" s="44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</row>
    <row r="73" ht="15.75" customHeight="1">
      <c r="A73" s="44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</row>
    <row r="74" ht="15.75" customHeight="1">
      <c r="A74" s="44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</row>
    <row r="75" ht="15.75" customHeight="1">
      <c r="A75" s="44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</row>
    <row r="76" ht="15.75" customHeight="1">
      <c r="A76" s="44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</row>
    <row r="77" ht="15.75" customHeight="1">
      <c r="A77" s="44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</row>
    <row r="78" ht="15.75" customHeight="1">
      <c r="A78" s="44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</row>
    <row r="79" ht="15.75" customHeight="1">
      <c r="A79" s="44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</row>
    <row r="80" ht="15.75" customHeight="1">
      <c r="A80" s="44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</row>
    <row r="81" ht="15.75" customHeight="1">
      <c r="A81" s="44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</row>
    <row r="82" ht="15.75" customHeight="1">
      <c r="A82" s="44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</row>
    <row r="83" ht="15.75" customHeight="1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</row>
    <row r="84" ht="15.75" customHeight="1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</row>
    <row r="85" ht="15.75" customHeight="1">
      <c r="A85" s="44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</row>
    <row r="86" ht="15.75" customHeight="1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</row>
    <row r="87" ht="15.75" customHeight="1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</row>
    <row r="88" ht="15.75" customHeight="1">
      <c r="A88" s="44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</row>
    <row r="89" ht="15.75" customHeight="1">
      <c r="A89" s="44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</row>
    <row r="90" ht="15.75" customHeight="1">
      <c r="A90" s="44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</row>
    <row r="91" ht="15.75" customHeight="1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</row>
    <row r="92" ht="15.75" customHeight="1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</row>
    <row r="93" ht="15.75" customHeight="1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</row>
    <row r="94" ht="15.75" customHeight="1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</row>
    <row r="95" ht="15.75" customHeight="1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</row>
    <row r="96" ht="15.75" customHeight="1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</row>
    <row r="97" ht="15.75" customHeight="1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</row>
    <row r="98" ht="15.75" customHeight="1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</row>
    <row r="99" ht="15.75" customHeight="1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</row>
    <row r="100" ht="15.75" customHeight="1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</row>
    <row r="101" ht="15.75" customHeight="1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</row>
    <row r="102" ht="15.75" customHeight="1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</row>
    <row r="103" ht="15.75" customHeight="1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</row>
    <row r="104" ht="15.75" customHeight="1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</row>
    <row r="105" ht="15.75" customHeight="1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</row>
    <row r="106" ht="15.75" customHeight="1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</row>
    <row r="107" ht="15.75" customHeight="1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</row>
    <row r="108" ht="15.75" customHeight="1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</row>
    <row r="109" ht="15.75" customHeight="1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</row>
    <row r="110" ht="15.75" customHeight="1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</row>
    <row r="111" ht="15.75" customHeight="1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ht="15.75" customHeight="1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</row>
    <row r="113" ht="15.75" customHeight="1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</row>
    <row r="114" ht="15.75" customHeight="1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</row>
    <row r="115" ht="15.75" customHeight="1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</row>
    <row r="116" ht="15.75" customHeight="1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</row>
    <row r="117" ht="15.75" customHeight="1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</row>
    <row r="118" ht="15.75" customHeight="1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</row>
    <row r="119" ht="15.75" customHeight="1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</row>
    <row r="120" ht="15.75" customHeight="1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</row>
    <row r="121" ht="15.75" customHeight="1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</row>
    <row r="122" ht="15.75" customHeight="1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</row>
    <row r="123" ht="15.75" customHeight="1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</row>
    <row r="124" ht="15.75" customHeight="1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</row>
    <row r="125" ht="15.75" customHeight="1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</row>
    <row r="126" ht="15.75" customHeight="1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</row>
    <row r="127" ht="15.75" customHeight="1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</row>
    <row r="128" ht="15.75" customHeight="1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</row>
    <row r="129" ht="15.75" customHeight="1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</row>
    <row r="130" ht="15.75" customHeight="1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</row>
    <row r="131" ht="15.75" customHeight="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</row>
    <row r="132" ht="15.75" customHeight="1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</row>
    <row r="133" ht="15.75" customHeight="1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</row>
    <row r="134" ht="15.75" customHeight="1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</row>
    <row r="135" ht="15.75" customHeight="1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</row>
    <row r="136" ht="15.75" customHeight="1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</row>
    <row r="137" ht="15.75" customHeight="1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</row>
    <row r="138" ht="15.75" customHeight="1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</row>
    <row r="139" ht="15.75" customHeight="1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</row>
    <row r="140" ht="15.75" customHeight="1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</row>
    <row r="141" ht="15.75" customHeight="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</row>
    <row r="142" ht="15.75" customHeight="1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</row>
    <row r="143" ht="15.75" customHeight="1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</row>
    <row r="144" ht="15.75" customHeight="1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</row>
    <row r="145" ht="15.75" customHeight="1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</row>
    <row r="146" ht="15.75" customHeight="1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</row>
    <row r="147" ht="15.75" customHeight="1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</row>
    <row r="148" ht="15.75" customHeight="1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</row>
    <row r="149" ht="15.75" customHeight="1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</row>
    <row r="150" ht="15.75" customHeight="1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</row>
    <row r="151" ht="15.75" customHeight="1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</row>
    <row r="152" ht="15.75" customHeight="1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</row>
    <row r="153" ht="15.75" customHeight="1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</row>
    <row r="154" ht="15.75" customHeight="1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</row>
    <row r="155" ht="15.75" customHeight="1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</row>
    <row r="156" ht="15.75" customHeight="1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</row>
    <row r="157" ht="15.75" customHeight="1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</row>
    <row r="158" ht="15.75" customHeight="1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</row>
    <row r="159" ht="15.75" customHeight="1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</row>
    <row r="160" ht="15.75" customHeight="1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</row>
    <row r="161" ht="15.75" customHeight="1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</row>
    <row r="162" ht="15.75" customHeight="1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</row>
    <row r="163" ht="15.75" customHeight="1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</row>
    <row r="164" ht="15.75" customHeight="1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</row>
    <row r="165" ht="15.75" customHeight="1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</row>
    <row r="166" ht="15.75" customHeight="1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</row>
    <row r="167" ht="15.75" customHeight="1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</row>
    <row r="168" ht="15.75" customHeight="1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</row>
    <row r="169" ht="15.75" customHeight="1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</row>
    <row r="170" ht="15.75" customHeight="1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</row>
    <row r="171" ht="15.75" customHeight="1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</row>
    <row r="172" ht="15.75" customHeight="1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</row>
    <row r="173" ht="15.75" customHeight="1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</row>
    <row r="174" ht="15.75" customHeight="1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</row>
    <row r="175" ht="15.75" customHeight="1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</row>
    <row r="176" ht="15.75" customHeight="1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</row>
    <row r="177" ht="15.75" customHeight="1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</row>
    <row r="178" ht="15.75" customHeight="1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</row>
    <row r="179" ht="15.75" customHeight="1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</row>
    <row r="180" ht="15.75" customHeight="1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</row>
    <row r="181" ht="15.75" customHeight="1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</row>
    <row r="182" ht="15.75" customHeight="1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</row>
    <row r="183" ht="15.75" customHeight="1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</row>
    <row r="184" ht="15.75" customHeight="1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</row>
    <row r="185" ht="15.75" customHeight="1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</row>
    <row r="186" ht="15.75" customHeight="1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</row>
    <row r="187" ht="15.75" customHeight="1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</row>
    <row r="188" ht="15.75" customHeight="1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</row>
    <row r="189" ht="15.75" customHeight="1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</row>
    <row r="190" ht="15.75" customHeight="1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</row>
    <row r="191" ht="15.75" customHeight="1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</row>
    <row r="192" ht="15.75" customHeight="1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</row>
    <row r="193" ht="15.75" customHeight="1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</row>
    <row r="194" ht="15.75" customHeight="1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</row>
    <row r="195" ht="15.75" customHeight="1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</row>
    <row r="196" ht="15.75" customHeight="1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</row>
    <row r="197" ht="15.75" customHeight="1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</row>
    <row r="198" ht="15.75" customHeight="1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</row>
    <row r="199" ht="15.75" customHeight="1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</row>
    <row r="200" ht="15.75" customHeight="1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</row>
    <row r="201" ht="15.75" customHeight="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</row>
    <row r="202" ht="15.75" customHeight="1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</row>
    <row r="203" ht="15.75" customHeight="1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</row>
    <row r="204" ht="15.75" customHeight="1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</row>
    <row r="205" ht="15.75" customHeight="1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</row>
    <row r="206" ht="15.75" customHeight="1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</row>
    <row r="207" ht="15.75" customHeight="1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</row>
    <row r="208" ht="15.75" customHeight="1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</row>
    <row r="209" ht="15.75" customHeight="1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</row>
    <row r="210" ht="15.75" customHeight="1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</row>
    <row r="211" ht="15.75" customHeight="1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</row>
    <row r="212" ht="15.75" customHeight="1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</row>
    <row r="213" ht="15.75" customHeight="1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</row>
    <row r="214" ht="15.75" customHeight="1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</row>
    <row r="215" ht="15.75" customHeight="1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</row>
    <row r="216" ht="15.75" customHeight="1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</row>
    <row r="217" ht="15.75" customHeight="1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</row>
    <row r="218" ht="15.75" customHeight="1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</row>
    <row r="219" ht="15.75" customHeight="1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</row>
    <row r="220" ht="15.75" customHeight="1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13"/>
    <col customWidth="1" min="2" max="4" width="12.63"/>
    <col customWidth="1" min="5" max="5" width="7.88"/>
    <col customWidth="1" min="6" max="6" width="13.88"/>
    <col customWidth="1" min="7" max="7" width="15.88"/>
    <col customWidth="1" min="14" max="14" width="16.13"/>
  </cols>
  <sheetData>
    <row r="1" ht="23.25" customHeight="1">
      <c r="A1" s="44" t="s">
        <v>31</v>
      </c>
      <c r="B1" s="44"/>
      <c r="C1" s="44" t="s">
        <v>33</v>
      </c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ht="15.75" customHeight="1">
      <c r="A2" s="44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ht="15.75" customHeight="1">
      <c r="A3" s="46" t="s">
        <v>34</v>
      </c>
      <c r="B3" s="46" t="s">
        <v>7</v>
      </c>
      <c r="C3" s="46" t="s">
        <v>10</v>
      </c>
      <c r="D3" s="46" t="s">
        <v>29</v>
      </c>
      <c r="E3" s="46" t="s">
        <v>35</v>
      </c>
      <c r="F3" s="46" t="s">
        <v>36</v>
      </c>
      <c r="G3" s="46" t="s">
        <v>37</v>
      </c>
      <c r="H3" s="46" t="s">
        <v>9</v>
      </c>
      <c r="I3" s="46" t="s">
        <v>8</v>
      </c>
      <c r="J3" s="46" t="s">
        <v>38</v>
      </c>
      <c r="K3" s="46" t="s">
        <v>39</v>
      </c>
      <c r="L3" s="46" t="s">
        <v>40</v>
      </c>
      <c r="M3" s="46" t="s">
        <v>41</v>
      </c>
      <c r="N3" s="46" t="s">
        <v>42</v>
      </c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ht="15.75" customHeight="1">
      <c r="A4" s="48" t="s">
        <v>44</v>
      </c>
      <c r="B4" s="48" t="str">
        <f>IFERROR(__xludf.DUMMYFUNCTION("IFERROR(GOOGLEFINANCE(A4,""NAME""),)"),"20 Microns Ltd")</f>
        <v>20 Microns Ltd</v>
      </c>
      <c r="C4" s="48">
        <f>IFERROR(__xludf.DUMMYFUNCTION("IFERROR(GOOGLEFINANCE(A4,""CHANGE""),)"),5.13)</f>
        <v>5.13</v>
      </c>
      <c r="D4" s="48">
        <f>IFERROR(__xludf.DUMMYFUNCTION("IFERROR(GOOGLEFINANCE(A4,""CHANGEPCT""),)"),2.36)</f>
        <v>2.36</v>
      </c>
      <c r="E4" s="48" t="str">
        <f t="shared" ref="E4:E1624" si="1">D4&amp;"%"</f>
        <v>2.36%</v>
      </c>
      <c r="F4" s="48">
        <f t="shared" ref="F4:F1624" si="2">IFERROR(IF(D4&gt;0,D4,""),)</f>
        <v>2.36</v>
      </c>
      <c r="G4" s="48" t="str">
        <f t="shared" ref="G4:G1624" si="3">IFERROR(IF(D4&lt;0,D4,""),)</f>
        <v/>
      </c>
      <c r="H4" s="48">
        <f>IFERROR(__xludf.DUMMYFUNCTION("IFERROR(GOOGLEFINANCE(A4,""PRICE""),)"),222.95)</f>
        <v>222.95</v>
      </c>
      <c r="I4" s="49">
        <f>IFERROR(__xludf.DUMMYFUNCTION("IFERROR(GOOGLEFINANCE(A4,""VOLUME""),)"),174812.0)</f>
        <v>174812</v>
      </c>
      <c r="J4" s="48" t="str">
        <f>IFERROR(__xludf.DUMMYFUNCTION("IFERROR(INDEX(SPLIT(A4,"":""),1,2),)"),"20MICRONS")</f>
        <v>20MICRONS</v>
      </c>
      <c r="K4" s="48">
        <f t="shared" ref="K4:K1624" si="4">IFERROR(RANK(F4,$F$4:F1624,0)+COUNTIF($F$3:$F3,F4),"")</f>
        <v>219</v>
      </c>
      <c r="L4" s="48" t="str">
        <f t="shared" ref="L4:L1624" si="5">IFERROR(RANK(G4,$G$4:G1624,0)+COUNTIF($G$3:$G3,G4),"")</f>
        <v/>
      </c>
      <c r="M4" s="48">
        <f t="shared" ref="M4:M1624" si="6">IFERROR(RANK(I4,$I$4:I1624,0)+COUNTIF($I$3:$I3,I4),"")</f>
        <v>653</v>
      </c>
      <c r="N4" s="50">
        <f>IFERROR(__xludf.DUMMYFUNCTION("IFERROR(GOOGLEFINANCE(A4,""TRADETIME""),)"),46269.64584490741)</f>
        <v>46269.64584</v>
      </c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ht="15.75" customHeight="1">
      <c r="A5" s="51" t="s">
        <v>52</v>
      </c>
      <c r="B5" s="51" t="str">
        <f>IFERROR(__xludf.DUMMYFUNCTION("IFERROR(GOOGLEFINANCE(A5,""NAME""),)"),"Twentyfirst Century Management Srvcs Ltd")</f>
        <v>Twentyfirst Century Management Srvcs Ltd</v>
      </c>
      <c r="C5" s="51">
        <f>IFERROR(__xludf.DUMMYFUNCTION("IFERROR(GOOGLEFINANCE(A5,""CHANGE""),)"),-0.1)</f>
        <v>-0.1</v>
      </c>
      <c r="D5" s="51">
        <f>IFERROR(__xludf.DUMMYFUNCTION("IFERROR(GOOGLEFINANCE(A5,""CHANGEPCT""),)"),-0.26)</f>
        <v>-0.26</v>
      </c>
      <c r="E5" s="51" t="str">
        <f t="shared" si="1"/>
        <v>-0.26%</v>
      </c>
      <c r="F5" s="51" t="str">
        <f t="shared" si="2"/>
        <v/>
      </c>
      <c r="G5" s="51">
        <f t="shared" si="3"/>
        <v>-0.26</v>
      </c>
      <c r="H5" s="51">
        <f>IFERROR(__xludf.DUMMYFUNCTION("IFERROR(GOOGLEFINANCE(A5,""PRICE""),)"),38.0)</f>
        <v>38</v>
      </c>
      <c r="I5" s="52">
        <f>IFERROR(__xludf.DUMMYFUNCTION("IFERROR(GOOGLEFINANCE(A5,""VOLUME""),)"),2056.0)</f>
        <v>2056</v>
      </c>
      <c r="J5" s="51" t="str">
        <f>IFERROR(__xludf.DUMMYFUNCTION("IFERROR(INDEX(SPLIT(A5,"":""),1,2),)"),"21STCENMGM")</f>
        <v>21STCENMGM</v>
      </c>
      <c r="K5" s="51" t="str">
        <f t="shared" si="4"/>
        <v/>
      </c>
      <c r="L5" s="51">
        <f t="shared" si="5"/>
        <v>91</v>
      </c>
      <c r="M5" s="51">
        <f t="shared" si="6"/>
        <v>1392</v>
      </c>
      <c r="N5" s="53">
        <f>IFERROR(__xludf.DUMMYFUNCTION("IFERROR(GOOGLEFINANCE(A5,""TRADETIME""),)"),46269.64583333333)</f>
        <v>46269.64583</v>
      </c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ht="15.75" customHeight="1">
      <c r="A6" s="48" t="s">
        <v>53</v>
      </c>
      <c r="B6" s="48" t="str">
        <f>IFERROR(__xludf.DUMMYFUNCTION("IFERROR(GOOGLEFINANCE(A6,""NAME""),)"),"3i Infotech Ltd")</f>
        <v>3i Infotech Ltd</v>
      </c>
      <c r="C6" s="48">
        <f>IFERROR(__xludf.DUMMYFUNCTION("IFERROR(GOOGLEFINANCE(A6,""CHANGE""),)"),0.61)</f>
        <v>0.61</v>
      </c>
      <c r="D6" s="48">
        <f>IFERROR(__xludf.DUMMYFUNCTION("IFERROR(GOOGLEFINANCE(A6,""CHANGEPCT""),)"),2.8)</f>
        <v>2.8</v>
      </c>
      <c r="E6" s="48" t="str">
        <f t="shared" si="1"/>
        <v>2.8%</v>
      </c>
      <c r="F6" s="48">
        <f t="shared" si="2"/>
        <v>2.8</v>
      </c>
      <c r="G6" s="48" t="str">
        <f t="shared" si="3"/>
        <v/>
      </c>
      <c r="H6" s="48">
        <f>IFERROR(__xludf.DUMMYFUNCTION("IFERROR(GOOGLEFINANCE(A6,""PRICE""),)"),22.4)</f>
        <v>22.4</v>
      </c>
      <c r="I6" s="49">
        <f>IFERROR(__xludf.DUMMYFUNCTION("IFERROR(GOOGLEFINANCE(A6,""VOLUME""),)"),161133.0)</f>
        <v>161133</v>
      </c>
      <c r="J6" s="48" t="str">
        <f>IFERROR(__xludf.DUMMYFUNCTION("IFERROR(INDEX(SPLIT(A6,"":""),1,2),)"),"3IINFOLTD")</f>
        <v>3IINFOLTD</v>
      </c>
      <c r="K6" s="48">
        <f t="shared" si="4"/>
        <v>175</v>
      </c>
      <c r="L6" s="48" t="str">
        <f t="shared" si="5"/>
        <v/>
      </c>
      <c r="M6" s="48">
        <f t="shared" si="6"/>
        <v>672</v>
      </c>
      <c r="N6" s="50">
        <f>IFERROR(__xludf.DUMMYFUNCTION("IFERROR(GOOGLEFINANCE(A6,""TRADETIME""),)"),46269.64583333333)</f>
        <v>46269.64583</v>
      </c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ht="15.75" customHeight="1">
      <c r="A7" s="51" t="s">
        <v>54</v>
      </c>
      <c r="B7" s="51" t="str">
        <f>IFERROR(__xludf.DUMMYFUNCTION("IFERROR(GOOGLEFINANCE(A7,""NAME""),)"),"3M India Ltd")</f>
        <v>3M India Ltd</v>
      </c>
      <c r="C7" s="51">
        <f>IFERROR(__xludf.DUMMYFUNCTION("IFERROR(GOOGLEFINANCE(A7,""CHANGE""),)"),135.0)</f>
        <v>135</v>
      </c>
      <c r="D7" s="51">
        <f>IFERROR(__xludf.DUMMYFUNCTION("IFERROR(GOOGLEFINANCE(A7,""CHANGEPCT""),)"),0.41)</f>
        <v>0.41</v>
      </c>
      <c r="E7" s="51" t="str">
        <f t="shared" si="1"/>
        <v>0.41%</v>
      </c>
      <c r="F7" s="51">
        <f t="shared" si="2"/>
        <v>0.41</v>
      </c>
      <c r="G7" s="51" t="str">
        <f t="shared" si="3"/>
        <v/>
      </c>
      <c r="H7" s="51">
        <f>IFERROR(__xludf.DUMMYFUNCTION("IFERROR(GOOGLEFINANCE(A7,""PRICE""),)"),32955.0)</f>
        <v>32955</v>
      </c>
      <c r="I7" s="52">
        <f>IFERROR(__xludf.DUMMYFUNCTION("IFERROR(GOOGLEFINANCE(A7,""VOLUME""),)"),932.0)</f>
        <v>932</v>
      </c>
      <c r="J7" s="51" t="str">
        <f>IFERROR(__xludf.DUMMYFUNCTION("IFERROR(INDEX(SPLIT(A7,"":""),1,2),)"),"3MINDIA")</f>
        <v>3MINDIA</v>
      </c>
      <c r="K7" s="51">
        <f t="shared" si="4"/>
        <v>618</v>
      </c>
      <c r="L7" s="51" t="str">
        <f t="shared" si="5"/>
        <v/>
      </c>
      <c r="M7" s="51">
        <f t="shared" si="6"/>
        <v>1428</v>
      </c>
      <c r="N7" s="53">
        <f>IFERROR(__xludf.DUMMYFUNCTION("IFERROR(GOOGLEFINANCE(A7,""TRADETIME""),)"),46269.64583333333)</f>
        <v>46269.64583</v>
      </c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</row>
    <row r="8" ht="15.75" customHeight="1">
      <c r="A8" s="48" t="s">
        <v>55</v>
      </c>
      <c r="B8" s="48" t="str">
        <f>IFERROR(__xludf.DUMMYFUNCTION("IFERROR(GOOGLEFINANCE(A8,""NAME""),)"),"3P Land Holdings Ltd")</f>
        <v>3P Land Holdings Ltd</v>
      </c>
      <c r="C8" s="48">
        <f>IFERROR(__xludf.DUMMYFUNCTION("IFERROR(GOOGLEFINANCE(A8,""CHANGE""),)"),-0.06)</f>
        <v>-0.06</v>
      </c>
      <c r="D8" s="48">
        <f>IFERROR(__xludf.DUMMYFUNCTION("IFERROR(GOOGLEFINANCE(A8,""CHANGEPCT""),)"),-0.18)</f>
        <v>-0.18</v>
      </c>
      <c r="E8" s="48" t="str">
        <f t="shared" si="1"/>
        <v>-0.18%</v>
      </c>
      <c r="F8" s="48" t="str">
        <f t="shared" si="2"/>
        <v/>
      </c>
      <c r="G8" s="48">
        <f t="shared" si="3"/>
        <v>-0.18</v>
      </c>
      <c r="H8" s="48">
        <f>IFERROR(__xludf.DUMMYFUNCTION("IFERROR(GOOGLEFINANCE(A8,""PRICE""),)"),32.39)</f>
        <v>32.39</v>
      </c>
      <c r="I8" s="49">
        <f>IFERROR(__xludf.DUMMYFUNCTION("IFERROR(GOOGLEFINANCE(A8,""VOLUME""),)"),11543.0)</f>
        <v>11543</v>
      </c>
      <c r="J8" s="48" t="str">
        <f>IFERROR(__xludf.DUMMYFUNCTION("IFERROR(INDEX(SPLIT(A8,"":""),1,2),)"),"3PLAND")</f>
        <v>3PLAND</v>
      </c>
      <c r="K8" s="48" t="str">
        <f t="shared" si="4"/>
        <v/>
      </c>
      <c r="L8" s="48">
        <f t="shared" si="5"/>
        <v>66</v>
      </c>
      <c r="M8" s="48">
        <f t="shared" si="6"/>
        <v>1211</v>
      </c>
      <c r="N8" s="50">
        <f>IFERROR(__xludf.DUMMYFUNCTION("IFERROR(GOOGLEFINANCE(A8,""TRADETIME""),)"),46269.64583333333)</f>
        <v>46269.64583</v>
      </c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 ht="15.75" customHeight="1">
      <c r="A9" s="51" t="s">
        <v>56</v>
      </c>
      <c r="B9" s="51" t="str">
        <f>IFERROR(__xludf.DUMMYFUNCTION("IFERROR(GOOGLEFINANCE(A9,""NAME""),)"),"5Paisa Capital Ltd")</f>
        <v>5Paisa Capital Ltd</v>
      </c>
      <c r="C9" s="51">
        <f>IFERROR(__xludf.DUMMYFUNCTION("IFERROR(GOOGLEFINANCE(A9,""CHANGE""),)"),-0.65)</f>
        <v>-0.65</v>
      </c>
      <c r="D9" s="51">
        <f>IFERROR(__xludf.DUMMYFUNCTION("IFERROR(GOOGLEFINANCE(A9,""CHANGEPCT""),)"),-0.19)</f>
        <v>-0.19</v>
      </c>
      <c r="E9" s="51" t="str">
        <f t="shared" si="1"/>
        <v>-0.19%</v>
      </c>
      <c r="F9" s="51" t="str">
        <f t="shared" si="2"/>
        <v/>
      </c>
      <c r="G9" s="51">
        <f t="shared" si="3"/>
        <v>-0.19</v>
      </c>
      <c r="H9" s="51">
        <f>IFERROR(__xludf.DUMMYFUNCTION("IFERROR(GOOGLEFINANCE(A9,""PRICE""),)"),341.8)</f>
        <v>341.8</v>
      </c>
      <c r="I9" s="52">
        <f>IFERROR(__xludf.DUMMYFUNCTION("IFERROR(GOOGLEFINANCE(A9,""VOLUME""),)"),258086.0)</f>
        <v>258086</v>
      </c>
      <c r="J9" s="51" t="str">
        <f>IFERROR(__xludf.DUMMYFUNCTION("IFERROR(INDEX(SPLIT(A9,"":""),1,2),)"),"5PAISA")</f>
        <v>5PAISA</v>
      </c>
      <c r="K9" s="51" t="str">
        <f t="shared" si="4"/>
        <v/>
      </c>
      <c r="L9" s="51">
        <f t="shared" si="5"/>
        <v>70</v>
      </c>
      <c r="M9" s="51">
        <f t="shared" si="6"/>
        <v>558</v>
      </c>
      <c r="N9" s="53">
        <f>IFERROR(__xludf.DUMMYFUNCTION("IFERROR(GOOGLEFINANCE(A9,""TRADETIME""),)"),46269.64586805555)</f>
        <v>46269.64587</v>
      </c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</row>
    <row r="10" ht="15.75" customHeight="1">
      <c r="A10" s="48" t="s">
        <v>57</v>
      </c>
      <c r="B10" s="48" t="str">
        <f>IFERROR(__xludf.DUMMYFUNCTION("IFERROR(GOOGLEFINANCE(A10,""NAME""),)"),"63 Moons Technologies Ltd")</f>
        <v>63 Moons Technologies Ltd</v>
      </c>
      <c r="C10" s="48">
        <f>IFERROR(__xludf.DUMMYFUNCTION("IFERROR(GOOGLEFINANCE(A10,""CHANGE""),)"),23.75)</f>
        <v>23.75</v>
      </c>
      <c r="D10" s="48">
        <f>IFERROR(__xludf.DUMMYFUNCTION("IFERROR(GOOGLEFINANCE(A10,""CHANGEPCT""),)"),2.79)</f>
        <v>2.79</v>
      </c>
      <c r="E10" s="48" t="str">
        <f t="shared" si="1"/>
        <v>2.79%</v>
      </c>
      <c r="F10" s="48">
        <f t="shared" si="2"/>
        <v>2.79</v>
      </c>
      <c r="G10" s="48" t="str">
        <f t="shared" si="3"/>
        <v/>
      </c>
      <c r="H10" s="48">
        <f>IFERROR(__xludf.DUMMYFUNCTION("IFERROR(GOOGLEFINANCE(A10,""PRICE""),)"),875.0)</f>
        <v>875</v>
      </c>
      <c r="I10" s="49">
        <f>IFERROR(__xludf.DUMMYFUNCTION("IFERROR(GOOGLEFINANCE(A10,""VOLUME""),)"),1136718.0)</f>
        <v>1136718</v>
      </c>
      <c r="J10" s="48" t="str">
        <f>IFERROR(__xludf.DUMMYFUNCTION("IFERROR(INDEX(SPLIT(A10,"":""),1,2),)"),"63MOONS")</f>
        <v>63MOONS</v>
      </c>
      <c r="K10" s="48">
        <f t="shared" si="4"/>
        <v>176</v>
      </c>
      <c r="L10" s="48" t="str">
        <f t="shared" si="5"/>
        <v/>
      </c>
      <c r="M10" s="48">
        <f t="shared" si="6"/>
        <v>248</v>
      </c>
      <c r="N10" s="50">
        <f>IFERROR(__xludf.DUMMYFUNCTION("IFERROR(GOOGLEFINANCE(A10,""TRADETIME""),)"),46269.64584490741)</f>
        <v>46269.64584</v>
      </c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</row>
    <row r="11" ht="15.75" customHeight="1">
      <c r="A11" s="51" t="s">
        <v>58</v>
      </c>
      <c r="B11" s="51" t="str">
        <f>IFERROR(__xludf.DUMMYFUNCTION("IFERROR(GOOGLEFINANCE(A11,""NAME""),)"),"A2z Infra Engineering Ltd")</f>
        <v>A2z Infra Engineering Ltd</v>
      </c>
      <c r="C11" s="51">
        <f>IFERROR(__xludf.DUMMYFUNCTION("IFERROR(GOOGLEFINANCE(A11,""CHANGE""),)"),-0.24)</f>
        <v>-0.24</v>
      </c>
      <c r="D11" s="51">
        <f>IFERROR(__xludf.DUMMYFUNCTION("IFERROR(GOOGLEFINANCE(A11,""CHANGEPCT""),)"),-1.5)</f>
        <v>-1.5</v>
      </c>
      <c r="E11" s="51" t="str">
        <f t="shared" si="1"/>
        <v>-1.5%</v>
      </c>
      <c r="F11" s="51" t="str">
        <f t="shared" si="2"/>
        <v/>
      </c>
      <c r="G11" s="51">
        <f t="shared" si="3"/>
        <v>-1.5</v>
      </c>
      <c r="H11" s="51">
        <f>IFERROR(__xludf.DUMMYFUNCTION("IFERROR(GOOGLEFINANCE(A11,""PRICE""),)"),15.74)</f>
        <v>15.74</v>
      </c>
      <c r="I11" s="52">
        <f>IFERROR(__xludf.DUMMYFUNCTION("IFERROR(GOOGLEFINANCE(A11,""VOLUME""),)"),308540.0)</f>
        <v>308540</v>
      </c>
      <c r="J11" s="51" t="str">
        <f>IFERROR(__xludf.DUMMYFUNCTION("IFERROR(INDEX(SPLIT(A11,"":""),1,2),)"),"A2ZINFRA")</f>
        <v>A2ZINFRA</v>
      </c>
      <c r="K11" s="51" t="str">
        <f t="shared" si="4"/>
        <v/>
      </c>
      <c r="L11" s="51">
        <f t="shared" si="5"/>
        <v>449</v>
      </c>
      <c r="M11" s="51">
        <f t="shared" si="6"/>
        <v>504</v>
      </c>
      <c r="N11" s="53">
        <f>IFERROR(__xludf.DUMMYFUNCTION("IFERROR(GOOGLEFINANCE(A11,""TRADETIME""),)"),46269.64583333333)</f>
        <v>46269.64583</v>
      </c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</row>
    <row r="12" ht="15.75" customHeight="1">
      <c r="A12" s="48" t="s">
        <v>59</v>
      </c>
      <c r="B12" s="48" t="str">
        <f>IFERROR(__xludf.DUMMYFUNCTION("IFERROR(GOOGLEFINANCE(A12,""NAME""),)"),"Aakash Exploration Services Ltd")</f>
        <v>Aakash Exploration Services Ltd</v>
      </c>
      <c r="C12" s="48">
        <f>IFERROR(__xludf.DUMMYFUNCTION("IFERROR(GOOGLEFINANCE(A12,""CHANGE""),)"),0.03)</f>
        <v>0.03</v>
      </c>
      <c r="D12" s="48">
        <f>IFERROR(__xludf.DUMMYFUNCTION("IFERROR(GOOGLEFINANCE(A12,""CHANGEPCT""),)"),0.34)</f>
        <v>0.34</v>
      </c>
      <c r="E12" s="48" t="str">
        <f t="shared" si="1"/>
        <v>0.34%</v>
      </c>
      <c r="F12" s="48">
        <f t="shared" si="2"/>
        <v>0.34</v>
      </c>
      <c r="G12" s="48" t="str">
        <f t="shared" si="3"/>
        <v/>
      </c>
      <c r="H12" s="48">
        <f>IFERROR(__xludf.DUMMYFUNCTION("IFERROR(GOOGLEFINANCE(A12,""PRICE""),)"),8.8)</f>
        <v>8.8</v>
      </c>
      <c r="I12" s="49">
        <f>IFERROR(__xludf.DUMMYFUNCTION("IFERROR(GOOGLEFINANCE(A12,""VOLUME""),)"),139620.0)</f>
        <v>139620</v>
      </c>
      <c r="J12" s="48" t="str">
        <f>IFERROR(__xludf.DUMMYFUNCTION("IFERROR(INDEX(SPLIT(A12,"":""),1,2),)"),"AAKASH")</f>
        <v>AAKASH</v>
      </c>
      <c r="K12" s="48">
        <f t="shared" si="4"/>
        <v>644</v>
      </c>
      <c r="L12" s="48" t="str">
        <f t="shared" si="5"/>
        <v/>
      </c>
      <c r="M12" s="48">
        <f t="shared" si="6"/>
        <v>707</v>
      </c>
      <c r="N12" s="50">
        <f>IFERROR(__xludf.DUMMYFUNCTION("IFERROR(GOOGLEFINANCE(A12,""TRADETIME""),)"),46269.64583333333)</f>
        <v>46269.64583</v>
      </c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51" t="s">
        <v>60</v>
      </c>
      <c r="B13" s="51" t="str">
        <f>IFERROR(__xludf.DUMMYFUNCTION("IFERROR(GOOGLEFINANCE(A13,""NAME""),)"),"AARON INDUSTRIES Ltd")</f>
        <v>AARON INDUSTRIES Ltd</v>
      </c>
      <c r="C13" s="51">
        <f>IFERROR(__xludf.DUMMYFUNCTION("IFERROR(GOOGLEFINANCE(A13,""CHANGE""),)"),-0.98)</f>
        <v>-0.98</v>
      </c>
      <c r="D13" s="51">
        <f>IFERROR(__xludf.DUMMYFUNCTION("IFERROR(GOOGLEFINANCE(A13,""CHANGEPCT""),)"),-0.76)</f>
        <v>-0.76</v>
      </c>
      <c r="E13" s="51" t="str">
        <f t="shared" si="1"/>
        <v>-0.76%</v>
      </c>
      <c r="F13" s="51" t="str">
        <f t="shared" si="2"/>
        <v/>
      </c>
      <c r="G13" s="51">
        <f t="shared" si="3"/>
        <v>-0.76</v>
      </c>
      <c r="H13" s="51">
        <f>IFERROR(__xludf.DUMMYFUNCTION("IFERROR(GOOGLEFINANCE(A13,""PRICE""),)"),128.0)</f>
        <v>128</v>
      </c>
      <c r="I13" s="52">
        <f>IFERROR(__xludf.DUMMYFUNCTION("IFERROR(GOOGLEFINANCE(A13,""VOLUME""),)"),4376.0)</f>
        <v>4376</v>
      </c>
      <c r="J13" s="51" t="str">
        <f>IFERROR(__xludf.DUMMYFUNCTION("IFERROR(INDEX(SPLIT(A13,"":""),1,2),)"),"AARON")</f>
        <v>AARON</v>
      </c>
      <c r="K13" s="51" t="str">
        <f t="shared" si="4"/>
        <v/>
      </c>
      <c r="L13" s="51">
        <f t="shared" si="5"/>
        <v>286</v>
      </c>
      <c r="M13" s="51">
        <f t="shared" si="6"/>
        <v>1339</v>
      </c>
      <c r="N13" s="53">
        <f>IFERROR(__xludf.DUMMYFUNCTION("IFERROR(GOOGLEFINANCE(A13,""TRADETIME""),)"),46269.64583333333)</f>
        <v>46269.64583</v>
      </c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</row>
    <row r="14" ht="15.75" customHeight="1">
      <c r="A14" s="48" t="s">
        <v>61</v>
      </c>
      <c r="B14" s="48" t="str">
        <f>IFERROR(__xludf.DUMMYFUNCTION("IFERROR(GOOGLEFINANCE(A14,""NAME""),)"),"Aarti Drugs Ltd")</f>
        <v>Aarti Drugs Ltd</v>
      </c>
      <c r="C14" s="48">
        <f>IFERROR(__xludf.DUMMYFUNCTION("IFERROR(GOOGLEFINANCE(A14,""CHANGE""),)"),9.15)</f>
        <v>9.15</v>
      </c>
      <c r="D14" s="48">
        <f>IFERROR(__xludf.DUMMYFUNCTION("IFERROR(GOOGLEFINANCE(A14,""CHANGEPCT""),)"),2.15)</f>
        <v>2.15</v>
      </c>
      <c r="E14" s="48" t="str">
        <f t="shared" si="1"/>
        <v>2.15%</v>
      </c>
      <c r="F14" s="48">
        <f t="shared" si="2"/>
        <v>2.15</v>
      </c>
      <c r="G14" s="48" t="str">
        <f t="shared" si="3"/>
        <v/>
      </c>
      <c r="H14" s="48">
        <f>IFERROR(__xludf.DUMMYFUNCTION("IFERROR(GOOGLEFINANCE(A14,""PRICE""),)"),435.0)</f>
        <v>435</v>
      </c>
      <c r="I14" s="49">
        <f>IFERROR(__xludf.DUMMYFUNCTION("IFERROR(GOOGLEFINANCE(A14,""VOLUME""),)"),250307.0)</f>
        <v>250307</v>
      </c>
      <c r="J14" s="48" t="str">
        <f>IFERROR(__xludf.DUMMYFUNCTION("IFERROR(INDEX(SPLIT(A14,"":""),1,2),)"),"AARTIDRUGS")</f>
        <v>AARTIDRUGS</v>
      </c>
      <c r="K14" s="48">
        <f t="shared" si="4"/>
        <v>239</v>
      </c>
      <c r="L14" s="48" t="str">
        <f t="shared" si="5"/>
        <v/>
      </c>
      <c r="M14" s="48">
        <f t="shared" si="6"/>
        <v>566</v>
      </c>
      <c r="N14" s="50">
        <f>IFERROR(__xludf.DUMMYFUNCTION("IFERROR(GOOGLEFINANCE(A14,""TRADETIME""),)"),46269.64583333333)</f>
        <v>46269.64583</v>
      </c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</row>
    <row r="15" ht="15.75" customHeight="1">
      <c r="A15" s="51" t="s">
        <v>62</v>
      </c>
      <c r="B15" s="51" t="str">
        <f>IFERROR(__xludf.DUMMYFUNCTION("IFERROR(GOOGLEFINANCE(A15,""NAME""),)"),"Aarti Industries Ltd")</f>
        <v>Aarti Industries Ltd</v>
      </c>
      <c r="C15" s="51">
        <f>IFERROR(__xludf.DUMMYFUNCTION("IFERROR(GOOGLEFINANCE(A15,""CHANGE""),)"),-8.65)</f>
        <v>-8.65</v>
      </c>
      <c r="D15" s="51">
        <f>IFERROR(__xludf.DUMMYFUNCTION("IFERROR(GOOGLEFINANCE(A15,""CHANGEPCT""),)"),-1.72)</f>
        <v>-1.72</v>
      </c>
      <c r="E15" s="51" t="str">
        <f t="shared" si="1"/>
        <v>-1.72%</v>
      </c>
      <c r="F15" s="51" t="str">
        <f t="shared" si="2"/>
        <v/>
      </c>
      <c r="G15" s="51">
        <f t="shared" si="3"/>
        <v>-1.72</v>
      </c>
      <c r="H15" s="51">
        <f>IFERROR(__xludf.DUMMYFUNCTION("IFERROR(GOOGLEFINANCE(A15,""PRICE""),)"),493.25)</f>
        <v>493.25</v>
      </c>
      <c r="I15" s="52">
        <f>IFERROR(__xludf.DUMMYFUNCTION("IFERROR(GOOGLEFINANCE(A15,""VOLUME""),)"),767774.0)</f>
        <v>767774</v>
      </c>
      <c r="J15" s="51" t="str">
        <f>IFERROR(__xludf.DUMMYFUNCTION("IFERROR(INDEX(SPLIT(A15,"":""),1,2),)"),"AARTIIND")</f>
        <v>AARTIIND</v>
      </c>
      <c r="K15" s="51" t="str">
        <f t="shared" si="4"/>
        <v/>
      </c>
      <c r="L15" s="51">
        <f t="shared" si="5"/>
        <v>484</v>
      </c>
      <c r="M15" s="51">
        <f t="shared" si="6"/>
        <v>315</v>
      </c>
      <c r="N15" s="53">
        <f>IFERROR(__xludf.DUMMYFUNCTION("IFERROR(GOOGLEFINANCE(A15,""TRADETIME""),)"),46269.64584490741)</f>
        <v>46269.64584</v>
      </c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</row>
    <row r="16" ht="15.75" customHeight="1">
      <c r="A16" s="48" t="s">
        <v>63</v>
      </c>
      <c r="B16" s="48" t="str">
        <f>IFERROR(__xludf.DUMMYFUNCTION("IFERROR(GOOGLEFINANCE(A16,""NAME""),)"),"Aarti Surfactants Ltd")</f>
        <v>Aarti Surfactants Ltd</v>
      </c>
      <c r="C16" s="48">
        <f>IFERROR(__xludf.DUMMYFUNCTION("IFERROR(GOOGLEFINANCE(A16,""CHANGE""),)"),6.65)</f>
        <v>6.65</v>
      </c>
      <c r="D16" s="48">
        <f>IFERROR(__xludf.DUMMYFUNCTION("IFERROR(GOOGLEFINANCE(A16,""CHANGEPCT""),)"),1.22)</f>
        <v>1.22</v>
      </c>
      <c r="E16" s="48" t="str">
        <f t="shared" si="1"/>
        <v>1.22%</v>
      </c>
      <c r="F16" s="48">
        <f t="shared" si="2"/>
        <v>1.22</v>
      </c>
      <c r="G16" s="48" t="str">
        <f t="shared" si="3"/>
        <v/>
      </c>
      <c r="H16" s="48">
        <f>IFERROR(__xludf.DUMMYFUNCTION("IFERROR(GOOGLEFINANCE(A16,""PRICE""),)"),550.9)</f>
        <v>550.9</v>
      </c>
      <c r="I16" s="49">
        <f>IFERROR(__xludf.DUMMYFUNCTION("IFERROR(GOOGLEFINANCE(A16,""VOLUME""),)"),9195.0)</f>
        <v>9195</v>
      </c>
      <c r="J16" s="48" t="str">
        <f>IFERROR(__xludf.DUMMYFUNCTION("IFERROR(INDEX(SPLIT(A16,"":""),1,2),)"),"AARTISURF")</f>
        <v>AARTISURF</v>
      </c>
      <c r="K16" s="48">
        <f t="shared" si="4"/>
        <v>400</v>
      </c>
      <c r="L16" s="48" t="str">
        <f t="shared" si="5"/>
        <v/>
      </c>
      <c r="M16" s="48">
        <f t="shared" si="6"/>
        <v>1243</v>
      </c>
      <c r="N16" s="50">
        <f>IFERROR(__xludf.DUMMYFUNCTION("IFERROR(GOOGLEFINANCE(A16,""TRADETIME""),)"),46269.64583333333)</f>
        <v>46269.64583</v>
      </c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</row>
    <row r="17" ht="15.75" customHeight="1">
      <c r="A17" s="51" t="s">
        <v>64</v>
      </c>
      <c r="B17" s="51" t="str">
        <f>IFERROR(__xludf.DUMMYFUNCTION("IFERROR(GOOGLEFINANCE(A17,""NAME""),)"),"")</f>
        <v/>
      </c>
      <c r="C17" s="51" t="str">
        <f>IFERROR(__xludf.DUMMYFUNCTION("IFERROR(GOOGLEFINANCE(A17,""CHANGE""),)"),"")</f>
        <v/>
      </c>
      <c r="D17" s="51" t="str">
        <f>IFERROR(__xludf.DUMMYFUNCTION("IFERROR(GOOGLEFINANCE(A17,""CHANGEPCT""),)"),"")</f>
        <v/>
      </c>
      <c r="E17" s="51" t="str">
        <f t="shared" si="1"/>
        <v>%</v>
      </c>
      <c r="F17" s="51" t="str">
        <f t="shared" si="2"/>
        <v/>
      </c>
      <c r="G17" s="51" t="str">
        <f t="shared" si="3"/>
        <v/>
      </c>
      <c r="H17" s="51" t="str">
        <f>IFERROR(__xludf.DUMMYFUNCTION("IFERROR(GOOGLEFINANCE(A17,""PRICE""),)"),"")</f>
        <v/>
      </c>
      <c r="I17" s="52" t="str">
        <f>IFERROR(__xludf.DUMMYFUNCTION("IFERROR(GOOGLEFINANCE(A17,""VOLUME""),)"),"")</f>
        <v/>
      </c>
      <c r="J17" s="51" t="str">
        <f>IFERROR(__xludf.DUMMYFUNCTION("IFERROR(INDEX(SPLIT(A17,"":""),1,2),)"),"AARVEEDEN")</f>
        <v>AARVEEDEN</v>
      </c>
      <c r="K17" s="51" t="str">
        <f t="shared" si="4"/>
        <v/>
      </c>
      <c r="L17" s="51" t="str">
        <f t="shared" si="5"/>
        <v/>
      </c>
      <c r="M17" s="51">
        <f t="shared" si="6"/>
        <v>1456</v>
      </c>
      <c r="N17" s="53" t="str">
        <f>IFERROR(__xludf.DUMMYFUNCTION("IFERROR(GOOGLEFINANCE(A17,""TRADETIME""),)"),"")</f>
        <v/>
      </c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</row>
    <row r="18" ht="15.75" customHeight="1">
      <c r="A18" s="48" t="s">
        <v>65</v>
      </c>
      <c r="B18" s="48" t="str">
        <f>IFERROR(__xludf.DUMMYFUNCTION("IFERROR(GOOGLEFINANCE(A18,""NAME""),)"),"Aarvi Encon Ltd")</f>
        <v>Aarvi Encon Ltd</v>
      </c>
      <c r="C18" s="48">
        <f>IFERROR(__xludf.DUMMYFUNCTION("IFERROR(GOOGLEFINANCE(A18,""CHANGE""),)"),-0.2)</f>
        <v>-0.2</v>
      </c>
      <c r="D18" s="48">
        <f>IFERROR(__xludf.DUMMYFUNCTION("IFERROR(GOOGLEFINANCE(A18,""CHANGEPCT""),)"),-0.14)</f>
        <v>-0.14</v>
      </c>
      <c r="E18" s="48" t="str">
        <f t="shared" si="1"/>
        <v>-0.14%</v>
      </c>
      <c r="F18" s="48" t="str">
        <f t="shared" si="2"/>
        <v/>
      </c>
      <c r="G18" s="48">
        <f t="shared" si="3"/>
        <v>-0.14</v>
      </c>
      <c r="H18" s="48">
        <f>IFERROR(__xludf.DUMMYFUNCTION("IFERROR(GOOGLEFINANCE(A18,""PRICE""),)"),141.15)</f>
        <v>141.15</v>
      </c>
      <c r="I18" s="49">
        <f>IFERROR(__xludf.DUMMYFUNCTION("IFERROR(GOOGLEFINANCE(A18,""VOLUME""),)"),7773.0)</f>
        <v>7773</v>
      </c>
      <c r="J18" s="48" t="str">
        <f>IFERROR(__xludf.DUMMYFUNCTION("IFERROR(INDEX(SPLIT(A18,"":""),1,2),)"),"AARVI")</f>
        <v>AARVI</v>
      </c>
      <c r="K18" s="48" t="str">
        <f t="shared" si="4"/>
        <v/>
      </c>
      <c r="L18" s="48">
        <f t="shared" si="5"/>
        <v>48</v>
      </c>
      <c r="M18" s="48">
        <f t="shared" si="6"/>
        <v>1265</v>
      </c>
      <c r="N18" s="50">
        <f>IFERROR(__xludf.DUMMYFUNCTION("IFERROR(GOOGLEFINANCE(A18,""TRADETIME""),)"),46269.64583333333)</f>
        <v>46269.64583</v>
      </c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</row>
    <row r="19" ht="15.75" customHeight="1">
      <c r="A19" s="51" t="s">
        <v>66</v>
      </c>
      <c r="B19" s="51" t="str">
        <f>IFERROR(__xludf.DUMMYFUNCTION("IFERROR(GOOGLEFINANCE(A19,""NAME""),)"),"Aavas Financiers Ltd")</f>
        <v>Aavas Financiers Ltd</v>
      </c>
      <c r="C19" s="51">
        <f>IFERROR(__xludf.DUMMYFUNCTION("IFERROR(GOOGLEFINANCE(A19,""CHANGE""),)"),9.2)</f>
        <v>9.2</v>
      </c>
      <c r="D19" s="51">
        <f>IFERROR(__xludf.DUMMYFUNCTION("IFERROR(GOOGLEFINANCE(A19,""CHANGEPCT""),)"),0.71)</f>
        <v>0.71</v>
      </c>
      <c r="E19" s="51" t="str">
        <f t="shared" si="1"/>
        <v>0.71%</v>
      </c>
      <c r="F19" s="51">
        <f t="shared" si="2"/>
        <v>0.71</v>
      </c>
      <c r="G19" s="51" t="str">
        <f t="shared" si="3"/>
        <v/>
      </c>
      <c r="H19" s="51">
        <f>IFERROR(__xludf.DUMMYFUNCTION("IFERROR(GOOGLEFINANCE(A19,""PRICE""),)"),1307.0)</f>
        <v>1307</v>
      </c>
      <c r="I19" s="52">
        <f>IFERROR(__xludf.DUMMYFUNCTION("IFERROR(GOOGLEFINANCE(A19,""VOLUME""),)"),60456.0)</f>
        <v>60456</v>
      </c>
      <c r="J19" s="51" t="str">
        <f>IFERROR(__xludf.DUMMYFUNCTION("IFERROR(INDEX(SPLIT(A19,"":""),1,2),)"),"AAVAS")</f>
        <v>AAVAS</v>
      </c>
      <c r="K19" s="51">
        <f t="shared" si="4"/>
        <v>526</v>
      </c>
      <c r="L19" s="51" t="str">
        <f t="shared" si="5"/>
        <v/>
      </c>
      <c r="M19" s="51">
        <f t="shared" si="6"/>
        <v>902</v>
      </c>
      <c r="N19" s="53">
        <f>IFERROR(__xludf.DUMMYFUNCTION("IFERROR(GOOGLEFINANCE(A19,""TRADETIME""),)"),46269.64584490741)</f>
        <v>46269.64584</v>
      </c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</row>
    <row r="20" ht="15.75" customHeight="1">
      <c r="A20" s="48" t="s">
        <v>67</v>
      </c>
      <c r="B20" s="48" t="str">
        <f>IFERROR(__xludf.DUMMYFUNCTION("IFERROR(GOOGLEFINANCE(A20,""NAME""),)"),"Aban Offshore Ltd Fully Paid Ord. Shrs")</f>
        <v>Aban Offshore Ltd Fully Paid Ord. Shrs</v>
      </c>
      <c r="C20" s="48">
        <f>IFERROR(__xludf.DUMMYFUNCTION("IFERROR(GOOGLEFINANCE(A20,""CHANGE""),)"),0.2)</f>
        <v>0.2</v>
      </c>
      <c r="D20" s="48">
        <f>IFERROR(__xludf.DUMMYFUNCTION("IFERROR(GOOGLEFINANCE(A20,""CHANGEPCT""),)"),1.35)</f>
        <v>1.35</v>
      </c>
      <c r="E20" s="48" t="str">
        <f t="shared" si="1"/>
        <v>1.35%</v>
      </c>
      <c r="F20" s="48">
        <f t="shared" si="2"/>
        <v>1.35</v>
      </c>
      <c r="G20" s="48" t="str">
        <f t="shared" si="3"/>
        <v/>
      </c>
      <c r="H20" s="48">
        <f>IFERROR(__xludf.DUMMYFUNCTION("IFERROR(GOOGLEFINANCE(A20,""PRICE""),)"),14.98)</f>
        <v>14.98</v>
      </c>
      <c r="I20" s="49">
        <f>IFERROR(__xludf.DUMMYFUNCTION("IFERROR(GOOGLEFINANCE(A20,""VOLUME""),)"),36824.0)</f>
        <v>36824</v>
      </c>
      <c r="J20" s="48" t="str">
        <f>IFERROR(__xludf.DUMMYFUNCTION("IFERROR(INDEX(SPLIT(A20,"":""),1,2),)"),"ABAN")</f>
        <v>ABAN</v>
      </c>
      <c r="K20" s="48">
        <f t="shared" si="4"/>
        <v>369</v>
      </c>
      <c r="L20" s="48" t="str">
        <f t="shared" si="5"/>
        <v/>
      </c>
      <c r="M20" s="48">
        <f t="shared" si="6"/>
        <v>1020</v>
      </c>
      <c r="N20" s="50">
        <f>IFERROR(__xludf.DUMMYFUNCTION("IFERROR(GOOGLEFINANCE(A20,""TRADETIME""),)"),46269.64583333333)</f>
        <v>46269.64583</v>
      </c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</row>
    <row r="21" ht="15.75" customHeight="1">
      <c r="A21" s="51" t="s">
        <v>68</v>
      </c>
      <c r="B21" s="51" t="str">
        <f>IFERROR(__xludf.DUMMYFUNCTION("IFERROR(GOOGLEFINANCE(A21,""NAME""),)"),"ABB India Ltd")</f>
        <v>ABB India Ltd</v>
      </c>
      <c r="C21" s="51">
        <f>IFERROR(__xludf.DUMMYFUNCTION("IFERROR(GOOGLEFINANCE(A21,""CHANGE""),)"),-13.0)</f>
        <v>-13</v>
      </c>
      <c r="D21" s="51">
        <f>IFERROR(__xludf.DUMMYFUNCTION("IFERROR(GOOGLEFINANCE(A21,""CHANGEPCT""),)"),-0.17)</f>
        <v>-0.17</v>
      </c>
      <c r="E21" s="51" t="str">
        <f t="shared" si="1"/>
        <v>-0.17%</v>
      </c>
      <c r="F21" s="51" t="str">
        <f t="shared" si="2"/>
        <v/>
      </c>
      <c r="G21" s="51">
        <f t="shared" si="3"/>
        <v>-0.17</v>
      </c>
      <c r="H21" s="51">
        <f>IFERROR(__xludf.DUMMYFUNCTION("IFERROR(GOOGLEFINANCE(A21,""PRICE""),)"),7419.0)</f>
        <v>7419</v>
      </c>
      <c r="I21" s="52">
        <f>IFERROR(__xludf.DUMMYFUNCTION("IFERROR(GOOGLEFINANCE(A21,""VOLUME""),)"),150500.0)</f>
        <v>150500</v>
      </c>
      <c r="J21" s="51" t="str">
        <f>IFERROR(__xludf.DUMMYFUNCTION("IFERROR(INDEX(SPLIT(A21,"":""),1,2),)"),"ABB")</f>
        <v>ABB</v>
      </c>
      <c r="K21" s="51" t="str">
        <f t="shared" si="4"/>
        <v/>
      </c>
      <c r="L21" s="51">
        <f t="shared" si="5"/>
        <v>62</v>
      </c>
      <c r="M21" s="51">
        <f t="shared" si="6"/>
        <v>688</v>
      </c>
      <c r="N21" s="53">
        <f>IFERROR(__xludf.DUMMYFUNCTION("IFERROR(GOOGLEFINANCE(A21,""TRADETIME""),)"),46269.64583333333)</f>
        <v>46269.64583</v>
      </c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</row>
    <row r="22" ht="15.75" customHeight="1">
      <c r="A22" s="48" t="s">
        <v>69</v>
      </c>
      <c r="B22" s="48" t="str">
        <f>IFERROR(__xludf.DUMMYFUNCTION("IFERROR(GOOGLEFINANCE(A22,""NAME""),)"),"Abbott India Ltd")</f>
        <v>Abbott India Ltd</v>
      </c>
      <c r="C22" s="48">
        <f>IFERROR(__xludf.DUMMYFUNCTION("IFERROR(GOOGLEFINANCE(A22,""CHANGE""),)"),145.0)</f>
        <v>145</v>
      </c>
      <c r="D22" s="48">
        <f>IFERROR(__xludf.DUMMYFUNCTION("IFERROR(GOOGLEFINANCE(A22,""CHANGEPCT""),)"),0.56)</f>
        <v>0.56</v>
      </c>
      <c r="E22" s="48" t="str">
        <f t="shared" si="1"/>
        <v>0.56%</v>
      </c>
      <c r="F22" s="48">
        <f t="shared" si="2"/>
        <v>0.56</v>
      </c>
      <c r="G22" s="48" t="str">
        <f t="shared" si="3"/>
        <v/>
      </c>
      <c r="H22" s="48">
        <f>IFERROR(__xludf.DUMMYFUNCTION("IFERROR(GOOGLEFINANCE(A22,""PRICE""),)"),26090.0)</f>
        <v>26090</v>
      </c>
      <c r="I22" s="49">
        <f>IFERROR(__xludf.DUMMYFUNCTION("IFERROR(GOOGLEFINANCE(A22,""VOLUME""),)"),8803.0)</f>
        <v>8803</v>
      </c>
      <c r="J22" s="48" t="str">
        <f>IFERROR(__xludf.DUMMYFUNCTION("IFERROR(INDEX(SPLIT(A22,"":""),1,2),)"),"ABBOTINDIA")</f>
        <v>ABBOTINDIA</v>
      </c>
      <c r="K22" s="48">
        <f t="shared" si="4"/>
        <v>568</v>
      </c>
      <c r="L22" s="48" t="str">
        <f t="shared" si="5"/>
        <v/>
      </c>
      <c r="M22" s="48">
        <f t="shared" si="6"/>
        <v>1248</v>
      </c>
      <c r="N22" s="50">
        <f>IFERROR(__xludf.DUMMYFUNCTION("IFERROR(GOOGLEFINANCE(A22,""TRADETIME""),)"),46269.64583333333)</f>
        <v>46269.64583</v>
      </c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</row>
    <row r="23" ht="15.75" customHeight="1">
      <c r="A23" s="51" t="s">
        <v>70</v>
      </c>
      <c r="B23" s="51" t="str">
        <f>IFERROR(__xludf.DUMMYFUNCTION("IFERROR(GOOGLEFINANCE(A23,""NAME""),)"),"Aditya Birla Capital Ltd")</f>
        <v>Aditya Birla Capital Ltd</v>
      </c>
      <c r="C23" s="51">
        <f>IFERROR(__xludf.DUMMYFUNCTION("IFERROR(GOOGLEFINANCE(A23,""CHANGE""),)"),5.0)</f>
        <v>5</v>
      </c>
      <c r="D23" s="51">
        <f>IFERROR(__xludf.DUMMYFUNCTION("IFERROR(GOOGLEFINANCE(A23,""CHANGEPCT""),)"),1.24)</f>
        <v>1.24</v>
      </c>
      <c r="E23" s="51" t="str">
        <f t="shared" si="1"/>
        <v>1.24%</v>
      </c>
      <c r="F23" s="51">
        <f t="shared" si="2"/>
        <v>1.24</v>
      </c>
      <c r="G23" s="51" t="str">
        <f t="shared" si="3"/>
        <v/>
      </c>
      <c r="H23" s="51">
        <f>IFERROR(__xludf.DUMMYFUNCTION("IFERROR(GOOGLEFINANCE(A23,""PRICE""),)"),407.0)</f>
        <v>407</v>
      </c>
      <c r="I23" s="52">
        <f>IFERROR(__xludf.DUMMYFUNCTION("IFERROR(GOOGLEFINANCE(A23,""VOLUME""),)"),2167785.0)</f>
        <v>2167785</v>
      </c>
      <c r="J23" s="51" t="str">
        <f>IFERROR(__xludf.DUMMYFUNCTION("IFERROR(INDEX(SPLIT(A23,"":""),1,2),)"),"ABCAPITAL")</f>
        <v>ABCAPITAL</v>
      </c>
      <c r="K23" s="51">
        <f t="shared" si="4"/>
        <v>395</v>
      </c>
      <c r="L23" s="51" t="str">
        <f t="shared" si="5"/>
        <v/>
      </c>
      <c r="M23" s="51">
        <f t="shared" si="6"/>
        <v>165</v>
      </c>
      <c r="N23" s="53">
        <f>IFERROR(__xludf.DUMMYFUNCTION("IFERROR(GOOGLEFINANCE(A23,""TRADETIME""),)"),46269.64583333333)</f>
        <v>46269.64583</v>
      </c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</row>
    <row r="24" ht="15.75" customHeight="1">
      <c r="A24" s="48" t="s">
        <v>71</v>
      </c>
      <c r="B24" s="48" t="str">
        <f>IFERROR(__xludf.DUMMYFUNCTION("IFERROR(GOOGLEFINANCE(A24,""NAME""),)"),"Aditya Birla Fashion and Retail Ltd")</f>
        <v>Aditya Birla Fashion and Retail Ltd</v>
      </c>
      <c r="C24" s="48">
        <f>IFERROR(__xludf.DUMMYFUNCTION("IFERROR(GOOGLEFINANCE(A24,""CHANGE""),)"),2.66)</f>
        <v>2.66</v>
      </c>
      <c r="D24" s="48">
        <f>IFERROR(__xludf.DUMMYFUNCTION("IFERROR(GOOGLEFINANCE(A24,""CHANGEPCT""),)"),5.28)</f>
        <v>5.28</v>
      </c>
      <c r="E24" s="48" t="str">
        <f t="shared" si="1"/>
        <v>5.28%</v>
      </c>
      <c r="F24" s="48">
        <f t="shared" si="2"/>
        <v>5.28</v>
      </c>
      <c r="G24" s="48" t="str">
        <f t="shared" si="3"/>
        <v/>
      </c>
      <c r="H24" s="48">
        <f>IFERROR(__xludf.DUMMYFUNCTION("IFERROR(GOOGLEFINANCE(A24,""PRICE""),)"),53.07)</f>
        <v>53.07</v>
      </c>
      <c r="I24" s="49">
        <f>IFERROR(__xludf.DUMMYFUNCTION("IFERROR(GOOGLEFINANCE(A24,""VOLUME""),)"),8157673.0)</f>
        <v>8157673</v>
      </c>
      <c r="J24" s="48" t="str">
        <f>IFERROR(__xludf.DUMMYFUNCTION("IFERROR(INDEX(SPLIT(A24,"":""),1,2),)"),"ABFRL")</f>
        <v>ABFRL</v>
      </c>
      <c r="K24" s="48">
        <f t="shared" si="4"/>
        <v>47</v>
      </c>
      <c r="L24" s="48" t="str">
        <f t="shared" si="5"/>
        <v/>
      </c>
      <c r="M24" s="48">
        <f t="shared" si="6"/>
        <v>54</v>
      </c>
      <c r="N24" s="50">
        <f>IFERROR(__xludf.DUMMYFUNCTION("IFERROR(GOOGLEFINANCE(A24,""TRADETIME""),)"),46269.64584490741)</f>
        <v>46269.64584</v>
      </c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</row>
    <row r="25" ht="15.75" customHeight="1">
      <c r="A25" s="51" t="s">
        <v>72</v>
      </c>
      <c r="B25" s="51" t="str">
        <f>IFERROR(__xludf.DUMMYFUNCTION("IFERROR(GOOGLEFINANCE(A25,""NAME""),)"),"ACC Ltd")</f>
        <v>ACC Ltd</v>
      </c>
      <c r="C25" s="51">
        <f>IFERROR(__xludf.DUMMYFUNCTION("IFERROR(GOOGLEFINANCE(A25,""CHANGE""),)"),15.0)</f>
        <v>15</v>
      </c>
      <c r="D25" s="51">
        <f>IFERROR(__xludf.DUMMYFUNCTION("IFERROR(GOOGLEFINANCE(A25,""CHANGEPCT""),)"),1.18)</f>
        <v>1.18</v>
      </c>
      <c r="E25" s="51" t="str">
        <f t="shared" si="1"/>
        <v>1.18%</v>
      </c>
      <c r="F25" s="51">
        <f t="shared" si="2"/>
        <v>1.18</v>
      </c>
      <c r="G25" s="51" t="str">
        <f t="shared" si="3"/>
        <v/>
      </c>
      <c r="H25" s="51">
        <f>IFERROR(__xludf.DUMMYFUNCTION("IFERROR(GOOGLEFINANCE(A25,""PRICE""),)"),1287.0)</f>
        <v>1287</v>
      </c>
      <c r="I25" s="52">
        <f>IFERROR(__xludf.DUMMYFUNCTION("IFERROR(GOOGLEFINANCE(A25,""VOLUME""),)"),101446.0)</f>
        <v>101446</v>
      </c>
      <c r="J25" s="51" t="str">
        <f>IFERROR(__xludf.DUMMYFUNCTION("IFERROR(INDEX(SPLIT(A25,"":""),1,2),)"),"ACC")</f>
        <v>ACC</v>
      </c>
      <c r="K25" s="51">
        <f t="shared" si="4"/>
        <v>412</v>
      </c>
      <c r="L25" s="51" t="str">
        <f t="shared" si="5"/>
        <v/>
      </c>
      <c r="M25" s="51">
        <f t="shared" si="6"/>
        <v>763</v>
      </c>
      <c r="N25" s="53">
        <f>IFERROR(__xludf.DUMMYFUNCTION("IFERROR(GOOGLEFINANCE(A25,""TRADETIME""),)"),46269.64583333333)</f>
        <v>46269.64583</v>
      </c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</row>
    <row r="26" ht="15.75" customHeight="1">
      <c r="A26" s="48" t="s">
        <v>73</v>
      </c>
      <c r="B26" s="48" t="str">
        <f>IFERROR(__xludf.DUMMYFUNCTION("IFERROR(GOOGLEFINANCE(A26,""NAME""),)"),"Accelya Solutions India Ltd")</f>
        <v>Accelya Solutions India Ltd</v>
      </c>
      <c r="C26" s="48">
        <f>IFERROR(__xludf.DUMMYFUNCTION("IFERROR(GOOGLEFINANCE(A26,""CHANGE""),)"),3.4)</f>
        <v>3.4</v>
      </c>
      <c r="D26" s="48">
        <f>IFERROR(__xludf.DUMMYFUNCTION("IFERROR(GOOGLEFINANCE(A26,""CHANGEPCT""),)"),0.3)</f>
        <v>0.3</v>
      </c>
      <c r="E26" s="48" t="str">
        <f t="shared" si="1"/>
        <v>0.3%</v>
      </c>
      <c r="F26" s="48">
        <f t="shared" si="2"/>
        <v>0.3</v>
      </c>
      <c r="G26" s="48" t="str">
        <f t="shared" si="3"/>
        <v/>
      </c>
      <c r="H26" s="48">
        <f>IFERROR(__xludf.DUMMYFUNCTION("IFERROR(GOOGLEFINANCE(A26,""PRICE""),)"),1133.0)</f>
        <v>1133</v>
      </c>
      <c r="I26" s="49">
        <f>IFERROR(__xludf.DUMMYFUNCTION("IFERROR(GOOGLEFINANCE(A26,""VOLUME""),)"),2359.0)</f>
        <v>2359</v>
      </c>
      <c r="J26" s="48" t="str">
        <f>IFERROR(__xludf.DUMMYFUNCTION("IFERROR(INDEX(SPLIT(A26,"":""),1,2),)"),"ACCELYA")</f>
        <v>ACCELYA</v>
      </c>
      <c r="K26" s="48">
        <f t="shared" si="4"/>
        <v>661</v>
      </c>
      <c r="L26" s="48" t="str">
        <f t="shared" si="5"/>
        <v/>
      </c>
      <c r="M26" s="48">
        <f t="shared" si="6"/>
        <v>1385</v>
      </c>
      <c r="N26" s="50">
        <f>IFERROR(__xludf.DUMMYFUNCTION("IFERROR(GOOGLEFINANCE(A26,""TRADETIME""),)"),46269.64584490741)</f>
        <v>46269.64584</v>
      </c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</row>
    <row r="27" ht="15.75" customHeight="1">
      <c r="A27" s="51" t="s">
        <v>74</v>
      </c>
      <c r="B27" s="51" t="str">
        <f>IFERROR(__xludf.DUMMYFUNCTION("IFERROR(GOOGLEFINANCE(A27,""NAME""),)"),"Accuracy Shipping Ltd")</f>
        <v>Accuracy Shipping Ltd</v>
      </c>
      <c r="C27" s="51">
        <f>IFERROR(__xludf.DUMMYFUNCTION("IFERROR(GOOGLEFINANCE(A27,""CHANGE""),)"),0.11)</f>
        <v>0.11</v>
      </c>
      <c r="D27" s="51">
        <f>IFERROR(__xludf.DUMMYFUNCTION("IFERROR(GOOGLEFINANCE(A27,""CHANGEPCT""),)"),2.61)</f>
        <v>2.61</v>
      </c>
      <c r="E27" s="51" t="str">
        <f t="shared" si="1"/>
        <v>2.61%</v>
      </c>
      <c r="F27" s="51">
        <f t="shared" si="2"/>
        <v>2.61</v>
      </c>
      <c r="G27" s="51" t="str">
        <f t="shared" si="3"/>
        <v/>
      </c>
      <c r="H27" s="51">
        <f>IFERROR(__xludf.DUMMYFUNCTION("IFERROR(GOOGLEFINANCE(A27,""PRICE""),)"),4.33)</f>
        <v>4.33</v>
      </c>
      <c r="I27" s="52">
        <f>IFERROR(__xludf.DUMMYFUNCTION("IFERROR(GOOGLEFINANCE(A27,""VOLUME""),)"),25313.0)</f>
        <v>25313</v>
      </c>
      <c r="J27" s="51" t="str">
        <f>IFERROR(__xludf.DUMMYFUNCTION("IFERROR(INDEX(SPLIT(A27,"":""),1,2),)"),"ACCURACY")</f>
        <v>ACCURACY</v>
      </c>
      <c r="K27" s="51">
        <f t="shared" si="4"/>
        <v>189</v>
      </c>
      <c r="L27" s="51" t="str">
        <f t="shared" si="5"/>
        <v/>
      </c>
      <c r="M27" s="51">
        <f t="shared" si="6"/>
        <v>1079</v>
      </c>
      <c r="N27" s="53">
        <f>IFERROR(__xludf.DUMMYFUNCTION("IFERROR(GOOGLEFINANCE(A27,""TRADETIME""),)"),46269.64583333333)</f>
        <v>46269.64583</v>
      </c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</row>
    <row r="28" ht="15.75" customHeight="1">
      <c r="A28" s="48" t="s">
        <v>75</v>
      </c>
      <c r="B28" s="48" t="str">
        <f>IFERROR(__xludf.DUMMYFUNCTION("IFERROR(GOOGLEFINANCE(A28,""NAME""),)"),"Action Construction Equipment Ltd")</f>
        <v>Action Construction Equipment Ltd</v>
      </c>
      <c r="C28" s="48">
        <f>IFERROR(__xludf.DUMMYFUNCTION("IFERROR(GOOGLEFINANCE(A28,""CHANGE""),)"),-18.5)</f>
        <v>-18.5</v>
      </c>
      <c r="D28" s="48">
        <f>IFERROR(__xludf.DUMMYFUNCTION("IFERROR(GOOGLEFINANCE(A28,""CHANGEPCT""),)"),-1.62)</f>
        <v>-1.62</v>
      </c>
      <c r="E28" s="48" t="str">
        <f t="shared" si="1"/>
        <v>-1.62%</v>
      </c>
      <c r="F28" s="48" t="str">
        <f t="shared" si="2"/>
        <v/>
      </c>
      <c r="G28" s="48">
        <f t="shared" si="3"/>
        <v>-1.62</v>
      </c>
      <c r="H28" s="48">
        <f>IFERROR(__xludf.DUMMYFUNCTION("IFERROR(GOOGLEFINANCE(A28,""PRICE""),)"),1127.0)</f>
        <v>1127</v>
      </c>
      <c r="I28" s="49">
        <f>IFERROR(__xludf.DUMMYFUNCTION("IFERROR(GOOGLEFINANCE(A28,""VOLUME""),)"),557111.0)</f>
        <v>557111</v>
      </c>
      <c r="J28" s="48" t="str">
        <f>IFERROR(__xludf.DUMMYFUNCTION("IFERROR(INDEX(SPLIT(A28,"":""),1,2),)"),"ACE")</f>
        <v>ACE</v>
      </c>
      <c r="K28" s="48" t="str">
        <f t="shared" si="4"/>
        <v/>
      </c>
      <c r="L28" s="48">
        <f t="shared" si="5"/>
        <v>471</v>
      </c>
      <c r="M28" s="48">
        <f t="shared" si="6"/>
        <v>375</v>
      </c>
      <c r="N28" s="50">
        <f>IFERROR(__xludf.DUMMYFUNCTION("IFERROR(GOOGLEFINANCE(A28,""TRADETIME""),)"),46269.64583333333)</f>
        <v>46269.64583</v>
      </c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</row>
    <row r="29" ht="15.75" customHeight="1">
      <c r="A29" s="51" t="s">
        <v>76</v>
      </c>
      <c r="B29" s="51" t="str">
        <f>IFERROR(__xludf.DUMMYFUNCTION("IFERROR(GOOGLEFINANCE(A29,""NAME""),)"),"Carysil Ltd")</f>
        <v>Carysil Ltd</v>
      </c>
      <c r="C29" s="51">
        <f>IFERROR(__xludf.DUMMYFUNCTION("IFERROR(GOOGLEFINANCE(A29,""CHANGE""),)"),-13.0)</f>
        <v>-13</v>
      </c>
      <c r="D29" s="51">
        <f>IFERROR(__xludf.DUMMYFUNCTION("IFERROR(GOOGLEFINANCE(A29,""CHANGEPCT""),)"),-1.12)</f>
        <v>-1.12</v>
      </c>
      <c r="E29" s="51" t="str">
        <f t="shared" si="1"/>
        <v>-1.12%</v>
      </c>
      <c r="F29" s="51" t="str">
        <f t="shared" si="2"/>
        <v/>
      </c>
      <c r="G29" s="51">
        <f t="shared" si="3"/>
        <v>-1.12</v>
      </c>
      <c r="H29" s="51">
        <f>IFERROR(__xludf.DUMMYFUNCTION("IFERROR(GOOGLEFINANCE(A29,""PRICE""),)"),1144.5)</f>
        <v>1144.5</v>
      </c>
      <c r="I29" s="52">
        <f>IFERROR(__xludf.DUMMYFUNCTION("IFERROR(GOOGLEFINANCE(A29,""VOLUME""),)"),5551.0)</f>
        <v>5551</v>
      </c>
      <c r="J29" s="51">
        <f>IFERROR(__xludf.DUMMYFUNCTION("IFERROR(INDEX(SPLIT(A29,"":""),1,2),)"),524091.0)</f>
        <v>524091</v>
      </c>
      <c r="K29" s="51" t="str">
        <f t="shared" si="4"/>
        <v/>
      </c>
      <c r="L29" s="51">
        <f t="shared" si="5"/>
        <v>363</v>
      </c>
      <c r="M29" s="51">
        <f t="shared" si="6"/>
        <v>1316</v>
      </c>
      <c r="N29" s="53">
        <f>IFERROR(__xludf.DUMMYFUNCTION("IFERROR(GOOGLEFINANCE(A29,""TRADETIME""),)"),46269.64583333333)</f>
        <v>46269.64583</v>
      </c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</row>
    <row r="30" ht="15.75" customHeight="1">
      <c r="A30" s="48" t="s">
        <v>77</v>
      </c>
      <c r="B30" s="48" t="str">
        <f>IFERROR(__xludf.DUMMYFUNCTION("IFERROR(GOOGLEFINANCE(A30,""NAME""),)"),"Adani Enterprises Limited")</f>
        <v>Adani Enterprises Limited</v>
      </c>
      <c r="C30" s="48">
        <f>IFERROR(__xludf.DUMMYFUNCTION("IFERROR(GOOGLEFINANCE(A30,""CHANGE""),)"),41.6)</f>
        <v>41.6</v>
      </c>
      <c r="D30" s="48">
        <f>IFERROR(__xludf.DUMMYFUNCTION("IFERROR(GOOGLEFINANCE(A30,""CHANGEPCT""),)"),1.43)</f>
        <v>1.43</v>
      </c>
      <c r="E30" s="48" t="str">
        <f t="shared" si="1"/>
        <v>1.43%</v>
      </c>
      <c r="F30" s="48">
        <f t="shared" si="2"/>
        <v>1.43</v>
      </c>
      <c r="G30" s="48" t="str">
        <f t="shared" si="3"/>
        <v/>
      </c>
      <c r="H30" s="48">
        <f>IFERROR(__xludf.DUMMYFUNCTION("IFERROR(GOOGLEFINANCE(A30,""PRICE""),)"),2942.6)</f>
        <v>2942.6</v>
      </c>
      <c r="I30" s="49">
        <f>IFERROR(__xludf.DUMMYFUNCTION("IFERROR(GOOGLEFINANCE(A30,""VOLUME""),)"),1060844.0)</f>
        <v>1060844</v>
      </c>
      <c r="J30" s="48" t="str">
        <f>IFERROR(__xludf.DUMMYFUNCTION("IFERROR(INDEX(SPLIT(A30,"":""),1,2),)"),"ADANIENT")</f>
        <v>ADANIENT</v>
      </c>
      <c r="K30" s="48">
        <f t="shared" si="4"/>
        <v>357</v>
      </c>
      <c r="L30" s="48" t="str">
        <f t="shared" si="5"/>
        <v/>
      </c>
      <c r="M30" s="48">
        <f t="shared" si="6"/>
        <v>263</v>
      </c>
      <c r="N30" s="50">
        <f>IFERROR(__xludf.DUMMYFUNCTION("IFERROR(GOOGLEFINANCE(A30,""TRADETIME""),)"),46269.64583333333)</f>
        <v>46269.64583</v>
      </c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</row>
    <row r="31" ht="15.75" customHeight="1">
      <c r="A31" s="51" t="s">
        <v>78</v>
      </c>
      <c r="B31" s="51" t="str">
        <f>IFERROR(__xludf.DUMMYFUNCTION("IFERROR(GOOGLEFINANCE(A31,""NAME""),)"),"Adani Green Energy Ltd")</f>
        <v>Adani Green Energy Ltd</v>
      </c>
      <c r="C31" s="51">
        <f>IFERROR(__xludf.DUMMYFUNCTION("IFERROR(GOOGLEFINANCE(A31,""CHANGE""),)"),15.7)</f>
        <v>15.7</v>
      </c>
      <c r="D31" s="51">
        <f>IFERROR(__xludf.DUMMYFUNCTION("IFERROR(GOOGLEFINANCE(A31,""CHANGEPCT""),)"),1.22)</f>
        <v>1.22</v>
      </c>
      <c r="E31" s="51" t="str">
        <f t="shared" si="1"/>
        <v>1.22%</v>
      </c>
      <c r="F31" s="51">
        <f t="shared" si="2"/>
        <v>1.22</v>
      </c>
      <c r="G31" s="51" t="str">
        <f t="shared" si="3"/>
        <v/>
      </c>
      <c r="H31" s="51">
        <f>IFERROR(__xludf.DUMMYFUNCTION("IFERROR(GOOGLEFINANCE(A31,""PRICE""),)"),1299.1)</f>
        <v>1299.1</v>
      </c>
      <c r="I31" s="52">
        <f>IFERROR(__xludf.DUMMYFUNCTION("IFERROR(GOOGLEFINANCE(A31,""VOLUME""),)"),768437.0)</f>
        <v>768437</v>
      </c>
      <c r="J31" s="51" t="str">
        <f>IFERROR(__xludf.DUMMYFUNCTION("IFERROR(INDEX(SPLIT(A31,"":""),1,2),)"),"ADANIGREEN")</f>
        <v>ADANIGREEN</v>
      </c>
      <c r="K31" s="51">
        <f t="shared" si="4"/>
        <v>401</v>
      </c>
      <c r="L31" s="51" t="str">
        <f t="shared" si="5"/>
        <v/>
      </c>
      <c r="M31" s="51">
        <f t="shared" si="6"/>
        <v>314</v>
      </c>
      <c r="N31" s="53">
        <f>IFERROR(__xludf.DUMMYFUNCTION("IFERROR(GOOGLEFINANCE(A31,""TRADETIME""),)"),46269.64583333333)</f>
        <v>46269.64583</v>
      </c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</row>
    <row r="32" ht="15.75" customHeight="1">
      <c r="A32" s="48" t="s">
        <v>79</v>
      </c>
      <c r="B32" s="48" t="str">
        <f>IFERROR(__xludf.DUMMYFUNCTION("IFERROR(GOOGLEFINANCE(A32,""NAME""),)"),"Adani Ports and Special Economic Zone Ld")</f>
        <v>Adani Ports and Special Economic Zone Ld</v>
      </c>
      <c r="C32" s="48">
        <f>IFERROR(__xludf.DUMMYFUNCTION("IFERROR(GOOGLEFINANCE(A32,""CHANGE""),)"),0.3)</f>
        <v>0.3</v>
      </c>
      <c r="D32" s="48">
        <f>IFERROR(__xludf.DUMMYFUNCTION("IFERROR(GOOGLEFINANCE(A32,""CHANGEPCT""),)"),0.02)</f>
        <v>0.02</v>
      </c>
      <c r="E32" s="48" t="str">
        <f t="shared" si="1"/>
        <v>0.02%</v>
      </c>
      <c r="F32" s="48">
        <f t="shared" si="2"/>
        <v>0.02</v>
      </c>
      <c r="G32" s="48" t="str">
        <f t="shared" si="3"/>
        <v/>
      </c>
      <c r="H32" s="48">
        <f>IFERROR(__xludf.DUMMYFUNCTION("IFERROR(GOOGLEFINANCE(A32,""PRICE""),)"),1706.8)</f>
        <v>1706.8</v>
      </c>
      <c r="I32" s="49">
        <f>IFERROR(__xludf.DUMMYFUNCTION("IFERROR(GOOGLEFINANCE(A32,""VOLUME""),)"),1281968.0)</f>
        <v>1281968</v>
      </c>
      <c r="J32" s="48" t="str">
        <f>IFERROR(__xludf.DUMMYFUNCTION("IFERROR(INDEX(SPLIT(A32,"":""),1,2),)"),"ADANIPORTS")</f>
        <v>ADANIPORTS</v>
      </c>
      <c r="K32" s="48">
        <f t="shared" si="4"/>
        <v>770</v>
      </c>
      <c r="L32" s="48" t="str">
        <f t="shared" si="5"/>
        <v/>
      </c>
      <c r="M32" s="48">
        <f t="shared" si="6"/>
        <v>232</v>
      </c>
      <c r="N32" s="50">
        <f>IFERROR(__xludf.DUMMYFUNCTION("IFERROR(GOOGLEFINANCE(A32,""TRADETIME""),)"),46269.64583333333)</f>
        <v>46269.64583</v>
      </c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</row>
    <row r="33" ht="15.75" customHeight="1">
      <c r="A33" s="51" t="s">
        <v>80</v>
      </c>
      <c r="B33" s="51" t="str">
        <f>IFERROR(__xludf.DUMMYFUNCTION("IFERROR(GOOGLEFINANCE(A33,""NAME""),)"),"Adani Power Ltd")</f>
        <v>Adani Power Ltd</v>
      </c>
      <c r="C33" s="51">
        <f>IFERROR(__xludf.DUMMYFUNCTION("IFERROR(GOOGLEFINANCE(A33,""CHANGE""),)"),-1.29)</f>
        <v>-1.29</v>
      </c>
      <c r="D33" s="51">
        <f>IFERROR(__xludf.DUMMYFUNCTION("IFERROR(GOOGLEFINANCE(A33,""CHANGEPCT""),)"),-0.62)</f>
        <v>-0.62</v>
      </c>
      <c r="E33" s="51" t="str">
        <f t="shared" si="1"/>
        <v>-0.62%</v>
      </c>
      <c r="F33" s="51" t="str">
        <f t="shared" si="2"/>
        <v/>
      </c>
      <c r="G33" s="51">
        <f t="shared" si="3"/>
        <v>-0.62</v>
      </c>
      <c r="H33" s="51">
        <f>IFERROR(__xludf.DUMMYFUNCTION("IFERROR(GOOGLEFINANCE(A33,""PRICE""),)"),207.0)</f>
        <v>207</v>
      </c>
      <c r="I33" s="52">
        <f>IFERROR(__xludf.DUMMYFUNCTION("IFERROR(GOOGLEFINANCE(A33,""VOLUME""),)"),9328145.0)</f>
        <v>9328145</v>
      </c>
      <c r="J33" s="51" t="str">
        <f>IFERROR(__xludf.DUMMYFUNCTION("IFERROR(INDEX(SPLIT(A33,"":""),1,2),)"),"ADANIPOWER")</f>
        <v>ADANIPOWER</v>
      </c>
      <c r="K33" s="51" t="str">
        <f t="shared" si="4"/>
        <v/>
      </c>
      <c r="L33" s="51">
        <f t="shared" si="5"/>
        <v>228</v>
      </c>
      <c r="M33" s="51">
        <f t="shared" si="6"/>
        <v>47</v>
      </c>
      <c r="N33" s="53">
        <f>IFERROR(__xludf.DUMMYFUNCTION("IFERROR(GOOGLEFINANCE(A33,""TRADETIME""),)"),46269.64583333333)</f>
        <v>46269.64583</v>
      </c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</row>
    <row r="34" ht="15.75" customHeight="1">
      <c r="A34" s="48" t="s">
        <v>81</v>
      </c>
      <c r="B34" s="48" t="str">
        <f>IFERROR(__xludf.DUMMYFUNCTION("IFERROR(GOOGLEFINANCE(A34,""NAME""),)"),"")</f>
        <v/>
      </c>
      <c r="C34" s="48" t="str">
        <f>IFERROR(__xludf.DUMMYFUNCTION("IFERROR(GOOGLEFINANCE(A34,""CHANGE""),)"),"")</f>
        <v/>
      </c>
      <c r="D34" s="48" t="str">
        <f>IFERROR(__xludf.DUMMYFUNCTION("IFERROR(GOOGLEFINANCE(A34,""CHANGEPCT""),)"),"")</f>
        <v/>
      </c>
      <c r="E34" s="48" t="str">
        <f t="shared" si="1"/>
        <v>%</v>
      </c>
      <c r="F34" s="48" t="str">
        <f t="shared" si="2"/>
        <v/>
      </c>
      <c r="G34" s="48" t="str">
        <f t="shared" si="3"/>
        <v/>
      </c>
      <c r="H34" s="48" t="str">
        <f>IFERROR(__xludf.DUMMYFUNCTION("IFERROR(GOOGLEFINANCE(A34,""PRICE""),)"),"")</f>
        <v/>
      </c>
      <c r="I34" s="49" t="str">
        <f>IFERROR(__xludf.DUMMYFUNCTION("IFERROR(GOOGLEFINANCE(A34,""VOLUME""),)"),"")</f>
        <v/>
      </c>
      <c r="J34" s="48" t="str">
        <f>IFERROR(__xludf.DUMMYFUNCTION("IFERROR(INDEX(SPLIT(A34,"":""),1,2),)"),"ADANITRANS")</f>
        <v>ADANITRANS</v>
      </c>
      <c r="K34" s="48" t="str">
        <f t="shared" si="4"/>
        <v/>
      </c>
      <c r="L34" s="48" t="str">
        <f t="shared" si="5"/>
        <v/>
      </c>
      <c r="M34" s="48">
        <f t="shared" si="6"/>
        <v>1456</v>
      </c>
      <c r="N34" s="50" t="str">
        <f>IFERROR(__xludf.DUMMYFUNCTION("IFERROR(GOOGLEFINANCE(A34,""TRADETIME""),)"),"")</f>
        <v/>
      </c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</row>
    <row r="35" ht="15.75" customHeight="1">
      <c r="A35" s="51" t="s">
        <v>82</v>
      </c>
      <c r="B35" s="51" t="str">
        <f>IFERROR(__xludf.DUMMYFUNCTION("IFERROR(GOOGLEFINANCE(A35,""NAME""),)"),"ADF Foods Ltd")</f>
        <v>ADF Foods Ltd</v>
      </c>
      <c r="C35" s="51">
        <f>IFERROR(__xludf.DUMMYFUNCTION("IFERROR(GOOGLEFINANCE(A35,""CHANGE""),)"),-0.65)</f>
        <v>-0.65</v>
      </c>
      <c r="D35" s="51">
        <f>IFERROR(__xludf.DUMMYFUNCTION("IFERROR(GOOGLEFINANCE(A35,""CHANGEPCT""),)"),-0.24)</f>
        <v>-0.24</v>
      </c>
      <c r="E35" s="51" t="str">
        <f t="shared" si="1"/>
        <v>-0.24%</v>
      </c>
      <c r="F35" s="51" t="str">
        <f t="shared" si="2"/>
        <v/>
      </c>
      <c r="G35" s="51">
        <f t="shared" si="3"/>
        <v>-0.24</v>
      </c>
      <c r="H35" s="51">
        <f>IFERROR(__xludf.DUMMYFUNCTION("IFERROR(GOOGLEFINANCE(A35,""PRICE""),)"),266.85)</f>
        <v>266.85</v>
      </c>
      <c r="I35" s="52">
        <f>IFERROR(__xludf.DUMMYFUNCTION("IFERROR(GOOGLEFINANCE(A35,""VOLUME""),)"),78833.0)</f>
        <v>78833</v>
      </c>
      <c r="J35" s="51" t="str">
        <f>IFERROR(__xludf.DUMMYFUNCTION("IFERROR(INDEX(SPLIT(A35,"":""),1,2),)"),"ADFFOODS")</f>
        <v>ADFFOODS</v>
      </c>
      <c r="K35" s="51" t="str">
        <f t="shared" si="4"/>
        <v/>
      </c>
      <c r="L35" s="51">
        <f t="shared" si="5"/>
        <v>86</v>
      </c>
      <c r="M35" s="51">
        <f t="shared" si="6"/>
        <v>827</v>
      </c>
      <c r="N35" s="53">
        <f>IFERROR(__xludf.DUMMYFUNCTION("IFERROR(GOOGLEFINANCE(A35,""TRADETIME""),)"),46269.64585648148)</f>
        <v>46269.64586</v>
      </c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</row>
    <row r="36" ht="15.75" customHeight="1">
      <c r="A36" s="48" t="s">
        <v>83</v>
      </c>
      <c r="B36" s="48" t="str">
        <f>IFERROR(__xludf.DUMMYFUNCTION("IFERROR(GOOGLEFINANCE(A36,""NAME""),)"),"Incredible Industries Ltd")</f>
        <v>Incredible Industries Ltd</v>
      </c>
      <c r="C36" s="48">
        <f>IFERROR(__xludf.DUMMYFUNCTION("IFERROR(GOOGLEFINANCE(A36,""CHANGE""),)"),0.42)</f>
        <v>0.42</v>
      </c>
      <c r="D36" s="48">
        <f>IFERROR(__xludf.DUMMYFUNCTION("IFERROR(GOOGLEFINANCE(A36,""CHANGEPCT""),)"),1.31)</f>
        <v>1.31</v>
      </c>
      <c r="E36" s="48" t="str">
        <f t="shared" si="1"/>
        <v>1.31%</v>
      </c>
      <c r="F36" s="48">
        <f t="shared" si="2"/>
        <v>1.31</v>
      </c>
      <c r="G36" s="48" t="str">
        <f t="shared" si="3"/>
        <v/>
      </c>
      <c r="H36" s="48">
        <f>IFERROR(__xludf.DUMMYFUNCTION("IFERROR(GOOGLEFINANCE(A36,""PRICE""),)"),32.55)</f>
        <v>32.55</v>
      </c>
      <c r="I36" s="49">
        <f>IFERROR(__xludf.DUMMYFUNCTION("IFERROR(GOOGLEFINANCE(A36,""VOLUME""),)"),5276.0)</f>
        <v>5276</v>
      </c>
      <c r="J36" s="48" t="str">
        <f>IFERROR(__xludf.DUMMYFUNCTION("IFERROR(INDEX(SPLIT(A36,"":""),1,2),)"),"INCREDIBLE")</f>
        <v>INCREDIBLE</v>
      </c>
      <c r="K36" s="48">
        <f t="shared" si="4"/>
        <v>378</v>
      </c>
      <c r="L36" s="48" t="str">
        <f t="shared" si="5"/>
        <v/>
      </c>
      <c r="M36" s="48">
        <f t="shared" si="6"/>
        <v>1321</v>
      </c>
      <c r="N36" s="50">
        <f>IFERROR(__xludf.DUMMYFUNCTION("IFERROR(GOOGLEFINANCE(A36,""TRADETIME""),)"),46269.64583333333)</f>
        <v>46269.64583</v>
      </c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</row>
    <row r="37" ht="15.75" customHeight="1">
      <c r="A37" s="51" t="s">
        <v>84</v>
      </c>
      <c r="B37" s="51" t="str">
        <f>IFERROR(__xludf.DUMMYFUNCTION("IFERROR(GOOGLEFINANCE(A37,""NAME""),)"),"Archidply Decor Ltd")</f>
        <v>Archidply Decor Ltd</v>
      </c>
      <c r="C37" s="51">
        <f>IFERROR(__xludf.DUMMYFUNCTION("IFERROR(GOOGLEFINANCE(A37,""CHANGE""),)"),-0.79)</f>
        <v>-0.79</v>
      </c>
      <c r="D37" s="51">
        <f>IFERROR(__xludf.DUMMYFUNCTION("IFERROR(GOOGLEFINANCE(A37,""CHANGEPCT""),)"),-1.09)</f>
        <v>-1.09</v>
      </c>
      <c r="E37" s="51" t="str">
        <f t="shared" si="1"/>
        <v>-1.09%</v>
      </c>
      <c r="F37" s="51" t="str">
        <f t="shared" si="2"/>
        <v/>
      </c>
      <c r="G37" s="51">
        <f t="shared" si="3"/>
        <v>-1.09</v>
      </c>
      <c r="H37" s="51">
        <f>IFERROR(__xludf.DUMMYFUNCTION("IFERROR(GOOGLEFINANCE(A37,""PRICE""),)"),72.0)</f>
        <v>72</v>
      </c>
      <c r="I37" s="52">
        <f>IFERROR(__xludf.DUMMYFUNCTION("IFERROR(GOOGLEFINANCE(A37,""VOLUME""),)"),757.0)</f>
        <v>757</v>
      </c>
      <c r="J37" s="51" t="str">
        <f>IFERROR(__xludf.DUMMYFUNCTION("IFERROR(INDEX(SPLIT(A37,"":""),1,2),)"),"ADL")</f>
        <v>ADL</v>
      </c>
      <c r="K37" s="51" t="str">
        <f t="shared" si="4"/>
        <v/>
      </c>
      <c r="L37" s="51">
        <f t="shared" si="5"/>
        <v>358</v>
      </c>
      <c r="M37" s="51">
        <f t="shared" si="6"/>
        <v>1432</v>
      </c>
      <c r="N37" s="53">
        <f>IFERROR(__xludf.DUMMYFUNCTION("IFERROR(GOOGLEFINANCE(A37,""TRADETIME""),)"),46269.64583333333)</f>
        <v>46269.64583</v>
      </c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</row>
    <row r="38" ht="15.75" customHeight="1">
      <c r="A38" s="48" t="s">
        <v>85</v>
      </c>
      <c r="B38" s="48" t="str">
        <f>IFERROR(__xludf.DUMMYFUNCTION("IFERROR(GOOGLEFINANCE(A38,""NAME""),)"),"")</f>
        <v/>
      </c>
      <c r="C38" s="48" t="str">
        <f>IFERROR(__xludf.DUMMYFUNCTION("IFERROR(GOOGLEFINANCE(A38,""CHANGE""),)"),"")</f>
        <v/>
      </c>
      <c r="D38" s="48" t="str">
        <f>IFERROR(__xludf.DUMMYFUNCTION("IFERROR(GOOGLEFINANCE(A38,""CHANGEPCT""),)"),"")</f>
        <v/>
      </c>
      <c r="E38" s="48" t="str">
        <f t="shared" si="1"/>
        <v>%</v>
      </c>
      <c r="F38" s="48" t="str">
        <f t="shared" si="2"/>
        <v/>
      </c>
      <c r="G38" s="48" t="str">
        <f t="shared" si="3"/>
        <v/>
      </c>
      <c r="H38" s="48" t="str">
        <f>IFERROR(__xludf.DUMMYFUNCTION("IFERROR(GOOGLEFINANCE(A38,""PRICE""),)"),"")</f>
        <v/>
      </c>
      <c r="I38" s="49" t="str">
        <f>IFERROR(__xludf.DUMMYFUNCTION("IFERROR(GOOGLEFINANCE(A38,""VOLUME""),)"),"")</f>
        <v/>
      </c>
      <c r="J38" s="48" t="str">
        <f>IFERROR(__xludf.DUMMYFUNCTION("IFERROR(INDEX(SPLIT(A38,"":""),1,2),)"),"ADORWELD")</f>
        <v>ADORWELD</v>
      </c>
      <c r="K38" s="48" t="str">
        <f t="shared" si="4"/>
        <v/>
      </c>
      <c r="L38" s="48" t="str">
        <f t="shared" si="5"/>
        <v/>
      </c>
      <c r="M38" s="48">
        <f t="shared" si="6"/>
        <v>1456</v>
      </c>
      <c r="N38" s="50" t="str">
        <f>IFERROR(__xludf.DUMMYFUNCTION("IFERROR(GOOGLEFINANCE(A38,""TRADETIME""),)"),"")</f>
        <v/>
      </c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</row>
    <row r="39" ht="15.75" customHeight="1">
      <c r="A39" s="51" t="s">
        <v>86</v>
      </c>
      <c r="B39" s="51" t="str">
        <f>IFERROR(__xludf.DUMMYFUNCTION("IFERROR(GOOGLEFINANCE(A39,""NAME""),)"),"Adroit Infotech Ltd")</f>
        <v>Adroit Infotech Ltd</v>
      </c>
      <c r="C39" s="51">
        <f>IFERROR(__xludf.DUMMYFUNCTION("IFERROR(GOOGLEFINANCE(A39,""CHANGE""),)"),-0.01)</f>
        <v>-0.01</v>
      </c>
      <c r="D39" s="51">
        <f>IFERROR(__xludf.DUMMYFUNCTION("IFERROR(GOOGLEFINANCE(A39,""CHANGEPCT""),)"),-0.1)</f>
        <v>-0.1</v>
      </c>
      <c r="E39" s="51" t="str">
        <f t="shared" si="1"/>
        <v>-0.1%</v>
      </c>
      <c r="F39" s="51" t="str">
        <f t="shared" si="2"/>
        <v/>
      </c>
      <c r="G39" s="51">
        <f t="shared" si="3"/>
        <v>-0.1</v>
      </c>
      <c r="H39" s="51">
        <f>IFERROR(__xludf.DUMMYFUNCTION("IFERROR(GOOGLEFINANCE(A39,""PRICE""),)"),10.3)</f>
        <v>10.3</v>
      </c>
      <c r="I39" s="52">
        <f>IFERROR(__xludf.DUMMYFUNCTION("IFERROR(GOOGLEFINANCE(A39,""VOLUME""),)"),10874.0)</f>
        <v>10874</v>
      </c>
      <c r="J39" s="51" t="str">
        <f>IFERROR(__xludf.DUMMYFUNCTION("IFERROR(INDEX(SPLIT(A39,"":""),1,2),)"),"ADROITINFO")</f>
        <v>ADROITINFO</v>
      </c>
      <c r="K39" s="51" t="str">
        <f t="shared" si="4"/>
        <v/>
      </c>
      <c r="L39" s="51">
        <f t="shared" si="5"/>
        <v>35</v>
      </c>
      <c r="M39" s="51">
        <f t="shared" si="6"/>
        <v>1221</v>
      </c>
      <c r="N39" s="53">
        <f>IFERROR(__xludf.DUMMYFUNCTION("IFERROR(GOOGLEFINANCE(A39,""TRADETIME""),)"),46269.64583333333)</f>
        <v>46269.64583</v>
      </c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</row>
    <row r="40" ht="15.75" customHeight="1">
      <c r="A40" s="48" t="s">
        <v>87</v>
      </c>
      <c r="B40" s="48" t="str">
        <f>IFERROR(__xludf.DUMMYFUNCTION("IFERROR(GOOGLEFINANCE(A40,""NAME""),)"),"Allied Digital Services Ltd.")</f>
        <v>Allied Digital Services Ltd.</v>
      </c>
      <c r="C40" s="48">
        <f>IFERROR(__xludf.DUMMYFUNCTION("IFERROR(GOOGLEFINANCE(A40,""CHANGE""),)"),-0.36)</f>
        <v>-0.36</v>
      </c>
      <c r="D40" s="48">
        <f>IFERROR(__xludf.DUMMYFUNCTION("IFERROR(GOOGLEFINANCE(A40,""CHANGEPCT""),)"),-0.34)</f>
        <v>-0.34</v>
      </c>
      <c r="E40" s="48" t="str">
        <f t="shared" si="1"/>
        <v>-0.34%</v>
      </c>
      <c r="F40" s="48" t="str">
        <f t="shared" si="2"/>
        <v/>
      </c>
      <c r="G40" s="48">
        <f t="shared" si="3"/>
        <v>-0.34</v>
      </c>
      <c r="H40" s="48">
        <f>IFERROR(__xludf.DUMMYFUNCTION("IFERROR(GOOGLEFINANCE(A40,""PRICE""),)"),104.49)</f>
        <v>104.49</v>
      </c>
      <c r="I40" s="49">
        <f>IFERROR(__xludf.DUMMYFUNCTION("IFERROR(GOOGLEFINANCE(A40,""VOLUME""),)"),63640.0)</f>
        <v>63640</v>
      </c>
      <c r="J40" s="48" t="str">
        <f>IFERROR(__xludf.DUMMYFUNCTION("IFERROR(INDEX(SPLIT(A40,"":""),1,2),)"),"ADSL")</f>
        <v>ADSL</v>
      </c>
      <c r="K40" s="48" t="str">
        <f t="shared" si="4"/>
        <v/>
      </c>
      <c r="L40" s="48">
        <f t="shared" si="5"/>
        <v>130</v>
      </c>
      <c r="M40" s="48">
        <f t="shared" si="6"/>
        <v>887</v>
      </c>
      <c r="N40" s="50">
        <f>IFERROR(__xludf.DUMMYFUNCTION("IFERROR(GOOGLEFINANCE(A40,""TRADETIME""),)"),46269.64583333333)</f>
        <v>46269.64583</v>
      </c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</row>
    <row r="41" ht="15.75" customHeight="1">
      <c r="A41" s="51" t="s">
        <v>88</v>
      </c>
      <c r="B41" s="51" t="str">
        <f>IFERROR(__xludf.DUMMYFUNCTION("IFERROR(GOOGLEFINANCE(A41,""NAME""),)"),"Advani Hotels and Resorts (India) Ltd")</f>
        <v>Advani Hotels and Resorts (India) Ltd</v>
      </c>
      <c r="C41" s="51">
        <f>IFERROR(__xludf.DUMMYFUNCTION("IFERROR(GOOGLEFINANCE(A41,""CHANGE""),)"),0.09)</f>
        <v>0.09</v>
      </c>
      <c r="D41" s="51">
        <f>IFERROR(__xludf.DUMMYFUNCTION("IFERROR(GOOGLEFINANCE(A41,""CHANGEPCT""),)"),0.18)</f>
        <v>0.18</v>
      </c>
      <c r="E41" s="51" t="str">
        <f t="shared" si="1"/>
        <v>0.18%</v>
      </c>
      <c r="F41" s="51">
        <f t="shared" si="2"/>
        <v>0.18</v>
      </c>
      <c r="G41" s="51" t="str">
        <f t="shared" si="3"/>
        <v/>
      </c>
      <c r="H41" s="51">
        <f>IFERROR(__xludf.DUMMYFUNCTION("IFERROR(GOOGLEFINANCE(A41,""PRICE""),)"),49.27)</f>
        <v>49.27</v>
      </c>
      <c r="I41" s="52">
        <f>IFERROR(__xludf.DUMMYFUNCTION("IFERROR(GOOGLEFINANCE(A41,""VOLUME""),)"),22126.0)</f>
        <v>22126</v>
      </c>
      <c r="J41" s="51" t="str">
        <f>IFERROR(__xludf.DUMMYFUNCTION("IFERROR(INDEX(SPLIT(A41,"":""),1,2),)"),"ADVANIHOTR")</f>
        <v>ADVANIHOTR</v>
      </c>
      <c r="K41" s="51">
        <f t="shared" si="4"/>
        <v>707</v>
      </c>
      <c r="L41" s="51" t="str">
        <f t="shared" si="5"/>
        <v/>
      </c>
      <c r="M41" s="51">
        <f t="shared" si="6"/>
        <v>1109</v>
      </c>
      <c r="N41" s="53">
        <f>IFERROR(__xludf.DUMMYFUNCTION("IFERROR(GOOGLEFINANCE(A41,""TRADETIME""),)"),46269.64583333333)</f>
        <v>46269.64583</v>
      </c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</row>
    <row r="42" ht="15.75" customHeight="1">
      <c r="A42" s="48" t="s">
        <v>89</v>
      </c>
      <c r="B42" s="48" t="str">
        <f>IFERROR(__xludf.DUMMYFUNCTION("IFERROR(GOOGLEFINANCE(A42,""NAME""),)"),"Advanced Enzyme Technologies Ltd")</f>
        <v>Advanced Enzyme Technologies Ltd</v>
      </c>
      <c r="C42" s="48">
        <f>IFERROR(__xludf.DUMMYFUNCTION("IFERROR(GOOGLEFINANCE(A42,""CHANGE""),)"),-2.2)</f>
        <v>-2.2</v>
      </c>
      <c r="D42" s="48">
        <f>IFERROR(__xludf.DUMMYFUNCTION("IFERROR(GOOGLEFINANCE(A42,""CHANGEPCT""),)"),-0.74)</f>
        <v>-0.74</v>
      </c>
      <c r="E42" s="48" t="str">
        <f t="shared" si="1"/>
        <v>-0.74%</v>
      </c>
      <c r="F42" s="48" t="str">
        <f t="shared" si="2"/>
        <v/>
      </c>
      <c r="G42" s="48">
        <f t="shared" si="3"/>
        <v>-0.74</v>
      </c>
      <c r="H42" s="48">
        <f>IFERROR(__xludf.DUMMYFUNCTION("IFERROR(GOOGLEFINANCE(A42,""PRICE""),)"),293.8)</f>
        <v>293.8</v>
      </c>
      <c r="I42" s="49">
        <f>IFERROR(__xludf.DUMMYFUNCTION("IFERROR(GOOGLEFINANCE(A42,""VOLUME""),)"),257142.0)</f>
        <v>257142</v>
      </c>
      <c r="J42" s="48" t="str">
        <f>IFERROR(__xludf.DUMMYFUNCTION("IFERROR(INDEX(SPLIT(A42,"":""),1,2),)"),"ADVENZYMES")</f>
        <v>ADVENZYMES</v>
      </c>
      <c r="K42" s="48" t="str">
        <f t="shared" si="4"/>
        <v/>
      </c>
      <c r="L42" s="48">
        <f t="shared" si="5"/>
        <v>279</v>
      </c>
      <c r="M42" s="48">
        <f t="shared" si="6"/>
        <v>559</v>
      </c>
      <c r="N42" s="50">
        <f>IFERROR(__xludf.DUMMYFUNCTION("IFERROR(GOOGLEFINANCE(A42,""TRADETIME""),)"),46269.64583333333)</f>
        <v>46269.64583</v>
      </c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</row>
    <row r="43" ht="15.75" customHeight="1">
      <c r="A43" s="51" t="s">
        <v>90</v>
      </c>
      <c r="B43" s="51" t="str">
        <f>IFERROR(__xludf.DUMMYFUNCTION("IFERROR(GOOGLEFINANCE(A43,""NAME""),)"),"")</f>
        <v/>
      </c>
      <c r="C43" s="51" t="str">
        <f>IFERROR(__xludf.DUMMYFUNCTION("IFERROR(GOOGLEFINANCE(A43,""CHANGE""),)"),"")</f>
        <v/>
      </c>
      <c r="D43" s="51" t="str">
        <f>IFERROR(__xludf.DUMMYFUNCTION("IFERROR(GOOGLEFINANCE(A43,""CHANGEPCT""),)"),"")</f>
        <v/>
      </c>
      <c r="E43" s="51" t="str">
        <f t="shared" si="1"/>
        <v>%</v>
      </c>
      <c r="F43" s="51" t="str">
        <f t="shared" si="2"/>
        <v/>
      </c>
      <c r="G43" s="51" t="str">
        <f t="shared" si="3"/>
        <v/>
      </c>
      <c r="H43" s="51" t="str">
        <f>IFERROR(__xludf.DUMMYFUNCTION("IFERROR(GOOGLEFINANCE(A43,""PRICE""),)"),"")</f>
        <v/>
      </c>
      <c r="I43" s="52" t="str">
        <f>IFERROR(__xludf.DUMMYFUNCTION("IFERROR(GOOGLEFINANCE(A43,""VOLUME""),)"),"")</f>
        <v/>
      </c>
      <c r="J43" s="51" t="str">
        <f>IFERROR(__xludf.DUMMYFUNCTION("IFERROR(INDEX(SPLIT(A43,"":""),1,2),)"),"AEGISCHEM")</f>
        <v>AEGISCHEM</v>
      </c>
      <c r="K43" s="51" t="str">
        <f t="shared" si="4"/>
        <v/>
      </c>
      <c r="L43" s="51" t="str">
        <f t="shared" si="5"/>
        <v/>
      </c>
      <c r="M43" s="51">
        <f t="shared" si="6"/>
        <v>1456</v>
      </c>
      <c r="N43" s="53" t="str">
        <f>IFERROR(__xludf.DUMMYFUNCTION("IFERROR(GOOGLEFINANCE(A43,""TRADETIME""),)"),"")</f>
        <v/>
      </c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</row>
    <row r="44" ht="15.75" customHeight="1">
      <c r="A44" s="48" t="s">
        <v>91</v>
      </c>
      <c r="B44" s="48" t="str">
        <f>IFERROR(__xludf.DUMMYFUNCTION("IFERROR(GOOGLEFINANCE(A44,""NAME""),)"),"Affle 3i Ltd")</f>
        <v>Affle 3i Ltd</v>
      </c>
      <c r="C44" s="48">
        <f>IFERROR(__xludf.DUMMYFUNCTION("IFERROR(GOOGLEFINANCE(A44,""CHANGE""),)"),106.8)</f>
        <v>106.8</v>
      </c>
      <c r="D44" s="48">
        <f>IFERROR(__xludf.DUMMYFUNCTION("IFERROR(GOOGLEFINANCE(A44,""CHANGEPCT""),)"),7.03)</f>
        <v>7.03</v>
      </c>
      <c r="E44" s="48" t="str">
        <f t="shared" si="1"/>
        <v>7.03%</v>
      </c>
      <c r="F44" s="48">
        <f t="shared" si="2"/>
        <v>7.03</v>
      </c>
      <c r="G44" s="48" t="str">
        <f t="shared" si="3"/>
        <v/>
      </c>
      <c r="H44" s="48">
        <f>IFERROR(__xludf.DUMMYFUNCTION("IFERROR(GOOGLEFINANCE(A44,""PRICE""),)"),1626.0)</f>
        <v>1626</v>
      </c>
      <c r="I44" s="49">
        <f>IFERROR(__xludf.DUMMYFUNCTION("IFERROR(GOOGLEFINANCE(A44,""VOLUME""),)"),3213241.0)</f>
        <v>3213241</v>
      </c>
      <c r="J44" s="48" t="str">
        <f>IFERROR(__xludf.DUMMYFUNCTION("IFERROR(INDEX(SPLIT(A44,"":""),1,2),)"),"AFFLE")</f>
        <v>AFFLE</v>
      </c>
      <c r="K44" s="48">
        <f t="shared" si="4"/>
        <v>21</v>
      </c>
      <c r="L44" s="48" t="str">
        <f t="shared" si="5"/>
        <v/>
      </c>
      <c r="M44" s="48">
        <f t="shared" si="6"/>
        <v>120</v>
      </c>
      <c r="N44" s="50">
        <f>IFERROR(__xludf.DUMMYFUNCTION("IFERROR(GOOGLEFINANCE(A44,""TRADETIME""),)"),46269.64583333333)</f>
        <v>46269.64583</v>
      </c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</row>
    <row r="45" ht="15.75" customHeight="1">
      <c r="A45" s="51" t="s">
        <v>92</v>
      </c>
      <c r="B45" s="51" t="str">
        <f>IFERROR(__xludf.DUMMYFUNCTION("IFERROR(GOOGLEFINANCE(A45,""NAME""),)"),"Arvind Ltd")</f>
        <v>Arvind Ltd</v>
      </c>
      <c r="C45" s="51">
        <f>IFERROR(__xludf.DUMMYFUNCTION("IFERROR(GOOGLEFINANCE(A45,""CHANGE""),)"),-14.0)</f>
        <v>-14</v>
      </c>
      <c r="D45" s="51">
        <f>IFERROR(__xludf.DUMMYFUNCTION("IFERROR(GOOGLEFINANCE(A45,""CHANGEPCT""),)"),-2.47)</f>
        <v>-2.47</v>
      </c>
      <c r="E45" s="51" t="str">
        <f t="shared" si="1"/>
        <v>-2.47%</v>
      </c>
      <c r="F45" s="51" t="str">
        <f t="shared" si="2"/>
        <v/>
      </c>
      <c r="G45" s="51">
        <f t="shared" si="3"/>
        <v>-2.47</v>
      </c>
      <c r="H45" s="51">
        <f>IFERROR(__xludf.DUMMYFUNCTION("IFERROR(GOOGLEFINANCE(A45,""PRICE""),)"),553.0)</f>
        <v>553</v>
      </c>
      <c r="I45" s="52">
        <f>IFERROR(__xludf.DUMMYFUNCTION("IFERROR(GOOGLEFINANCE(A45,""VOLUME""),)"),308497.0)</f>
        <v>308497</v>
      </c>
      <c r="J45" s="51" t="str">
        <f>IFERROR(__xludf.DUMMYFUNCTION("IFERROR(INDEX(SPLIT(A45,"":""),1,2),)"),"ARVIND")</f>
        <v>ARVIND</v>
      </c>
      <c r="K45" s="51" t="str">
        <f t="shared" si="4"/>
        <v/>
      </c>
      <c r="L45" s="51">
        <f t="shared" si="5"/>
        <v>571</v>
      </c>
      <c r="M45" s="51">
        <f t="shared" si="6"/>
        <v>505</v>
      </c>
      <c r="N45" s="53">
        <f>IFERROR(__xludf.DUMMYFUNCTION("IFERROR(GOOGLEFINANCE(A45,""TRADETIME""),)"),46269.64585648148)</f>
        <v>46269.64586</v>
      </c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</row>
    <row r="46" ht="15.75" customHeight="1">
      <c r="A46" s="48" t="s">
        <v>93</v>
      </c>
      <c r="B46" s="48" t="str">
        <f>IFERROR(__xludf.DUMMYFUNCTION("IFERROR(GOOGLEFINANCE(A46,""NAME""),)"),"Agarwal Industrial Corporation Ltd")</f>
        <v>Agarwal Industrial Corporation Ltd</v>
      </c>
      <c r="C46" s="48">
        <f>IFERROR(__xludf.DUMMYFUNCTION("IFERROR(GOOGLEFINANCE(A46,""CHANGE""),)"),12.4)</f>
        <v>12.4</v>
      </c>
      <c r="D46" s="48">
        <f>IFERROR(__xludf.DUMMYFUNCTION("IFERROR(GOOGLEFINANCE(A46,""CHANGEPCT""),)"),2.81)</f>
        <v>2.81</v>
      </c>
      <c r="E46" s="48" t="str">
        <f t="shared" si="1"/>
        <v>2.81%</v>
      </c>
      <c r="F46" s="48">
        <f t="shared" si="2"/>
        <v>2.81</v>
      </c>
      <c r="G46" s="48" t="str">
        <f t="shared" si="3"/>
        <v/>
      </c>
      <c r="H46" s="48">
        <f>IFERROR(__xludf.DUMMYFUNCTION("IFERROR(GOOGLEFINANCE(A46,""PRICE""),)"),452.9)</f>
        <v>452.9</v>
      </c>
      <c r="I46" s="49">
        <f>IFERROR(__xludf.DUMMYFUNCTION("IFERROR(GOOGLEFINANCE(A46,""VOLUME""),)"),56050.0)</f>
        <v>56050</v>
      </c>
      <c r="J46" s="48" t="str">
        <f>IFERROR(__xludf.DUMMYFUNCTION("IFERROR(INDEX(SPLIT(A46,"":""),1,2),)"),"AGARIND")</f>
        <v>AGARIND</v>
      </c>
      <c r="K46" s="48">
        <f t="shared" si="4"/>
        <v>173</v>
      </c>
      <c r="L46" s="48" t="str">
        <f t="shared" si="5"/>
        <v/>
      </c>
      <c r="M46" s="48">
        <f t="shared" si="6"/>
        <v>919</v>
      </c>
      <c r="N46" s="50">
        <f>IFERROR(__xludf.DUMMYFUNCTION("IFERROR(GOOGLEFINANCE(A46,""TRADETIME""),)"),46269.64583333333)</f>
        <v>46269.64583</v>
      </c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</row>
    <row r="47" ht="15.75" customHeight="1">
      <c r="A47" s="51" t="s">
        <v>94</v>
      </c>
      <c r="B47" s="51" t="str">
        <f>IFERROR(__xludf.DUMMYFUNCTION("IFERROR(GOOGLEFINANCE(A47,""NAME""),)"),"Black Box Ltd")</f>
        <v>Black Box Ltd</v>
      </c>
      <c r="C47" s="51">
        <f>IFERROR(__xludf.DUMMYFUNCTION("IFERROR(GOOGLEFINANCE(A47,""CHANGE""),)"),-6.9)</f>
        <v>-6.9</v>
      </c>
      <c r="D47" s="51">
        <f>IFERROR(__xludf.DUMMYFUNCTION("IFERROR(GOOGLEFINANCE(A47,""CHANGEPCT""),)"),-0.96)</f>
        <v>-0.96</v>
      </c>
      <c r="E47" s="51" t="str">
        <f t="shared" si="1"/>
        <v>-0.96%</v>
      </c>
      <c r="F47" s="51" t="str">
        <f t="shared" si="2"/>
        <v/>
      </c>
      <c r="G47" s="51">
        <f t="shared" si="3"/>
        <v>-0.96</v>
      </c>
      <c r="H47" s="51">
        <f>IFERROR(__xludf.DUMMYFUNCTION("IFERROR(GOOGLEFINANCE(A47,""PRICE""),)"),714.0)</f>
        <v>714</v>
      </c>
      <c r="I47" s="52">
        <f>IFERROR(__xludf.DUMMYFUNCTION("IFERROR(GOOGLEFINANCE(A47,""VOLUME""),)"),198315.0)</f>
        <v>198315</v>
      </c>
      <c r="J47" s="51" t="str">
        <f>IFERROR(__xludf.DUMMYFUNCTION("IFERROR(INDEX(SPLIT(A47,"":""),1,2),)"),"BBOX")</f>
        <v>BBOX</v>
      </c>
      <c r="K47" s="51" t="str">
        <f t="shared" si="4"/>
        <v/>
      </c>
      <c r="L47" s="51">
        <f t="shared" si="5"/>
        <v>329</v>
      </c>
      <c r="M47" s="51">
        <f t="shared" si="6"/>
        <v>631</v>
      </c>
      <c r="N47" s="53">
        <f>IFERROR(__xludf.DUMMYFUNCTION("IFERROR(GOOGLEFINANCE(A47,""TRADETIME""),)"),46269.64584490741)</f>
        <v>46269.64584</v>
      </c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</row>
    <row r="48" ht="15.75" customHeight="1">
      <c r="A48" s="48" t="s">
        <v>95</v>
      </c>
      <c r="B48" s="48" t="str">
        <f>IFERROR(__xludf.DUMMYFUNCTION("IFERROR(GOOGLEFINANCE(A48,""NAME""),)"),"Agri-Tech (India) Ltd")</f>
        <v>Agri-Tech (India) Ltd</v>
      </c>
      <c r="C48" s="48">
        <f>IFERROR(__xludf.DUMMYFUNCTION("IFERROR(GOOGLEFINANCE(A48,""CHANGE""),)"),-0.1)</f>
        <v>-0.1</v>
      </c>
      <c r="D48" s="48">
        <f>IFERROR(__xludf.DUMMYFUNCTION("IFERROR(GOOGLEFINANCE(A48,""CHANGEPCT""),)"),-0.1)</f>
        <v>-0.1</v>
      </c>
      <c r="E48" s="48" t="str">
        <f t="shared" si="1"/>
        <v>-0.1%</v>
      </c>
      <c r="F48" s="48" t="str">
        <f t="shared" si="2"/>
        <v/>
      </c>
      <c r="G48" s="48">
        <f t="shared" si="3"/>
        <v>-0.1</v>
      </c>
      <c r="H48" s="48">
        <f>IFERROR(__xludf.DUMMYFUNCTION("IFERROR(GOOGLEFINANCE(A48,""PRICE""),)"),101.0)</f>
        <v>101</v>
      </c>
      <c r="I48" s="49">
        <f>IFERROR(__xludf.DUMMYFUNCTION("IFERROR(GOOGLEFINANCE(A48,""VOLUME""),)"),3474.0)</f>
        <v>3474</v>
      </c>
      <c r="J48" s="48" t="str">
        <f>IFERROR(__xludf.DUMMYFUNCTION("IFERROR(INDEX(SPLIT(A48,"":""),1,2),)"),"AGRITECH")</f>
        <v>AGRITECH</v>
      </c>
      <c r="K48" s="48" t="str">
        <f t="shared" si="4"/>
        <v/>
      </c>
      <c r="L48" s="48">
        <f t="shared" si="5"/>
        <v>36</v>
      </c>
      <c r="M48" s="48">
        <f t="shared" si="6"/>
        <v>1357</v>
      </c>
      <c r="N48" s="50">
        <f>IFERROR(__xludf.DUMMYFUNCTION("IFERROR(GOOGLEFINANCE(A48,""TRADETIME""),)"),46269.64583333333)</f>
        <v>46269.64583</v>
      </c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</row>
    <row r="49" ht="15.75" customHeight="1">
      <c r="A49" s="51" t="s">
        <v>96</v>
      </c>
      <c r="B49" s="51" t="str">
        <f>IFERROR(__xludf.DUMMYFUNCTION("IFERROR(GOOGLEFINANCE(A49,""NAME""),)"),"Agro Phos (India) Ltd")</f>
        <v>Agro Phos (India) Ltd</v>
      </c>
      <c r="C49" s="51">
        <f>IFERROR(__xludf.DUMMYFUNCTION("IFERROR(GOOGLEFINANCE(A49,""CHANGE""),)"),0.05)</f>
        <v>0.05</v>
      </c>
      <c r="D49" s="51">
        <f>IFERROR(__xludf.DUMMYFUNCTION("IFERROR(GOOGLEFINANCE(A49,""CHANGEPCT""),)"),0.19)</f>
        <v>0.19</v>
      </c>
      <c r="E49" s="51" t="str">
        <f t="shared" si="1"/>
        <v>0.19%</v>
      </c>
      <c r="F49" s="51">
        <f t="shared" si="2"/>
        <v>0.19</v>
      </c>
      <c r="G49" s="51" t="str">
        <f t="shared" si="3"/>
        <v/>
      </c>
      <c r="H49" s="51">
        <f>IFERROR(__xludf.DUMMYFUNCTION("IFERROR(GOOGLEFINANCE(A49,""PRICE""),)"),26.24)</f>
        <v>26.24</v>
      </c>
      <c r="I49" s="52">
        <f>IFERROR(__xludf.DUMMYFUNCTION("IFERROR(GOOGLEFINANCE(A49,""VOLUME""),)"),12923.0)</f>
        <v>12923</v>
      </c>
      <c r="J49" s="51" t="str">
        <f>IFERROR(__xludf.DUMMYFUNCTION("IFERROR(INDEX(SPLIT(A49,"":""),1,2),)"),"AGROPHOS")</f>
        <v>AGROPHOS</v>
      </c>
      <c r="K49" s="51">
        <f t="shared" si="4"/>
        <v>699</v>
      </c>
      <c r="L49" s="51" t="str">
        <f t="shared" si="5"/>
        <v/>
      </c>
      <c r="M49" s="51">
        <f t="shared" si="6"/>
        <v>1196</v>
      </c>
      <c r="N49" s="53">
        <f>IFERROR(__xludf.DUMMYFUNCTION("IFERROR(GOOGLEFINANCE(A49,""TRADETIME""),)"),46269.64583333333)</f>
        <v>46269.64583</v>
      </c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</row>
    <row r="50" ht="15.75" customHeight="1">
      <c r="A50" s="48" t="s">
        <v>97</v>
      </c>
      <c r="B50" s="48" t="str">
        <f>IFERROR(__xludf.DUMMYFUNCTION("IFERROR(GOOGLEFINANCE(A50,""NAME""),)"),"Ahlada Engineers Ltd")</f>
        <v>Ahlada Engineers Ltd</v>
      </c>
      <c r="C50" s="48">
        <f>IFERROR(__xludf.DUMMYFUNCTION("IFERROR(GOOGLEFINANCE(A50,""CHANGE""),)"),-0.51)</f>
        <v>-0.51</v>
      </c>
      <c r="D50" s="48">
        <f>IFERROR(__xludf.DUMMYFUNCTION("IFERROR(GOOGLEFINANCE(A50,""CHANGEPCT""),)"),-1.36)</f>
        <v>-1.36</v>
      </c>
      <c r="E50" s="48" t="str">
        <f t="shared" si="1"/>
        <v>-1.36%</v>
      </c>
      <c r="F50" s="48" t="str">
        <f t="shared" si="2"/>
        <v/>
      </c>
      <c r="G50" s="48">
        <f t="shared" si="3"/>
        <v>-1.36</v>
      </c>
      <c r="H50" s="48">
        <f>IFERROR(__xludf.DUMMYFUNCTION("IFERROR(GOOGLEFINANCE(A50,""PRICE""),)"),37.0)</f>
        <v>37</v>
      </c>
      <c r="I50" s="49">
        <f>IFERROR(__xludf.DUMMYFUNCTION("IFERROR(GOOGLEFINANCE(A50,""VOLUME""),)"),11371.0)</f>
        <v>11371</v>
      </c>
      <c r="J50" s="48" t="str">
        <f>IFERROR(__xludf.DUMMYFUNCTION("IFERROR(INDEX(SPLIT(A50,"":""),1,2),)"),"AHLADA")</f>
        <v>AHLADA</v>
      </c>
      <c r="K50" s="48" t="str">
        <f t="shared" si="4"/>
        <v/>
      </c>
      <c r="L50" s="48">
        <f t="shared" si="5"/>
        <v>418</v>
      </c>
      <c r="M50" s="48">
        <f t="shared" si="6"/>
        <v>1215</v>
      </c>
      <c r="N50" s="50">
        <f>IFERROR(__xludf.DUMMYFUNCTION("IFERROR(GOOGLEFINANCE(A50,""TRADETIME""),)"),46269.64583333333)</f>
        <v>46269.64583</v>
      </c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</row>
    <row r="51" ht="15.75" customHeight="1">
      <c r="A51" s="54" t="s">
        <v>98</v>
      </c>
      <c r="B51" s="51" t="str">
        <f>IFERROR(__xludf.DUMMYFUNCTION("IFERROR(GOOGLEFINANCE(A51,""NAME""),)"),"Asian Hotels (East) Ltd")</f>
        <v>Asian Hotels (East) Ltd</v>
      </c>
      <c r="C51" s="51">
        <f>IFERROR(__xludf.DUMMYFUNCTION("IFERROR(GOOGLEFINANCE(A51,""CHANGE""),)"),2.03)</f>
        <v>2.03</v>
      </c>
      <c r="D51" s="51">
        <f>IFERROR(__xludf.DUMMYFUNCTION("IFERROR(GOOGLEFINANCE(A51,""CHANGEPCT""),)"),1.49)</f>
        <v>1.49</v>
      </c>
      <c r="E51" s="51" t="str">
        <f t="shared" si="1"/>
        <v>1.49%</v>
      </c>
      <c r="F51" s="51">
        <f t="shared" si="2"/>
        <v>1.49</v>
      </c>
      <c r="G51" s="51" t="str">
        <f t="shared" si="3"/>
        <v/>
      </c>
      <c r="H51" s="51">
        <f>IFERROR(__xludf.DUMMYFUNCTION("IFERROR(GOOGLEFINANCE(A51,""PRICE""),)"),137.89)</f>
        <v>137.89</v>
      </c>
      <c r="I51" s="52">
        <f>IFERROR(__xludf.DUMMYFUNCTION("IFERROR(GOOGLEFINANCE(A51,""VOLUME""),)"),987.0)</f>
        <v>987</v>
      </c>
      <c r="J51" s="51" t="str">
        <f>IFERROR(__xludf.DUMMYFUNCTION("IFERROR(INDEX(SPLIT(A51,"":""),1,2),)"),"AHLEAST")</f>
        <v>AHLEAST</v>
      </c>
      <c r="K51" s="51">
        <f t="shared" si="4"/>
        <v>347</v>
      </c>
      <c r="L51" s="51" t="str">
        <f t="shared" si="5"/>
        <v/>
      </c>
      <c r="M51" s="51">
        <f t="shared" si="6"/>
        <v>1425</v>
      </c>
      <c r="N51" s="53">
        <f>IFERROR(__xludf.DUMMYFUNCTION("IFERROR(GOOGLEFINANCE(A51,""TRADETIME""),)"),46269.64583333333)</f>
        <v>46269.64583</v>
      </c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</row>
    <row r="52" ht="15.75" customHeight="1">
      <c r="A52" s="48" t="s">
        <v>99</v>
      </c>
      <c r="B52" s="48" t="str">
        <f>IFERROR(__xludf.DUMMYFUNCTION("IFERROR(GOOGLEFINANCE(A52,""NAME""),)"),"Ahluwalia Contracts (India) Ltd")</f>
        <v>Ahluwalia Contracts (India) Ltd</v>
      </c>
      <c r="C52" s="48">
        <f>IFERROR(__xludf.DUMMYFUNCTION("IFERROR(GOOGLEFINANCE(A52,""CHANGE""),)"),4.55)</f>
        <v>4.55</v>
      </c>
      <c r="D52" s="48">
        <f>IFERROR(__xludf.DUMMYFUNCTION("IFERROR(GOOGLEFINANCE(A52,""CHANGEPCT""),)"),0.76)</f>
        <v>0.76</v>
      </c>
      <c r="E52" s="48" t="str">
        <f t="shared" si="1"/>
        <v>0.76%</v>
      </c>
      <c r="F52" s="48">
        <f t="shared" si="2"/>
        <v>0.76</v>
      </c>
      <c r="G52" s="48" t="str">
        <f t="shared" si="3"/>
        <v/>
      </c>
      <c r="H52" s="48">
        <f>IFERROR(__xludf.DUMMYFUNCTION("IFERROR(GOOGLEFINANCE(A52,""PRICE""),)"),600.0)</f>
        <v>600</v>
      </c>
      <c r="I52" s="49">
        <f>IFERROR(__xludf.DUMMYFUNCTION("IFERROR(GOOGLEFINANCE(A52,""VOLUME""),)"),225666.0)</f>
        <v>225666</v>
      </c>
      <c r="J52" s="48" t="str">
        <f>IFERROR(__xludf.DUMMYFUNCTION("IFERROR(INDEX(SPLIT(A52,"":""),1,2),)"),"AHLUCONT")</f>
        <v>AHLUCONT</v>
      </c>
      <c r="K52" s="48">
        <f t="shared" si="4"/>
        <v>512</v>
      </c>
      <c r="L52" s="48" t="str">
        <f t="shared" si="5"/>
        <v/>
      </c>
      <c r="M52" s="48">
        <f t="shared" si="6"/>
        <v>592</v>
      </c>
      <c r="N52" s="50">
        <f>IFERROR(__xludf.DUMMYFUNCTION("IFERROR(GOOGLEFINANCE(A52,""TRADETIME""),)"),46269.64585648148)</f>
        <v>46269.64586</v>
      </c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</row>
    <row r="53" ht="15.75" customHeight="1">
      <c r="A53" s="51" t="s">
        <v>100</v>
      </c>
      <c r="B53" s="51" t="str">
        <f>IFERROR(__xludf.DUMMYFUNCTION("IFERROR(GOOGLEFINANCE(A53,""NAME""),)"),"Asian Hotels (West) Ltd")</f>
        <v>Asian Hotels (West) Ltd</v>
      </c>
      <c r="C53" s="51">
        <f>IFERROR(__xludf.DUMMYFUNCTION("IFERROR(GOOGLEFINANCE(A53,""CHANGE""),)"),18.85)</f>
        <v>18.85</v>
      </c>
      <c r="D53" s="51">
        <f>IFERROR(__xludf.DUMMYFUNCTION("IFERROR(GOOGLEFINANCE(A53,""CHANGEPCT""),)"),3.68)</f>
        <v>3.68</v>
      </c>
      <c r="E53" s="51" t="str">
        <f t="shared" si="1"/>
        <v>3.68%</v>
      </c>
      <c r="F53" s="51">
        <f t="shared" si="2"/>
        <v>3.68</v>
      </c>
      <c r="G53" s="51" t="str">
        <f t="shared" si="3"/>
        <v/>
      </c>
      <c r="H53" s="51">
        <f>IFERROR(__xludf.DUMMYFUNCTION("IFERROR(GOOGLEFINANCE(A53,""PRICE""),)"),530.9)</f>
        <v>530.9</v>
      </c>
      <c r="I53" s="52">
        <f>IFERROR(__xludf.DUMMYFUNCTION("IFERROR(GOOGLEFINANCE(A53,""VOLUME""),)"),442.0)</f>
        <v>442</v>
      </c>
      <c r="J53" s="51" t="str">
        <f>IFERROR(__xludf.DUMMYFUNCTION("IFERROR(INDEX(SPLIT(A53,"":""),1,2),)"),"AHLWEST")</f>
        <v>AHLWEST</v>
      </c>
      <c r="K53" s="51">
        <f t="shared" si="4"/>
        <v>128</v>
      </c>
      <c r="L53" s="51" t="str">
        <f t="shared" si="5"/>
        <v/>
      </c>
      <c r="M53" s="51">
        <f t="shared" si="6"/>
        <v>1440</v>
      </c>
      <c r="N53" s="53">
        <f>IFERROR(__xludf.DUMMYFUNCTION("IFERROR(GOOGLEFINANCE(A53,""TRADETIME""),)"),46269.64583333333)</f>
        <v>46269.64583</v>
      </c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</row>
    <row r="54" ht="15.75" customHeight="1">
      <c r="A54" s="48" t="s">
        <v>101</v>
      </c>
      <c r="B54" s="48" t="str">
        <f>IFERROR(__xludf.DUMMYFUNCTION("IFERROR(GOOGLEFINANCE(A54,""NAME""),)"),"AIA Engineering Ltd")</f>
        <v>AIA Engineering Ltd</v>
      </c>
      <c r="C54" s="48">
        <f>IFERROR(__xludf.DUMMYFUNCTION("IFERROR(GOOGLEFINANCE(A54,""CHANGE""),)"),-61.4)</f>
        <v>-61.4</v>
      </c>
      <c r="D54" s="48">
        <f>IFERROR(__xludf.DUMMYFUNCTION("IFERROR(GOOGLEFINANCE(A54,""CHANGEPCT""),)"),-1.44)</f>
        <v>-1.44</v>
      </c>
      <c r="E54" s="48" t="str">
        <f t="shared" si="1"/>
        <v>-1.44%</v>
      </c>
      <c r="F54" s="48" t="str">
        <f t="shared" si="2"/>
        <v/>
      </c>
      <c r="G54" s="48">
        <f t="shared" si="3"/>
        <v>-1.44</v>
      </c>
      <c r="H54" s="48">
        <f>IFERROR(__xludf.DUMMYFUNCTION("IFERROR(GOOGLEFINANCE(A54,""PRICE""),)"),4211.0)</f>
        <v>4211</v>
      </c>
      <c r="I54" s="49">
        <f>IFERROR(__xludf.DUMMYFUNCTION("IFERROR(GOOGLEFINANCE(A54,""VOLUME""),)"),117943.0)</f>
        <v>117943</v>
      </c>
      <c r="J54" s="48" t="str">
        <f>IFERROR(__xludf.DUMMYFUNCTION("IFERROR(INDEX(SPLIT(A54,"":""),1,2),)"),"AIAENG")</f>
        <v>AIAENG</v>
      </c>
      <c r="K54" s="48" t="str">
        <f t="shared" si="4"/>
        <v/>
      </c>
      <c r="L54" s="48">
        <f t="shared" si="5"/>
        <v>435</v>
      </c>
      <c r="M54" s="48">
        <f t="shared" si="6"/>
        <v>741</v>
      </c>
      <c r="N54" s="50">
        <f>IFERROR(__xludf.DUMMYFUNCTION("IFERROR(GOOGLEFINANCE(A54,""TRADETIME""),)"),46269.64584490741)</f>
        <v>46269.64584</v>
      </c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</row>
    <row r="55" ht="15.75" customHeight="1">
      <c r="A55" s="51" t="s">
        <v>102</v>
      </c>
      <c r="B55" s="51" t="str">
        <f>IFERROR(__xludf.DUMMYFUNCTION("IFERROR(GOOGLEFINANCE(A55,""NAME""),)"),"Airan Ltd")</f>
        <v>Airan Ltd</v>
      </c>
      <c r="C55" s="51">
        <f>IFERROR(__xludf.DUMMYFUNCTION("IFERROR(GOOGLEFINANCE(A55,""CHANGE""),)"),0.74)</f>
        <v>0.74</v>
      </c>
      <c r="D55" s="51">
        <f>IFERROR(__xludf.DUMMYFUNCTION("IFERROR(GOOGLEFINANCE(A55,""CHANGEPCT""),)"),5.0)</f>
        <v>5</v>
      </c>
      <c r="E55" s="51" t="str">
        <f t="shared" si="1"/>
        <v>5%</v>
      </c>
      <c r="F55" s="51">
        <f t="shared" si="2"/>
        <v>5</v>
      </c>
      <c r="G55" s="51" t="str">
        <f t="shared" si="3"/>
        <v/>
      </c>
      <c r="H55" s="51">
        <f>IFERROR(__xludf.DUMMYFUNCTION("IFERROR(GOOGLEFINANCE(A55,""PRICE""),)"),15.54)</f>
        <v>15.54</v>
      </c>
      <c r="I55" s="52">
        <f>IFERROR(__xludf.DUMMYFUNCTION("IFERROR(GOOGLEFINANCE(A55,""VOLUME""),)"),208770.0)</f>
        <v>208770</v>
      </c>
      <c r="J55" s="51" t="str">
        <f>IFERROR(__xludf.DUMMYFUNCTION("IFERROR(INDEX(SPLIT(A55,"":""),1,2),)"),"AIRAN")</f>
        <v>AIRAN</v>
      </c>
      <c r="K55" s="51">
        <f t="shared" si="4"/>
        <v>52</v>
      </c>
      <c r="L55" s="51" t="str">
        <f t="shared" si="5"/>
        <v/>
      </c>
      <c r="M55" s="51">
        <f t="shared" si="6"/>
        <v>612</v>
      </c>
      <c r="N55" s="53">
        <f>IFERROR(__xludf.DUMMYFUNCTION("IFERROR(GOOGLEFINANCE(A55,""TRADETIME""),)"),46269.64583333333)</f>
        <v>46269.64583</v>
      </c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</row>
    <row r="56" ht="15.75" customHeight="1">
      <c r="A56" s="48" t="s">
        <v>103</v>
      </c>
      <c r="B56" s="48" t="str">
        <f>IFERROR(__xludf.DUMMYFUNCTION("IFERROR(GOOGLEFINANCE(A56,""NAME""),)"),"Ajanta Pharma Ltd")</f>
        <v>Ajanta Pharma Ltd</v>
      </c>
      <c r="C56" s="48">
        <f>IFERROR(__xludf.DUMMYFUNCTION("IFERROR(GOOGLEFINANCE(A56,""CHANGE""),)"),-61.0)</f>
        <v>-61</v>
      </c>
      <c r="D56" s="48">
        <f>IFERROR(__xludf.DUMMYFUNCTION("IFERROR(GOOGLEFINANCE(A56,""CHANGEPCT""),)"),-1.73)</f>
        <v>-1.73</v>
      </c>
      <c r="E56" s="48" t="str">
        <f t="shared" si="1"/>
        <v>-1.73%</v>
      </c>
      <c r="F56" s="48" t="str">
        <f t="shared" si="2"/>
        <v/>
      </c>
      <c r="G56" s="48">
        <f t="shared" si="3"/>
        <v>-1.73</v>
      </c>
      <c r="H56" s="48">
        <f>IFERROR(__xludf.DUMMYFUNCTION("IFERROR(GOOGLEFINANCE(A56,""PRICE""),)"),3460.1)</f>
        <v>3460.1</v>
      </c>
      <c r="I56" s="49">
        <f>IFERROR(__xludf.DUMMYFUNCTION("IFERROR(GOOGLEFINANCE(A56,""VOLUME""),)"),65346.0)</f>
        <v>65346</v>
      </c>
      <c r="J56" s="48" t="str">
        <f>IFERROR(__xludf.DUMMYFUNCTION("IFERROR(INDEX(SPLIT(A56,"":""),1,2),)"),"AJANTPHARM")</f>
        <v>AJANTPHARM</v>
      </c>
      <c r="K56" s="48" t="str">
        <f t="shared" si="4"/>
        <v/>
      </c>
      <c r="L56" s="48">
        <f t="shared" si="5"/>
        <v>486</v>
      </c>
      <c r="M56" s="48">
        <f t="shared" si="6"/>
        <v>878</v>
      </c>
      <c r="N56" s="50">
        <f>IFERROR(__xludf.DUMMYFUNCTION("IFERROR(GOOGLEFINANCE(A56,""TRADETIME""),)"),46269.64583333333)</f>
        <v>46269.64583</v>
      </c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</row>
    <row r="57" ht="15.75" customHeight="1">
      <c r="A57" s="51" t="s">
        <v>104</v>
      </c>
      <c r="B57" s="51" t="str">
        <f>IFERROR(__xludf.DUMMYFUNCTION("IFERROR(GOOGLEFINANCE(A57,""NAME""),)"),"Ajmera Realty &amp; Infra India Ltd")</f>
        <v>Ajmera Realty &amp; Infra India Ltd</v>
      </c>
      <c r="C57" s="51">
        <f>IFERROR(__xludf.DUMMYFUNCTION("IFERROR(GOOGLEFINANCE(A57,""CHANGE""),)"),2.05)</f>
        <v>2.05</v>
      </c>
      <c r="D57" s="51">
        <f>IFERROR(__xludf.DUMMYFUNCTION("IFERROR(GOOGLEFINANCE(A57,""CHANGEPCT""),)"),1.78)</f>
        <v>1.78</v>
      </c>
      <c r="E57" s="51" t="str">
        <f t="shared" si="1"/>
        <v>1.78%</v>
      </c>
      <c r="F57" s="51">
        <f t="shared" si="2"/>
        <v>1.78</v>
      </c>
      <c r="G57" s="51" t="str">
        <f t="shared" si="3"/>
        <v/>
      </c>
      <c r="H57" s="51">
        <f>IFERROR(__xludf.DUMMYFUNCTION("IFERROR(GOOGLEFINANCE(A57,""PRICE""),)"),117.5)</f>
        <v>117.5</v>
      </c>
      <c r="I57" s="52">
        <f>IFERROR(__xludf.DUMMYFUNCTION("IFERROR(GOOGLEFINANCE(A57,""VOLUME""),)"),443302.0)</f>
        <v>443302</v>
      </c>
      <c r="J57" s="51" t="str">
        <f>IFERROR(__xludf.DUMMYFUNCTION("IFERROR(INDEX(SPLIT(A57,"":""),1,2),)"),"AJMERA")</f>
        <v>AJMERA</v>
      </c>
      <c r="K57" s="51">
        <f t="shared" si="4"/>
        <v>299</v>
      </c>
      <c r="L57" s="51" t="str">
        <f t="shared" si="5"/>
        <v/>
      </c>
      <c r="M57" s="51">
        <f t="shared" si="6"/>
        <v>424</v>
      </c>
      <c r="N57" s="53">
        <f>IFERROR(__xludf.DUMMYFUNCTION("IFERROR(GOOGLEFINANCE(A57,""TRADETIME""),)"),46269.64583333333)</f>
        <v>46269.64583</v>
      </c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</row>
    <row r="58" ht="15.75" customHeight="1">
      <c r="A58" s="48" t="s">
        <v>105</v>
      </c>
      <c r="B58" s="48" t="str">
        <f>IFERROR(__xludf.DUMMYFUNCTION("IFERROR(GOOGLEFINANCE(A58,""NAME""),)"),"Akash Infra-Projects Ltd")</f>
        <v>Akash Infra-Projects Ltd</v>
      </c>
      <c r="C58" s="48">
        <f>IFERROR(__xludf.DUMMYFUNCTION("IFERROR(GOOGLEFINANCE(A58,""CHANGE""),)"),0.72)</f>
        <v>0.72</v>
      </c>
      <c r="D58" s="48">
        <f>IFERROR(__xludf.DUMMYFUNCTION("IFERROR(GOOGLEFINANCE(A58,""CHANGEPCT""),)"),2.89)</f>
        <v>2.89</v>
      </c>
      <c r="E58" s="48" t="str">
        <f t="shared" si="1"/>
        <v>2.89%</v>
      </c>
      <c r="F58" s="48">
        <f t="shared" si="2"/>
        <v>2.89</v>
      </c>
      <c r="G58" s="48" t="str">
        <f t="shared" si="3"/>
        <v/>
      </c>
      <c r="H58" s="48">
        <f>IFERROR(__xludf.DUMMYFUNCTION("IFERROR(GOOGLEFINANCE(A58,""PRICE""),)"),25.64)</f>
        <v>25.64</v>
      </c>
      <c r="I58" s="49">
        <f>IFERROR(__xludf.DUMMYFUNCTION("IFERROR(GOOGLEFINANCE(A58,""VOLUME""),)"),5520.0)</f>
        <v>5520</v>
      </c>
      <c r="J58" s="48" t="str">
        <f>IFERROR(__xludf.DUMMYFUNCTION("IFERROR(INDEX(SPLIT(A58,"":""),1,2),)"),"AKASH")</f>
        <v>AKASH</v>
      </c>
      <c r="K58" s="48">
        <f t="shared" si="4"/>
        <v>169</v>
      </c>
      <c r="L58" s="48" t="str">
        <f t="shared" si="5"/>
        <v/>
      </c>
      <c r="M58" s="48">
        <f t="shared" si="6"/>
        <v>1318</v>
      </c>
      <c r="N58" s="50">
        <f>IFERROR(__xludf.DUMMYFUNCTION("IFERROR(GOOGLEFINANCE(A58,""TRADETIME""),)"),46269.64583333333)</f>
        <v>46269.64583</v>
      </c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</row>
    <row r="59" ht="15.75" customHeight="1">
      <c r="A59" s="51" t="s">
        <v>106</v>
      </c>
      <c r="B59" s="51" t="str">
        <f>IFERROR(__xludf.DUMMYFUNCTION("IFERROR(GOOGLEFINANCE(A59,""NAME""),)"),"Akg Exim Ltd")</f>
        <v>Akg Exim Ltd</v>
      </c>
      <c r="C59" s="51">
        <f>IFERROR(__xludf.DUMMYFUNCTION("IFERROR(GOOGLEFINANCE(A59,""CHANGE""),)"),0.02)</f>
        <v>0.02</v>
      </c>
      <c r="D59" s="51">
        <f>IFERROR(__xludf.DUMMYFUNCTION("IFERROR(GOOGLEFINANCE(A59,""CHANGEPCT""),)"),0.21)</f>
        <v>0.21</v>
      </c>
      <c r="E59" s="51" t="str">
        <f t="shared" si="1"/>
        <v>0.21%</v>
      </c>
      <c r="F59" s="51">
        <f t="shared" si="2"/>
        <v>0.21</v>
      </c>
      <c r="G59" s="51" t="str">
        <f t="shared" si="3"/>
        <v/>
      </c>
      <c r="H59" s="51">
        <f>IFERROR(__xludf.DUMMYFUNCTION("IFERROR(GOOGLEFINANCE(A59,""PRICE""),)"),9.36)</f>
        <v>9.36</v>
      </c>
      <c r="I59" s="52">
        <f>IFERROR(__xludf.DUMMYFUNCTION("IFERROR(GOOGLEFINANCE(A59,""VOLUME""),)"),37356.0)</f>
        <v>37356</v>
      </c>
      <c r="J59" s="51" t="str">
        <f>IFERROR(__xludf.DUMMYFUNCTION("IFERROR(INDEX(SPLIT(A59,"":""),1,2),)"),"AKG")</f>
        <v>AKG</v>
      </c>
      <c r="K59" s="51">
        <f t="shared" si="4"/>
        <v>688</v>
      </c>
      <c r="L59" s="51" t="str">
        <f t="shared" si="5"/>
        <v/>
      </c>
      <c r="M59" s="51">
        <f t="shared" si="6"/>
        <v>1014</v>
      </c>
      <c r="N59" s="53">
        <f>IFERROR(__xludf.DUMMYFUNCTION("IFERROR(GOOGLEFINANCE(A59,""TRADETIME""),)"),46269.64583333333)</f>
        <v>46269.64583</v>
      </c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</row>
    <row r="60" ht="15.75" customHeight="1">
      <c r="A60" s="48" t="s">
        <v>107</v>
      </c>
      <c r="B60" s="48" t="str">
        <f>IFERROR(__xludf.DUMMYFUNCTION("IFERROR(GOOGLEFINANCE(A60,""NAME""),)"),"Alphageo (India) Ltd")</f>
        <v>Alphageo (India) Ltd</v>
      </c>
      <c r="C60" s="48">
        <f>IFERROR(__xludf.DUMMYFUNCTION("IFERROR(GOOGLEFINANCE(A60,""CHANGE""),)"),9.9)</f>
        <v>9.9</v>
      </c>
      <c r="D60" s="48">
        <f>IFERROR(__xludf.DUMMYFUNCTION("IFERROR(GOOGLEFINANCE(A60,""CHANGEPCT""),)"),3.14)</f>
        <v>3.14</v>
      </c>
      <c r="E60" s="48" t="str">
        <f t="shared" si="1"/>
        <v>3.14%</v>
      </c>
      <c r="F60" s="48">
        <f t="shared" si="2"/>
        <v>3.14</v>
      </c>
      <c r="G60" s="48" t="str">
        <f t="shared" si="3"/>
        <v/>
      </c>
      <c r="H60" s="48">
        <f>IFERROR(__xludf.DUMMYFUNCTION("IFERROR(GOOGLEFINANCE(A60,""PRICE""),)"),324.9)</f>
        <v>324.9</v>
      </c>
      <c r="I60" s="49">
        <f>IFERROR(__xludf.DUMMYFUNCTION("IFERROR(GOOGLEFINANCE(A60,""VOLUME""),)"),15099.0)</f>
        <v>15099</v>
      </c>
      <c r="J60" s="48" t="str">
        <f>IFERROR(__xludf.DUMMYFUNCTION("IFERROR(INDEX(SPLIT(A60,"":""),1,2),)"),"ALPHAGEO")</f>
        <v>ALPHAGEO</v>
      </c>
      <c r="K60" s="48">
        <f t="shared" si="4"/>
        <v>153</v>
      </c>
      <c r="L60" s="48" t="str">
        <f t="shared" si="5"/>
        <v/>
      </c>
      <c r="M60" s="48">
        <f t="shared" si="6"/>
        <v>1177</v>
      </c>
      <c r="N60" s="50">
        <f>IFERROR(__xludf.DUMMYFUNCTION("IFERROR(GOOGLEFINANCE(A60,""TRADETIME""),)"),46269.64583333333)</f>
        <v>46269.64583</v>
      </c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</row>
    <row r="61" ht="15.75" customHeight="1">
      <c r="A61" s="51" t="s">
        <v>108</v>
      </c>
      <c r="B61" s="51" t="str">
        <f>IFERROR(__xludf.DUMMYFUNCTION("IFERROR(GOOGLEFINANCE(A61,""NAME""),)"),"Aksh Optifibre Limited")</f>
        <v>Aksh Optifibre Limited</v>
      </c>
      <c r="C61" s="51">
        <f>IFERROR(__xludf.DUMMYFUNCTION("IFERROR(GOOGLEFINANCE(A61,""CHANGE""),)"),0.35)</f>
        <v>0.35</v>
      </c>
      <c r="D61" s="51">
        <f>IFERROR(__xludf.DUMMYFUNCTION("IFERROR(GOOGLEFINANCE(A61,""CHANGEPCT""),)"),4.94)</f>
        <v>4.94</v>
      </c>
      <c r="E61" s="51" t="str">
        <f t="shared" si="1"/>
        <v>4.94%</v>
      </c>
      <c r="F61" s="51">
        <f t="shared" si="2"/>
        <v>4.94</v>
      </c>
      <c r="G61" s="51" t="str">
        <f t="shared" si="3"/>
        <v/>
      </c>
      <c r="H61" s="51">
        <f>IFERROR(__xludf.DUMMYFUNCTION("IFERROR(GOOGLEFINANCE(A61,""PRICE""),)"),7.43)</f>
        <v>7.43</v>
      </c>
      <c r="I61" s="52">
        <f>IFERROR(__xludf.DUMMYFUNCTION("IFERROR(GOOGLEFINANCE(A61,""VOLUME""),)"),227194.0)</f>
        <v>227194</v>
      </c>
      <c r="J61" s="51" t="str">
        <f>IFERROR(__xludf.DUMMYFUNCTION("IFERROR(INDEX(SPLIT(A61,"":""),1,2),)"),"AKSHOPTFBR")</f>
        <v>AKSHOPTFBR</v>
      </c>
      <c r="K61" s="51">
        <f t="shared" si="4"/>
        <v>77</v>
      </c>
      <c r="L61" s="51" t="str">
        <f t="shared" si="5"/>
        <v/>
      </c>
      <c r="M61" s="51">
        <f t="shared" si="6"/>
        <v>591</v>
      </c>
      <c r="N61" s="53">
        <f>IFERROR(__xludf.DUMMYFUNCTION("IFERROR(GOOGLEFINANCE(A61,""TRADETIME""),)"),46269.64583333333)</f>
        <v>46269.64583</v>
      </c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</row>
    <row r="62" ht="15.75" customHeight="1">
      <c r="A62" s="48" t="s">
        <v>109</v>
      </c>
      <c r="B62" s="48" t="str">
        <f>IFERROR(__xludf.DUMMYFUNCTION("IFERROR(GOOGLEFINANCE(A62,""NAME""),)"),"")</f>
        <v/>
      </c>
      <c r="C62" s="48" t="str">
        <f>IFERROR(__xludf.DUMMYFUNCTION("IFERROR(GOOGLEFINANCE(A62,""CHANGE""),)"),"")</f>
        <v/>
      </c>
      <c r="D62" s="48" t="str">
        <f>IFERROR(__xludf.DUMMYFUNCTION("IFERROR(GOOGLEFINANCE(A62,""CHANGEPCT""),)"),"")</f>
        <v/>
      </c>
      <c r="E62" s="48" t="str">
        <f t="shared" si="1"/>
        <v>%</v>
      </c>
      <c r="F62" s="48" t="str">
        <f t="shared" si="2"/>
        <v/>
      </c>
      <c r="G62" s="48" t="str">
        <f t="shared" si="3"/>
        <v/>
      </c>
      <c r="H62" s="48" t="str">
        <f>IFERROR(__xludf.DUMMYFUNCTION("IFERROR(GOOGLEFINANCE(A62,""PRICE""),)"),"")</f>
        <v/>
      </c>
      <c r="I62" s="49" t="str">
        <f>IFERROR(__xludf.DUMMYFUNCTION("IFERROR(GOOGLEFINANCE(A62,""VOLUME""),)"),"")</f>
        <v/>
      </c>
      <c r="J62" s="48" t="str">
        <f>IFERROR(__xludf.DUMMYFUNCTION("IFERROR(INDEX(SPLIT(A62,"":""),1,2),)"),"AKZOINDIA")</f>
        <v>AKZOINDIA</v>
      </c>
      <c r="K62" s="48" t="str">
        <f t="shared" si="4"/>
        <v/>
      </c>
      <c r="L62" s="48" t="str">
        <f t="shared" si="5"/>
        <v/>
      </c>
      <c r="M62" s="48">
        <f t="shared" si="6"/>
        <v>1456</v>
      </c>
      <c r="N62" s="50" t="str">
        <f>IFERROR(__xludf.DUMMYFUNCTION("IFERROR(GOOGLEFINANCE(A62,""TRADETIME""),)"),"")</f>
        <v/>
      </c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3" ht="15.75" customHeight="1">
      <c r="A63" s="51" t="s">
        <v>110</v>
      </c>
      <c r="B63" s="51" t="str">
        <f>IFERROR(__xludf.DUMMYFUNCTION("IFERROR(GOOGLEFINANCE(A63,""NAME""),)"),"Alankit Ltd")</f>
        <v>Alankit Ltd</v>
      </c>
      <c r="C63" s="51">
        <f>IFERROR(__xludf.DUMMYFUNCTION("IFERROR(GOOGLEFINANCE(A63,""CHANGE""),)"),0.13)</f>
        <v>0.13</v>
      </c>
      <c r="D63" s="51">
        <f>IFERROR(__xludf.DUMMYFUNCTION("IFERROR(GOOGLEFINANCE(A63,""CHANGEPCT""),)"),1.62)</f>
        <v>1.62</v>
      </c>
      <c r="E63" s="51" t="str">
        <f t="shared" si="1"/>
        <v>1.62%</v>
      </c>
      <c r="F63" s="51">
        <f t="shared" si="2"/>
        <v>1.62</v>
      </c>
      <c r="G63" s="51" t="str">
        <f t="shared" si="3"/>
        <v/>
      </c>
      <c r="H63" s="51">
        <f>IFERROR(__xludf.DUMMYFUNCTION("IFERROR(GOOGLEFINANCE(A63,""PRICE""),)"),8.15)</f>
        <v>8.15</v>
      </c>
      <c r="I63" s="52">
        <f>IFERROR(__xludf.DUMMYFUNCTION("IFERROR(GOOGLEFINANCE(A63,""VOLUME""),)"),76587.0)</f>
        <v>76587</v>
      </c>
      <c r="J63" s="51" t="str">
        <f>IFERROR(__xludf.DUMMYFUNCTION("IFERROR(INDEX(SPLIT(A63,"":""),1,2),)"),"ALANKIT")</f>
        <v>ALANKIT</v>
      </c>
      <c r="K63" s="51">
        <f t="shared" si="4"/>
        <v>322</v>
      </c>
      <c r="L63" s="51" t="str">
        <f t="shared" si="5"/>
        <v/>
      </c>
      <c r="M63" s="51">
        <f t="shared" si="6"/>
        <v>837</v>
      </c>
      <c r="N63" s="53">
        <f>IFERROR(__xludf.DUMMYFUNCTION("IFERROR(GOOGLEFINANCE(A63,""TRADETIME""),)"),46269.64583333333)</f>
        <v>46269.64583</v>
      </c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</row>
    <row r="64" ht="15.75" customHeight="1">
      <c r="A64" s="48" t="s">
        <v>111</v>
      </c>
      <c r="B64" s="48" t="str">
        <f>IFERROR(__xludf.DUMMYFUNCTION("IFERROR(GOOGLEFINANCE(A64,""NAME""),)"),"Albert David Ltd")</f>
        <v>Albert David Ltd</v>
      </c>
      <c r="C64" s="48">
        <f>IFERROR(__xludf.DUMMYFUNCTION("IFERROR(GOOGLEFINANCE(A64,""CHANGE""),)"),-0.25)</f>
        <v>-0.25</v>
      </c>
      <c r="D64" s="48">
        <f>IFERROR(__xludf.DUMMYFUNCTION("IFERROR(GOOGLEFINANCE(A64,""CHANGEPCT""),)"),-0.03)</f>
        <v>-0.03</v>
      </c>
      <c r="E64" s="48" t="str">
        <f t="shared" si="1"/>
        <v>-0.03%</v>
      </c>
      <c r="F64" s="48" t="str">
        <f t="shared" si="2"/>
        <v/>
      </c>
      <c r="G64" s="48">
        <f t="shared" si="3"/>
        <v>-0.03</v>
      </c>
      <c r="H64" s="48">
        <f>IFERROR(__xludf.DUMMYFUNCTION("IFERROR(GOOGLEFINANCE(A64,""PRICE""),)"),869.9)</f>
        <v>869.9</v>
      </c>
      <c r="I64" s="49">
        <f>IFERROR(__xludf.DUMMYFUNCTION("IFERROR(GOOGLEFINANCE(A64,""VOLUME""),)"),3339.0)</f>
        <v>3339</v>
      </c>
      <c r="J64" s="48" t="str">
        <f>IFERROR(__xludf.DUMMYFUNCTION("IFERROR(INDEX(SPLIT(A64,"":""),1,2),)"),"ALBERTDAVD")</f>
        <v>ALBERTDAVD</v>
      </c>
      <c r="K64" s="48" t="str">
        <f t="shared" si="4"/>
        <v/>
      </c>
      <c r="L64" s="48">
        <f t="shared" si="5"/>
        <v>6</v>
      </c>
      <c r="M64" s="48">
        <f t="shared" si="6"/>
        <v>1359</v>
      </c>
      <c r="N64" s="50">
        <f>IFERROR(__xludf.DUMMYFUNCTION("IFERROR(GOOGLEFINANCE(A64,""TRADETIME""),)"),46269.64583333333)</f>
        <v>46269.64583</v>
      </c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</row>
    <row r="65" ht="15.75" customHeight="1">
      <c r="A65" s="51" t="s">
        <v>112</v>
      </c>
      <c r="B65" s="51" t="str">
        <f>IFERROR(__xludf.DUMMYFUNCTION("IFERROR(GOOGLEFINANCE(A65,""NAME""),)"),"Alembic Ltd")</f>
        <v>Alembic Ltd</v>
      </c>
      <c r="C65" s="51">
        <f>IFERROR(__xludf.DUMMYFUNCTION("IFERROR(GOOGLEFINANCE(A65,""CHANGE""),)"),2.19)</f>
        <v>2.19</v>
      </c>
      <c r="D65" s="51">
        <f>IFERROR(__xludf.DUMMYFUNCTION("IFERROR(GOOGLEFINANCE(A65,""CHANGEPCT""),)"),2.0)</f>
        <v>2</v>
      </c>
      <c r="E65" s="51" t="str">
        <f t="shared" si="1"/>
        <v>2%</v>
      </c>
      <c r="F65" s="51">
        <f t="shared" si="2"/>
        <v>2</v>
      </c>
      <c r="G65" s="51" t="str">
        <f t="shared" si="3"/>
        <v/>
      </c>
      <c r="H65" s="51">
        <f>IFERROR(__xludf.DUMMYFUNCTION("IFERROR(GOOGLEFINANCE(A65,""PRICE""),)"),111.7)</f>
        <v>111.7</v>
      </c>
      <c r="I65" s="52">
        <f>IFERROR(__xludf.DUMMYFUNCTION("IFERROR(GOOGLEFINANCE(A65,""VOLUME""),)"),5309246.0)</f>
        <v>5309246</v>
      </c>
      <c r="J65" s="51" t="str">
        <f>IFERROR(__xludf.DUMMYFUNCTION("IFERROR(INDEX(SPLIT(A65,"":""),1,2),)"),"ALEMBICLTD")</f>
        <v>ALEMBICLTD</v>
      </c>
      <c r="K65" s="51">
        <f t="shared" si="4"/>
        <v>255</v>
      </c>
      <c r="L65" s="51" t="str">
        <f t="shared" si="5"/>
        <v/>
      </c>
      <c r="M65" s="51">
        <f t="shared" si="6"/>
        <v>83</v>
      </c>
      <c r="N65" s="53">
        <f>IFERROR(__xludf.DUMMYFUNCTION("IFERROR(GOOGLEFINANCE(A65,""TRADETIME""),)"),46269.64584490741)</f>
        <v>46269.64584</v>
      </c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</row>
    <row r="66" ht="15.75" customHeight="1">
      <c r="A66" s="48" t="s">
        <v>113</v>
      </c>
      <c r="B66" s="48" t="str">
        <f>IFERROR(__xludf.DUMMYFUNCTION("IFERROR(GOOGLEFINANCE(A66,""NAME""),)"),"Alicon Castalloy Ltd")</f>
        <v>Alicon Castalloy Ltd</v>
      </c>
      <c r="C66" s="48">
        <f>IFERROR(__xludf.DUMMYFUNCTION("IFERROR(GOOGLEFINANCE(A66,""CHANGE""),)"),6.45)</f>
        <v>6.45</v>
      </c>
      <c r="D66" s="48">
        <f>IFERROR(__xludf.DUMMYFUNCTION("IFERROR(GOOGLEFINANCE(A66,""CHANGEPCT""),)"),0.94)</f>
        <v>0.94</v>
      </c>
      <c r="E66" s="48" t="str">
        <f t="shared" si="1"/>
        <v>0.94%</v>
      </c>
      <c r="F66" s="48">
        <f t="shared" si="2"/>
        <v>0.94</v>
      </c>
      <c r="G66" s="48" t="str">
        <f t="shared" si="3"/>
        <v/>
      </c>
      <c r="H66" s="48">
        <f>IFERROR(__xludf.DUMMYFUNCTION("IFERROR(GOOGLEFINANCE(A66,""PRICE""),)"),691.0)</f>
        <v>691</v>
      </c>
      <c r="I66" s="49">
        <f>IFERROR(__xludf.DUMMYFUNCTION("IFERROR(GOOGLEFINANCE(A66,""VOLUME""),)"),12867.0)</f>
        <v>12867</v>
      </c>
      <c r="J66" s="48" t="str">
        <f>IFERROR(__xludf.DUMMYFUNCTION("IFERROR(INDEX(SPLIT(A66,"":""),1,2),)"),"ALICON")</f>
        <v>ALICON</v>
      </c>
      <c r="K66" s="48">
        <f t="shared" si="4"/>
        <v>459</v>
      </c>
      <c r="L66" s="48" t="str">
        <f t="shared" si="5"/>
        <v/>
      </c>
      <c r="M66" s="48">
        <f t="shared" si="6"/>
        <v>1198</v>
      </c>
      <c r="N66" s="50">
        <f>IFERROR(__xludf.DUMMYFUNCTION("IFERROR(GOOGLEFINANCE(A66,""TRADETIME""),)"),46269.64583333333)</f>
        <v>46269.64583</v>
      </c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</row>
    <row r="67" ht="15.75" customHeight="1">
      <c r="A67" s="51" t="s">
        <v>114</v>
      </c>
      <c r="B67" s="51" t="str">
        <f>IFERROR(__xludf.DUMMYFUNCTION("IFERROR(GOOGLEFINANCE(A67,""NAME""),)"),"Alkali Metals Limited")</f>
        <v>Alkali Metals Limited</v>
      </c>
      <c r="C67" s="51">
        <f>IFERROR(__xludf.DUMMYFUNCTION("IFERROR(GOOGLEFINANCE(A67,""CHANGE""),)"),-0.97)</f>
        <v>-0.97</v>
      </c>
      <c r="D67" s="51">
        <f>IFERROR(__xludf.DUMMYFUNCTION("IFERROR(GOOGLEFINANCE(A67,""CHANGEPCT""),)"),-1.46)</f>
        <v>-1.46</v>
      </c>
      <c r="E67" s="51" t="str">
        <f t="shared" si="1"/>
        <v>-1.46%</v>
      </c>
      <c r="F67" s="51" t="str">
        <f t="shared" si="2"/>
        <v/>
      </c>
      <c r="G67" s="51">
        <f t="shared" si="3"/>
        <v>-1.46</v>
      </c>
      <c r="H67" s="51">
        <f>IFERROR(__xludf.DUMMYFUNCTION("IFERROR(GOOGLEFINANCE(A67,""PRICE""),)"),65.55)</f>
        <v>65.55</v>
      </c>
      <c r="I67" s="52">
        <f>IFERROR(__xludf.DUMMYFUNCTION("IFERROR(GOOGLEFINANCE(A67,""VOLUME""),)"),5638.0)</f>
        <v>5638</v>
      </c>
      <c r="J67" s="51" t="str">
        <f>IFERROR(__xludf.DUMMYFUNCTION("IFERROR(INDEX(SPLIT(A67,"":""),1,2),)"),"ALKALI")</f>
        <v>ALKALI</v>
      </c>
      <c r="K67" s="51" t="str">
        <f t="shared" si="4"/>
        <v/>
      </c>
      <c r="L67" s="51">
        <f t="shared" si="5"/>
        <v>439</v>
      </c>
      <c r="M67" s="51">
        <f t="shared" si="6"/>
        <v>1314</v>
      </c>
      <c r="N67" s="53">
        <f>IFERROR(__xludf.DUMMYFUNCTION("IFERROR(GOOGLEFINANCE(A67,""TRADETIME""),)"),46269.64583333333)</f>
        <v>46269.64583</v>
      </c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</row>
    <row r="68" ht="15.75" customHeight="1">
      <c r="A68" s="48" t="s">
        <v>115</v>
      </c>
      <c r="B68" s="48" t="str">
        <f>IFERROR(__xludf.DUMMYFUNCTION("IFERROR(GOOGLEFINANCE(A68,""NAME""),)"),"Alkem Laboratories Ltd")</f>
        <v>Alkem Laboratories Ltd</v>
      </c>
      <c r="C68" s="48">
        <f>IFERROR(__xludf.DUMMYFUNCTION("IFERROR(GOOGLEFINANCE(A68,""CHANGE""),)"),-3.0)</f>
        <v>-3</v>
      </c>
      <c r="D68" s="48">
        <f>IFERROR(__xludf.DUMMYFUNCTION("IFERROR(GOOGLEFINANCE(A68,""CHANGEPCT""),)"),-0.06)</f>
        <v>-0.06</v>
      </c>
      <c r="E68" s="48" t="str">
        <f t="shared" si="1"/>
        <v>-0.06%</v>
      </c>
      <c r="F68" s="48" t="str">
        <f t="shared" si="2"/>
        <v/>
      </c>
      <c r="G68" s="48">
        <f t="shared" si="3"/>
        <v>-0.06</v>
      </c>
      <c r="H68" s="48">
        <f>IFERROR(__xludf.DUMMYFUNCTION("IFERROR(GOOGLEFINANCE(A68,""PRICE""),)"),5190.0)</f>
        <v>5190</v>
      </c>
      <c r="I68" s="49">
        <f>IFERROR(__xludf.DUMMYFUNCTION("IFERROR(GOOGLEFINANCE(A68,""VOLUME""),)"),63261.0)</f>
        <v>63261</v>
      </c>
      <c r="J68" s="48" t="str">
        <f>IFERROR(__xludf.DUMMYFUNCTION("IFERROR(INDEX(SPLIT(A68,"":""),1,2),)"),"ALKEM")</f>
        <v>ALKEM</v>
      </c>
      <c r="K68" s="48" t="str">
        <f t="shared" si="4"/>
        <v/>
      </c>
      <c r="L68" s="48">
        <f t="shared" si="5"/>
        <v>16</v>
      </c>
      <c r="M68" s="48">
        <f t="shared" si="6"/>
        <v>889</v>
      </c>
      <c r="N68" s="50">
        <f>IFERROR(__xludf.DUMMYFUNCTION("IFERROR(GOOGLEFINANCE(A68,""TRADETIME""),)"),46269.64583333333)</f>
        <v>46269.64583</v>
      </c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</row>
    <row r="69" ht="15.75" customHeight="1">
      <c r="A69" s="51" t="s">
        <v>116</v>
      </c>
      <c r="B69" s="51" t="str">
        <f>IFERROR(__xludf.DUMMYFUNCTION("IFERROR(GOOGLEFINANCE(A69,""NAME""),)"),"Alkyl Amines Chemicals Ltd")</f>
        <v>Alkyl Amines Chemicals Ltd</v>
      </c>
      <c r="C69" s="51">
        <f>IFERROR(__xludf.DUMMYFUNCTION("IFERROR(GOOGLEFINANCE(A69,""CHANGE""),)"),22.8)</f>
        <v>22.8</v>
      </c>
      <c r="D69" s="51">
        <f>IFERROR(__xludf.DUMMYFUNCTION("IFERROR(GOOGLEFINANCE(A69,""CHANGEPCT""),)"),1.14)</f>
        <v>1.14</v>
      </c>
      <c r="E69" s="51" t="str">
        <f t="shared" si="1"/>
        <v>1.14%</v>
      </c>
      <c r="F69" s="51">
        <f t="shared" si="2"/>
        <v>1.14</v>
      </c>
      <c r="G69" s="51" t="str">
        <f t="shared" si="3"/>
        <v/>
      </c>
      <c r="H69" s="51">
        <f>IFERROR(__xludf.DUMMYFUNCTION("IFERROR(GOOGLEFINANCE(A69,""PRICE""),)"),2026.0)</f>
        <v>2026</v>
      </c>
      <c r="I69" s="52">
        <f>IFERROR(__xludf.DUMMYFUNCTION("IFERROR(GOOGLEFINANCE(A69,""VOLUME""),)"),97864.0)</f>
        <v>97864</v>
      </c>
      <c r="J69" s="51" t="str">
        <f>IFERROR(__xludf.DUMMYFUNCTION("IFERROR(INDEX(SPLIT(A69,"":""),1,2),)"),"ALKYLAMINE")</f>
        <v>ALKYLAMINE</v>
      </c>
      <c r="K69" s="51">
        <f t="shared" si="4"/>
        <v>424</v>
      </c>
      <c r="L69" s="51" t="str">
        <f t="shared" si="5"/>
        <v/>
      </c>
      <c r="M69" s="51">
        <f t="shared" si="6"/>
        <v>775</v>
      </c>
      <c r="N69" s="53">
        <f>IFERROR(__xludf.DUMMYFUNCTION("IFERROR(GOOGLEFINANCE(A69,""TRADETIME""),)"),46269.64584490741)</f>
        <v>46269.64584</v>
      </c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</row>
    <row r="70" ht="15.75" customHeight="1">
      <c r="A70" s="48" t="s">
        <v>117</v>
      </c>
      <c r="B70" s="48" t="str">
        <f>IFERROR(__xludf.DUMMYFUNCTION("IFERROR(GOOGLEFINANCE(A70,""NAME""),)"),"Allcargo Logistics Ltd")</f>
        <v>Allcargo Logistics Ltd</v>
      </c>
      <c r="C70" s="48">
        <f>IFERROR(__xludf.DUMMYFUNCTION("IFERROR(GOOGLEFINANCE(A70,""CHANGE""),)"),-0.08)</f>
        <v>-0.08</v>
      </c>
      <c r="D70" s="48">
        <f>IFERROR(__xludf.DUMMYFUNCTION("IFERROR(GOOGLEFINANCE(A70,""CHANGEPCT""),)"),-0.64)</f>
        <v>-0.64</v>
      </c>
      <c r="E70" s="48" t="str">
        <f t="shared" si="1"/>
        <v>-0.64%</v>
      </c>
      <c r="F70" s="48" t="str">
        <f t="shared" si="2"/>
        <v/>
      </c>
      <c r="G70" s="48">
        <f t="shared" si="3"/>
        <v>-0.64</v>
      </c>
      <c r="H70" s="48">
        <f>IFERROR(__xludf.DUMMYFUNCTION("IFERROR(GOOGLEFINANCE(A70,""PRICE""),)"),12.43)</f>
        <v>12.43</v>
      </c>
      <c r="I70" s="49">
        <f>IFERROR(__xludf.DUMMYFUNCTION("IFERROR(GOOGLEFINANCE(A70,""VOLUME""),)"),1.2711642E7)</f>
        <v>12711642</v>
      </c>
      <c r="J70" s="48" t="str">
        <f>IFERROR(__xludf.DUMMYFUNCTION("IFERROR(INDEX(SPLIT(A70,"":""),1,2),)"),"ALLCARGO")</f>
        <v>ALLCARGO</v>
      </c>
      <c r="K70" s="48" t="str">
        <f t="shared" si="4"/>
        <v/>
      </c>
      <c r="L70" s="48">
        <f t="shared" si="5"/>
        <v>238</v>
      </c>
      <c r="M70" s="48">
        <f t="shared" si="6"/>
        <v>38</v>
      </c>
      <c r="N70" s="50">
        <f>IFERROR(__xludf.DUMMYFUNCTION("IFERROR(GOOGLEFINANCE(A70,""TRADETIME""),)"),46269.64584490741)</f>
        <v>46269.64584</v>
      </c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</row>
    <row r="71" ht="15.75" customHeight="1">
      <c r="A71" s="51" t="s">
        <v>118</v>
      </c>
      <c r="B71" s="51" t="str">
        <f>IFERROR(__xludf.DUMMYFUNCTION("IFERROR(GOOGLEFINANCE(A71,""NAME""),)"),"")</f>
        <v/>
      </c>
      <c r="C71" s="51" t="str">
        <f>IFERROR(__xludf.DUMMYFUNCTION("IFERROR(GOOGLEFINANCE(A71,""CHANGE""),)"),"")</f>
        <v/>
      </c>
      <c r="D71" s="51" t="str">
        <f>IFERROR(__xludf.DUMMYFUNCTION("IFERROR(GOOGLEFINANCE(A71,""CHANGEPCT""),)"),"")</f>
        <v/>
      </c>
      <c r="E71" s="51" t="str">
        <f t="shared" si="1"/>
        <v>%</v>
      </c>
      <c r="F71" s="51" t="str">
        <f t="shared" si="2"/>
        <v/>
      </c>
      <c r="G71" s="51" t="str">
        <f t="shared" si="3"/>
        <v/>
      </c>
      <c r="H71" s="51" t="str">
        <f>IFERROR(__xludf.DUMMYFUNCTION("IFERROR(GOOGLEFINANCE(A71,""PRICE""),)"),"")</f>
        <v/>
      </c>
      <c r="I71" s="52" t="str">
        <f>IFERROR(__xludf.DUMMYFUNCTION("IFERROR(GOOGLEFINANCE(A71,""VOLUME""),)"),"")</f>
        <v/>
      </c>
      <c r="J71" s="51" t="str">
        <f>IFERROR(__xludf.DUMMYFUNCTION("IFERROR(INDEX(SPLIT(A71,"":""),1,2),)"),"ALLSEC")</f>
        <v>ALLSEC</v>
      </c>
      <c r="K71" s="51" t="str">
        <f t="shared" si="4"/>
        <v/>
      </c>
      <c r="L71" s="51" t="str">
        <f t="shared" si="5"/>
        <v/>
      </c>
      <c r="M71" s="51">
        <f t="shared" si="6"/>
        <v>1456</v>
      </c>
      <c r="N71" s="53" t="str">
        <f>IFERROR(__xludf.DUMMYFUNCTION("IFERROR(GOOGLEFINANCE(A71,""TRADETIME""),)"),"")</f>
        <v/>
      </c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</row>
    <row r="72" ht="15.75" customHeight="1">
      <c r="A72" s="48" t="s">
        <v>119</v>
      </c>
      <c r="B72" s="48" t="str">
        <f>IFERROR(__xludf.DUMMYFUNCTION("IFERROR(GOOGLEFINANCE(A72,""NAME""),)"),"Almondz Global Securities Ltd")</f>
        <v>Almondz Global Securities Ltd</v>
      </c>
      <c r="C72" s="48">
        <f>IFERROR(__xludf.DUMMYFUNCTION("IFERROR(GOOGLEFINANCE(A72,""CHANGE""),)"),0.34)</f>
        <v>0.34</v>
      </c>
      <c r="D72" s="48">
        <f>IFERROR(__xludf.DUMMYFUNCTION("IFERROR(GOOGLEFINANCE(A72,""CHANGEPCT""),)"),1.93)</f>
        <v>1.93</v>
      </c>
      <c r="E72" s="48" t="str">
        <f t="shared" si="1"/>
        <v>1.93%</v>
      </c>
      <c r="F72" s="48">
        <f t="shared" si="2"/>
        <v>1.93</v>
      </c>
      <c r="G72" s="48" t="str">
        <f t="shared" si="3"/>
        <v/>
      </c>
      <c r="H72" s="48">
        <f>IFERROR(__xludf.DUMMYFUNCTION("IFERROR(GOOGLEFINANCE(A72,""PRICE""),)"),18.0)</f>
        <v>18</v>
      </c>
      <c r="I72" s="49">
        <f>IFERROR(__xludf.DUMMYFUNCTION("IFERROR(GOOGLEFINANCE(A72,""VOLUME""),)"),302678.0)</f>
        <v>302678</v>
      </c>
      <c r="J72" s="48" t="str">
        <f>IFERROR(__xludf.DUMMYFUNCTION("IFERROR(INDEX(SPLIT(A72,"":""),1,2),)"),"ALMONDZ")</f>
        <v>ALMONDZ</v>
      </c>
      <c r="K72" s="48">
        <f t="shared" si="4"/>
        <v>273</v>
      </c>
      <c r="L72" s="48" t="str">
        <f t="shared" si="5"/>
        <v/>
      </c>
      <c r="M72" s="48">
        <f t="shared" si="6"/>
        <v>513</v>
      </c>
      <c r="N72" s="50">
        <f>IFERROR(__xludf.DUMMYFUNCTION("IFERROR(GOOGLEFINANCE(A72,""TRADETIME""),)"),46269.64584490741)</f>
        <v>46269.64584</v>
      </c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</row>
    <row r="73" ht="15.75" customHeight="1">
      <c r="A73" s="51" t="s">
        <v>120</v>
      </c>
      <c r="B73" s="51" t="str">
        <f>IFERROR(__xludf.DUMMYFUNCTION("IFERROR(GOOGLEFINANCE(A73,""NAME""),)"),"Alok Industries Ltd")</f>
        <v>Alok Industries Ltd</v>
      </c>
      <c r="C73" s="51">
        <f>IFERROR(__xludf.DUMMYFUNCTION("IFERROR(GOOGLEFINANCE(A73,""CHANGE""),)"),0.33)</f>
        <v>0.33</v>
      </c>
      <c r="D73" s="51">
        <f>IFERROR(__xludf.DUMMYFUNCTION("IFERROR(GOOGLEFINANCE(A73,""CHANGEPCT""),)"),4.38)</f>
        <v>4.38</v>
      </c>
      <c r="E73" s="51" t="str">
        <f t="shared" si="1"/>
        <v>4.38%</v>
      </c>
      <c r="F73" s="51">
        <f t="shared" si="2"/>
        <v>4.38</v>
      </c>
      <c r="G73" s="51" t="str">
        <f t="shared" si="3"/>
        <v/>
      </c>
      <c r="H73" s="51">
        <f>IFERROR(__xludf.DUMMYFUNCTION("IFERROR(GOOGLEFINANCE(A73,""PRICE""),)"),7.86)</f>
        <v>7.86</v>
      </c>
      <c r="I73" s="52">
        <f>IFERROR(__xludf.DUMMYFUNCTION("IFERROR(GOOGLEFINANCE(A73,""VOLUME""),)"),6.5791332E7)</f>
        <v>65791332</v>
      </c>
      <c r="J73" s="51" t="str">
        <f>IFERROR(__xludf.DUMMYFUNCTION("IFERROR(INDEX(SPLIT(A73,"":""),1,2),)"),"ALOKINDS")</f>
        <v>ALOKINDS</v>
      </c>
      <c r="K73" s="51">
        <f t="shared" si="4"/>
        <v>98</v>
      </c>
      <c r="L73" s="51" t="str">
        <f t="shared" si="5"/>
        <v/>
      </c>
      <c r="M73" s="51">
        <f t="shared" si="6"/>
        <v>6</v>
      </c>
      <c r="N73" s="53">
        <f>IFERROR(__xludf.DUMMYFUNCTION("IFERROR(GOOGLEFINANCE(A73,""TRADETIME""),)"),46269.64584490741)</f>
        <v>46269.64584</v>
      </c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</row>
    <row r="74" ht="15.75" customHeight="1">
      <c r="A74" s="48" t="s">
        <v>121</v>
      </c>
      <c r="B74" s="48" t="str">
        <f>IFERROR(__xludf.DUMMYFUNCTION("IFERROR(GOOGLEFINANCE(A74,""NAME""),)"),"Alpa Laboratories Limited")</f>
        <v>Alpa Laboratories Limited</v>
      </c>
      <c r="C74" s="48">
        <f>IFERROR(__xludf.DUMMYFUNCTION("IFERROR(GOOGLEFINANCE(A74,""CHANGE""),)"),-1.25)</f>
        <v>-1.25</v>
      </c>
      <c r="D74" s="48">
        <f>IFERROR(__xludf.DUMMYFUNCTION("IFERROR(GOOGLEFINANCE(A74,""CHANGEPCT""),)"),-1.97)</f>
        <v>-1.97</v>
      </c>
      <c r="E74" s="48" t="str">
        <f t="shared" si="1"/>
        <v>-1.97%</v>
      </c>
      <c r="F74" s="48" t="str">
        <f t="shared" si="2"/>
        <v/>
      </c>
      <c r="G74" s="48">
        <f t="shared" si="3"/>
        <v>-1.97</v>
      </c>
      <c r="H74" s="48">
        <f>IFERROR(__xludf.DUMMYFUNCTION("IFERROR(GOOGLEFINANCE(A74,""PRICE""),)"),62.05)</f>
        <v>62.05</v>
      </c>
      <c r="I74" s="49">
        <f>IFERROR(__xludf.DUMMYFUNCTION("IFERROR(GOOGLEFINANCE(A74,""VOLUME""),)"),9194.0)</f>
        <v>9194</v>
      </c>
      <c r="J74" s="48" t="str">
        <f>IFERROR(__xludf.DUMMYFUNCTION("IFERROR(INDEX(SPLIT(A74,"":""),1,2),)"),"ALPA")</f>
        <v>ALPA</v>
      </c>
      <c r="K74" s="48" t="str">
        <f t="shared" si="4"/>
        <v/>
      </c>
      <c r="L74" s="48">
        <f t="shared" si="5"/>
        <v>524</v>
      </c>
      <c r="M74" s="48">
        <f t="shared" si="6"/>
        <v>1244</v>
      </c>
      <c r="N74" s="50">
        <f>IFERROR(__xludf.DUMMYFUNCTION("IFERROR(GOOGLEFINANCE(A74,""TRADETIME""),)"),46269.64583333333)</f>
        <v>46269.64583</v>
      </c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</row>
    <row r="75" ht="15.75" customHeight="1">
      <c r="A75" s="51" t="s">
        <v>122</v>
      </c>
      <c r="B75" s="51" t="str">
        <f>IFERROR(__xludf.DUMMYFUNCTION("IFERROR(GOOGLEFINANCE(A75,""NAME""),)"),"Banco Products (India) Ltd")</f>
        <v>Banco Products (India) Ltd</v>
      </c>
      <c r="C75" s="51">
        <f>IFERROR(__xludf.DUMMYFUNCTION("IFERROR(GOOGLEFINANCE(A75,""CHANGE""),)"),9.1)</f>
        <v>9.1</v>
      </c>
      <c r="D75" s="51">
        <f>IFERROR(__xludf.DUMMYFUNCTION("IFERROR(GOOGLEFINANCE(A75,""CHANGEPCT""),)"),1.48)</f>
        <v>1.48</v>
      </c>
      <c r="E75" s="51" t="str">
        <f t="shared" si="1"/>
        <v>1.48%</v>
      </c>
      <c r="F75" s="51">
        <f t="shared" si="2"/>
        <v>1.48</v>
      </c>
      <c r="G75" s="51" t="str">
        <f t="shared" si="3"/>
        <v/>
      </c>
      <c r="H75" s="51">
        <f>IFERROR(__xludf.DUMMYFUNCTION("IFERROR(GOOGLEFINANCE(A75,""PRICE""),)"),626.0)</f>
        <v>626</v>
      </c>
      <c r="I75" s="52">
        <f>IFERROR(__xludf.DUMMYFUNCTION("IFERROR(GOOGLEFINANCE(A75,""VOLUME""),)"),77773.0)</f>
        <v>77773</v>
      </c>
      <c r="J75" s="51" t="str">
        <f>IFERROR(__xludf.DUMMYFUNCTION("IFERROR(INDEX(SPLIT(A75,"":""),1,2),)"),"BANCOINDIA")</f>
        <v>BANCOINDIA</v>
      </c>
      <c r="K75" s="51">
        <f t="shared" si="4"/>
        <v>351</v>
      </c>
      <c r="L75" s="51" t="str">
        <f t="shared" si="5"/>
        <v/>
      </c>
      <c r="M75" s="51">
        <f t="shared" si="6"/>
        <v>831</v>
      </c>
      <c r="N75" s="53">
        <f>IFERROR(__xludf.DUMMYFUNCTION("IFERROR(GOOGLEFINANCE(A75,""TRADETIME""),)"),46269.64584490741)</f>
        <v>46269.64584</v>
      </c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</row>
    <row r="76" ht="15.75" customHeight="1">
      <c r="A76" s="48" t="s">
        <v>123</v>
      </c>
      <c r="B76" s="48" t="str">
        <f>IFERROR(__xludf.DUMMYFUNCTION("IFERROR(GOOGLEFINANCE(A76,""NAME""),)"),"")</f>
        <v/>
      </c>
      <c r="C76" s="48" t="str">
        <f>IFERROR(__xludf.DUMMYFUNCTION("IFERROR(GOOGLEFINANCE(A76,""CHANGE""),)"),"")</f>
        <v/>
      </c>
      <c r="D76" s="48" t="str">
        <f>IFERROR(__xludf.DUMMYFUNCTION("IFERROR(GOOGLEFINANCE(A76,""CHANGEPCT""),)"),"")</f>
        <v/>
      </c>
      <c r="E76" s="48" t="str">
        <f t="shared" si="1"/>
        <v>%</v>
      </c>
      <c r="F76" s="48" t="str">
        <f t="shared" si="2"/>
        <v/>
      </c>
      <c r="G76" s="48" t="str">
        <f t="shared" si="3"/>
        <v/>
      </c>
      <c r="H76" s="48" t="str">
        <f>IFERROR(__xludf.DUMMYFUNCTION("IFERROR(GOOGLEFINANCE(A76,""PRICE""),)"),"")</f>
        <v/>
      </c>
      <c r="I76" s="49" t="str">
        <f>IFERROR(__xludf.DUMMYFUNCTION("IFERROR(GOOGLEFINANCE(A76,""VOLUME""),)"),"")</f>
        <v/>
      </c>
      <c r="J76" s="48" t="str">
        <f>IFERROR(__xludf.DUMMYFUNCTION("IFERROR(INDEX(SPLIT(A76,"":""),1,2),)"),"ALPSINDUS")</f>
        <v>ALPSINDUS</v>
      </c>
      <c r="K76" s="48" t="str">
        <f t="shared" si="4"/>
        <v/>
      </c>
      <c r="L76" s="48" t="str">
        <f t="shared" si="5"/>
        <v/>
      </c>
      <c r="M76" s="48">
        <f t="shared" si="6"/>
        <v>1456</v>
      </c>
      <c r="N76" s="50" t="str">
        <f>IFERROR(__xludf.DUMMYFUNCTION("IFERROR(GOOGLEFINANCE(A76,""TRADETIME""),)"),"")</f>
        <v/>
      </c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</row>
    <row r="77" ht="15.75" customHeight="1">
      <c r="A77" s="51" t="s">
        <v>124</v>
      </c>
      <c r="B77" s="51" t="str">
        <f>IFERROR(__xludf.DUMMYFUNCTION("IFERROR(GOOGLEFINANCE(A77,""NAME""),)"),"")</f>
        <v/>
      </c>
      <c r="C77" s="51" t="str">
        <f>IFERROR(__xludf.DUMMYFUNCTION("IFERROR(GOOGLEFINANCE(A77,""CHANGE""),)"),"")</f>
        <v/>
      </c>
      <c r="D77" s="51" t="str">
        <f>IFERROR(__xludf.DUMMYFUNCTION("IFERROR(GOOGLEFINANCE(A77,""CHANGEPCT""),)"),"")</f>
        <v/>
      </c>
      <c r="E77" s="51" t="str">
        <f t="shared" si="1"/>
        <v>%</v>
      </c>
      <c r="F77" s="51" t="str">
        <f t="shared" si="2"/>
        <v/>
      </c>
      <c r="G77" s="51" t="str">
        <f t="shared" si="3"/>
        <v/>
      </c>
      <c r="H77" s="51" t="str">
        <f>IFERROR(__xludf.DUMMYFUNCTION("IFERROR(GOOGLEFINANCE(A77,""PRICE""),)"),"")</f>
        <v/>
      </c>
      <c r="I77" s="52" t="str">
        <f>IFERROR(__xludf.DUMMYFUNCTION("IFERROR(GOOGLEFINANCE(A77,""VOLUME""),)"),"")</f>
        <v/>
      </c>
      <c r="J77" s="51" t="str">
        <f>IFERROR(__xludf.DUMMYFUNCTION("IFERROR(INDEX(SPLIT(A77,"":""),1,2),)"),"AMARAJABAT")</f>
        <v>AMARAJABAT</v>
      </c>
      <c r="K77" s="51" t="str">
        <f t="shared" si="4"/>
        <v/>
      </c>
      <c r="L77" s="51" t="str">
        <f t="shared" si="5"/>
        <v/>
      </c>
      <c r="M77" s="51">
        <f t="shared" si="6"/>
        <v>1456</v>
      </c>
      <c r="N77" s="53" t="str">
        <f>IFERROR(__xludf.DUMMYFUNCTION("IFERROR(GOOGLEFINANCE(A77,""TRADETIME""),)"),"")</f>
        <v/>
      </c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</row>
    <row r="78" ht="15.75" customHeight="1">
      <c r="A78" s="48" t="s">
        <v>125</v>
      </c>
      <c r="B78" s="48" t="str">
        <f>IFERROR(__xludf.DUMMYFUNCTION("IFERROR(GOOGLEFINANCE(A78,""NAME""),)"),"Amber Enterprises India Ltd")</f>
        <v>Amber Enterprises India Ltd</v>
      </c>
      <c r="C78" s="48">
        <f>IFERROR(__xludf.DUMMYFUNCTION("IFERROR(GOOGLEFINANCE(A78,""CHANGE""),)"),65.0)</f>
        <v>65</v>
      </c>
      <c r="D78" s="48">
        <f>IFERROR(__xludf.DUMMYFUNCTION("IFERROR(GOOGLEFINANCE(A78,""CHANGEPCT""),)"),0.88)</f>
        <v>0.88</v>
      </c>
      <c r="E78" s="48" t="str">
        <f t="shared" si="1"/>
        <v>0.88%</v>
      </c>
      <c r="F78" s="48">
        <f t="shared" si="2"/>
        <v>0.88</v>
      </c>
      <c r="G78" s="48" t="str">
        <f t="shared" si="3"/>
        <v/>
      </c>
      <c r="H78" s="48">
        <f>IFERROR(__xludf.DUMMYFUNCTION("IFERROR(GOOGLEFINANCE(A78,""PRICE""),)"),7475.0)</f>
        <v>7475</v>
      </c>
      <c r="I78" s="49">
        <f>IFERROR(__xludf.DUMMYFUNCTION("IFERROR(GOOGLEFINANCE(A78,""VOLUME""),)"),128335.0)</f>
        <v>128335</v>
      </c>
      <c r="J78" s="48" t="str">
        <f>IFERROR(__xludf.DUMMYFUNCTION("IFERROR(INDEX(SPLIT(A78,"":""),1,2),)"),"AMBER")</f>
        <v>AMBER</v>
      </c>
      <c r="K78" s="48">
        <f t="shared" si="4"/>
        <v>475</v>
      </c>
      <c r="L78" s="48" t="str">
        <f t="shared" si="5"/>
        <v/>
      </c>
      <c r="M78" s="48">
        <f t="shared" si="6"/>
        <v>724</v>
      </c>
      <c r="N78" s="50">
        <f>IFERROR(__xludf.DUMMYFUNCTION("IFERROR(GOOGLEFINANCE(A78,""TRADETIME""),)"),46269.64583333333)</f>
        <v>46269.64583</v>
      </c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</row>
    <row r="79" ht="15.75" customHeight="1">
      <c r="A79" s="51" t="s">
        <v>126</v>
      </c>
      <c r="B79" s="51" t="str">
        <f>IFERROR(__xludf.DUMMYFUNCTION("IFERROR(GOOGLEFINANCE(A79,""NAME""),)"),"Ambika Cotton Mills Ltd")</f>
        <v>Ambika Cotton Mills Ltd</v>
      </c>
      <c r="C79" s="51">
        <f>IFERROR(__xludf.DUMMYFUNCTION("IFERROR(GOOGLEFINANCE(A79,""CHANGE""),)"),3.3)</f>
        <v>3.3</v>
      </c>
      <c r="D79" s="51">
        <f>IFERROR(__xludf.DUMMYFUNCTION("IFERROR(GOOGLEFINANCE(A79,""CHANGEPCT""),)"),0.2)</f>
        <v>0.2</v>
      </c>
      <c r="E79" s="51" t="str">
        <f t="shared" si="1"/>
        <v>0.2%</v>
      </c>
      <c r="F79" s="51">
        <f t="shared" si="2"/>
        <v>0.2</v>
      </c>
      <c r="G79" s="51" t="str">
        <f t="shared" si="3"/>
        <v/>
      </c>
      <c r="H79" s="51">
        <f>IFERROR(__xludf.DUMMYFUNCTION("IFERROR(GOOGLEFINANCE(A79,""PRICE""),)"),1638.0)</f>
        <v>1638</v>
      </c>
      <c r="I79" s="52">
        <f>IFERROR(__xludf.DUMMYFUNCTION("IFERROR(GOOGLEFINANCE(A79,""VOLUME""),)"),5906.0)</f>
        <v>5906</v>
      </c>
      <c r="J79" s="51" t="str">
        <f>IFERROR(__xludf.DUMMYFUNCTION("IFERROR(INDEX(SPLIT(A79,"":""),1,2),)"),"AMBIKCO")</f>
        <v>AMBIKCO</v>
      </c>
      <c r="K79" s="51">
        <f t="shared" si="4"/>
        <v>695</v>
      </c>
      <c r="L79" s="51" t="str">
        <f t="shared" si="5"/>
        <v/>
      </c>
      <c r="M79" s="51">
        <f t="shared" si="6"/>
        <v>1308</v>
      </c>
      <c r="N79" s="53">
        <f>IFERROR(__xludf.DUMMYFUNCTION("IFERROR(GOOGLEFINANCE(A79,""TRADETIME""),)"),46269.64583333333)</f>
        <v>46269.64583</v>
      </c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</row>
    <row r="80" ht="15.75" customHeight="1">
      <c r="A80" s="48" t="s">
        <v>127</v>
      </c>
      <c r="B80" s="48" t="str">
        <f>IFERROR(__xludf.DUMMYFUNCTION("IFERROR(GOOGLEFINANCE(A80,""NAME""),)"),"Ambuja Cements Ltd")</f>
        <v>Ambuja Cements Ltd</v>
      </c>
      <c r="C80" s="48">
        <f>IFERROR(__xludf.DUMMYFUNCTION("IFERROR(GOOGLEFINANCE(A80,""CHANGE""),)"),0.0)</f>
        <v>0</v>
      </c>
      <c r="D80" s="48">
        <f>IFERROR(__xludf.DUMMYFUNCTION("IFERROR(GOOGLEFINANCE(A80,""CHANGEPCT""),)"),0.0)</f>
        <v>0</v>
      </c>
      <c r="E80" s="48" t="str">
        <f t="shared" si="1"/>
        <v>0%</v>
      </c>
      <c r="F80" s="48" t="str">
        <f t="shared" si="2"/>
        <v/>
      </c>
      <c r="G80" s="48" t="str">
        <f t="shared" si="3"/>
        <v/>
      </c>
      <c r="H80" s="48">
        <f>IFERROR(__xludf.DUMMYFUNCTION("IFERROR(GOOGLEFINANCE(A80,""PRICE""),)"),405.0)</f>
        <v>405</v>
      </c>
      <c r="I80" s="49">
        <f>IFERROR(__xludf.DUMMYFUNCTION("IFERROR(GOOGLEFINANCE(A80,""VOLUME""),)"),807422.0)</f>
        <v>807422</v>
      </c>
      <c r="J80" s="48" t="str">
        <f>IFERROR(__xludf.DUMMYFUNCTION("IFERROR(INDEX(SPLIT(A80,"":""),1,2),)"),"AMBUJACEM")</f>
        <v>AMBUJACEM</v>
      </c>
      <c r="K80" s="48" t="str">
        <f t="shared" si="4"/>
        <v/>
      </c>
      <c r="L80" s="48" t="str">
        <f t="shared" si="5"/>
        <v/>
      </c>
      <c r="M80" s="48">
        <f t="shared" si="6"/>
        <v>308</v>
      </c>
      <c r="N80" s="50">
        <f>IFERROR(__xludf.DUMMYFUNCTION("IFERROR(GOOGLEFINANCE(A80,""TRADETIME""),)"),46269.64583333333)</f>
        <v>46269.64583</v>
      </c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</row>
    <row r="81" ht="15.75" customHeight="1">
      <c r="A81" s="51" t="s">
        <v>128</v>
      </c>
      <c r="B81" s="51" t="str">
        <f>IFERROR(__xludf.DUMMYFUNCTION("IFERROR(GOOGLEFINANCE(A81,""NAME""),)"),"AMD Industries Ltd.")</f>
        <v>AMD Industries Ltd.</v>
      </c>
      <c r="C81" s="51">
        <f>IFERROR(__xludf.DUMMYFUNCTION("IFERROR(GOOGLEFINANCE(A81,""CHANGE""),)"),1.79)</f>
        <v>1.79</v>
      </c>
      <c r="D81" s="51">
        <f>IFERROR(__xludf.DUMMYFUNCTION("IFERROR(GOOGLEFINANCE(A81,""CHANGEPCT""),)"),3.06)</f>
        <v>3.06</v>
      </c>
      <c r="E81" s="51" t="str">
        <f t="shared" si="1"/>
        <v>3.06%</v>
      </c>
      <c r="F81" s="51">
        <f t="shared" si="2"/>
        <v>3.06</v>
      </c>
      <c r="G81" s="51" t="str">
        <f t="shared" si="3"/>
        <v/>
      </c>
      <c r="H81" s="51">
        <f>IFERROR(__xludf.DUMMYFUNCTION("IFERROR(GOOGLEFINANCE(A81,""PRICE""),)"),60.3)</f>
        <v>60.3</v>
      </c>
      <c r="I81" s="52">
        <f>IFERROR(__xludf.DUMMYFUNCTION("IFERROR(GOOGLEFINANCE(A81,""VOLUME""),)"),73559.0)</f>
        <v>73559</v>
      </c>
      <c r="J81" s="51" t="str">
        <f>IFERROR(__xludf.DUMMYFUNCTION("IFERROR(INDEX(SPLIT(A81,"":""),1,2),)"),"AMDIND")</f>
        <v>AMDIND</v>
      </c>
      <c r="K81" s="51">
        <f t="shared" si="4"/>
        <v>160</v>
      </c>
      <c r="L81" s="51" t="str">
        <f t="shared" si="5"/>
        <v/>
      </c>
      <c r="M81" s="51">
        <f t="shared" si="6"/>
        <v>849</v>
      </c>
      <c r="N81" s="53">
        <f>IFERROR(__xludf.DUMMYFUNCTION("IFERROR(GOOGLEFINANCE(A81,""TRADETIME""),)"),46269.64583333333)</f>
        <v>46269.64583</v>
      </c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</row>
    <row r="82" ht="15.75" customHeight="1">
      <c r="A82" s="48" t="s">
        <v>129</v>
      </c>
      <c r="B82" s="48" t="str">
        <f>IFERROR(__xludf.DUMMYFUNCTION("IFERROR(GOOGLEFINANCE(A82,""NAME""),)"),"AMJ Land Holdings Ltd")</f>
        <v>AMJ Land Holdings Ltd</v>
      </c>
      <c r="C82" s="48">
        <f>IFERROR(__xludf.DUMMYFUNCTION("IFERROR(GOOGLEFINANCE(A82,""CHANGE""),)"),0.05)</f>
        <v>0.05</v>
      </c>
      <c r="D82" s="48">
        <f>IFERROR(__xludf.DUMMYFUNCTION("IFERROR(GOOGLEFINANCE(A82,""CHANGEPCT""),)"),0.13)</f>
        <v>0.13</v>
      </c>
      <c r="E82" s="48" t="str">
        <f t="shared" si="1"/>
        <v>0.13%</v>
      </c>
      <c r="F82" s="48">
        <f t="shared" si="2"/>
        <v>0.13</v>
      </c>
      <c r="G82" s="48" t="str">
        <f t="shared" si="3"/>
        <v/>
      </c>
      <c r="H82" s="48">
        <f>IFERROR(__xludf.DUMMYFUNCTION("IFERROR(GOOGLEFINANCE(A82,""PRICE""),)"),39.65)</f>
        <v>39.65</v>
      </c>
      <c r="I82" s="49">
        <f>IFERROR(__xludf.DUMMYFUNCTION("IFERROR(GOOGLEFINANCE(A82,""VOLUME""),)"),3541.0)</f>
        <v>3541</v>
      </c>
      <c r="J82" s="48" t="str">
        <f>IFERROR(__xludf.DUMMYFUNCTION("IFERROR(INDEX(SPLIT(A82,"":""),1,2),)"),"AMJLAND")</f>
        <v>AMJLAND</v>
      </c>
      <c r="K82" s="48">
        <f t="shared" si="4"/>
        <v>729</v>
      </c>
      <c r="L82" s="48" t="str">
        <f t="shared" si="5"/>
        <v/>
      </c>
      <c r="M82" s="48">
        <f t="shared" si="6"/>
        <v>1356</v>
      </c>
      <c r="N82" s="50">
        <f>IFERROR(__xludf.DUMMYFUNCTION("IFERROR(GOOGLEFINANCE(A82,""TRADETIME""),)"),46269.64583333333)</f>
        <v>46269.64583</v>
      </c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</row>
    <row r="83" ht="15.75" customHeight="1">
      <c r="A83" s="51" t="s">
        <v>130</v>
      </c>
      <c r="B83" s="51" t="str">
        <f>IFERROR(__xludf.DUMMYFUNCTION("IFERROR(GOOGLEFINANCE(A83,""NAME""),)"),"Amrutanjan Health Care Ltd")</f>
        <v>Amrutanjan Health Care Ltd</v>
      </c>
      <c r="C83" s="51">
        <f>IFERROR(__xludf.DUMMYFUNCTION("IFERROR(GOOGLEFINANCE(A83,""CHANGE""),)"),-5.35)</f>
        <v>-5.35</v>
      </c>
      <c r="D83" s="51">
        <f>IFERROR(__xludf.DUMMYFUNCTION("IFERROR(GOOGLEFINANCE(A83,""CHANGEPCT""),)"),-1.05)</f>
        <v>-1.05</v>
      </c>
      <c r="E83" s="51" t="str">
        <f t="shared" si="1"/>
        <v>-1.05%</v>
      </c>
      <c r="F83" s="51" t="str">
        <f t="shared" si="2"/>
        <v/>
      </c>
      <c r="G83" s="51">
        <f t="shared" si="3"/>
        <v>-1.05</v>
      </c>
      <c r="H83" s="51">
        <f>IFERROR(__xludf.DUMMYFUNCTION("IFERROR(GOOGLEFINANCE(A83,""PRICE""),)"),502.0)</f>
        <v>502</v>
      </c>
      <c r="I83" s="52">
        <f>IFERROR(__xludf.DUMMYFUNCTION("IFERROR(GOOGLEFINANCE(A83,""VOLUME""),)"),41069.0)</f>
        <v>41069</v>
      </c>
      <c r="J83" s="51" t="str">
        <f>IFERROR(__xludf.DUMMYFUNCTION("IFERROR(INDEX(SPLIT(A83,"":""),1,2),)"),"AMRUTANJAN")</f>
        <v>AMRUTANJAN</v>
      </c>
      <c r="K83" s="51" t="str">
        <f t="shared" si="4"/>
        <v/>
      </c>
      <c r="L83" s="51">
        <f t="shared" si="5"/>
        <v>350</v>
      </c>
      <c r="M83" s="51">
        <f t="shared" si="6"/>
        <v>998</v>
      </c>
      <c r="N83" s="53">
        <f>IFERROR(__xludf.DUMMYFUNCTION("IFERROR(GOOGLEFINANCE(A83,""TRADETIME""),)"),46269.64583333333)</f>
        <v>46269.64583</v>
      </c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</row>
    <row r="84" ht="15.75" customHeight="1">
      <c r="A84" s="48" t="s">
        <v>131</v>
      </c>
      <c r="B84" s="48" t="str">
        <f>IFERROR(__xludf.DUMMYFUNCTION("IFERROR(GOOGLEFINANCE(A84,""NAME""),)"),"Anant Raj Ltd")</f>
        <v>Anant Raj Ltd</v>
      </c>
      <c r="C84" s="48">
        <f>IFERROR(__xludf.DUMMYFUNCTION("IFERROR(GOOGLEFINANCE(A84,""CHANGE""),)"),-3.0)</f>
        <v>-3</v>
      </c>
      <c r="D84" s="48">
        <f>IFERROR(__xludf.DUMMYFUNCTION("IFERROR(GOOGLEFINANCE(A84,""CHANGEPCT""),)"),-0.48)</f>
        <v>-0.48</v>
      </c>
      <c r="E84" s="48" t="str">
        <f t="shared" si="1"/>
        <v>-0.48%</v>
      </c>
      <c r="F84" s="48" t="str">
        <f t="shared" si="2"/>
        <v/>
      </c>
      <c r="G84" s="48">
        <f t="shared" si="3"/>
        <v>-0.48</v>
      </c>
      <c r="H84" s="48">
        <f>IFERROR(__xludf.DUMMYFUNCTION("IFERROR(GOOGLEFINANCE(A84,""PRICE""),)"),625.3)</f>
        <v>625.3</v>
      </c>
      <c r="I84" s="49">
        <f>IFERROR(__xludf.DUMMYFUNCTION("IFERROR(GOOGLEFINANCE(A84,""VOLUME""),)"),4215356.0)</f>
        <v>4215356</v>
      </c>
      <c r="J84" s="48" t="str">
        <f>IFERROR(__xludf.DUMMYFUNCTION("IFERROR(INDEX(SPLIT(A84,"":""),1,2),)"),"ANANTRAJ")</f>
        <v>ANANTRAJ</v>
      </c>
      <c r="K84" s="48" t="str">
        <f t="shared" si="4"/>
        <v/>
      </c>
      <c r="L84" s="48">
        <f t="shared" si="5"/>
        <v>185</v>
      </c>
      <c r="M84" s="48">
        <f t="shared" si="6"/>
        <v>97</v>
      </c>
      <c r="N84" s="50">
        <f>IFERROR(__xludf.DUMMYFUNCTION("IFERROR(GOOGLEFINANCE(A84,""TRADETIME""),)"),46269.64583333333)</f>
        <v>46269.64583</v>
      </c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</row>
    <row r="85" ht="15.75" customHeight="1">
      <c r="A85" s="51" t="s">
        <v>132</v>
      </c>
      <c r="B85" s="51" t="str">
        <f>IFERROR(__xludf.DUMMYFUNCTION("IFERROR(GOOGLEFINANCE(A85,""NAME""),)"),"")</f>
        <v/>
      </c>
      <c r="C85" s="51" t="str">
        <f>IFERROR(__xludf.DUMMYFUNCTION("IFERROR(GOOGLEFINANCE(A85,""CHANGE""),)"),"")</f>
        <v/>
      </c>
      <c r="D85" s="51" t="str">
        <f>IFERROR(__xludf.DUMMYFUNCTION("IFERROR(GOOGLEFINANCE(A85,""CHANGEPCT""),)"),"")</f>
        <v/>
      </c>
      <c r="E85" s="51" t="str">
        <f t="shared" si="1"/>
        <v>%</v>
      </c>
      <c r="F85" s="51" t="str">
        <f t="shared" si="2"/>
        <v/>
      </c>
      <c r="G85" s="51" t="str">
        <f t="shared" si="3"/>
        <v/>
      </c>
      <c r="H85" s="51" t="str">
        <f>IFERROR(__xludf.DUMMYFUNCTION("IFERROR(GOOGLEFINANCE(A85,""PRICE""),)"),"")</f>
        <v/>
      </c>
      <c r="I85" s="52" t="str">
        <f>IFERROR(__xludf.DUMMYFUNCTION("IFERROR(GOOGLEFINANCE(A85,""VOLUME""),)"),"")</f>
        <v/>
      </c>
      <c r="J85" s="51" t="str">
        <f>IFERROR(__xludf.DUMMYFUNCTION("IFERROR(INDEX(SPLIT(A85,"":""),1,2),)"),"ANDHRACEMT")</f>
        <v>ANDHRACEMT</v>
      </c>
      <c r="K85" s="51" t="str">
        <f t="shared" si="4"/>
        <v/>
      </c>
      <c r="L85" s="51" t="str">
        <f t="shared" si="5"/>
        <v/>
      </c>
      <c r="M85" s="51">
        <f t="shared" si="6"/>
        <v>1456</v>
      </c>
      <c r="N85" s="53" t="str">
        <f>IFERROR(__xludf.DUMMYFUNCTION("IFERROR(GOOGLEFINANCE(A85,""TRADETIME""),)"),"")</f>
        <v/>
      </c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</row>
    <row r="86" ht="15.75" customHeight="1">
      <c r="A86" s="48" t="s">
        <v>133</v>
      </c>
      <c r="B86" s="48" t="str">
        <f>IFERROR(__xludf.DUMMYFUNCTION("IFERROR(GOOGLEFINANCE(A86,""NAME""),)"),"Andhra Paper Ltd")</f>
        <v>Andhra Paper Ltd</v>
      </c>
      <c r="C86" s="48">
        <f>IFERROR(__xludf.DUMMYFUNCTION("IFERROR(GOOGLEFINANCE(A86,""CHANGE""),)"),0.61)</f>
        <v>0.61</v>
      </c>
      <c r="D86" s="48">
        <f>IFERROR(__xludf.DUMMYFUNCTION("IFERROR(GOOGLEFINANCE(A86,""CHANGEPCT""),)"),0.96)</f>
        <v>0.96</v>
      </c>
      <c r="E86" s="48" t="str">
        <f t="shared" si="1"/>
        <v>0.96%</v>
      </c>
      <c r="F86" s="48">
        <f t="shared" si="2"/>
        <v>0.96</v>
      </c>
      <c r="G86" s="48" t="str">
        <f t="shared" si="3"/>
        <v/>
      </c>
      <c r="H86" s="48">
        <f>IFERROR(__xludf.DUMMYFUNCTION("IFERROR(GOOGLEFINANCE(A86,""PRICE""),)"),63.9)</f>
        <v>63.9</v>
      </c>
      <c r="I86" s="49">
        <f>IFERROR(__xludf.DUMMYFUNCTION("IFERROR(GOOGLEFINANCE(A86,""VOLUME""),)"),342517.0)</f>
        <v>342517</v>
      </c>
      <c r="J86" s="48" t="str">
        <f>IFERROR(__xludf.DUMMYFUNCTION("IFERROR(INDEX(SPLIT(A86,"":""),1,2),)"),"ANDHRAPAP")</f>
        <v>ANDHRAPAP</v>
      </c>
      <c r="K86" s="48">
        <f t="shared" si="4"/>
        <v>455</v>
      </c>
      <c r="L86" s="48" t="str">
        <f t="shared" si="5"/>
        <v/>
      </c>
      <c r="M86" s="48">
        <f t="shared" si="6"/>
        <v>478</v>
      </c>
      <c r="N86" s="50">
        <f>IFERROR(__xludf.DUMMYFUNCTION("IFERROR(GOOGLEFINANCE(A86,""TRADETIME""),)"),46269.64583333333)</f>
        <v>46269.64583</v>
      </c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</row>
    <row r="87" ht="15.75" customHeight="1">
      <c r="A87" s="51" t="s">
        <v>134</v>
      </c>
      <c r="B87" s="51" t="str">
        <f>IFERROR(__xludf.DUMMYFUNCTION("IFERROR(GOOGLEFINANCE(A87,""NAME""),)"),"Andhra Sugars Ltd")</f>
        <v>Andhra Sugars Ltd</v>
      </c>
      <c r="C87" s="51">
        <f>IFERROR(__xludf.DUMMYFUNCTION("IFERROR(GOOGLEFINANCE(A87,""CHANGE""),)"),-1.79)</f>
        <v>-1.79</v>
      </c>
      <c r="D87" s="51">
        <f>IFERROR(__xludf.DUMMYFUNCTION("IFERROR(GOOGLEFINANCE(A87,""CHANGEPCT""),)"),-1.77)</f>
        <v>-1.77</v>
      </c>
      <c r="E87" s="51" t="str">
        <f t="shared" si="1"/>
        <v>-1.77%</v>
      </c>
      <c r="F87" s="51" t="str">
        <f t="shared" si="2"/>
        <v/>
      </c>
      <c r="G87" s="51">
        <f t="shared" si="3"/>
        <v>-1.77</v>
      </c>
      <c r="H87" s="51">
        <f>IFERROR(__xludf.DUMMYFUNCTION("IFERROR(GOOGLEFINANCE(A87,""PRICE""),)"),99.5)</f>
        <v>99.5</v>
      </c>
      <c r="I87" s="52">
        <f>IFERROR(__xludf.DUMMYFUNCTION("IFERROR(GOOGLEFINANCE(A87,""VOLUME""),)"),477164.0)</f>
        <v>477164</v>
      </c>
      <c r="J87" s="51" t="str">
        <f>IFERROR(__xludf.DUMMYFUNCTION("IFERROR(INDEX(SPLIT(A87,"":""),1,2),)"),"ANDHRSUGAR")</f>
        <v>ANDHRSUGAR</v>
      </c>
      <c r="K87" s="51" t="str">
        <f t="shared" si="4"/>
        <v/>
      </c>
      <c r="L87" s="51">
        <f t="shared" si="5"/>
        <v>488</v>
      </c>
      <c r="M87" s="51">
        <f t="shared" si="6"/>
        <v>404</v>
      </c>
      <c r="N87" s="53">
        <f>IFERROR(__xludf.DUMMYFUNCTION("IFERROR(GOOGLEFINANCE(A87,""TRADETIME""),)"),46269.64584490741)</f>
        <v>46269.64584</v>
      </c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</row>
    <row r="88" ht="15.75" customHeight="1">
      <c r="A88" s="48" t="s">
        <v>135</v>
      </c>
      <c r="B88" s="48" t="str">
        <f>IFERROR(__xludf.DUMMYFUNCTION("IFERROR(GOOGLEFINANCE(A88,""NAME""),)"),"Angel One Ltd")</f>
        <v>Angel One Ltd</v>
      </c>
      <c r="C88" s="48">
        <f>IFERROR(__xludf.DUMMYFUNCTION("IFERROR(GOOGLEFINANCE(A88,""CHANGE""),)"),13.45)</f>
        <v>13.45</v>
      </c>
      <c r="D88" s="48">
        <f>IFERROR(__xludf.DUMMYFUNCTION("IFERROR(GOOGLEFINANCE(A88,""CHANGEPCT""),)"),4.7)</f>
        <v>4.7</v>
      </c>
      <c r="E88" s="48" t="str">
        <f t="shared" si="1"/>
        <v>4.7%</v>
      </c>
      <c r="F88" s="48">
        <f t="shared" si="2"/>
        <v>4.7</v>
      </c>
      <c r="G88" s="48" t="str">
        <f t="shared" si="3"/>
        <v/>
      </c>
      <c r="H88" s="48">
        <f>IFERROR(__xludf.DUMMYFUNCTION("IFERROR(GOOGLEFINANCE(A88,""PRICE""),)"),299.45)</f>
        <v>299.45</v>
      </c>
      <c r="I88" s="49">
        <f>IFERROR(__xludf.DUMMYFUNCTION("IFERROR(GOOGLEFINANCE(A88,""VOLUME""),)"),2.9274355E7)</f>
        <v>29274355</v>
      </c>
      <c r="J88" s="48" t="str">
        <f>IFERROR(__xludf.DUMMYFUNCTION("IFERROR(INDEX(SPLIT(A88,"":""),1,2),)"),"ANGELONE")</f>
        <v>ANGELONE</v>
      </c>
      <c r="K88" s="48">
        <f t="shared" si="4"/>
        <v>89</v>
      </c>
      <c r="L88" s="48" t="str">
        <f t="shared" si="5"/>
        <v/>
      </c>
      <c r="M88" s="48">
        <f t="shared" si="6"/>
        <v>16</v>
      </c>
      <c r="N88" s="50">
        <f>IFERROR(__xludf.DUMMYFUNCTION("IFERROR(GOOGLEFINANCE(A88,""TRADETIME""),)"),46269.64583333333)</f>
        <v>46269.64583</v>
      </c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</row>
    <row r="89" ht="15.75" customHeight="1">
      <c r="A89" s="51" t="s">
        <v>136</v>
      </c>
      <c r="B89" s="51" t="str">
        <f>IFERROR(__xludf.DUMMYFUNCTION("IFERROR(GOOGLEFINANCE(A89,""NAME""),)"),"Anik Industries Ltd")</f>
        <v>Anik Industries Ltd</v>
      </c>
      <c r="C89" s="51">
        <f>IFERROR(__xludf.DUMMYFUNCTION("IFERROR(GOOGLEFINANCE(A89,""CHANGE""),)"),0.61)</f>
        <v>0.61</v>
      </c>
      <c r="D89" s="51">
        <f>IFERROR(__xludf.DUMMYFUNCTION("IFERROR(GOOGLEFINANCE(A89,""CHANGEPCT""),)"),1.36)</f>
        <v>1.36</v>
      </c>
      <c r="E89" s="51" t="str">
        <f t="shared" si="1"/>
        <v>1.36%</v>
      </c>
      <c r="F89" s="51">
        <f t="shared" si="2"/>
        <v>1.36</v>
      </c>
      <c r="G89" s="51" t="str">
        <f t="shared" si="3"/>
        <v/>
      </c>
      <c r="H89" s="51">
        <f>IFERROR(__xludf.DUMMYFUNCTION("IFERROR(GOOGLEFINANCE(A89,""PRICE""),)"),45.6)</f>
        <v>45.6</v>
      </c>
      <c r="I89" s="52">
        <f>IFERROR(__xludf.DUMMYFUNCTION("IFERROR(GOOGLEFINANCE(A89,""VOLUME""),)"),2038.0)</f>
        <v>2038</v>
      </c>
      <c r="J89" s="51" t="str">
        <f>IFERROR(__xludf.DUMMYFUNCTION("IFERROR(INDEX(SPLIT(A89,"":""),1,2),)"),"ANIKINDS")</f>
        <v>ANIKINDS</v>
      </c>
      <c r="K89" s="51">
        <f t="shared" si="4"/>
        <v>367</v>
      </c>
      <c r="L89" s="51" t="str">
        <f t="shared" si="5"/>
        <v/>
      </c>
      <c r="M89" s="51">
        <f t="shared" si="6"/>
        <v>1393</v>
      </c>
      <c r="N89" s="53">
        <f>IFERROR(__xludf.DUMMYFUNCTION("IFERROR(GOOGLEFINANCE(A89,""TRADETIME""),)"),46269.64583333333)</f>
        <v>46269.64583</v>
      </c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</row>
    <row r="90" ht="15.75" customHeight="1">
      <c r="A90" s="48" t="s">
        <v>137</v>
      </c>
      <c r="B90" s="48" t="str">
        <f>IFERROR(__xludf.DUMMYFUNCTION("IFERROR(GOOGLEFINANCE(A90,""NAME""),)"),"Ankit Metal &amp; Power Ltd")</f>
        <v>Ankit Metal &amp; Power Ltd</v>
      </c>
      <c r="C90" s="48">
        <f>IFERROR(__xludf.DUMMYFUNCTION("IFERROR(GOOGLEFINANCE(A90,""CHANGE""),)"),0.01)</f>
        <v>0.01</v>
      </c>
      <c r="D90" s="48">
        <f>IFERROR(__xludf.DUMMYFUNCTION("IFERROR(GOOGLEFINANCE(A90,""CHANGEPCT""),)"),0.59)</f>
        <v>0.59</v>
      </c>
      <c r="E90" s="48" t="str">
        <f t="shared" si="1"/>
        <v>0.59%</v>
      </c>
      <c r="F90" s="48">
        <f t="shared" si="2"/>
        <v>0.59</v>
      </c>
      <c r="G90" s="48" t="str">
        <f t="shared" si="3"/>
        <v/>
      </c>
      <c r="H90" s="48">
        <f>IFERROR(__xludf.DUMMYFUNCTION("IFERROR(GOOGLEFINANCE(A90,""PRICE""),)"),1.7)</f>
        <v>1.7</v>
      </c>
      <c r="I90" s="49">
        <f>IFERROR(__xludf.DUMMYFUNCTION("IFERROR(GOOGLEFINANCE(A90,""VOLUME""),)"),6585.0)</f>
        <v>6585</v>
      </c>
      <c r="J90" s="48" t="str">
        <f>IFERROR(__xludf.DUMMYFUNCTION("IFERROR(INDEX(SPLIT(A90,"":""),1,2),)"),"ANKITMETAL")</f>
        <v>ANKITMETAL</v>
      </c>
      <c r="K90" s="48">
        <f t="shared" si="4"/>
        <v>562</v>
      </c>
      <c r="L90" s="48" t="str">
        <f t="shared" si="5"/>
        <v/>
      </c>
      <c r="M90" s="48">
        <f t="shared" si="6"/>
        <v>1296</v>
      </c>
      <c r="N90" s="50">
        <f>IFERROR(__xludf.DUMMYFUNCTION("IFERROR(GOOGLEFINANCE(A90,""TRADETIME""),)"),46269.64583333333)</f>
        <v>46269.64583</v>
      </c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</row>
    <row r="91" ht="15.75" customHeight="1">
      <c r="A91" s="51" t="s">
        <v>138</v>
      </c>
      <c r="B91" s="51" t="str">
        <f>IFERROR(__xludf.DUMMYFUNCTION("IFERROR(GOOGLEFINANCE(A91,""NAME""),)"),"Ansal Properties and Infrastructure Ltd")</f>
        <v>Ansal Properties and Infrastructure Ltd</v>
      </c>
      <c r="C91" s="51">
        <f>IFERROR(__xludf.DUMMYFUNCTION("IFERROR(GOOGLEFINANCE(A91,""CHANGE""),)"),0.0)</f>
        <v>0</v>
      </c>
      <c r="D91" s="51">
        <f>IFERROR(__xludf.DUMMYFUNCTION("IFERROR(GOOGLEFINANCE(A91,""CHANGEPCT""),)"),0.0)</f>
        <v>0</v>
      </c>
      <c r="E91" s="51" t="str">
        <f t="shared" si="1"/>
        <v>0%</v>
      </c>
      <c r="F91" s="51" t="str">
        <f t="shared" si="2"/>
        <v/>
      </c>
      <c r="G91" s="51" t="str">
        <f t="shared" si="3"/>
        <v/>
      </c>
      <c r="H91" s="51">
        <f>IFERROR(__xludf.DUMMYFUNCTION("IFERROR(GOOGLEFINANCE(A91,""PRICE""),)"),3.31)</f>
        <v>3.31</v>
      </c>
      <c r="I91" s="52">
        <f>IFERROR(__xludf.DUMMYFUNCTION("IFERROR(GOOGLEFINANCE(A91,""VOLUME""),)"),8384.0)</f>
        <v>8384</v>
      </c>
      <c r="J91" s="51" t="str">
        <f>IFERROR(__xludf.DUMMYFUNCTION("IFERROR(INDEX(SPLIT(A91,"":""),1,2),)"),"ANSALAPI")</f>
        <v>ANSALAPI</v>
      </c>
      <c r="K91" s="51" t="str">
        <f t="shared" si="4"/>
        <v/>
      </c>
      <c r="L91" s="51" t="str">
        <f t="shared" si="5"/>
        <v/>
      </c>
      <c r="M91" s="51">
        <f t="shared" si="6"/>
        <v>1254</v>
      </c>
      <c r="N91" s="53">
        <f>IFERROR(__xludf.DUMMYFUNCTION("IFERROR(GOOGLEFINANCE(A91,""TRADETIME""),)"),46269.64583333333)</f>
        <v>46269.64583</v>
      </c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</row>
    <row r="92" ht="15.75" customHeight="1">
      <c r="A92" s="48" t="s">
        <v>139</v>
      </c>
      <c r="B92" s="48" t="str">
        <f>IFERROR(__xludf.DUMMYFUNCTION("IFERROR(GOOGLEFINANCE(A92,""NAME""),)"),"Ansal Housing Ltd")</f>
        <v>Ansal Housing Ltd</v>
      </c>
      <c r="C92" s="48">
        <f>IFERROR(__xludf.DUMMYFUNCTION("IFERROR(GOOGLEFINANCE(A92,""CHANGE""),)"),0.04)</f>
        <v>0.04</v>
      </c>
      <c r="D92" s="48">
        <f>IFERROR(__xludf.DUMMYFUNCTION("IFERROR(GOOGLEFINANCE(A92,""CHANGEPCT""),)"),0.78)</f>
        <v>0.78</v>
      </c>
      <c r="E92" s="48" t="str">
        <f t="shared" si="1"/>
        <v>0.78%</v>
      </c>
      <c r="F92" s="48">
        <f t="shared" si="2"/>
        <v>0.78</v>
      </c>
      <c r="G92" s="48" t="str">
        <f t="shared" si="3"/>
        <v/>
      </c>
      <c r="H92" s="48">
        <f>IFERROR(__xludf.DUMMYFUNCTION("IFERROR(GOOGLEFINANCE(A92,""PRICE""),)"),5.2)</f>
        <v>5.2</v>
      </c>
      <c r="I92" s="49">
        <f>IFERROR(__xludf.DUMMYFUNCTION("IFERROR(GOOGLEFINANCE(A92,""VOLUME""),)"),143245.0)</f>
        <v>143245</v>
      </c>
      <c r="J92" s="48">
        <f>IFERROR(__xludf.DUMMYFUNCTION("IFERROR(INDEX(SPLIT(A92,"":""),1,2),)"),507828.0)</f>
        <v>507828</v>
      </c>
      <c r="K92" s="48">
        <f t="shared" si="4"/>
        <v>506</v>
      </c>
      <c r="L92" s="48" t="str">
        <f t="shared" si="5"/>
        <v/>
      </c>
      <c r="M92" s="48">
        <f t="shared" si="6"/>
        <v>698</v>
      </c>
      <c r="N92" s="50">
        <f>IFERROR(__xludf.DUMMYFUNCTION("IFERROR(GOOGLEFINANCE(A92,""TRADETIME""),)"),46269.64583333333)</f>
        <v>46269.64583</v>
      </c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</row>
    <row r="93" ht="15.75" customHeight="1">
      <c r="A93" s="51" t="s">
        <v>140</v>
      </c>
      <c r="B93" s="51" t="str">
        <f>IFERROR(__xludf.DUMMYFUNCTION("IFERROR(GOOGLEFINANCE(A93,""NAME""),)"),"Anup Engineering Ltd")</f>
        <v>Anup Engineering Ltd</v>
      </c>
      <c r="C93" s="51">
        <f>IFERROR(__xludf.DUMMYFUNCTION("IFERROR(GOOGLEFINANCE(A93,""CHANGE""),)"),-23.9)</f>
        <v>-23.9</v>
      </c>
      <c r="D93" s="51">
        <f>IFERROR(__xludf.DUMMYFUNCTION("IFERROR(GOOGLEFINANCE(A93,""CHANGEPCT""),)"),-1.32)</f>
        <v>-1.32</v>
      </c>
      <c r="E93" s="51" t="str">
        <f t="shared" si="1"/>
        <v>-1.32%</v>
      </c>
      <c r="F93" s="51" t="str">
        <f t="shared" si="2"/>
        <v/>
      </c>
      <c r="G93" s="51">
        <f t="shared" si="3"/>
        <v>-1.32</v>
      </c>
      <c r="H93" s="51">
        <f>IFERROR(__xludf.DUMMYFUNCTION("IFERROR(GOOGLEFINANCE(A93,""PRICE""),)"),1784.1)</f>
        <v>1784.1</v>
      </c>
      <c r="I93" s="52">
        <f>IFERROR(__xludf.DUMMYFUNCTION("IFERROR(GOOGLEFINANCE(A93,""VOLUME""),)"),10691.0)</f>
        <v>10691</v>
      </c>
      <c r="J93" s="51" t="str">
        <f>IFERROR(__xludf.DUMMYFUNCTION("IFERROR(INDEX(SPLIT(A93,"":""),1,2),)"),"ANUP")</f>
        <v>ANUP</v>
      </c>
      <c r="K93" s="51" t="str">
        <f t="shared" si="4"/>
        <v/>
      </c>
      <c r="L93" s="51">
        <f t="shared" si="5"/>
        <v>406</v>
      </c>
      <c r="M93" s="51">
        <f t="shared" si="6"/>
        <v>1223</v>
      </c>
      <c r="N93" s="53">
        <f>IFERROR(__xludf.DUMMYFUNCTION("IFERROR(GOOGLEFINANCE(A93,""TRADETIME""),)"),46269.64583333333)</f>
        <v>46269.64583</v>
      </c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</row>
    <row r="94" ht="15.75" customHeight="1">
      <c r="A94" s="48" t="s">
        <v>141</v>
      </c>
      <c r="B94" s="48" t="str">
        <f>IFERROR(__xludf.DUMMYFUNCTION("IFERROR(GOOGLEFINANCE(A94,""NAME""),)"),"Apar Industries Ltd")</f>
        <v>Apar Industries Ltd</v>
      </c>
      <c r="C94" s="48">
        <f>IFERROR(__xludf.DUMMYFUNCTION("IFERROR(GOOGLEFINANCE(A94,""CHANGE""),)"),-267.0)</f>
        <v>-267</v>
      </c>
      <c r="D94" s="48">
        <f>IFERROR(__xludf.DUMMYFUNCTION("IFERROR(GOOGLEFINANCE(A94,""CHANGEPCT""),)"),-1.51)</f>
        <v>-1.51</v>
      </c>
      <c r="E94" s="48" t="str">
        <f t="shared" si="1"/>
        <v>-1.51%</v>
      </c>
      <c r="F94" s="48" t="str">
        <f t="shared" si="2"/>
        <v/>
      </c>
      <c r="G94" s="48">
        <f t="shared" si="3"/>
        <v>-1.51</v>
      </c>
      <c r="H94" s="48">
        <f>IFERROR(__xludf.DUMMYFUNCTION("IFERROR(GOOGLEFINANCE(A94,""PRICE""),)"),17437.0)</f>
        <v>17437</v>
      </c>
      <c r="I94" s="49">
        <f>IFERROR(__xludf.DUMMYFUNCTION("IFERROR(GOOGLEFINANCE(A94,""VOLUME""),)"),93101.0)</f>
        <v>93101</v>
      </c>
      <c r="J94" s="48" t="str">
        <f>IFERROR(__xludf.DUMMYFUNCTION("IFERROR(INDEX(SPLIT(A94,"":""),1,2),)"),"APARINDS")</f>
        <v>APARINDS</v>
      </c>
      <c r="K94" s="48" t="str">
        <f t="shared" si="4"/>
        <v/>
      </c>
      <c r="L94" s="48">
        <f t="shared" si="5"/>
        <v>450</v>
      </c>
      <c r="M94" s="48">
        <f t="shared" si="6"/>
        <v>792</v>
      </c>
      <c r="N94" s="50">
        <f>IFERROR(__xludf.DUMMYFUNCTION("IFERROR(GOOGLEFINANCE(A94,""TRADETIME""),)"),46269.64583333333)</f>
        <v>46269.64583</v>
      </c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</row>
    <row r="95" ht="15.75" customHeight="1">
      <c r="A95" s="51" t="s">
        <v>142</v>
      </c>
      <c r="B95" s="51" t="str">
        <f>IFERROR(__xludf.DUMMYFUNCTION("IFERROR(GOOGLEFINANCE(A95,""NAME""),)"),"Anjani Portland Cement Ltd")</f>
        <v>Anjani Portland Cement Ltd</v>
      </c>
      <c r="C95" s="51">
        <f>IFERROR(__xludf.DUMMYFUNCTION("IFERROR(GOOGLEFINANCE(A95,""CHANGE""),)"),1.8)</f>
        <v>1.8</v>
      </c>
      <c r="D95" s="51">
        <f>IFERROR(__xludf.DUMMYFUNCTION("IFERROR(GOOGLEFINANCE(A95,""CHANGEPCT""),)"),1.8)</f>
        <v>1.8</v>
      </c>
      <c r="E95" s="51" t="str">
        <f t="shared" si="1"/>
        <v>1.8%</v>
      </c>
      <c r="F95" s="51">
        <f t="shared" si="2"/>
        <v>1.8</v>
      </c>
      <c r="G95" s="51" t="str">
        <f t="shared" si="3"/>
        <v/>
      </c>
      <c r="H95" s="51">
        <f>IFERROR(__xludf.DUMMYFUNCTION("IFERROR(GOOGLEFINANCE(A95,""PRICE""),)"),101.9)</f>
        <v>101.9</v>
      </c>
      <c r="I95" s="52">
        <f>IFERROR(__xludf.DUMMYFUNCTION("IFERROR(GOOGLEFINANCE(A95,""VOLUME""),)"),4976.0)</f>
        <v>4976</v>
      </c>
      <c r="J95" s="51" t="str">
        <f>IFERROR(__xludf.DUMMYFUNCTION("IFERROR(INDEX(SPLIT(A95,"":""),1,2),)"),"APCL")</f>
        <v>APCL</v>
      </c>
      <c r="K95" s="51">
        <f t="shared" si="4"/>
        <v>295</v>
      </c>
      <c r="L95" s="51" t="str">
        <f t="shared" si="5"/>
        <v/>
      </c>
      <c r="M95" s="51">
        <f t="shared" si="6"/>
        <v>1326</v>
      </c>
      <c r="N95" s="53">
        <f>IFERROR(__xludf.DUMMYFUNCTION("IFERROR(GOOGLEFINANCE(A95,""TRADETIME""),)"),46269.64583333333)</f>
        <v>46269.64583</v>
      </c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</row>
    <row r="96" ht="15.75" customHeight="1">
      <c r="A96" s="48" t="s">
        <v>143</v>
      </c>
      <c r="B96" s="48" t="str">
        <f>IFERROR(__xludf.DUMMYFUNCTION("IFERROR(GOOGLEFINANCE(A96,""NAME""),)"),"Apcotex Industries Ltd")</f>
        <v>Apcotex Industries Ltd</v>
      </c>
      <c r="C96" s="48">
        <f>IFERROR(__xludf.DUMMYFUNCTION("IFERROR(GOOGLEFINANCE(A96,""CHANGE""),)"),-16.4)</f>
        <v>-16.4</v>
      </c>
      <c r="D96" s="48">
        <f>IFERROR(__xludf.DUMMYFUNCTION("IFERROR(GOOGLEFINANCE(A96,""CHANGEPCT""),)"),-2.52)</f>
        <v>-2.52</v>
      </c>
      <c r="E96" s="48" t="str">
        <f t="shared" si="1"/>
        <v>-2.52%</v>
      </c>
      <c r="F96" s="48" t="str">
        <f t="shared" si="2"/>
        <v/>
      </c>
      <c r="G96" s="48">
        <f t="shared" si="3"/>
        <v>-2.52</v>
      </c>
      <c r="H96" s="48">
        <f>IFERROR(__xludf.DUMMYFUNCTION("IFERROR(GOOGLEFINANCE(A96,""PRICE""),)"),634.0)</f>
        <v>634</v>
      </c>
      <c r="I96" s="49">
        <f>IFERROR(__xludf.DUMMYFUNCTION("IFERROR(GOOGLEFINANCE(A96,""VOLUME""),)"),172649.0)</f>
        <v>172649</v>
      </c>
      <c r="J96" s="48" t="str">
        <f>IFERROR(__xludf.DUMMYFUNCTION("IFERROR(INDEX(SPLIT(A96,"":""),1,2),)"),"APCOTEXIND")</f>
        <v>APCOTEXIND</v>
      </c>
      <c r="K96" s="48" t="str">
        <f t="shared" si="4"/>
        <v/>
      </c>
      <c r="L96" s="48">
        <f t="shared" si="5"/>
        <v>574</v>
      </c>
      <c r="M96" s="48">
        <f t="shared" si="6"/>
        <v>658</v>
      </c>
      <c r="N96" s="50">
        <f>IFERROR(__xludf.DUMMYFUNCTION("IFERROR(GOOGLEFINANCE(A96,""TRADETIME""),)"),46269.64585648148)</f>
        <v>46269.64586</v>
      </c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</row>
    <row r="97" ht="15.75" customHeight="1">
      <c r="A97" s="51" t="s">
        <v>144</v>
      </c>
      <c r="B97" s="51" t="str">
        <f>IFERROR(__xludf.DUMMYFUNCTION("IFERROR(GOOGLEFINANCE(A97,""NAME""),)"),"Apex Frozen Foods Ltd")</f>
        <v>Apex Frozen Foods Ltd</v>
      </c>
      <c r="C97" s="51">
        <f>IFERROR(__xludf.DUMMYFUNCTION("IFERROR(GOOGLEFINANCE(A97,""CHANGE""),)"),-3.05)</f>
        <v>-3.05</v>
      </c>
      <c r="D97" s="51">
        <f>IFERROR(__xludf.DUMMYFUNCTION("IFERROR(GOOGLEFINANCE(A97,""CHANGEPCT""),)"),-0.81)</f>
        <v>-0.81</v>
      </c>
      <c r="E97" s="51" t="str">
        <f t="shared" si="1"/>
        <v>-0.81%</v>
      </c>
      <c r="F97" s="51" t="str">
        <f t="shared" si="2"/>
        <v/>
      </c>
      <c r="G97" s="51">
        <f t="shared" si="3"/>
        <v>-0.81</v>
      </c>
      <c r="H97" s="51">
        <f>IFERROR(__xludf.DUMMYFUNCTION("IFERROR(GOOGLEFINANCE(A97,""PRICE""),)"),373.7)</f>
        <v>373.7</v>
      </c>
      <c r="I97" s="52">
        <f>IFERROR(__xludf.DUMMYFUNCTION("IFERROR(GOOGLEFINANCE(A97,""VOLUME""),)"),99807.0)</f>
        <v>99807</v>
      </c>
      <c r="J97" s="51" t="str">
        <f>IFERROR(__xludf.DUMMYFUNCTION("IFERROR(INDEX(SPLIT(A97,"":""),1,2),)"),"APEX")</f>
        <v>APEX</v>
      </c>
      <c r="K97" s="51" t="str">
        <f t="shared" si="4"/>
        <v/>
      </c>
      <c r="L97" s="51">
        <f t="shared" si="5"/>
        <v>299</v>
      </c>
      <c r="M97" s="51">
        <f t="shared" si="6"/>
        <v>770</v>
      </c>
      <c r="N97" s="53">
        <f>IFERROR(__xludf.DUMMYFUNCTION("IFERROR(GOOGLEFINANCE(A97,""TRADETIME""),)"),46269.64584490741)</f>
        <v>46269.64584</v>
      </c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</row>
    <row r="98" ht="15.75" customHeight="1">
      <c r="A98" s="48" t="s">
        <v>145</v>
      </c>
      <c r="B98" s="48" t="str">
        <f>IFERROR(__xludf.DUMMYFUNCTION("IFERROR(GOOGLEFINANCE(A98,""NAME""),)"),"Apl Apollo Tubes Ltd")</f>
        <v>Apl Apollo Tubes Ltd</v>
      </c>
      <c r="C98" s="48">
        <f>IFERROR(__xludf.DUMMYFUNCTION("IFERROR(GOOGLEFINANCE(A98,""CHANGE""),)"),87.6)</f>
        <v>87.6</v>
      </c>
      <c r="D98" s="48">
        <f>IFERROR(__xludf.DUMMYFUNCTION("IFERROR(GOOGLEFINANCE(A98,""CHANGEPCT""),)"),4.06)</f>
        <v>4.06</v>
      </c>
      <c r="E98" s="48" t="str">
        <f t="shared" si="1"/>
        <v>4.06%</v>
      </c>
      <c r="F98" s="48">
        <f t="shared" si="2"/>
        <v>4.06</v>
      </c>
      <c r="G98" s="48" t="str">
        <f t="shared" si="3"/>
        <v/>
      </c>
      <c r="H98" s="48">
        <f>IFERROR(__xludf.DUMMYFUNCTION("IFERROR(GOOGLEFINANCE(A98,""PRICE""),)"),2247.0)</f>
        <v>2247</v>
      </c>
      <c r="I98" s="49">
        <f>IFERROR(__xludf.DUMMYFUNCTION("IFERROR(GOOGLEFINANCE(A98,""VOLUME""),)"),955928.0)</f>
        <v>955928</v>
      </c>
      <c r="J98" s="48" t="str">
        <f>IFERROR(__xludf.DUMMYFUNCTION("IFERROR(INDEX(SPLIT(A98,"":""),1,2),)"),"APLAPOLLO")</f>
        <v>APLAPOLLO</v>
      </c>
      <c r="K98" s="48">
        <f t="shared" si="4"/>
        <v>113</v>
      </c>
      <c r="L98" s="48" t="str">
        <f t="shared" si="5"/>
        <v/>
      </c>
      <c r="M98" s="48">
        <f t="shared" si="6"/>
        <v>284</v>
      </c>
      <c r="N98" s="50">
        <f>IFERROR(__xludf.DUMMYFUNCTION("IFERROR(GOOGLEFINANCE(A98,""TRADETIME""),)"),46269.64583333333)</f>
        <v>46269.64583</v>
      </c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</row>
    <row r="99" ht="15.75" customHeight="1">
      <c r="A99" s="51" t="s">
        <v>146</v>
      </c>
      <c r="B99" s="51" t="str">
        <f>IFERROR(__xludf.DUMMYFUNCTION("IFERROR(GOOGLEFINANCE(A99,""NAME""),)"),"Alembic Pharmaceuticals Ltd")</f>
        <v>Alembic Pharmaceuticals Ltd</v>
      </c>
      <c r="C99" s="51">
        <f>IFERROR(__xludf.DUMMYFUNCTION("IFERROR(GOOGLEFINANCE(A99,""CHANGE""),)"),0.35)</f>
        <v>0.35</v>
      </c>
      <c r="D99" s="51">
        <f>IFERROR(__xludf.DUMMYFUNCTION("IFERROR(GOOGLEFINANCE(A99,""CHANGEPCT""),)"),0.04)</f>
        <v>0.04</v>
      </c>
      <c r="E99" s="51" t="str">
        <f t="shared" si="1"/>
        <v>0.04%</v>
      </c>
      <c r="F99" s="51">
        <f t="shared" si="2"/>
        <v>0.04</v>
      </c>
      <c r="G99" s="51" t="str">
        <f t="shared" si="3"/>
        <v/>
      </c>
      <c r="H99" s="51">
        <f>IFERROR(__xludf.DUMMYFUNCTION("IFERROR(GOOGLEFINANCE(A99,""PRICE""),)"),804.0)</f>
        <v>804</v>
      </c>
      <c r="I99" s="52">
        <f>IFERROR(__xludf.DUMMYFUNCTION("IFERROR(GOOGLEFINANCE(A99,""VOLUME""),)"),174296.0)</f>
        <v>174296</v>
      </c>
      <c r="J99" s="51" t="str">
        <f>IFERROR(__xludf.DUMMYFUNCTION("IFERROR(INDEX(SPLIT(A99,"":""),1,2),)"),"APLLTD")</f>
        <v>APLLTD</v>
      </c>
      <c r="K99" s="51">
        <f t="shared" si="4"/>
        <v>758</v>
      </c>
      <c r="L99" s="51" t="str">
        <f t="shared" si="5"/>
        <v/>
      </c>
      <c r="M99" s="51">
        <f t="shared" si="6"/>
        <v>655</v>
      </c>
      <c r="N99" s="53">
        <f>IFERROR(__xludf.DUMMYFUNCTION("IFERROR(GOOGLEFINANCE(A99,""TRADETIME""),)"),46269.64583333333)</f>
        <v>46269.64583</v>
      </c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</row>
    <row r="100" ht="15.75" customHeight="1">
      <c r="A100" s="48" t="s">
        <v>147</v>
      </c>
      <c r="B100" s="48" t="str">
        <f>IFERROR(__xludf.DUMMYFUNCTION("IFERROR(GOOGLEFINANCE(A100,""NAME""),)"),"Apollo Micro Systems Ltd")</f>
        <v>Apollo Micro Systems Ltd</v>
      </c>
      <c r="C100" s="48">
        <f>IFERROR(__xludf.DUMMYFUNCTION("IFERROR(GOOGLEFINANCE(A100,""CHANGE""),)"),6.55)</f>
        <v>6.55</v>
      </c>
      <c r="D100" s="48">
        <f>IFERROR(__xludf.DUMMYFUNCTION("IFERROR(GOOGLEFINANCE(A100,""CHANGEPCT""),)"),1.71)</f>
        <v>1.71</v>
      </c>
      <c r="E100" s="48" t="str">
        <f t="shared" si="1"/>
        <v>1.71%</v>
      </c>
      <c r="F100" s="48">
        <f t="shared" si="2"/>
        <v>1.71</v>
      </c>
      <c r="G100" s="48" t="str">
        <f t="shared" si="3"/>
        <v/>
      </c>
      <c r="H100" s="48">
        <f>IFERROR(__xludf.DUMMYFUNCTION("IFERROR(GOOGLEFINANCE(A100,""PRICE""),)"),389.8)</f>
        <v>389.8</v>
      </c>
      <c r="I100" s="49">
        <f>IFERROR(__xludf.DUMMYFUNCTION("IFERROR(GOOGLEFINANCE(A100,""VOLUME""),)"),4500219.0)</f>
        <v>4500219</v>
      </c>
      <c r="J100" s="48" t="str">
        <f>IFERROR(__xludf.DUMMYFUNCTION("IFERROR(INDEX(SPLIT(A100,"":""),1,2),)"),"APOLLO")</f>
        <v>APOLLO</v>
      </c>
      <c r="K100" s="48">
        <f t="shared" si="4"/>
        <v>308</v>
      </c>
      <c r="L100" s="48" t="str">
        <f t="shared" si="5"/>
        <v/>
      </c>
      <c r="M100" s="48">
        <f t="shared" si="6"/>
        <v>91</v>
      </c>
      <c r="N100" s="50">
        <f>IFERROR(__xludf.DUMMYFUNCTION("IFERROR(GOOGLEFINANCE(A100,""TRADETIME""),)"),46269.64584490741)</f>
        <v>46269.64584</v>
      </c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</row>
    <row r="101" ht="15.75" customHeight="1">
      <c r="A101" s="51" t="s">
        <v>148</v>
      </c>
      <c r="B101" s="51" t="str">
        <f>IFERROR(__xludf.DUMMYFUNCTION("IFERROR(GOOGLEFINANCE(A101,""NAME""),)"),"Apollo Hospitals Enterprise Ltd")</f>
        <v>Apollo Hospitals Enterprise Ltd</v>
      </c>
      <c r="C101" s="51">
        <f>IFERROR(__xludf.DUMMYFUNCTION("IFERROR(GOOGLEFINANCE(A101,""CHANGE""),)"),-42.0)</f>
        <v>-42</v>
      </c>
      <c r="D101" s="51">
        <f>IFERROR(__xludf.DUMMYFUNCTION("IFERROR(GOOGLEFINANCE(A101,""CHANGEPCT""),)"),-0.48)</f>
        <v>-0.48</v>
      </c>
      <c r="E101" s="51" t="str">
        <f t="shared" si="1"/>
        <v>-0.48%</v>
      </c>
      <c r="F101" s="51" t="str">
        <f t="shared" si="2"/>
        <v/>
      </c>
      <c r="G101" s="51">
        <f t="shared" si="3"/>
        <v>-0.48</v>
      </c>
      <c r="H101" s="51">
        <f>IFERROR(__xludf.DUMMYFUNCTION("IFERROR(GOOGLEFINANCE(A101,""PRICE""),)"),8650.0)</f>
        <v>8650</v>
      </c>
      <c r="I101" s="52">
        <f>IFERROR(__xludf.DUMMYFUNCTION("IFERROR(GOOGLEFINANCE(A101,""VOLUME""),)"),288351.0)</f>
        <v>288351</v>
      </c>
      <c r="J101" s="51" t="str">
        <f>IFERROR(__xludf.DUMMYFUNCTION("IFERROR(INDEX(SPLIT(A101,"":""),1,2),)"),"APOLLOHOSP")</f>
        <v>APOLLOHOSP</v>
      </c>
      <c r="K101" s="51" t="str">
        <f t="shared" si="4"/>
        <v/>
      </c>
      <c r="L101" s="51">
        <f t="shared" si="5"/>
        <v>186</v>
      </c>
      <c r="M101" s="51">
        <f t="shared" si="6"/>
        <v>530</v>
      </c>
      <c r="N101" s="53">
        <f>IFERROR(__xludf.DUMMYFUNCTION("IFERROR(GOOGLEFINANCE(A101,""TRADETIME""),)"),46269.64583333333)</f>
        <v>46269.64583</v>
      </c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</row>
    <row r="102" ht="15.75" customHeight="1">
      <c r="A102" s="48" t="s">
        <v>149</v>
      </c>
      <c r="B102" s="48" t="str">
        <f>IFERROR(__xludf.DUMMYFUNCTION("IFERROR(GOOGLEFINANCE(A102,""NAME""),)"),"Apollo Pipes Ltd")</f>
        <v>Apollo Pipes Ltd</v>
      </c>
      <c r="C102" s="48">
        <f>IFERROR(__xludf.DUMMYFUNCTION("IFERROR(GOOGLEFINANCE(A102,""CHANGE""),)"),-9.55)</f>
        <v>-9.55</v>
      </c>
      <c r="D102" s="48">
        <f>IFERROR(__xludf.DUMMYFUNCTION("IFERROR(GOOGLEFINANCE(A102,""CHANGEPCT""),)"),-1.55)</f>
        <v>-1.55</v>
      </c>
      <c r="E102" s="48" t="str">
        <f t="shared" si="1"/>
        <v>-1.55%</v>
      </c>
      <c r="F102" s="48" t="str">
        <f t="shared" si="2"/>
        <v/>
      </c>
      <c r="G102" s="48">
        <f t="shared" si="3"/>
        <v>-1.55</v>
      </c>
      <c r="H102" s="48">
        <f>IFERROR(__xludf.DUMMYFUNCTION("IFERROR(GOOGLEFINANCE(A102,""PRICE""),)"),605.0)</f>
        <v>605</v>
      </c>
      <c r="I102" s="49">
        <f>IFERROR(__xludf.DUMMYFUNCTION("IFERROR(GOOGLEFINANCE(A102,""VOLUME""),)"),76562.0)</f>
        <v>76562</v>
      </c>
      <c r="J102" s="48" t="str">
        <f>IFERROR(__xludf.DUMMYFUNCTION("IFERROR(INDEX(SPLIT(A102,"":""),1,2),)"),"APOLLOPIPE")</f>
        <v>APOLLOPIPE</v>
      </c>
      <c r="K102" s="48" t="str">
        <f t="shared" si="4"/>
        <v/>
      </c>
      <c r="L102" s="48">
        <f t="shared" si="5"/>
        <v>460</v>
      </c>
      <c r="M102" s="48">
        <f t="shared" si="6"/>
        <v>838</v>
      </c>
      <c r="N102" s="50">
        <f>IFERROR(__xludf.DUMMYFUNCTION("IFERROR(GOOGLEFINANCE(A102,""TRADETIME""),)"),46269.64583333333)</f>
        <v>46269.64583</v>
      </c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</row>
    <row r="103" ht="15.75" customHeight="1">
      <c r="A103" s="51" t="s">
        <v>150</v>
      </c>
      <c r="B103" s="51" t="str">
        <f>IFERROR(__xludf.DUMMYFUNCTION("IFERROR(GOOGLEFINANCE(A103,""NAME""),)"),"Apollo Tyres Ltd")</f>
        <v>Apollo Tyres Ltd</v>
      </c>
      <c r="C103" s="51">
        <f>IFERROR(__xludf.DUMMYFUNCTION("IFERROR(GOOGLEFINANCE(A103,""CHANGE""),)"),-3.0)</f>
        <v>-3</v>
      </c>
      <c r="D103" s="51">
        <f>IFERROR(__xludf.DUMMYFUNCTION("IFERROR(GOOGLEFINANCE(A103,""CHANGEPCT""),)"),-0.69)</f>
        <v>-0.69</v>
      </c>
      <c r="E103" s="51" t="str">
        <f t="shared" si="1"/>
        <v>-0.69%</v>
      </c>
      <c r="F103" s="51" t="str">
        <f t="shared" si="2"/>
        <v/>
      </c>
      <c r="G103" s="51">
        <f t="shared" si="3"/>
        <v>-0.69</v>
      </c>
      <c r="H103" s="51">
        <f>IFERROR(__xludf.DUMMYFUNCTION("IFERROR(GOOGLEFINANCE(A103,""PRICE""),)"),430.85)</f>
        <v>430.85</v>
      </c>
      <c r="I103" s="52">
        <f>IFERROR(__xludf.DUMMYFUNCTION("IFERROR(GOOGLEFINANCE(A103,""VOLUME""),)"),407526.0)</f>
        <v>407526</v>
      </c>
      <c r="J103" s="51" t="str">
        <f>IFERROR(__xludf.DUMMYFUNCTION("IFERROR(INDEX(SPLIT(A103,"":""),1,2),)"),"APOLLOTYRE")</f>
        <v>APOLLOTYRE</v>
      </c>
      <c r="K103" s="51" t="str">
        <f t="shared" si="4"/>
        <v/>
      </c>
      <c r="L103" s="51">
        <f t="shared" si="5"/>
        <v>256</v>
      </c>
      <c r="M103" s="51">
        <f t="shared" si="6"/>
        <v>439</v>
      </c>
      <c r="N103" s="53">
        <f>IFERROR(__xludf.DUMMYFUNCTION("IFERROR(GOOGLEFINANCE(A103,""TRADETIME""),)"),46269.64584490741)</f>
        <v>46269.64584</v>
      </c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</row>
    <row r="104" ht="15.75" customHeight="1">
      <c r="A104" s="48" t="s">
        <v>151</v>
      </c>
      <c r="B104" s="48" t="str">
        <f>IFERROR(__xludf.DUMMYFUNCTION("IFERROR(GOOGLEFINANCE(A104,""NAME""),)"),"Apollo Sindoori Hotels Ltd")</f>
        <v>Apollo Sindoori Hotels Ltd</v>
      </c>
      <c r="C104" s="48">
        <f>IFERROR(__xludf.DUMMYFUNCTION("IFERROR(GOOGLEFINANCE(A104,""CHANGE""),)"),-18.9)</f>
        <v>-18.9</v>
      </c>
      <c r="D104" s="48">
        <f>IFERROR(__xludf.DUMMYFUNCTION("IFERROR(GOOGLEFINANCE(A104,""CHANGEPCT""),)"),-1.53)</f>
        <v>-1.53</v>
      </c>
      <c r="E104" s="48" t="str">
        <f t="shared" si="1"/>
        <v>-1.53%</v>
      </c>
      <c r="F104" s="48" t="str">
        <f t="shared" si="2"/>
        <v/>
      </c>
      <c r="G104" s="48">
        <f t="shared" si="3"/>
        <v>-1.53</v>
      </c>
      <c r="H104" s="48">
        <f>IFERROR(__xludf.DUMMYFUNCTION("IFERROR(GOOGLEFINANCE(A104,""PRICE""),)"),1214.2)</f>
        <v>1214.2</v>
      </c>
      <c r="I104" s="49">
        <f>IFERROR(__xludf.DUMMYFUNCTION("IFERROR(GOOGLEFINANCE(A104,""VOLUME""),)"),625.0)</f>
        <v>625</v>
      </c>
      <c r="J104" s="48" t="str">
        <f>IFERROR(__xludf.DUMMYFUNCTION("IFERROR(INDEX(SPLIT(A104,"":""),1,2),)"),"APOLSINHOT")</f>
        <v>APOLSINHOT</v>
      </c>
      <c r="K104" s="48" t="str">
        <f t="shared" si="4"/>
        <v/>
      </c>
      <c r="L104" s="48">
        <f t="shared" si="5"/>
        <v>457</v>
      </c>
      <c r="M104" s="48">
        <f t="shared" si="6"/>
        <v>1437</v>
      </c>
      <c r="N104" s="50">
        <f>IFERROR(__xludf.DUMMYFUNCTION("IFERROR(GOOGLEFINANCE(A104,""TRADETIME""),)"),46269.64583333333)</f>
        <v>46269.64583</v>
      </c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</row>
    <row r="105" ht="15.75" customHeight="1">
      <c r="A105" s="51" t="s">
        <v>152</v>
      </c>
      <c r="B105" s="51" t="str">
        <f>IFERROR(__xludf.DUMMYFUNCTION("IFERROR(GOOGLEFINANCE(A105,""NAME""),)"),"Aptech Ltd")</f>
        <v>Aptech Ltd</v>
      </c>
      <c r="C105" s="51">
        <f>IFERROR(__xludf.DUMMYFUNCTION("IFERROR(GOOGLEFINANCE(A105,""CHANGE""),)"),-1.48)</f>
        <v>-1.48</v>
      </c>
      <c r="D105" s="51">
        <f>IFERROR(__xludf.DUMMYFUNCTION("IFERROR(GOOGLEFINANCE(A105,""CHANGEPCT""),)"),-1.63)</f>
        <v>-1.63</v>
      </c>
      <c r="E105" s="51" t="str">
        <f t="shared" si="1"/>
        <v>-1.63%</v>
      </c>
      <c r="F105" s="51" t="str">
        <f t="shared" si="2"/>
        <v/>
      </c>
      <c r="G105" s="51">
        <f t="shared" si="3"/>
        <v>-1.63</v>
      </c>
      <c r="H105" s="51">
        <f>IFERROR(__xludf.DUMMYFUNCTION("IFERROR(GOOGLEFINANCE(A105,""PRICE""),)"),89.49)</f>
        <v>89.49</v>
      </c>
      <c r="I105" s="52">
        <f>IFERROR(__xludf.DUMMYFUNCTION("IFERROR(GOOGLEFINANCE(A105,""VOLUME""),)"),128869.0)</f>
        <v>128869</v>
      </c>
      <c r="J105" s="51" t="str">
        <f>IFERROR(__xludf.DUMMYFUNCTION("IFERROR(INDEX(SPLIT(A105,"":""),1,2),)"),"APTECHT")</f>
        <v>APTECHT</v>
      </c>
      <c r="K105" s="51" t="str">
        <f t="shared" si="4"/>
        <v/>
      </c>
      <c r="L105" s="51">
        <f t="shared" si="5"/>
        <v>475</v>
      </c>
      <c r="M105" s="51">
        <f t="shared" si="6"/>
        <v>723</v>
      </c>
      <c r="N105" s="53">
        <f>IFERROR(__xludf.DUMMYFUNCTION("IFERROR(GOOGLEFINANCE(A105,""TRADETIME""),)"),46269.64583333333)</f>
        <v>46269.64583</v>
      </c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</row>
    <row r="106" ht="15.75" customHeight="1">
      <c r="A106" s="48" t="s">
        <v>153</v>
      </c>
      <c r="B106" s="48" t="str">
        <f>IFERROR(__xludf.DUMMYFUNCTION("IFERROR(GOOGLEFINANCE(A106,""NAME""),)"),"Archidply Industries Limited.")</f>
        <v>Archidply Industries Limited.</v>
      </c>
      <c r="C106" s="48">
        <f>IFERROR(__xludf.DUMMYFUNCTION("IFERROR(GOOGLEFINANCE(A106,""CHANGE""),)"),-2.17)</f>
        <v>-2.17</v>
      </c>
      <c r="D106" s="48">
        <f>IFERROR(__xludf.DUMMYFUNCTION("IFERROR(GOOGLEFINANCE(A106,""CHANGEPCT""),)"),-2.05)</f>
        <v>-2.05</v>
      </c>
      <c r="E106" s="48" t="str">
        <f t="shared" si="1"/>
        <v>-2.05%</v>
      </c>
      <c r="F106" s="48" t="str">
        <f t="shared" si="2"/>
        <v/>
      </c>
      <c r="G106" s="48">
        <f t="shared" si="3"/>
        <v>-2.05</v>
      </c>
      <c r="H106" s="48">
        <f>IFERROR(__xludf.DUMMYFUNCTION("IFERROR(GOOGLEFINANCE(A106,""PRICE""),)"),103.82)</f>
        <v>103.82</v>
      </c>
      <c r="I106" s="49">
        <f>IFERROR(__xludf.DUMMYFUNCTION("IFERROR(GOOGLEFINANCE(A106,""VOLUME""),)"),17295.0)</f>
        <v>17295</v>
      </c>
      <c r="J106" s="48" t="str">
        <f>IFERROR(__xludf.DUMMYFUNCTION("IFERROR(INDEX(SPLIT(A106,"":""),1,2),)"),"ARCHIDPLY")</f>
        <v>ARCHIDPLY</v>
      </c>
      <c r="K106" s="48" t="str">
        <f t="shared" si="4"/>
        <v/>
      </c>
      <c r="L106" s="48">
        <f t="shared" si="5"/>
        <v>538</v>
      </c>
      <c r="M106" s="48">
        <f t="shared" si="6"/>
        <v>1153</v>
      </c>
      <c r="N106" s="50">
        <f>IFERROR(__xludf.DUMMYFUNCTION("IFERROR(GOOGLEFINANCE(A106,""TRADETIME""),)"),46269.64583333333)</f>
        <v>46269.64583</v>
      </c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</row>
    <row r="107" ht="15.75" customHeight="1">
      <c r="A107" s="51" t="s">
        <v>154</v>
      </c>
      <c r="B107" s="51" t="str">
        <f>IFERROR(__xludf.DUMMYFUNCTION("IFERROR(GOOGLEFINANCE(A107,""NAME""),)"),"Archies Ltd")</f>
        <v>Archies Ltd</v>
      </c>
      <c r="C107" s="51">
        <f>IFERROR(__xludf.DUMMYFUNCTION("IFERROR(GOOGLEFINANCE(A107,""CHANGE""),)"),-0.04)</f>
        <v>-0.04</v>
      </c>
      <c r="D107" s="51">
        <f>IFERROR(__xludf.DUMMYFUNCTION("IFERROR(GOOGLEFINANCE(A107,""CHANGEPCT""),)"),-0.31)</f>
        <v>-0.31</v>
      </c>
      <c r="E107" s="51" t="str">
        <f t="shared" si="1"/>
        <v>-0.31%</v>
      </c>
      <c r="F107" s="51" t="str">
        <f t="shared" si="2"/>
        <v/>
      </c>
      <c r="G107" s="51">
        <f t="shared" si="3"/>
        <v>-0.31</v>
      </c>
      <c r="H107" s="51">
        <f>IFERROR(__xludf.DUMMYFUNCTION("IFERROR(GOOGLEFINANCE(A107,""PRICE""),)"),12.87)</f>
        <v>12.87</v>
      </c>
      <c r="I107" s="52">
        <f>IFERROR(__xludf.DUMMYFUNCTION("IFERROR(GOOGLEFINANCE(A107,""VOLUME""),)"),10318.0)</f>
        <v>10318</v>
      </c>
      <c r="J107" s="51" t="str">
        <f>IFERROR(__xludf.DUMMYFUNCTION("IFERROR(INDEX(SPLIT(A107,"":""),1,2),)"),"ARCHIES")</f>
        <v>ARCHIES</v>
      </c>
      <c r="K107" s="51" t="str">
        <f t="shared" si="4"/>
        <v/>
      </c>
      <c r="L107" s="51">
        <f t="shared" si="5"/>
        <v>113</v>
      </c>
      <c r="M107" s="51">
        <f t="shared" si="6"/>
        <v>1230</v>
      </c>
      <c r="N107" s="53">
        <f>IFERROR(__xludf.DUMMYFUNCTION("IFERROR(GOOGLEFINANCE(A107,""TRADETIME""),)"),46269.64583333333)</f>
        <v>46269.64583</v>
      </c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</row>
    <row r="108" ht="15.75" customHeight="1">
      <c r="A108" s="48" t="s">
        <v>155</v>
      </c>
      <c r="B108" s="48" t="str">
        <f>IFERROR(__xludf.DUMMYFUNCTION("IFERROR(GOOGLEFINANCE(A108,""NAME""),)"),"Rajdarshan Industries Ltd")</f>
        <v>Rajdarshan Industries Ltd</v>
      </c>
      <c r="C108" s="48">
        <f>IFERROR(__xludf.DUMMYFUNCTION("IFERROR(GOOGLEFINANCE(A108,""CHANGE""),)"),-0.46)</f>
        <v>-0.46</v>
      </c>
      <c r="D108" s="48">
        <f>IFERROR(__xludf.DUMMYFUNCTION("IFERROR(GOOGLEFINANCE(A108,""CHANGEPCT""),)"),-1.31)</f>
        <v>-1.31</v>
      </c>
      <c r="E108" s="48" t="str">
        <f t="shared" si="1"/>
        <v>-1.31%</v>
      </c>
      <c r="F108" s="48" t="str">
        <f t="shared" si="2"/>
        <v/>
      </c>
      <c r="G108" s="48">
        <f t="shared" si="3"/>
        <v>-1.31</v>
      </c>
      <c r="H108" s="48">
        <f>IFERROR(__xludf.DUMMYFUNCTION("IFERROR(GOOGLEFINANCE(A108,""PRICE""),)"),34.6)</f>
        <v>34.6</v>
      </c>
      <c r="I108" s="49">
        <f>IFERROR(__xludf.DUMMYFUNCTION("IFERROR(GOOGLEFINANCE(A108,""VOLUME""),)"),597.0)</f>
        <v>597</v>
      </c>
      <c r="J108" s="48" t="str">
        <f>IFERROR(__xludf.DUMMYFUNCTION("IFERROR(INDEX(SPLIT(A108,"":""),1,2),)"),"ARENTERP")</f>
        <v>ARENTERP</v>
      </c>
      <c r="K108" s="48" t="str">
        <f t="shared" si="4"/>
        <v/>
      </c>
      <c r="L108" s="48">
        <f t="shared" si="5"/>
        <v>403</v>
      </c>
      <c r="M108" s="48">
        <f t="shared" si="6"/>
        <v>1438</v>
      </c>
      <c r="N108" s="50">
        <f>IFERROR(__xludf.DUMMYFUNCTION("IFERROR(GOOGLEFINANCE(A108,""TRADETIME""),)"),46269.64583333333)</f>
        <v>46269.64583</v>
      </c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</row>
    <row r="109" ht="15.75" customHeight="1">
      <c r="A109" s="51" t="s">
        <v>156</v>
      </c>
      <c r="B109" s="51" t="str">
        <f>IFERROR(__xludf.DUMMYFUNCTION("IFERROR(GOOGLEFINANCE(A109,""NAME""),)"),"Aries Agro Ltd (CN)")</f>
        <v>Aries Agro Ltd (CN)</v>
      </c>
      <c r="C109" s="51">
        <f>IFERROR(__xludf.DUMMYFUNCTION("IFERROR(GOOGLEFINANCE(A109,""CHANGE""),)"),6.35)</f>
        <v>6.35</v>
      </c>
      <c r="D109" s="51">
        <f>IFERROR(__xludf.DUMMYFUNCTION("IFERROR(GOOGLEFINANCE(A109,""CHANGEPCT""),)"),1.28)</f>
        <v>1.28</v>
      </c>
      <c r="E109" s="51" t="str">
        <f t="shared" si="1"/>
        <v>1.28%</v>
      </c>
      <c r="F109" s="51">
        <f t="shared" si="2"/>
        <v>1.28</v>
      </c>
      <c r="G109" s="51" t="str">
        <f t="shared" si="3"/>
        <v/>
      </c>
      <c r="H109" s="51">
        <f>IFERROR(__xludf.DUMMYFUNCTION("IFERROR(GOOGLEFINANCE(A109,""PRICE""),)"),502.95)</f>
        <v>502.95</v>
      </c>
      <c r="I109" s="52">
        <f>IFERROR(__xludf.DUMMYFUNCTION("IFERROR(GOOGLEFINANCE(A109,""VOLUME""),)"),59836.0)</f>
        <v>59836</v>
      </c>
      <c r="J109" s="51" t="str">
        <f>IFERROR(__xludf.DUMMYFUNCTION("IFERROR(INDEX(SPLIT(A109,"":""),1,2),)"),"ARIES")</f>
        <v>ARIES</v>
      </c>
      <c r="K109" s="51">
        <f t="shared" si="4"/>
        <v>386</v>
      </c>
      <c r="L109" s="51" t="str">
        <f t="shared" si="5"/>
        <v/>
      </c>
      <c r="M109" s="51">
        <f t="shared" si="6"/>
        <v>905</v>
      </c>
      <c r="N109" s="53">
        <f>IFERROR(__xludf.DUMMYFUNCTION("IFERROR(GOOGLEFINANCE(A109,""TRADETIME""),)"),46269.64583333333)</f>
        <v>46269.64583</v>
      </c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</row>
    <row r="110" ht="15.75" customHeight="1">
      <c r="A110" s="48" t="s">
        <v>157</v>
      </c>
      <c r="B110" s="48" t="str">
        <f>IFERROR(__xludf.DUMMYFUNCTION("IFERROR(GOOGLEFINANCE(A110,""NAME""),)"),"Arihant Foundations &amp; Housing Ltd.")</f>
        <v>Arihant Foundations &amp; Housing Ltd.</v>
      </c>
      <c r="C110" s="48">
        <f>IFERROR(__xludf.DUMMYFUNCTION("IFERROR(GOOGLEFINANCE(A110,""CHANGE""),)"),76.65)</f>
        <v>76.65</v>
      </c>
      <c r="D110" s="48">
        <f>IFERROR(__xludf.DUMMYFUNCTION("IFERROR(GOOGLEFINANCE(A110,""CHANGEPCT""),)"),8.31)</f>
        <v>8.31</v>
      </c>
      <c r="E110" s="48" t="str">
        <f t="shared" si="1"/>
        <v>8.31%</v>
      </c>
      <c r="F110" s="48">
        <f t="shared" si="2"/>
        <v>8.31</v>
      </c>
      <c r="G110" s="48" t="str">
        <f t="shared" si="3"/>
        <v/>
      </c>
      <c r="H110" s="48">
        <f>IFERROR(__xludf.DUMMYFUNCTION("IFERROR(GOOGLEFINANCE(A110,""PRICE""),)"),999.0)</f>
        <v>999</v>
      </c>
      <c r="I110" s="49">
        <f>IFERROR(__xludf.DUMMYFUNCTION("IFERROR(GOOGLEFINANCE(A110,""VOLUME""),)"),324.0)</f>
        <v>324</v>
      </c>
      <c r="J110" s="48">
        <f>IFERROR(__xludf.DUMMYFUNCTION("IFERROR(INDEX(SPLIT(A110,"":""),1,2),)"),531381.0)</f>
        <v>531381</v>
      </c>
      <c r="K110" s="48">
        <f t="shared" si="4"/>
        <v>13</v>
      </c>
      <c r="L110" s="48" t="str">
        <f t="shared" si="5"/>
        <v/>
      </c>
      <c r="M110" s="48">
        <f t="shared" si="6"/>
        <v>1445</v>
      </c>
      <c r="N110" s="50">
        <f>IFERROR(__xludf.DUMMYFUNCTION("IFERROR(GOOGLEFINANCE(A110,""TRADETIME""),)"),46269.64583333333)</f>
        <v>46269.64583</v>
      </c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</row>
    <row r="111" ht="15.75" customHeight="1">
      <c r="A111" s="51" t="s">
        <v>158</v>
      </c>
      <c r="B111" s="51" t="str">
        <f>IFERROR(__xludf.DUMMYFUNCTION("IFERROR(GOOGLEFINANCE(A111,""NAME""),)"),"Arihant Superstructures Ltd")</f>
        <v>Arihant Superstructures Ltd</v>
      </c>
      <c r="C111" s="51">
        <f>IFERROR(__xludf.DUMMYFUNCTION("IFERROR(GOOGLEFINANCE(A111,""CHANGE""),)"),-7.15)</f>
        <v>-7.15</v>
      </c>
      <c r="D111" s="51">
        <f>IFERROR(__xludf.DUMMYFUNCTION("IFERROR(GOOGLEFINANCE(A111,""CHANGEPCT""),)"),-3.03)</f>
        <v>-3.03</v>
      </c>
      <c r="E111" s="51" t="str">
        <f t="shared" si="1"/>
        <v>-3.03%</v>
      </c>
      <c r="F111" s="51" t="str">
        <f t="shared" si="2"/>
        <v/>
      </c>
      <c r="G111" s="51">
        <f t="shared" si="3"/>
        <v>-3.03</v>
      </c>
      <c r="H111" s="51">
        <f>IFERROR(__xludf.DUMMYFUNCTION("IFERROR(GOOGLEFINANCE(A111,""PRICE""),)"),229.0)</f>
        <v>229</v>
      </c>
      <c r="I111" s="52">
        <f>IFERROR(__xludf.DUMMYFUNCTION("IFERROR(GOOGLEFINANCE(A111,""VOLUME""),)"),37696.0)</f>
        <v>37696</v>
      </c>
      <c r="J111" s="51" t="str">
        <f>IFERROR(__xludf.DUMMYFUNCTION("IFERROR(INDEX(SPLIT(A111,"":""),1,2),)"),"ARIHANTSUP")</f>
        <v>ARIHANTSUP</v>
      </c>
      <c r="K111" s="51" t="str">
        <f t="shared" si="4"/>
        <v/>
      </c>
      <c r="L111" s="51">
        <f t="shared" si="5"/>
        <v>592</v>
      </c>
      <c r="M111" s="51">
        <f t="shared" si="6"/>
        <v>1012</v>
      </c>
      <c r="N111" s="53">
        <f>IFERROR(__xludf.DUMMYFUNCTION("IFERROR(GOOGLEFINANCE(A111,""TRADETIME""),)"),46269.64583333333)</f>
        <v>46269.64583</v>
      </c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ht="15.75" customHeight="1">
      <c r="A112" s="48" t="s">
        <v>159</v>
      </c>
      <c r="B112" s="48" t="str">
        <f>IFERROR(__xludf.DUMMYFUNCTION("IFERROR(GOOGLEFINANCE(A112,""NAME""),)"),"Arman Financial Services Ltd")</f>
        <v>Arman Financial Services Ltd</v>
      </c>
      <c r="C112" s="48">
        <f>IFERROR(__xludf.DUMMYFUNCTION("IFERROR(GOOGLEFINANCE(A112,""CHANGE""),)"),81.1)</f>
        <v>81.1</v>
      </c>
      <c r="D112" s="48">
        <f>IFERROR(__xludf.DUMMYFUNCTION("IFERROR(GOOGLEFINANCE(A112,""CHANGEPCT""),)"),4.07)</f>
        <v>4.07</v>
      </c>
      <c r="E112" s="48" t="str">
        <f t="shared" si="1"/>
        <v>4.07%</v>
      </c>
      <c r="F112" s="48">
        <f t="shared" si="2"/>
        <v>4.07</v>
      </c>
      <c r="G112" s="48" t="str">
        <f t="shared" si="3"/>
        <v/>
      </c>
      <c r="H112" s="48">
        <f>IFERROR(__xludf.DUMMYFUNCTION("IFERROR(GOOGLEFINANCE(A112,""PRICE""),)"),2073.0)</f>
        <v>2073</v>
      </c>
      <c r="I112" s="49">
        <f>IFERROR(__xludf.DUMMYFUNCTION("IFERROR(GOOGLEFINANCE(A112,""VOLUME""),)"),42583.0)</f>
        <v>42583</v>
      </c>
      <c r="J112" s="48" t="str">
        <f>IFERROR(__xludf.DUMMYFUNCTION("IFERROR(INDEX(SPLIT(A112,"":""),1,2),)"),"ARMANFIN")</f>
        <v>ARMANFIN</v>
      </c>
      <c r="K112" s="48">
        <f t="shared" si="4"/>
        <v>111</v>
      </c>
      <c r="L112" s="48" t="str">
        <f t="shared" si="5"/>
        <v/>
      </c>
      <c r="M112" s="48">
        <f t="shared" si="6"/>
        <v>987</v>
      </c>
      <c r="N112" s="50">
        <f>IFERROR(__xludf.DUMMYFUNCTION("IFERROR(GOOGLEFINANCE(A112,""TRADETIME""),)"),46269.64583333333)</f>
        <v>46269.64583</v>
      </c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</row>
    <row r="113" ht="15.75" customHeight="1">
      <c r="A113" s="51" t="s">
        <v>160</v>
      </c>
      <c r="B113" s="51" t="str">
        <f>IFERROR(__xludf.DUMMYFUNCTION("IFERROR(GOOGLEFINANCE(A113,""NAME""),)"),"Aro Granite Industries Ltd")</f>
        <v>Aro Granite Industries Ltd</v>
      </c>
      <c r="C113" s="51">
        <f>IFERROR(__xludf.DUMMYFUNCTION("IFERROR(GOOGLEFINANCE(A113,""CHANGE""),)"),-0.42)</f>
        <v>-0.42</v>
      </c>
      <c r="D113" s="51">
        <f>IFERROR(__xludf.DUMMYFUNCTION("IFERROR(GOOGLEFINANCE(A113,""CHANGEPCT""),)"),-1.68)</f>
        <v>-1.68</v>
      </c>
      <c r="E113" s="51" t="str">
        <f t="shared" si="1"/>
        <v>-1.68%</v>
      </c>
      <c r="F113" s="51" t="str">
        <f t="shared" si="2"/>
        <v/>
      </c>
      <c r="G113" s="51">
        <f t="shared" si="3"/>
        <v>-1.68</v>
      </c>
      <c r="H113" s="51">
        <f>IFERROR(__xludf.DUMMYFUNCTION("IFERROR(GOOGLEFINANCE(A113,""PRICE""),)"),24.55)</f>
        <v>24.55</v>
      </c>
      <c r="I113" s="52">
        <f>IFERROR(__xludf.DUMMYFUNCTION("IFERROR(GOOGLEFINANCE(A113,""VOLUME""),)"),5191.0)</f>
        <v>5191</v>
      </c>
      <c r="J113" s="51" t="str">
        <f>IFERROR(__xludf.DUMMYFUNCTION("IFERROR(INDEX(SPLIT(A113,"":""),1,2),)"),"AROGRANITE")</f>
        <v>AROGRANITE</v>
      </c>
      <c r="K113" s="51" t="str">
        <f t="shared" si="4"/>
        <v/>
      </c>
      <c r="L113" s="51">
        <f t="shared" si="5"/>
        <v>479</v>
      </c>
      <c r="M113" s="51">
        <f t="shared" si="6"/>
        <v>1324</v>
      </c>
      <c r="N113" s="53">
        <f>IFERROR(__xludf.DUMMYFUNCTION("IFERROR(GOOGLEFINANCE(A113,""TRADETIME""),)"),46269.64583333333)</f>
        <v>46269.64583</v>
      </c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</row>
    <row r="114" ht="15.75" customHeight="1">
      <c r="A114" s="48" t="s">
        <v>161</v>
      </c>
      <c r="B114" s="48" t="str">
        <f>IFERROR(__xludf.DUMMYFUNCTION("IFERROR(GOOGLEFINANCE(A114,""NAME""),)"),"Arrow Greentech Ltd")</f>
        <v>Arrow Greentech Ltd</v>
      </c>
      <c r="C114" s="48">
        <f>IFERROR(__xludf.DUMMYFUNCTION("IFERROR(GOOGLEFINANCE(A114,""CHANGE""),)"),38.6)</f>
        <v>38.6</v>
      </c>
      <c r="D114" s="48">
        <f>IFERROR(__xludf.DUMMYFUNCTION("IFERROR(GOOGLEFINANCE(A114,""CHANGEPCT""),)"),4.97)</f>
        <v>4.97</v>
      </c>
      <c r="E114" s="48" t="str">
        <f t="shared" si="1"/>
        <v>4.97%</v>
      </c>
      <c r="F114" s="48">
        <f t="shared" si="2"/>
        <v>4.97</v>
      </c>
      <c r="G114" s="48" t="str">
        <f t="shared" si="3"/>
        <v/>
      </c>
      <c r="H114" s="48">
        <f>IFERROR(__xludf.DUMMYFUNCTION("IFERROR(GOOGLEFINANCE(A114,""PRICE""),)"),816.0)</f>
        <v>816</v>
      </c>
      <c r="I114" s="49">
        <f>IFERROR(__xludf.DUMMYFUNCTION("IFERROR(GOOGLEFINANCE(A114,""VOLUME""),)"),41808.0)</f>
        <v>41808</v>
      </c>
      <c r="J114" s="48" t="str">
        <f>IFERROR(__xludf.DUMMYFUNCTION("IFERROR(INDEX(SPLIT(A114,"":""),1,2),)"),"ARROWGREEN")</f>
        <v>ARROWGREEN</v>
      </c>
      <c r="K114" s="48">
        <f t="shared" si="4"/>
        <v>72</v>
      </c>
      <c r="L114" s="48" t="str">
        <f t="shared" si="5"/>
        <v/>
      </c>
      <c r="M114" s="48">
        <f t="shared" si="6"/>
        <v>992</v>
      </c>
      <c r="N114" s="50">
        <f>IFERROR(__xludf.DUMMYFUNCTION("IFERROR(GOOGLEFINANCE(A114,""TRADETIME""),)"),46269.64583333333)</f>
        <v>46269.64583</v>
      </c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</row>
    <row r="115" ht="15.75" customHeight="1">
      <c r="A115" s="51" t="s">
        <v>162</v>
      </c>
      <c r="B115" s="51" t="str">
        <f>IFERROR(__xludf.DUMMYFUNCTION("IFERROR(GOOGLEFINANCE(A115,""NAME""),)"),"Arshiya Ltd")</f>
        <v>Arshiya Ltd</v>
      </c>
      <c r="C115" s="51">
        <f>IFERROR(__xludf.DUMMYFUNCTION("IFERROR(GOOGLEFINANCE(A115,""CHANGE""),)"),0.0)</f>
        <v>0</v>
      </c>
      <c r="D115" s="51">
        <f>IFERROR(__xludf.DUMMYFUNCTION("IFERROR(GOOGLEFINANCE(A115,""CHANGEPCT""),)"),0.0)</f>
        <v>0</v>
      </c>
      <c r="E115" s="51" t="str">
        <f t="shared" si="1"/>
        <v>0%</v>
      </c>
      <c r="F115" s="51" t="str">
        <f t="shared" si="2"/>
        <v/>
      </c>
      <c r="G115" s="51" t="str">
        <f t="shared" si="3"/>
        <v/>
      </c>
      <c r="H115" s="51">
        <f>IFERROR(__xludf.DUMMYFUNCTION("IFERROR(GOOGLEFINANCE(A115,""PRICE""),)"),0.73)</f>
        <v>0.73</v>
      </c>
      <c r="I115" s="52">
        <f>IFERROR(__xludf.DUMMYFUNCTION("IFERROR(GOOGLEFINANCE(A115,""VOLUME""),)"),349656.0)</f>
        <v>349656</v>
      </c>
      <c r="J115" s="51" t="str">
        <f>IFERROR(__xludf.DUMMYFUNCTION("IFERROR(INDEX(SPLIT(A115,"":""),1,2),)"),"ARSHIYA")</f>
        <v>ARSHIYA</v>
      </c>
      <c r="K115" s="51" t="str">
        <f t="shared" si="4"/>
        <v/>
      </c>
      <c r="L115" s="51" t="str">
        <f t="shared" si="5"/>
        <v/>
      </c>
      <c r="M115" s="51">
        <f t="shared" si="6"/>
        <v>472</v>
      </c>
      <c r="N115" s="53">
        <f>IFERROR(__xludf.DUMMYFUNCTION("IFERROR(GOOGLEFINANCE(A115,""TRADETIME""),)"),46269.64583333333)</f>
        <v>46269.64583</v>
      </c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</row>
    <row r="116" ht="15.75" customHeight="1">
      <c r="A116" s="48" t="s">
        <v>163</v>
      </c>
      <c r="B116" s="48" t="str">
        <f>IFERROR(__xludf.DUMMYFUNCTION("IFERROR(GOOGLEFINANCE(A116,""NAME""),)"),"")</f>
        <v/>
      </c>
      <c r="C116" s="48" t="str">
        <f>IFERROR(__xludf.DUMMYFUNCTION("IFERROR(GOOGLEFINANCE(A116,""CHANGE""),)"),"")</f>
        <v/>
      </c>
      <c r="D116" s="48" t="str">
        <f>IFERROR(__xludf.DUMMYFUNCTION("IFERROR(GOOGLEFINANCE(A116,""CHANGEPCT""),)"),"")</f>
        <v/>
      </c>
      <c r="E116" s="48" t="str">
        <f t="shared" si="1"/>
        <v>%</v>
      </c>
      <c r="F116" s="48" t="str">
        <f t="shared" si="2"/>
        <v/>
      </c>
      <c r="G116" s="48" t="str">
        <f t="shared" si="3"/>
        <v/>
      </c>
      <c r="H116" s="48" t="str">
        <f>IFERROR(__xludf.DUMMYFUNCTION("IFERROR(GOOGLEFINANCE(A116,""PRICE""),)"),"")</f>
        <v/>
      </c>
      <c r="I116" s="49" t="str">
        <f>IFERROR(__xludf.DUMMYFUNCTION("IFERROR(GOOGLEFINANCE(A116,""VOLUME""),)"),"")</f>
        <v/>
      </c>
      <c r="J116" s="48" t="str">
        <f>IFERROR(__xludf.DUMMYFUNCTION("IFERROR(INDEX(SPLIT(A116,"":""),1,2),)"),"ARSSINFRA")</f>
        <v>ARSSINFRA</v>
      </c>
      <c r="K116" s="48" t="str">
        <f t="shared" si="4"/>
        <v/>
      </c>
      <c r="L116" s="48" t="str">
        <f t="shared" si="5"/>
        <v/>
      </c>
      <c r="M116" s="48">
        <f t="shared" si="6"/>
        <v>1456</v>
      </c>
      <c r="N116" s="50" t="str">
        <f>IFERROR(__xludf.DUMMYFUNCTION("IFERROR(GOOGLEFINANCE(A116,""TRADETIME""),)"),"")</f>
        <v/>
      </c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</row>
    <row r="117" ht="15.75" customHeight="1">
      <c r="A117" s="51" t="s">
        <v>164</v>
      </c>
      <c r="B117" s="51" t="str">
        <f>IFERROR(__xludf.DUMMYFUNCTION("IFERROR(GOOGLEFINANCE(A117,""NAME""),)"),"Artemis Medicare Services Ltd")</f>
        <v>Artemis Medicare Services Ltd</v>
      </c>
      <c r="C117" s="51">
        <f>IFERROR(__xludf.DUMMYFUNCTION("IFERROR(GOOGLEFINANCE(A117,""CHANGE""),)"),13.1)</f>
        <v>13.1</v>
      </c>
      <c r="D117" s="51">
        <f>IFERROR(__xludf.DUMMYFUNCTION("IFERROR(GOOGLEFINANCE(A117,""CHANGEPCT""),)"),4.1)</f>
        <v>4.1</v>
      </c>
      <c r="E117" s="51" t="str">
        <f t="shared" si="1"/>
        <v>4.1%</v>
      </c>
      <c r="F117" s="51">
        <f t="shared" si="2"/>
        <v>4.1</v>
      </c>
      <c r="G117" s="51" t="str">
        <f t="shared" si="3"/>
        <v/>
      </c>
      <c r="H117" s="51">
        <f>IFERROR(__xludf.DUMMYFUNCTION("IFERROR(GOOGLEFINANCE(A117,""PRICE""),)"),332.95)</f>
        <v>332.95</v>
      </c>
      <c r="I117" s="52">
        <f>IFERROR(__xludf.DUMMYFUNCTION("IFERROR(GOOGLEFINANCE(A117,""VOLUME""),)"),885338.0)</f>
        <v>885338</v>
      </c>
      <c r="J117" s="51" t="str">
        <f>IFERROR(__xludf.DUMMYFUNCTION("IFERROR(INDEX(SPLIT(A117,"":""),1,2),)"),"ARTEMISMED")</f>
        <v>ARTEMISMED</v>
      </c>
      <c r="K117" s="51">
        <f t="shared" si="4"/>
        <v>109</v>
      </c>
      <c r="L117" s="51" t="str">
        <f t="shared" si="5"/>
        <v/>
      </c>
      <c r="M117" s="51">
        <f t="shared" si="6"/>
        <v>295</v>
      </c>
      <c r="N117" s="53">
        <f>IFERROR(__xludf.DUMMYFUNCTION("IFERROR(GOOGLEFINANCE(A117,""TRADETIME""),)"),46269.64585648148)</f>
        <v>46269.64586</v>
      </c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</row>
    <row r="118" ht="15.75" customHeight="1">
      <c r="A118" s="48" t="s">
        <v>92</v>
      </c>
      <c r="B118" s="48" t="str">
        <f>IFERROR(__xludf.DUMMYFUNCTION("IFERROR(GOOGLEFINANCE(A118,""NAME""),)"),"Arvind Ltd")</f>
        <v>Arvind Ltd</v>
      </c>
      <c r="C118" s="48">
        <f>IFERROR(__xludf.DUMMYFUNCTION("IFERROR(GOOGLEFINANCE(A118,""CHANGE""),)"),-14.0)</f>
        <v>-14</v>
      </c>
      <c r="D118" s="48">
        <f>IFERROR(__xludf.DUMMYFUNCTION("IFERROR(GOOGLEFINANCE(A118,""CHANGEPCT""),)"),-2.47)</f>
        <v>-2.47</v>
      </c>
      <c r="E118" s="48" t="str">
        <f t="shared" si="1"/>
        <v>-2.47%</v>
      </c>
      <c r="F118" s="48" t="str">
        <f t="shared" si="2"/>
        <v/>
      </c>
      <c r="G118" s="48">
        <f t="shared" si="3"/>
        <v>-2.47</v>
      </c>
      <c r="H118" s="48">
        <f>IFERROR(__xludf.DUMMYFUNCTION("IFERROR(GOOGLEFINANCE(A118,""PRICE""),)"),553.0)</f>
        <v>553</v>
      </c>
      <c r="I118" s="49">
        <f>IFERROR(__xludf.DUMMYFUNCTION("IFERROR(GOOGLEFINANCE(A118,""VOLUME""),)"),308497.0)</f>
        <v>308497</v>
      </c>
      <c r="J118" s="48" t="str">
        <f>IFERROR(__xludf.DUMMYFUNCTION("IFERROR(INDEX(SPLIT(A118,"":""),1,2),)"),"ARVIND")</f>
        <v>ARVIND</v>
      </c>
      <c r="K118" s="48" t="str">
        <f t="shared" si="4"/>
        <v/>
      </c>
      <c r="L118" s="48">
        <f t="shared" si="5"/>
        <v>572</v>
      </c>
      <c r="M118" s="48">
        <f t="shared" si="6"/>
        <v>506</v>
      </c>
      <c r="N118" s="50">
        <f>IFERROR(__xludf.DUMMYFUNCTION("IFERROR(GOOGLEFINANCE(A118,""TRADETIME""),)"),46269.64585648148)</f>
        <v>46269.64586</v>
      </c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</row>
    <row r="119" ht="15.75" customHeight="1">
      <c r="A119" s="51" t="s">
        <v>165</v>
      </c>
      <c r="B119" s="51" t="str">
        <f>IFERROR(__xludf.DUMMYFUNCTION("IFERROR(GOOGLEFINANCE(A119,""NAME""),)"),"ARVIND FASHIONS LTD")</f>
        <v>ARVIND FASHIONS LTD</v>
      </c>
      <c r="C119" s="51">
        <f>IFERROR(__xludf.DUMMYFUNCTION("IFERROR(GOOGLEFINANCE(A119,""CHANGE""),)"),-8.3)</f>
        <v>-8.3</v>
      </c>
      <c r="D119" s="51">
        <f>IFERROR(__xludf.DUMMYFUNCTION("IFERROR(GOOGLEFINANCE(A119,""CHANGEPCT""),)"),-1.83)</f>
        <v>-1.83</v>
      </c>
      <c r="E119" s="51" t="str">
        <f t="shared" si="1"/>
        <v>-1.83%</v>
      </c>
      <c r="F119" s="51" t="str">
        <f t="shared" si="2"/>
        <v/>
      </c>
      <c r="G119" s="51">
        <f t="shared" si="3"/>
        <v>-1.83</v>
      </c>
      <c r="H119" s="51">
        <f>IFERROR(__xludf.DUMMYFUNCTION("IFERROR(GOOGLEFINANCE(A119,""PRICE""),)"),446.0)</f>
        <v>446</v>
      </c>
      <c r="I119" s="52">
        <f>IFERROR(__xludf.DUMMYFUNCTION("IFERROR(GOOGLEFINANCE(A119,""VOLUME""),)"),75363.0)</f>
        <v>75363</v>
      </c>
      <c r="J119" s="51" t="str">
        <f>IFERROR(__xludf.DUMMYFUNCTION("IFERROR(INDEX(SPLIT(A119,"":""),1,2),)"),"ARVINDFASN")</f>
        <v>ARVINDFASN</v>
      </c>
      <c r="K119" s="51" t="str">
        <f t="shared" si="4"/>
        <v/>
      </c>
      <c r="L119" s="51">
        <f t="shared" si="5"/>
        <v>496</v>
      </c>
      <c r="M119" s="51">
        <f t="shared" si="6"/>
        <v>842</v>
      </c>
      <c r="N119" s="53">
        <f>IFERROR(__xludf.DUMMYFUNCTION("IFERROR(GOOGLEFINANCE(A119,""TRADETIME""),)"),46269.64583333333)</f>
        <v>46269.64583</v>
      </c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</row>
    <row r="120" ht="15.75" customHeight="1">
      <c r="A120" s="48" t="s">
        <v>166</v>
      </c>
      <c r="B120" s="48" t="str">
        <f>IFERROR(__xludf.DUMMYFUNCTION("IFERROR(GOOGLEFINANCE(A120,""NAME""),)"),"Arvind Smartspaces Ltd")</f>
        <v>Arvind Smartspaces Ltd</v>
      </c>
      <c r="C120" s="48">
        <f>IFERROR(__xludf.DUMMYFUNCTION("IFERROR(GOOGLEFINANCE(A120,""CHANGE""),)"),6.0)</f>
        <v>6</v>
      </c>
      <c r="D120" s="48">
        <f>IFERROR(__xludf.DUMMYFUNCTION("IFERROR(GOOGLEFINANCE(A120,""CHANGEPCT""),)"),0.94)</f>
        <v>0.94</v>
      </c>
      <c r="E120" s="48" t="str">
        <f t="shared" si="1"/>
        <v>0.94%</v>
      </c>
      <c r="F120" s="48">
        <f t="shared" si="2"/>
        <v>0.94</v>
      </c>
      <c r="G120" s="48" t="str">
        <f t="shared" si="3"/>
        <v/>
      </c>
      <c r="H120" s="48">
        <f>IFERROR(__xludf.DUMMYFUNCTION("IFERROR(GOOGLEFINANCE(A120,""PRICE""),)"),645.0)</f>
        <v>645</v>
      </c>
      <c r="I120" s="49">
        <f>IFERROR(__xludf.DUMMYFUNCTION("IFERROR(GOOGLEFINANCE(A120,""VOLUME""),)"),28414.0)</f>
        <v>28414</v>
      </c>
      <c r="J120" s="48" t="str">
        <f>IFERROR(__xludf.DUMMYFUNCTION("IFERROR(INDEX(SPLIT(A120,"":""),1,2),)"),"ARVSMART")</f>
        <v>ARVSMART</v>
      </c>
      <c r="K120" s="48">
        <f t="shared" si="4"/>
        <v>460</v>
      </c>
      <c r="L120" s="48" t="str">
        <f t="shared" si="5"/>
        <v/>
      </c>
      <c r="M120" s="48">
        <f t="shared" si="6"/>
        <v>1064</v>
      </c>
      <c r="N120" s="50">
        <f>IFERROR(__xludf.DUMMYFUNCTION("IFERROR(GOOGLEFINANCE(A120,""TRADETIME""),)"),46269.64583333333)</f>
        <v>46269.64583</v>
      </c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</row>
    <row r="121" ht="15.75" customHeight="1">
      <c r="A121" s="51" t="s">
        <v>167</v>
      </c>
      <c r="B121" s="51" t="str">
        <f>IFERROR(__xludf.DUMMYFUNCTION("IFERROR(GOOGLEFINANCE(A121,""NAME""),)"),"Asahi India Glass Ltd")</f>
        <v>Asahi India Glass Ltd</v>
      </c>
      <c r="C121" s="51">
        <f>IFERROR(__xludf.DUMMYFUNCTION("IFERROR(GOOGLEFINANCE(A121,""CHANGE""),)"),-8.25)</f>
        <v>-8.25</v>
      </c>
      <c r="D121" s="51">
        <f>IFERROR(__xludf.DUMMYFUNCTION("IFERROR(GOOGLEFINANCE(A121,""CHANGEPCT""),)"),-0.86)</f>
        <v>-0.86</v>
      </c>
      <c r="E121" s="51" t="str">
        <f t="shared" si="1"/>
        <v>-0.86%</v>
      </c>
      <c r="F121" s="51" t="str">
        <f t="shared" si="2"/>
        <v/>
      </c>
      <c r="G121" s="51">
        <f t="shared" si="3"/>
        <v>-0.86</v>
      </c>
      <c r="H121" s="51">
        <f>IFERROR(__xludf.DUMMYFUNCTION("IFERROR(GOOGLEFINANCE(A121,""PRICE""),)"),954.0)</f>
        <v>954</v>
      </c>
      <c r="I121" s="52">
        <f>IFERROR(__xludf.DUMMYFUNCTION("IFERROR(GOOGLEFINANCE(A121,""VOLUME""),)"),256318.0)</f>
        <v>256318</v>
      </c>
      <c r="J121" s="51" t="str">
        <f>IFERROR(__xludf.DUMMYFUNCTION("IFERROR(INDEX(SPLIT(A121,"":""),1,2),)"),"ASAHIINDIA")</f>
        <v>ASAHIINDIA</v>
      </c>
      <c r="K121" s="51" t="str">
        <f t="shared" si="4"/>
        <v/>
      </c>
      <c r="L121" s="51">
        <f t="shared" si="5"/>
        <v>310</v>
      </c>
      <c r="M121" s="51">
        <f t="shared" si="6"/>
        <v>560</v>
      </c>
      <c r="N121" s="53">
        <f>IFERROR(__xludf.DUMMYFUNCTION("IFERROR(GOOGLEFINANCE(A121,""TRADETIME""),)"),46269.64583333333)</f>
        <v>46269.64583</v>
      </c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</row>
    <row r="122" ht="15.75" customHeight="1">
      <c r="A122" s="48" t="s">
        <v>168</v>
      </c>
      <c r="B122" s="48" t="str">
        <f>IFERROR(__xludf.DUMMYFUNCTION("IFERROR(GOOGLEFINANCE(A122,""NAME""),)"),"Asahi Songwon Colors Ltd")</f>
        <v>Asahi Songwon Colors Ltd</v>
      </c>
      <c r="C122" s="48">
        <f>IFERROR(__xludf.DUMMYFUNCTION("IFERROR(GOOGLEFINANCE(A122,""CHANGE""),)"),4.2)</f>
        <v>4.2</v>
      </c>
      <c r="D122" s="48">
        <f>IFERROR(__xludf.DUMMYFUNCTION("IFERROR(GOOGLEFINANCE(A122,""CHANGEPCT""),)"),1.14)</f>
        <v>1.14</v>
      </c>
      <c r="E122" s="48" t="str">
        <f t="shared" si="1"/>
        <v>1.14%</v>
      </c>
      <c r="F122" s="48">
        <f t="shared" si="2"/>
        <v>1.14</v>
      </c>
      <c r="G122" s="48" t="str">
        <f t="shared" si="3"/>
        <v/>
      </c>
      <c r="H122" s="48">
        <f>IFERROR(__xludf.DUMMYFUNCTION("IFERROR(GOOGLEFINANCE(A122,""PRICE""),)"),373.0)</f>
        <v>373</v>
      </c>
      <c r="I122" s="49">
        <f>IFERROR(__xludf.DUMMYFUNCTION("IFERROR(GOOGLEFINANCE(A122,""VOLUME""),)"),18001.0)</f>
        <v>18001</v>
      </c>
      <c r="J122" s="48" t="str">
        <f>IFERROR(__xludf.DUMMYFUNCTION("IFERROR(INDEX(SPLIT(A122,"":""),1,2),)"),"ASAHISONG")</f>
        <v>ASAHISONG</v>
      </c>
      <c r="K122" s="48">
        <f t="shared" si="4"/>
        <v>425</v>
      </c>
      <c r="L122" s="48" t="str">
        <f t="shared" si="5"/>
        <v/>
      </c>
      <c r="M122" s="48">
        <f t="shared" si="6"/>
        <v>1147</v>
      </c>
      <c r="N122" s="50">
        <f>IFERROR(__xludf.DUMMYFUNCTION("IFERROR(GOOGLEFINANCE(A122,""TRADETIME""),)"),46269.64583333333)</f>
        <v>46269.64583</v>
      </c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</row>
    <row r="123" ht="15.75" customHeight="1">
      <c r="A123" s="51" t="s">
        <v>169</v>
      </c>
      <c r="B123" s="51" t="str">
        <f>IFERROR(__xludf.DUMMYFUNCTION("IFERROR(GOOGLEFINANCE(A123,""NAME""),)"),"Automotive Stampings and Assemblies Ltd")</f>
        <v>Automotive Stampings and Assemblies Ltd</v>
      </c>
      <c r="C123" s="51">
        <f>IFERROR(__xludf.DUMMYFUNCTION("IFERROR(GOOGLEFINANCE(A123,""CHANGE""),)"),-13.55)</f>
        <v>-13.55</v>
      </c>
      <c r="D123" s="51">
        <f>IFERROR(__xludf.DUMMYFUNCTION("IFERROR(GOOGLEFINANCE(A123,""CHANGEPCT""),)"),-2.79)</f>
        <v>-2.79</v>
      </c>
      <c r="E123" s="51" t="str">
        <f t="shared" si="1"/>
        <v>-2.79%</v>
      </c>
      <c r="F123" s="51" t="str">
        <f t="shared" si="2"/>
        <v/>
      </c>
      <c r="G123" s="51">
        <f t="shared" si="3"/>
        <v>-2.79</v>
      </c>
      <c r="H123" s="51">
        <f>IFERROR(__xludf.DUMMYFUNCTION("IFERROR(GOOGLEFINANCE(A123,""PRICE""),)"),472.75)</f>
        <v>472.75</v>
      </c>
      <c r="I123" s="52">
        <f>IFERROR(__xludf.DUMMYFUNCTION("IFERROR(GOOGLEFINANCE(A123,""VOLUME""),)"),23916.0)</f>
        <v>23916</v>
      </c>
      <c r="J123" s="51" t="str">
        <f>IFERROR(__xludf.DUMMYFUNCTION("IFERROR(INDEX(SPLIT(A123,"":""),1,2),)"),"ASAL")</f>
        <v>ASAL</v>
      </c>
      <c r="K123" s="51" t="str">
        <f t="shared" si="4"/>
        <v/>
      </c>
      <c r="L123" s="51">
        <f t="shared" si="5"/>
        <v>587</v>
      </c>
      <c r="M123" s="51">
        <f t="shared" si="6"/>
        <v>1094</v>
      </c>
      <c r="N123" s="53">
        <f>IFERROR(__xludf.DUMMYFUNCTION("IFERROR(GOOGLEFINANCE(A123,""TRADETIME""),)"),46269.64583333333)</f>
        <v>46269.64583</v>
      </c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</row>
    <row r="124" ht="15.75" customHeight="1">
      <c r="A124" s="48" t="s">
        <v>170</v>
      </c>
      <c r="B124" s="48" t="str">
        <f>IFERROR(__xludf.DUMMYFUNCTION("IFERROR(GOOGLEFINANCE(A124,""NAME""),)"),"Associated Alcohols &amp; Breweries Ltd")</f>
        <v>Associated Alcohols &amp; Breweries Ltd</v>
      </c>
      <c r="C124" s="48">
        <f>IFERROR(__xludf.DUMMYFUNCTION("IFERROR(GOOGLEFINANCE(A124,""CHANGE""),)"),4.0)</f>
        <v>4</v>
      </c>
      <c r="D124" s="48">
        <f>IFERROR(__xludf.DUMMYFUNCTION("IFERROR(GOOGLEFINANCE(A124,""CHANGEPCT""),)"),0.57)</f>
        <v>0.57</v>
      </c>
      <c r="E124" s="48" t="str">
        <f t="shared" si="1"/>
        <v>0.57%</v>
      </c>
      <c r="F124" s="48">
        <f t="shared" si="2"/>
        <v>0.57</v>
      </c>
      <c r="G124" s="48" t="str">
        <f t="shared" si="3"/>
        <v/>
      </c>
      <c r="H124" s="48">
        <f>IFERROR(__xludf.DUMMYFUNCTION("IFERROR(GOOGLEFINANCE(A124,""PRICE""),)"),700.05)</f>
        <v>700.05</v>
      </c>
      <c r="I124" s="49">
        <f>IFERROR(__xludf.DUMMYFUNCTION("IFERROR(GOOGLEFINANCE(A124,""VOLUME""),)"),14302.0)</f>
        <v>14302</v>
      </c>
      <c r="J124" s="48" t="str">
        <f>IFERROR(__xludf.DUMMYFUNCTION("IFERROR(INDEX(SPLIT(A124,"":""),1,2),)"),"ASALCBR")</f>
        <v>ASALCBR</v>
      </c>
      <c r="K124" s="48">
        <f t="shared" si="4"/>
        <v>564</v>
      </c>
      <c r="L124" s="48" t="str">
        <f t="shared" si="5"/>
        <v/>
      </c>
      <c r="M124" s="48">
        <f t="shared" si="6"/>
        <v>1187</v>
      </c>
      <c r="N124" s="50">
        <f>IFERROR(__xludf.DUMMYFUNCTION("IFERROR(GOOGLEFINANCE(A124,""TRADETIME""),)"),46269.64583333333)</f>
        <v>46269.64583</v>
      </c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</row>
    <row r="125" ht="15.75" customHeight="1">
      <c r="A125" s="51" t="s">
        <v>171</v>
      </c>
      <c r="B125" s="51" t="str">
        <f>IFERROR(__xludf.DUMMYFUNCTION("IFERROR(GOOGLEFINANCE(A125,""NAME""),)"),"Ashapura Minechem Ltd")</f>
        <v>Ashapura Minechem Ltd</v>
      </c>
      <c r="C125" s="51">
        <f>IFERROR(__xludf.DUMMYFUNCTION("IFERROR(GOOGLEFINANCE(A125,""CHANGE""),)"),5.05)</f>
        <v>5.05</v>
      </c>
      <c r="D125" s="51">
        <f>IFERROR(__xludf.DUMMYFUNCTION("IFERROR(GOOGLEFINANCE(A125,""CHANGEPCT""),)"),0.92)</f>
        <v>0.92</v>
      </c>
      <c r="E125" s="51" t="str">
        <f t="shared" si="1"/>
        <v>0.92%</v>
      </c>
      <c r="F125" s="51">
        <f t="shared" si="2"/>
        <v>0.92</v>
      </c>
      <c r="G125" s="51" t="str">
        <f t="shared" si="3"/>
        <v/>
      </c>
      <c r="H125" s="51">
        <f>IFERROR(__xludf.DUMMYFUNCTION("IFERROR(GOOGLEFINANCE(A125,""PRICE""),)"),553.0)</f>
        <v>553</v>
      </c>
      <c r="I125" s="52">
        <f>IFERROR(__xludf.DUMMYFUNCTION("IFERROR(GOOGLEFINANCE(A125,""VOLUME""),)"),275733.0)</f>
        <v>275733</v>
      </c>
      <c r="J125" s="51" t="str">
        <f>IFERROR(__xludf.DUMMYFUNCTION("IFERROR(INDEX(SPLIT(A125,"":""),1,2),)"),"ASHAPURMIN")</f>
        <v>ASHAPURMIN</v>
      </c>
      <c r="K125" s="51">
        <f t="shared" si="4"/>
        <v>466</v>
      </c>
      <c r="L125" s="51" t="str">
        <f t="shared" si="5"/>
        <v/>
      </c>
      <c r="M125" s="51">
        <f t="shared" si="6"/>
        <v>544</v>
      </c>
      <c r="N125" s="53">
        <f>IFERROR(__xludf.DUMMYFUNCTION("IFERROR(GOOGLEFINANCE(A125,""TRADETIME""),)"),46269.64584490741)</f>
        <v>46269.64584</v>
      </c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</row>
    <row r="126" ht="15.75" customHeight="1">
      <c r="A126" s="48" t="s">
        <v>172</v>
      </c>
      <c r="B126" s="48" t="str">
        <f>IFERROR(__xludf.DUMMYFUNCTION("IFERROR(GOOGLEFINANCE(A126,""NAME""),)"),"Ashiana Housing Ltd")</f>
        <v>Ashiana Housing Ltd</v>
      </c>
      <c r="C126" s="48">
        <f>IFERROR(__xludf.DUMMYFUNCTION("IFERROR(GOOGLEFINANCE(A126,""CHANGE""),)"),-7.8)</f>
        <v>-7.8</v>
      </c>
      <c r="D126" s="48">
        <f>IFERROR(__xludf.DUMMYFUNCTION("IFERROR(GOOGLEFINANCE(A126,""CHANGEPCT""),)"),-2.13)</f>
        <v>-2.13</v>
      </c>
      <c r="E126" s="48" t="str">
        <f t="shared" si="1"/>
        <v>-2.13%</v>
      </c>
      <c r="F126" s="48" t="str">
        <f t="shared" si="2"/>
        <v/>
      </c>
      <c r="G126" s="48">
        <f t="shared" si="3"/>
        <v>-2.13</v>
      </c>
      <c r="H126" s="48">
        <f>IFERROR(__xludf.DUMMYFUNCTION("IFERROR(GOOGLEFINANCE(A126,""PRICE""),)"),358.75)</f>
        <v>358.75</v>
      </c>
      <c r="I126" s="49">
        <f>IFERROR(__xludf.DUMMYFUNCTION("IFERROR(GOOGLEFINANCE(A126,""VOLUME""),)"),40739.0)</f>
        <v>40739</v>
      </c>
      <c r="J126" s="48" t="str">
        <f>IFERROR(__xludf.DUMMYFUNCTION("IFERROR(INDEX(SPLIT(A126,"":""),1,2),)"),"ASHIANA")</f>
        <v>ASHIANA</v>
      </c>
      <c r="K126" s="48" t="str">
        <f t="shared" si="4"/>
        <v/>
      </c>
      <c r="L126" s="48">
        <f t="shared" si="5"/>
        <v>540</v>
      </c>
      <c r="M126" s="48">
        <f t="shared" si="6"/>
        <v>1001</v>
      </c>
      <c r="N126" s="50">
        <f>IFERROR(__xludf.DUMMYFUNCTION("IFERROR(GOOGLEFINANCE(A126,""TRADETIME""),)"),46269.64583333333)</f>
        <v>46269.64583</v>
      </c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</row>
    <row r="127" ht="15.75" customHeight="1">
      <c r="A127" s="51" t="s">
        <v>173</v>
      </c>
      <c r="B127" s="51" t="str">
        <f>IFERROR(__xludf.DUMMYFUNCTION("IFERROR(GOOGLEFINANCE(A127,""NAME""),)"),"Ashima Ltd")</f>
        <v>Ashima Ltd</v>
      </c>
      <c r="C127" s="51">
        <f>IFERROR(__xludf.DUMMYFUNCTION("IFERROR(GOOGLEFINANCE(A127,""CHANGE""),)"),0.06)</f>
        <v>0.06</v>
      </c>
      <c r="D127" s="51">
        <f>IFERROR(__xludf.DUMMYFUNCTION("IFERROR(GOOGLEFINANCE(A127,""CHANGEPCT""),)"),0.34)</f>
        <v>0.34</v>
      </c>
      <c r="E127" s="51" t="str">
        <f t="shared" si="1"/>
        <v>0.34%</v>
      </c>
      <c r="F127" s="51">
        <f t="shared" si="2"/>
        <v>0.34</v>
      </c>
      <c r="G127" s="51" t="str">
        <f t="shared" si="3"/>
        <v/>
      </c>
      <c r="H127" s="51">
        <f>IFERROR(__xludf.DUMMYFUNCTION("IFERROR(GOOGLEFINANCE(A127,""PRICE""),)"),17.94)</f>
        <v>17.94</v>
      </c>
      <c r="I127" s="52">
        <f>IFERROR(__xludf.DUMMYFUNCTION("IFERROR(GOOGLEFINANCE(A127,""VOLUME""),)"),207276.0)</f>
        <v>207276</v>
      </c>
      <c r="J127" s="51" t="str">
        <f>IFERROR(__xludf.DUMMYFUNCTION("IFERROR(INDEX(SPLIT(A127,"":""),1,2),)"),"ASHIMASYN")</f>
        <v>ASHIMASYN</v>
      </c>
      <c r="K127" s="51">
        <f t="shared" si="4"/>
        <v>645</v>
      </c>
      <c r="L127" s="51" t="str">
        <f t="shared" si="5"/>
        <v/>
      </c>
      <c r="M127" s="51">
        <f t="shared" si="6"/>
        <v>616</v>
      </c>
      <c r="N127" s="53">
        <f>IFERROR(__xludf.DUMMYFUNCTION("IFERROR(GOOGLEFINANCE(A127,""TRADETIME""),)"),46269.64583333333)</f>
        <v>46269.64583</v>
      </c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</row>
    <row r="128" ht="15.75" customHeight="1">
      <c r="A128" s="48" t="s">
        <v>174</v>
      </c>
      <c r="B128" s="48" t="str">
        <f>IFERROR(__xludf.DUMMYFUNCTION("IFERROR(GOOGLEFINANCE(A128,""NAME""),)"),"Ashoka Buildcon Ltd")</f>
        <v>Ashoka Buildcon Ltd</v>
      </c>
      <c r="C128" s="48">
        <f>IFERROR(__xludf.DUMMYFUNCTION("IFERROR(GOOGLEFINANCE(A128,""CHANGE""),)"),-1.55)</f>
        <v>-1.55</v>
      </c>
      <c r="D128" s="48">
        <f>IFERROR(__xludf.DUMMYFUNCTION("IFERROR(GOOGLEFINANCE(A128,""CHANGEPCT""),)"),-1.32)</f>
        <v>-1.32</v>
      </c>
      <c r="E128" s="48" t="str">
        <f t="shared" si="1"/>
        <v>-1.32%</v>
      </c>
      <c r="F128" s="48" t="str">
        <f t="shared" si="2"/>
        <v/>
      </c>
      <c r="G128" s="48">
        <f t="shared" si="3"/>
        <v>-1.32</v>
      </c>
      <c r="H128" s="48">
        <f>IFERROR(__xludf.DUMMYFUNCTION("IFERROR(GOOGLEFINANCE(A128,""PRICE""),)"),115.77)</f>
        <v>115.77</v>
      </c>
      <c r="I128" s="49">
        <f>IFERROR(__xludf.DUMMYFUNCTION("IFERROR(GOOGLEFINANCE(A128,""VOLUME""),)"),998292.0)</f>
        <v>998292</v>
      </c>
      <c r="J128" s="48" t="str">
        <f>IFERROR(__xludf.DUMMYFUNCTION("IFERROR(INDEX(SPLIT(A128,"":""),1,2),)"),"ASHOKA")</f>
        <v>ASHOKA</v>
      </c>
      <c r="K128" s="48" t="str">
        <f t="shared" si="4"/>
        <v/>
      </c>
      <c r="L128" s="48">
        <f t="shared" si="5"/>
        <v>407</v>
      </c>
      <c r="M128" s="48">
        <f t="shared" si="6"/>
        <v>275</v>
      </c>
      <c r="N128" s="50">
        <f>IFERROR(__xludf.DUMMYFUNCTION("IFERROR(GOOGLEFINANCE(A128,""TRADETIME""),)"),46269.64584490741)</f>
        <v>46269.64584</v>
      </c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</row>
    <row r="129" ht="15.75" customHeight="1">
      <c r="A129" s="51" t="s">
        <v>175</v>
      </c>
      <c r="B129" s="51" t="str">
        <f>IFERROR(__xludf.DUMMYFUNCTION("IFERROR(GOOGLEFINANCE(A129,""NAME""),)"),"Ashok Leyland Ltd")</f>
        <v>Ashok Leyland Ltd</v>
      </c>
      <c r="C129" s="51">
        <f>IFERROR(__xludf.DUMMYFUNCTION("IFERROR(GOOGLEFINANCE(A129,""CHANGE""),)"),-0.15)</f>
        <v>-0.15</v>
      </c>
      <c r="D129" s="51">
        <f>IFERROR(__xludf.DUMMYFUNCTION("IFERROR(GOOGLEFINANCE(A129,""CHANGEPCT""),)"),-0.09)</f>
        <v>-0.09</v>
      </c>
      <c r="E129" s="51" t="str">
        <f t="shared" si="1"/>
        <v>-0.09%</v>
      </c>
      <c r="F129" s="51" t="str">
        <f t="shared" si="2"/>
        <v/>
      </c>
      <c r="G129" s="51">
        <f t="shared" si="3"/>
        <v>-0.09</v>
      </c>
      <c r="H129" s="51">
        <f>IFERROR(__xludf.DUMMYFUNCTION("IFERROR(GOOGLEFINANCE(A129,""PRICE""),)"),169.2)</f>
        <v>169.2</v>
      </c>
      <c r="I129" s="52">
        <f>IFERROR(__xludf.DUMMYFUNCTION("IFERROR(GOOGLEFINANCE(A129,""VOLUME""),)"),1.3509881E7)</f>
        <v>13509881</v>
      </c>
      <c r="J129" s="51" t="str">
        <f>IFERROR(__xludf.DUMMYFUNCTION("IFERROR(INDEX(SPLIT(A129,"":""),1,2),)"),"ASHOKLEY")</f>
        <v>ASHOKLEY</v>
      </c>
      <c r="K129" s="51" t="str">
        <f t="shared" si="4"/>
        <v/>
      </c>
      <c r="L129" s="51">
        <f t="shared" si="5"/>
        <v>27</v>
      </c>
      <c r="M129" s="51">
        <f t="shared" si="6"/>
        <v>34</v>
      </c>
      <c r="N129" s="53">
        <f>IFERROR(__xludf.DUMMYFUNCTION("IFERROR(GOOGLEFINANCE(A129,""TRADETIME""),)"),46269.64583333333)</f>
        <v>46269.64583</v>
      </c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</row>
    <row r="130" ht="15.75" customHeight="1">
      <c r="A130" s="48" t="s">
        <v>176</v>
      </c>
      <c r="B130" s="48" t="str">
        <f>IFERROR(__xludf.DUMMYFUNCTION("IFERROR(GOOGLEFINANCE(A130,""NAME""),)"),"Asian Hotels (North) Ltd")</f>
        <v>Asian Hotels (North) Ltd</v>
      </c>
      <c r="C130" s="48">
        <f>IFERROR(__xludf.DUMMYFUNCTION("IFERROR(GOOGLEFINANCE(A130,""CHANGE""),)"),4.9)</f>
        <v>4.9</v>
      </c>
      <c r="D130" s="48">
        <f>IFERROR(__xludf.DUMMYFUNCTION("IFERROR(GOOGLEFINANCE(A130,""CHANGEPCT""),)"),1.28)</f>
        <v>1.28</v>
      </c>
      <c r="E130" s="48" t="str">
        <f t="shared" si="1"/>
        <v>1.28%</v>
      </c>
      <c r="F130" s="48">
        <f t="shared" si="2"/>
        <v>1.28</v>
      </c>
      <c r="G130" s="48" t="str">
        <f t="shared" si="3"/>
        <v/>
      </c>
      <c r="H130" s="48">
        <f>IFERROR(__xludf.DUMMYFUNCTION("IFERROR(GOOGLEFINANCE(A130,""PRICE""),)"),388.75)</f>
        <v>388.75</v>
      </c>
      <c r="I130" s="49">
        <f>IFERROR(__xludf.DUMMYFUNCTION("IFERROR(GOOGLEFINANCE(A130,""VOLUME""),)"),10682.0)</f>
        <v>10682</v>
      </c>
      <c r="J130" s="48" t="str">
        <f>IFERROR(__xludf.DUMMYFUNCTION("IFERROR(INDEX(SPLIT(A130,"":""),1,2),)"),"ASIANHOTNR")</f>
        <v>ASIANHOTNR</v>
      </c>
      <c r="K130" s="48">
        <f t="shared" si="4"/>
        <v>387</v>
      </c>
      <c r="L130" s="48" t="str">
        <f t="shared" si="5"/>
        <v/>
      </c>
      <c r="M130" s="48">
        <f t="shared" si="6"/>
        <v>1224</v>
      </c>
      <c r="N130" s="50">
        <f>IFERROR(__xludf.DUMMYFUNCTION("IFERROR(GOOGLEFINANCE(A130,""TRADETIME""),)"),46269.64583333333)</f>
        <v>46269.64583</v>
      </c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</row>
    <row r="131" ht="15.75" customHeight="1">
      <c r="A131" s="51" t="s">
        <v>177</v>
      </c>
      <c r="B131" s="51" t="str">
        <f>IFERROR(__xludf.DUMMYFUNCTION("IFERROR(GOOGLEFINANCE(A131,""NAME""),)"),"Asian Paints Ltd")</f>
        <v>Asian Paints Ltd</v>
      </c>
      <c r="C131" s="51">
        <f>IFERROR(__xludf.DUMMYFUNCTION("IFERROR(GOOGLEFINANCE(A131,""CHANGE""),)"),-13.0)</f>
        <v>-13</v>
      </c>
      <c r="D131" s="51">
        <f>IFERROR(__xludf.DUMMYFUNCTION("IFERROR(GOOGLEFINANCE(A131,""CHANGEPCT""),)"),-0.51)</f>
        <v>-0.51</v>
      </c>
      <c r="E131" s="51" t="str">
        <f t="shared" si="1"/>
        <v>-0.51%</v>
      </c>
      <c r="F131" s="51" t="str">
        <f t="shared" si="2"/>
        <v/>
      </c>
      <c r="G131" s="51">
        <f t="shared" si="3"/>
        <v>-0.51</v>
      </c>
      <c r="H131" s="51">
        <f>IFERROR(__xludf.DUMMYFUNCTION("IFERROR(GOOGLEFINANCE(A131,""PRICE""),)"),2528.6)</f>
        <v>2528.6</v>
      </c>
      <c r="I131" s="52">
        <f>IFERROR(__xludf.DUMMYFUNCTION("IFERROR(GOOGLEFINANCE(A131,""VOLUME""),)"),399368.0)</f>
        <v>399368</v>
      </c>
      <c r="J131" s="51" t="str">
        <f>IFERROR(__xludf.DUMMYFUNCTION("IFERROR(INDEX(SPLIT(A131,"":""),1,2),)"),"ASIANPAINT")</f>
        <v>ASIANPAINT</v>
      </c>
      <c r="K131" s="51" t="str">
        <f t="shared" si="4"/>
        <v/>
      </c>
      <c r="L131" s="51">
        <f t="shared" si="5"/>
        <v>197</v>
      </c>
      <c r="M131" s="51">
        <f t="shared" si="6"/>
        <v>445</v>
      </c>
      <c r="N131" s="53">
        <f>IFERROR(__xludf.DUMMYFUNCTION("IFERROR(GOOGLEFINANCE(A131,""TRADETIME""),)"),46269.64583333333)</f>
        <v>46269.64583</v>
      </c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</row>
    <row r="132" ht="15.75" customHeight="1">
      <c r="A132" s="48" t="s">
        <v>178</v>
      </c>
      <c r="B132" s="48" t="str">
        <f>IFERROR(__xludf.DUMMYFUNCTION("IFERROR(GOOGLEFINANCE(A132,""NAME""),)"),"Asian Granito India Ltd")</f>
        <v>Asian Granito India Ltd</v>
      </c>
      <c r="C132" s="48">
        <f>IFERROR(__xludf.DUMMYFUNCTION("IFERROR(GOOGLEFINANCE(A132,""CHANGE""),)"),0.23)</f>
        <v>0.23</v>
      </c>
      <c r="D132" s="48">
        <f>IFERROR(__xludf.DUMMYFUNCTION("IFERROR(GOOGLEFINANCE(A132,""CHANGEPCT""),)"),0.46)</f>
        <v>0.46</v>
      </c>
      <c r="E132" s="48" t="str">
        <f t="shared" si="1"/>
        <v>0.46%</v>
      </c>
      <c r="F132" s="48">
        <f t="shared" si="2"/>
        <v>0.46</v>
      </c>
      <c r="G132" s="48" t="str">
        <f t="shared" si="3"/>
        <v/>
      </c>
      <c r="H132" s="48">
        <f>IFERROR(__xludf.DUMMYFUNCTION("IFERROR(GOOGLEFINANCE(A132,""PRICE""),)"),50.19)</f>
        <v>50.19</v>
      </c>
      <c r="I132" s="49">
        <f>IFERROR(__xludf.DUMMYFUNCTION("IFERROR(GOOGLEFINANCE(A132,""VOLUME""),)"),2049363.0)</f>
        <v>2049363</v>
      </c>
      <c r="J132" s="48" t="str">
        <f>IFERROR(__xludf.DUMMYFUNCTION("IFERROR(INDEX(SPLIT(A132,"":""),1,2),)"),"ASIANTILES")</f>
        <v>ASIANTILES</v>
      </c>
      <c r="K132" s="48">
        <f t="shared" si="4"/>
        <v>604</v>
      </c>
      <c r="L132" s="48" t="str">
        <f t="shared" si="5"/>
        <v/>
      </c>
      <c r="M132" s="48">
        <f t="shared" si="6"/>
        <v>170</v>
      </c>
      <c r="N132" s="50">
        <f>IFERROR(__xludf.DUMMYFUNCTION("IFERROR(GOOGLEFINANCE(A132,""TRADETIME""),)"),46269.64583333333)</f>
        <v>46269.64583</v>
      </c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</row>
    <row r="133" ht="15.75" customHeight="1">
      <c r="A133" s="51" t="s">
        <v>179</v>
      </c>
      <c r="B133" s="51" t="str">
        <f>IFERROR(__xludf.DUMMYFUNCTION("IFERROR(GOOGLEFINANCE(A133,""NAME""),)"),"Aspinwall and Company Ltd")</f>
        <v>Aspinwall and Company Ltd</v>
      </c>
      <c r="C133" s="51">
        <f>IFERROR(__xludf.DUMMYFUNCTION("IFERROR(GOOGLEFINANCE(A133,""CHANGE""),)"),0.0)</f>
        <v>0</v>
      </c>
      <c r="D133" s="51">
        <f>IFERROR(__xludf.DUMMYFUNCTION("IFERROR(GOOGLEFINANCE(A133,""CHANGEPCT""),)"),0.0)</f>
        <v>0</v>
      </c>
      <c r="E133" s="51" t="str">
        <f t="shared" si="1"/>
        <v>0%</v>
      </c>
      <c r="F133" s="51" t="str">
        <f t="shared" si="2"/>
        <v/>
      </c>
      <c r="G133" s="51" t="str">
        <f t="shared" si="3"/>
        <v/>
      </c>
      <c r="H133" s="51">
        <f>IFERROR(__xludf.DUMMYFUNCTION("IFERROR(GOOGLEFINANCE(A133,""PRICE""),)"),257.55)</f>
        <v>257.55</v>
      </c>
      <c r="I133" s="52">
        <f>IFERROR(__xludf.DUMMYFUNCTION("IFERROR(GOOGLEFINANCE(A133,""VOLUME""),)"),2331.0)</f>
        <v>2331</v>
      </c>
      <c r="J133" s="51" t="str">
        <f>IFERROR(__xludf.DUMMYFUNCTION("IFERROR(INDEX(SPLIT(A133,"":""),1,2),)"),"ASPINWALL")</f>
        <v>ASPINWALL</v>
      </c>
      <c r="K133" s="51" t="str">
        <f t="shared" si="4"/>
        <v/>
      </c>
      <c r="L133" s="51" t="str">
        <f t="shared" si="5"/>
        <v/>
      </c>
      <c r="M133" s="51">
        <f t="shared" si="6"/>
        <v>1386</v>
      </c>
      <c r="N133" s="53">
        <f>IFERROR(__xludf.DUMMYFUNCTION("IFERROR(GOOGLEFINANCE(A133,""TRADETIME""),)"),46269.64583333333)</f>
        <v>46269.64583</v>
      </c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</row>
    <row r="134" ht="15.75" customHeight="1">
      <c r="A134" s="48" t="s">
        <v>180</v>
      </c>
      <c r="B134" s="48" t="str">
        <f>IFERROR(__xludf.DUMMYFUNCTION("IFERROR(GOOGLEFINANCE(A134,""NAME""),)"),"Astec LifeSciences Limited")</f>
        <v>Astec LifeSciences Limited</v>
      </c>
      <c r="C134" s="48">
        <f>IFERROR(__xludf.DUMMYFUNCTION("IFERROR(GOOGLEFINANCE(A134,""CHANGE""),)"),-20.9)</f>
        <v>-20.9</v>
      </c>
      <c r="D134" s="48">
        <f>IFERROR(__xludf.DUMMYFUNCTION("IFERROR(GOOGLEFINANCE(A134,""CHANGEPCT""),)"),-3.65)</f>
        <v>-3.65</v>
      </c>
      <c r="E134" s="48" t="str">
        <f t="shared" si="1"/>
        <v>-3.65%</v>
      </c>
      <c r="F134" s="48" t="str">
        <f t="shared" si="2"/>
        <v/>
      </c>
      <c r="G134" s="48">
        <f t="shared" si="3"/>
        <v>-3.65</v>
      </c>
      <c r="H134" s="48">
        <f>IFERROR(__xludf.DUMMYFUNCTION("IFERROR(GOOGLEFINANCE(A134,""PRICE""),)"),552.35)</f>
        <v>552.35</v>
      </c>
      <c r="I134" s="49">
        <f>IFERROR(__xludf.DUMMYFUNCTION("IFERROR(GOOGLEFINANCE(A134,""VOLUME""),)"),43913.0)</f>
        <v>43913</v>
      </c>
      <c r="J134" s="48" t="str">
        <f>IFERROR(__xludf.DUMMYFUNCTION("IFERROR(INDEX(SPLIT(A134,"":""),1,2),)"),"ASTEC")</f>
        <v>ASTEC</v>
      </c>
      <c r="K134" s="48" t="str">
        <f t="shared" si="4"/>
        <v/>
      </c>
      <c r="L134" s="48">
        <f t="shared" si="5"/>
        <v>614</v>
      </c>
      <c r="M134" s="48">
        <f t="shared" si="6"/>
        <v>978</v>
      </c>
      <c r="N134" s="50">
        <f>IFERROR(__xludf.DUMMYFUNCTION("IFERROR(GOOGLEFINANCE(A134,""TRADETIME""),)"),46269.64583333333)</f>
        <v>46269.64583</v>
      </c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</row>
    <row r="135" ht="15.75" customHeight="1">
      <c r="A135" s="51" t="s">
        <v>181</v>
      </c>
      <c r="B135" s="51" t="str">
        <f>IFERROR(__xludf.DUMMYFUNCTION("IFERROR(GOOGLEFINANCE(A135,""NAME""),)"),"Aster DM Quality Care Ltd")</f>
        <v>Aster DM Quality Care Ltd</v>
      </c>
      <c r="C135" s="51">
        <f>IFERROR(__xludf.DUMMYFUNCTION("IFERROR(GOOGLEFINANCE(A135,""CHANGE""),)"),-1.65)</f>
        <v>-1.65</v>
      </c>
      <c r="D135" s="51">
        <f>IFERROR(__xludf.DUMMYFUNCTION("IFERROR(GOOGLEFINANCE(A135,""CHANGEPCT""),)"),-0.21)</f>
        <v>-0.21</v>
      </c>
      <c r="E135" s="51" t="str">
        <f t="shared" si="1"/>
        <v>-0.21%</v>
      </c>
      <c r="F135" s="51" t="str">
        <f t="shared" si="2"/>
        <v/>
      </c>
      <c r="G135" s="51">
        <f t="shared" si="3"/>
        <v>-0.21</v>
      </c>
      <c r="H135" s="51">
        <f>IFERROR(__xludf.DUMMYFUNCTION("IFERROR(GOOGLEFINANCE(A135,""PRICE""),)"),785.35)</f>
        <v>785.35</v>
      </c>
      <c r="I135" s="52">
        <f>IFERROR(__xludf.DUMMYFUNCTION("IFERROR(GOOGLEFINANCE(A135,""VOLUME""),)"),1157850.0)</f>
        <v>1157850</v>
      </c>
      <c r="J135" s="51" t="str">
        <f>IFERROR(__xludf.DUMMYFUNCTION("IFERROR(INDEX(SPLIT(A135,"":""),1,2),)"),"ASTERDM")</f>
        <v>ASTERDM</v>
      </c>
      <c r="K135" s="51" t="str">
        <f t="shared" si="4"/>
        <v/>
      </c>
      <c r="L135" s="51">
        <f t="shared" si="5"/>
        <v>76</v>
      </c>
      <c r="M135" s="51">
        <f t="shared" si="6"/>
        <v>246</v>
      </c>
      <c r="N135" s="53">
        <f>IFERROR(__xludf.DUMMYFUNCTION("IFERROR(GOOGLEFINANCE(A135,""TRADETIME""),)"),46269.64584490741)</f>
        <v>46269.64584</v>
      </c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</row>
    <row r="136" ht="15.75" customHeight="1">
      <c r="A136" s="48" t="s">
        <v>182</v>
      </c>
      <c r="B136" s="48" t="str">
        <f>IFERROR(__xludf.DUMMYFUNCTION("IFERROR(GOOGLEFINANCE(A136,""NAME""),)"),"Astral Ltd")</f>
        <v>Astral Ltd</v>
      </c>
      <c r="C136" s="48">
        <f>IFERROR(__xludf.DUMMYFUNCTION("IFERROR(GOOGLEFINANCE(A136,""CHANGE""),)"),-3.9)</f>
        <v>-3.9</v>
      </c>
      <c r="D136" s="48">
        <f>IFERROR(__xludf.DUMMYFUNCTION("IFERROR(GOOGLEFINANCE(A136,""CHANGEPCT""),)"),-0.26)</f>
        <v>-0.26</v>
      </c>
      <c r="E136" s="48" t="str">
        <f t="shared" si="1"/>
        <v>-0.26%</v>
      </c>
      <c r="F136" s="48" t="str">
        <f t="shared" si="2"/>
        <v/>
      </c>
      <c r="G136" s="48">
        <f t="shared" si="3"/>
        <v>-0.26</v>
      </c>
      <c r="H136" s="48">
        <f>IFERROR(__xludf.DUMMYFUNCTION("IFERROR(GOOGLEFINANCE(A136,""PRICE""),)"),1491.3)</f>
        <v>1491.3</v>
      </c>
      <c r="I136" s="49">
        <f>IFERROR(__xludf.DUMMYFUNCTION("IFERROR(GOOGLEFINANCE(A136,""VOLUME""),)"),658868.0)</f>
        <v>658868</v>
      </c>
      <c r="J136" s="48" t="str">
        <f>IFERROR(__xludf.DUMMYFUNCTION("IFERROR(INDEX(SPLIT(A136,"":""),1,2),)"),"ASTRAL")</f>
        <v>ASTRAL</v>
      </c>
      <c r="K136" s="48" t="str">
        <f t="shared" si="4"/>
        <v/>
      </c>
      <c r="L136" s="48">
        <f t="shared" si="5"/>
        <v>92</v>
      </c>
      <c r="M136" s="48">
        <f t="shared" si="6"/>
        <v>342</v>
      </c>
      <c r="N136" s="50">
        <f>IFERROR(__xludf.DUMMYFUNCTION("IFERROR(GOOGLEFINANCE(A136,""TRADETIME""),)"),46269.64583333333)</f>
        <v>46269.64583</v>
      </c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</row>
    <row r="137" ht="15.75" customHeight="1">
      <c r="A137" s="51" t="s">
        <v>183</v>
      </c>
      <c r="B137" s="51" t="str">
        <f>IFERROR(__xludf.DUMMYFUNCTION("IFERROR(GOOGLEFINANCE(A137,""NAME""),)"),"Astra Microwave Products Ltd")</f>
        <v>Astra Microwave Products Ltd</v>
      </c>
      <c r="C137" s="51">
        <f>IFERROR(__xludf.DUMMYFUNCTION("IFERROR(GOOGLEFINANCE(A137,""CHANGE""),)"),69.3)</f>
        <v>69.3</v>
      </c>
      <c r="D137" s="51">
        <f>IFERROR(__xludf.DUMMYFUNCTION("IFERROR(GOOGLEFINANCE(A137,""CHANGEPCT""),)"),4.16)</f>
        <v>4.16</v>
      </c>
      <c r="E137" s="51" t="str">
        <f t="shared" si="1"/>
        <v>4.16%</v>
      </c>
      <c r="F137" s="51">
        <f t="shared" si="2"/>
        <v>4.16</v>
      </c>
      <c r="G137" s="51" t="str">
        <f t="shared" si="3"/>
        <v/>
      </c>
      <c r="H137" s="51">
        <f>IFERROR(__xludf.DUMMYFUNCTION("IFERROR(GOOGLEFINANCE(A137,""PRICE""),)"),1734.4)</f>
        <v>1734.4</v>
      </c>
      <c r="I137" s="52">
        <f>IFERROR(__xludf.DUMMYFUNCTION("IFERROR(GOOGLEFINANCE(A137,""VOLUME""),)"),502645.0)</f>
        <v>502645</v>
      </c>
      <c r="J137" s="51" t="str">
        <f>IFERROR(__xludf.DUMMYFUNCTION("IFERROR(INDEX(SPLIT(A137,"":""),1,2),)"),"ASTRAMICRO")</f>
        <v>ASTRAMICRO</v>
      </c>
      <c r="K137" s="51">
        <f t="shared" si="4"/>
        <v>108</v>
      </c>
      <c r="L137" s="51" t="str">
        <f t="shared" si="5"/>
        <v/>
      </c>
      <c r="M137" s="51">
        <f t="shared" si="6"/>
        <v>393</v>
      </c>
      <c r="N137" s="53">
        <f>IFERROR(__xludf.DUMMYFUNCTION("IFERROR(GOOGLEFINANCE(A137,""TRADETIME""),)"),46269.64584490741)</f>
        <v>46269.64584</v>
      </c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</row>
    <row r="138" ht="15.75" customHeight="1">
      <c r="A138" s="48" t="s">
        <v>184</v>
      </c>
      <c r="B138" s="48" t="str">
        <f>IFERROR(__xludf.DUMMYFUNCTION("IFERROR(GOOGLEFINANCE(A138,""NAME""),)"),"Astrazeneca Pharma India Ltd")</f>
        <v>Astrazeneca Pharma India Ltd</v>
      </c>
      <c r="C138" s="48">
        <f>IFERROR(__xludf.DUMMYFUNCTION("IFERROR(GOOGLEFINANCE(A138,""CHANGE""),)"),9.5)</f>
        <v>9.5</v>
      </c>
      <c r="D138" s="48">
        <f>IFERROR(__xludf.DUMMYFUNCTION("IFERROR(GOOGLEFINANCE(A138,""CHANGEPCT""),)"),0.14)</f>
        <v>0.14</v>
      </c>
      <c r="E138" s="48" t="str">
        <f t="shared" si="1"/>
        <v>0.14%</v>
      </c>
      <c r="F138" s="48">
        <f t="shared" si="2"/>
        <v>0.14</v>
      </c>
      <c r="G138" s="48" t="str">
        <f t="shared" si="3"/>
        <v/>
      </c>
      <c r="H138" s="48">
        <f>IFERROR(__xludf.DUMMYFUNCTION("IFERROR(GOOGLEFINANCE(A138,""PRICE""),)"),6950.0)</f>
        <v>6950</v>
      </c>
      <c r="I138" s="49">
        <f>IFERROR(__xludf.DUMMYFUNCTION("IFERROR(GOOGLEFINANCE(A138,""VOLUME""),)"),6489.0)</f>
        <v>6489</v>
      </c>
      <c r="J138" s="48" t="str">
        <f>IFERROR(__xludf.DUMMYFUNCTION("IFERROR(INDEX(SPLIT(A138,"":""),1,2),)"),"ASTRAZEN")</f>
        <v>ASTRAZEN</v>
      </c>
      <c r="K138" s="48">
        <f t="shared" si="4"/>
        <v>723</v>
      </c>
      <c r="L138" s="48" t="str">
        <f t="shared" si="5"/>
        <v/>
      </c>
      <c r="M138" s="48">
        <f t="shared" si="6"/>
        <v>1299</v>
      </c>
      <c r="N138" s="50">
        <f>IFERROR(__xludf.DUMMYFUNCTION("IFERROR(GOOGLEFINANCE(A138,""TRADETIME""),)"),46269.64583333333)</f>
        <v>46269.64583</v>
      </c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</row>
    <row r="139" ht="15.75" customHeight="1">
      <c r="A139" s="51" t="s">
        <v>185</v>
      </c>
      <c r="B139" s="51" t="str">
        <f>IFERROR(__xludf.DUMMYFUNCTION("IFERROR(GOOGLEFINANCE(A139,""NAME""),)"),"Astron Paper &amp; Board Mill Ltd")</f>
        <v>Astron Paper &amp; Board Mill Ltd</v>
      </c>
      <c r="C139" s="51">
        <f>IFERROR(__xludf.DUMMYFUNCTION("IFERROR(GOOGLEFINANCE(A139,""CHANGE""),)"),0.0)</f>
        <v>0</v>
      </c>
      <c r="D139" s="51">
        <f>IFERROR(__xludf.DUMMYFUNCTION("IFERROR(GOOGLEFINANCE(A139,""CHANGEPCT""),)"),0.0)</f>
        <v>0</v>
      </c>
      <c r="E139" s="51" t="str">
        <f t="shared" si="1"/>
        <v>0%</v>
      </c>
      <c r="F139" s="51" t="str">
        <f t="shared" si="2"/>
        <v/>
      </c>
      <c r="G139" s="51" t="str">
        <f t="shared" si="3"/>
        <v/>
      </c>
      <c r="H139" s="51">
        <f>IFERROR(__xludf.DUMMYFUNCTION("IFERROR(GOOGLEFINANCE(A139,""PRICE""),)"),3.0)</f>
        <v>3</v>
      </c>
      <c r="I139" s="52">
        <f>IFERROR(__xludf.DUMMYFUNCTION("IFERROR(GOOGLEFINANCE(A139,""VOLUME""),)"),45331.0)</f>
        <v>45331</v>
      </c>
      <c r="J139" s="51" t="str">
        <f>IFERROR(__xludf.DUMMYFUNCTION("IFERROR(INDEX(SPLIT(A139,"":""),1,2),)"),"ASTRON")</f>
        <v>ASTRON</v>
      </c>
      <c r="K139" s="51" t="str">
        <f t="shared" si="4"/>
        <v/>
      </c>
      <c r="L139" s="51" t="str">
        <f t="shared" si="5"/>
        <v/>
      </c>
      <c r="M139" s="51">
        <f t="shared" si="6"/>
        <v>969</v>
      </c>
      <c r="N139" s="53">
        <f>IFERROR(__xludf.DUMMYFUNCTION("IFERROR(GOOGLEFINANCE(A139,""TRADETIME""),)"),46269.64583333333)</f>
        <v>46269.64583</v>
      </c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</row>
    <row r="140" ht="15.75" customHeight="1">
      <c r="A140" s="48" t="s">
        <v>186</v>
      </c>
      <c r="B140" s="48" t="str">
        <f>IFERROR(__xludf.DUMMYFUNCTION("IFERROR(GOOGLEFINANCE(A140,""NAME""),)"),"")</f>
        <v/>
      </c>
      <c r="C140" s="48" t="str">
        <f>IFERROR(__xludf.DUMMYFUNCTION("IFERROR(GOOGLEFINANCE(A140,""CHANGE""),)"),"")</f>
        <v/>
      </c>
      <c r="D140" s="48" t="str">
        <f>IFERROR(__xludf.DUMMYFUNCTION("IFERROR(GOOGLEFINANCE(A140,""CHANGEPCT""),)"),"")</f>
        <v/>
      </c>
      <c r="E140" s="48" t="str">
        <f t="shared" si="1"/>
        <v>%</v>
      </c>
      <c r="F140" s="48" t="str">
        <f t="shared" si="2"/>
        <v/>
      </c>
      <c r="G140" s="48" t="str">
        <f t="shared" si="3"/>
        <v/>
      </c>
      <c r="H140" s="48" t="str">
        <f>IFERROR(__xludf.DUMMYFUNCTION("IFERROR(GOOGLEFINANCE(A140,""PRICE""),)"),"")</f>
        <v/>
      </c>
      <c r="I140" s="49" t="str">
        <f>IFERROR(__xludf.DUMMYFUNCTION("IFERROR(GOOGLEFINANCE(A140,""VOLUME""),)"),"")</f>
        <v/>
      </c>
      <c r="J140" s="48" t="str">
        <f>IFERROR(__xludf.DUMMYFUNCTION("IFERROR(INDEX(SPLIT(A140,"":""),1,2),)"),"ATFL")</f>
        <v>ATFL</v>
      </c>
      <c r="K140" s="48" t="str">
        <f t="shared" si="4"/>
        <v/>
      </c>
      <c r="L140" s="48" t="str">
        <f t="shared" si="5"/>
        <v/>
      </c>
      <c r="M140" s="48">
        <f t="shared" si="6"/>
        <v>1456</v>
      </c>
      <c r="N140" s="50" t="str">
        <f>IFERROR(__xludf.DUMMYFUNCTION("IFERROR(GOOGLEFINANCE(A140,""TRADETIME""),)"),"")</f>
        <v/>
      </c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</row>
    <row r="141" ht="15.75" customHeight="1">
      <c r="A141" s="51" t="s">
        <v>187</v>
      </c>
      <c r="B141" s="51" t="str">
        <f>IFERROR(__xludf.DUMMYFUNCTION("IFERROR(GOOGLEFINANCE(A141,""NAME""),)"),"")</f>
        <v/>
      </c>
      <c r="C141" s="51" t="str">
        <f>IFERROR(__xludf.DUMMYFUNCTION("IFERROR(GOOGLEFINANCE(A141,""CHANGE""),)"),"")</f>
        <v/>
      </c>
      <c r="D141" s="51" t="str">
        <f>IFERROR(__xludf.DUMMYFUNCTION("IFERROR(GOOGLEFINANCE(A141,""CHANGEPCT""),)"),"")</f>
        <v/>
      </c>
      <c r="E141" s="51" t="str">
        <f t="shared" si="1"/>
        <v>%</v>
      </c>
      <c r="F141" s="51" t="str">
        <f t="shared" si="2"/>
        <v/>
      </c>
      <c r="G141" s="51" t="str">
        <f t="shared" si="3"/>
        <v/>
      </c>
      <c r="H141" s="51" t="str">
        <f>IFERROR(__xludf.DUMMYFUNCTION("IFERROR(GOOGLEFINANCE(A141,""PRICE""),)"),"")</f>
        <v/>
      </c>
      <c r="I141" s="52" t="str">
        <f>IFERROR(__xludf.DUMMYFUNCTION("IFERROR(GOOGLEFINANCE(A141,""VOLUME""),)"),"")</f>
        <v/>
      </c>
      <c r="J141" s="51" t="str">
        <f>IFERROR(__xludf.DUMMYFUNCTION("IFERROR(INDEX(SPLIT(A141,"":""),1,2),)"),"ATLANTA")</f>
        <v>ATLANTA</v>
      </c>
      <c r="K141" s="51" t="str">
        <f t="shared" si="4"/>
        <v/>
      </c>
      <c r="L141" s="51" t="str">
        <f t="shared" si="5"/>
        <v/>
      </c>
      <c r="M141" s="51">
        <f t="shared" si="6"/>
        <v>1456</v>
      </c>
      <c r="N141" s="53" t="str">
        <f>IFERROR(__xludf.DUMMYFUNCTION("IFERROR(GOOGLEFINANCE(A141,""TRADETIME""),)"),"")</f>
        <v/>
      </c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</row>
    <row r="142" ht="15.75" customHeight="1">
      <c r="A142" s="48" t="s">
        <v>188</v>
      </c>
      <c r="B142" s="48" t="str">
        <f>IFERROR(__xludf.DUMMYFUNCTION("IFERROR(GOOGLEFINANCE(A142,""NAME""),)"),"Atul Ltd")</f>
        <v>Atul Ltd</v>
      </c>
      <c r="C142" s="48">
        <f>IFERROR(__xludf.DUMMYFUNCTION("IFERROR(GOOGLEFINANCE(A142,""CHANGE""),)"),-93.0)</f>
        <v>-93</v>
      </c>
      <c r="D142" s="48">
        <f>IFERROR(__xludf.DUMMYFUNCTION("IFERROR(GOOGLEFINANCE(A142,""CHANGEPCT""),)"),-1.44)</f>
        <v>-1.44</v>
      </c>
      <c r="E142" s="48" t="str">
        <f t="shared" si="1"/>
        <v>-1.44%</v>
      </c>
      <c r="F142" s="48" t="str">
        <f t="shared" si="2"/>
        <v/>
      </c>
      <c r="G142" s="48">
        <f t="shared" si="3"/>
        <v>-1.44</v>
      </c>
      <c r="H142" s="48">
        <f>IFERROR(__xludf.DUMMYFUNCTION("IFERROR(GOOGLEFINANCE(A142,""PRICE""),)"),6376.0)</f>
        <v>6376</v>
      </c>
      <c r="I142" s="49">
        <f>IFERROR(__xludf.DUMMYFUNCTION("IFERROR(GOOGLEFINANCE(A142,""VOLUME""),)"),18343.0)</f>
        <v>18343</v>
      </c>
      <c r="J142" s="48" t="str">
        <f>IFERROR(__xludf.DUMMYFUNCTION("IFERROR(INDEX(SPLIT(A142,"":""),1,2),)"),"ATUL")</f>
        <v>ATUL</v>
      </c>
      <c r="K142" s="48" t="str">
        <f t="shared" si="4"/>
        <v/>
      </c>
      <c r="L142" s="48">
        <f t="shared" si="5"/>
        <v>436</v>
      </c>
      <c r="M142" s="48">
        <f t="shared" si="6"/>
        <v>1142</v>
      </c>
      <c r="N142" s="50">
        <f>IFERROR(__xludf.DUMMYFUNCTION("IFERROR(GOOGLEFINANCE(A142,""TRADETIME""),)"),46269.64584490741)</f>
        <v>46269.64584</v>
      </c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</row>
    <row r="143" ht="15.75" customHeight="1">
      <c r="A143" s="51" t="s">
        <v>189</v>
      </c>
      <c r="B143" s="51" t="str">
        <f>IFERROR(__xludf.DUMMYFUNCTION("IFERROR(GOOGLEFINANCE(A143,""NAME""),)"),"Atul Auto Ltd")</f>
        <v>Atul Auto Ltd</v>
      </c>
      <c r="C143" s="51">
        <f>IFERROR(__xludf.DUMMYFUNCTION("IFERROR(GOOGLEFINANCE(A143,""CHANGE""),)"),5.7)</f>
        <v>5.7</v>
      </c>
      <c r="D143" s="51">
        <f>IFERROR(__xludf.DUMMYFUNCTION("IFERROR(GOOGLEFINANCE(A143,""CHANGEPCT""),)"),1.24)</f>
        <v>1.24</v>
      </c>
      <c r="E143" s="51" t="str">
        <f t="shared" si="1"/>
        <v>1.24%</v>
      </c>
      <c r="F143" s="51">
        <f t="shared" si="2"/>
        <v>1.24</v>
      </c>
      <c r="G143" s="51" t="str">
        <f t="shared" si="3"/>
        <v/>
      </c>
      <c r="H143" s="51">
        <f>IFERROR(__xludf.DUMMYFUNCTION("IFERROR(GOOGLEFINANCE(A143,""PRICE""),)"),467.0)</f>
        <v>467</v>
      </c>
      <c r="I143" s="52">
        <f>IFERROR(__xludf.DUMMYFUNCTION("IFERROR(GOOGLEFINANCE(A143,""VOLUME""),)"),88513.0)</f>
        <v>88513</v>
      </c>
      <c r="J143" s="51" t="str">
        <f>IFERROR(__xludf.DUMMYFUNCTION("IFERROR(INDEX(SPLIT(A143,"":""),1,2),)"),"ATULAUTO")</f>
        <v>ATULAUTO</v>
      </c>
      <c r="K143" s="51">
        <f t="shared" si="4"/>
        <v>396</v>
      </c>
      <c r="L143" s="51" t="str">
        <f t="shared" si="5"/>
        <v/>
      </c>
      <c r="M143" s="51">
        <f t="shared" si="6"/>
        <v>802</v>
      </c>
      <c r="N143" s="53">
        <f>IFERROR(__xludf.DUMMYFUNCTION("IFERROR(GOOGLEFINANCE(A143,""TRADETIME""),)"),46269.64584490741)</f>
        <v>46269.64584</v>
      </c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</row>
    <row r="144" ht="15.75" customHeight="1">
      <c r="A144" s="48" t="s">
        <v>190</v>
      </c>
      <c r="B144" s="48" t="str">
        <f>IFERROR(__xludf.DUMMYFUNCTION("IFERROR(GOOGLEFINANCE(A144,""NAME""),)"),"AU Small Finance Bank Ltd")</f>
        <v>AU Small Finance Bank Ltd</v>
      </c>
      <c r="C144" s="48">
        <f>IFERROR(__xludf.DUMMYFUNCTION("IFERROR(GOOGLEFINANCE(A144,""CHANGE""),)"),-2.0)</f>
        <v>-2</v>
      </c>
      <c r="D144" s="48">
        <f>IFERROR(__xludf.DUMMYFUNCTION("IFERROR(GOOGLEFINANCE(A144,""CHANGEPCT""),)"),-0.19)</f>
        <v>-0.19</v>
      </c>
      <c r="E144" s="48" t="str">
        <f t="shared" si="1"/>
        <v>-0.19%</v>
      </c>
      <c r="F144" s="48" t="str">
        <f t="shared" si="2"/>
        <v/>
      </c>
      <c r="G144" s="48">
        <f t="shared" si="3"/>
        <v>-0.19</v>
      </c>
      <c r="H144" s="48">
        <f>IFERROR(__xludf.DUMMYFUNCTION("IFERROR(GOOGLEFINANCE(A144,""PRICE""),)"),1070.0)</f>
        <v>1070</v>
      </c>
      <c r="I144" s="49">
        <f>IFERROR(__xludf.DUMMYFUNCTION("IFERROR(GOOGLEFINANCE(A144,""VOLUME""),)"),602949.0)</f>
        <v>602949</v>
      </c>
      <c r="J144" s="48" t="str">
        <f>IFERROR(__xludf.DUMMYFUNCTION("IFERROR(INDEX(SPLIT(A144,"":""),1,2),)"),"AUBANK")</f>
        <v>AUBANK</v>
      </c>
      <c r="K144" s="48" t="str">
        <f t="shared" si="4"/>
        <v/>
      </c>
      <c r="L144" s="48">
        <f t="shared" si="5"/>
        <v>71</v>
      </c>
      <c r="M144" s="48">
        <f t="shared" si="6"/>
        <v>359</v>
      </c>
      <c r="N144" s="50">
        <f>IFERROR(__xludf.DUMMYFUNCTION("IFERROR(GOOGLEFINANCE(A144,""TRADETIME""),)"),46269.64583333333)</f>
        <v>46269.64583</v>
      </c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</row>
    <row r="145" ht="15.75" customHeight="1">
      <c r="A145" s="51" t="s">
        <v>191</v>
      </c>
      <c r="B145" s="51" t="str">
        <f>IFERROR(__xludf.DUMMYFUNCTION("IFERROR(GOOGLEFINANCE(A145,""NAME""),)"),"Aurionpro Solutions Ltd")</f>
        <v>Aurionpro Solutions Ltd</v>
      </c>
      <c r="C145" s="51">
        <f>IFERROR(__xludf.DUMMYFUNCTION("IFERROR(GOOGLEFINANCE(A145,""CHANGE""),)"),0.45)</f>
        <v>0.45</v>
      </c>
      <c r="D145" s="51">
        <f>IFERROR(__xludf.DUMMYFUNCTION("IFERROR(GOOGLEFINANCE(A145,""CHANGEPCT""),)"),0.07)</f>
        <v>0.07</v>
      </c>
      <c r="E145" s="51" t="str">
        <f t="shared" si="1"/>
        <v>0.07%</v>
      </c>
      <c r="F145" s="51">
        <f t="shared" si="2"/>
        <v>0.07</v>
      </c>
      <c r="G145" s="51" t="str">
        <f t="shared" si="3"/>
        <v/>
      </c>
      <c r="H145" s="51">
        <f>IFERROR(__xludf.DUMMYFUNCTION("IFERROR(GOOGLEFINANCE(A145,""PRICE""),)"),686.9)</f>
        <v>686.9</v>
      </c>
      <c r="I145" s="52">
        <f>IFERROR(__xludf.DUMMYFUNCTION("IFERROR(GOOGLEFINANCE(A145,""VOLUME""),)"),98258.0)</f>
        <v>98258</v>
      </c>
      <c r="J145" s="51" t="str">
        <f>IFERROR(__xludf.DUMMYFUNCTION("IFERROR(INDEX(SPLIT(A145,"":""),1,2),)"),"AURIONPRO")</f>
        <v>AURIONPRO</v>
      </c>
      <c r="K145" s="51">
        <f t="shared" si="4"/>
        <v>750</v>
      </c>
      <c r="L145" s="51" t="str">
        <f t="shared" si="5"/>
        <v/>
      </c>
      <c r="M145" s="51">
        <f t="shared" si="6"/>
        <v>773</v>
      </c>
      <c r="N145" s="53">
        <f>IFERROR(__xludf.DUMMYFUNCTION("IFERROR(GOOGLEFINANCE(A145,""TRADETIME""),)"),46269.64583333333)</f>
        <v>46269.64583</v>
      </c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</row>
    <row r="146" ht="15.75" customHeight="1">
      <c r="A146" s="48" t="s">
        <v>192</v>
      </c>
      <c r="B146" s="48" t="str">
        <f>IFERROR(__xludf.DUMMYFUNCTION("IFERROR(GOOGLEFINANCE(A146,""NAME""),)"),"Aurobindo Pharma Ltd")</f>
        <v>Aurobindo Pharma Ltd</v>
      </c>
      <c r="C146" s="48">
        <f>IFERROR(__xludf.DUMMYFUNCTION("IFERROR(GOOGLEFINANCE(A146,""CHANGE""),)"),14.7)</f>
        <v>14.7</v>
      </c>
      <c r="D146" s="48">
        <f>IFERROR(__xludf.DUMMYFUNCTION("IFERROR(GOOGLEFINANCE(A146,""CHANGEPCT""),)"),0.9)</f>
        <v>0.9</v>
      </c>
      <c r="E146" s="48" t="str">
        <f t="shared" si="1"/>
        <v>0.9%</v>
      </c>
      <c r="F146" s="48">
        <f t="shared" si="2"/>
        <v>0.9</v>
      </c>
      <c r="G146" s="48" t="str">
        <f t="shared" si="3"/>
        <v/>
      </c>
      <c r="H146" s="48">
        <f>IFERROR(__xludf.DUMMYFUNCTION("IFERROR(GOOGLEFINANCE(A146,""PRICE""),)"),1652.0)</f>
        <v>1652</v>
      </c>
      <c r="I146" s="49">
        <f>IFERROR(__xludf.DUMMYFUNCTION("IFERROR(GOOGLEFINANCE(A146,""VOLUME""),)"),573938.0)</f>
        <v>573938</v>
      </c>
      <c r="J146" s="48" t="str">
        <f>IFERROR(__xludf.DUMMYFUNCTION("IFERROR(INDEX(SPLIT(A146,"":""),1,2),)"),"AUROPHARMA")</f>
        <v>AUROPHARMA</v>
      </c>
      <c r="K146" s="48">
        <f t="shared" si="4"/>
        <v>472</v>
      </c>
      <c r="L146" s="48" t="str">
        <f t="shared" si="5"/>
        <v/>
      </c>
      <c r="M146" s="48">
        <f t="shared" si="6"/>
        <v>370</v>
      </c>
      <c r="N146" s="50">
        <f>IFERROR(__xludf.DUMMYFUNCTION("IFERROR(GOOGLEFINANCE(A146,""TRADETIME""),)"),46269.64583333333)</f>
        <v>46269.64583</v>
      </c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</row>
    <row r="147" ht="15.75" customHeight="1">
      <c r="A147" s="51" t="s">
        <v>193</v>
      </c>
      <c r="B147" s="51" t="str">
        <f>IFERROR(__xludf.DUMMYFUNCTION("IFERROR(GOOGLEFINANCE(A147,""NAME""),)"),"Ausom Enterprise Ltd")</f>
        <v>Ausom Enterprise Ltd</v>
      </c>
      <c r="C147" s="51">
        <f>IFERROR(__xludf.DUMMYFUNCTION("IFERROR(GOOGLEFINANCE(A147,""CHANGE""),)"),0.5)</f>
        <v>0.5</v>
      </c>
      <c r="D147" s="51">
        <f>IFERROR(__xludf.DUMMYFUNCTION("IFERROR(GOOGLEFINANCE(A147,""CHANGEPCT""),)"),0.31)</f>
        <v>0.31</v>
      </c>
      <c r="E147" s="51" t="str">
        <f t="shared" si="1"/>
        <v>0.31%</v>
      </c>
      <c r="F147" s="51">
        <f t="shared" si="2"/>
        <v>0.31</v>
      </c>
      <c r="G147" s="51" t="str">
        <f t="shared" si="3"/>
        <v/>
      </c>
      <c r="H147" s="51">
        <f>IFERROR(__xludf.DUMMYFUNCTION("IFERROR(GOOGLEFINANCE(A147,""PRICE""),)"),160.45)</f>
        <v>160.45</v>
      </c>
      <c r="I147" s="52">
        <f>IFERROR(__xludf.DUMMYFUNCTION("IFERROR(GOOGLEFINANCE(A147,""VOLUME""),)"),18928.0)</f>
        <v>18928</v>
      </c>
      <c r="J147" s="51" t="str">
        <f>IFERROR(__xludf.DUMMYFUNCTION("IFERROR(INDEX(SPLIT(A147,"":""),1,2),)"),"AUSOMENT")</f>
        <v>AUSOMENT</v>
      </c>
      <c r="K147" s="51">
        <f t="shared" si="4"/>
        <v>657</v>
      </c>
      <c r="L147" s="51" t="str">
        <f t="shared" si="5"/>
        <v/>
      </c>
      <c r="M147" s="51">
        <f t="shared" si="6"/>
        <v>1134</v>
      </c>
      <c r="N147" s="53">
        <f>IFERROR(__xludf.DUMMYFUNCTION("IFERROR(GOOGLEFINANCE(A147,""TRADETIME""),)"),46269.64583333333)</f>
        <v>46269.64583</v>
      </c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</row>
    <row r="148" ht="15.75" customHeight="1">
      <c r="A148" s="48" t="s">
        <v>194</v>
      </c>
      <c r="B148" s="48" t="str">
        <f>IFERROR(__xludf.DUMMYFUNCTION("IFERROR(GOOGLEFINANCE(A148,""NAME""),)"),"Automotive Axles Ltd")</f>
        <v>Automotive Axles Ltd</v>
      </c>
      <c r="C148" s="48">
        <f>IFERROR(__xludf.DUMMYFUNCTION("IFERROR(GOOGLEFINANCE(A148,""CHANGE""),)"),-20.4)</f>
        <v>-20.4</v>
      </c>
      <c r="D148" s="48">
        <f>IFERROR(__xludf.DUMMYFUNCTION("IFERROR(GOOGLEFINANCE(A148,""CHANGEPCT""),)"),-1.2)</f>
        <v>-1.2</v>
      </c>
      <c r="E148" s="48" t="str">
        <f t="shared" si="1"/>
        <v>-1.2%</v>
      </c>
      <c r="F148" s="48" t="str">
        <f t="shared" si="2"/>
        <v/>
      </c>
      <c r="G148" s="48">
        <f t="shared" si="3"/>
        <v>-1.2</v>
      </c>
      <c r="H148" s="48">
        <f>IFERROR(__xludf.DUMMYFUNCTION("IFERROR(GOOGLEFINANCE(A148,""PRICE""),)"),1685.0)</f>
        <v>1685</v>
      </c>
      <c r="I148" s="49">
        <f>IFERROR(__xludf.DUMMYFUNCTION("IFERROR(GOOGLEFINANCE(A148,""VOLUME""),)"),7212.0)</f>
        <v>7212</v>
      </c>
      <c r="J148" s="48" t="str">
        <f>IFERROR(__xludf.DUMMYFUNCTION("IFERROR(INDEX(SPLIT(A148,"":""),1,2),)"),"AUTOAXLES")</f>
        <v>AUTOAXLES</v>
      </c>
      <c r="K148" s="48" t="str">
        <f t="shared" si="4"/>
        <v/>
      </c>
      <c r="L148" s="48">
        <f t="shared" si="5"/>
        <v>376</v>
      </c>
      <c r="M148" s="48">
        <f t="shared" si="6"/>
        <v>1280</v>
      </c>
      <c r="N148" s="50">
        <f>IFERROR(__xludf.DUMMYFUNCTION("IFERROR(GOOGLEFINANCE(A148,""TRADETIME""),)"),46269.64583333333)</f>
        <v>46269.64583</v>
      </c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</row>
    <row r="149" ht="15.75" customHeight="1">
      <c r="A149" s="51" t="s">
        <v>195</v>
      </c>
      <c r="B149" s="51" t="str">
        <f>IFERROR(__xludf.DUMMYFUNCTION("IFERROR(GOOGLEFINANCE(A149,""NAME""),)"),"Autoline Industries Ltd")</f>
        <v>Autoline Industries Ltd</v>
      </c>
      <c r="C149" s="51">
        <f>IFERROR(__xludf.DUMMYFUNCTION("IFERROR(GOOGLEFINANCE(A149,""CHANGE""),)"),-5.88)</f>
        <v>-5.88</v>
      </c>
      <c r="D149" s="51">
        <f>IFERROR(__xludf.DUMMYFUNCTION("IFERROR(GOOGLEFINANCE(A149,""CHANGEPCT""),)"),-6.34)</f>
        <v>-6.34</v>
      </c>
      <c r="E149" s="51" t="str">
        <f t="shared" si="1"/>
        <v>-6.34%</v>
      </c>
      <c r="F149" s="51" t="str">
        <f t="shared" si="2"/>
        <v/>
      </c>
      <c r="G149" s="51">
        <f t="shared" si="3"/>
        <v>-6.34</v>
      </c>
      <c r="H149" s="51">
        <f>IFERROR(__xludf.DUMMYFUNCTION("IFERROR(GOOGLEFINANCE(A149,""PRICE""),)"),86.87)</f>
        <v>86.87</v>
      </c>
      <c r="I149" s="52">
        <f>IFERROR(__xludf.DUMMYFUNCTION("IFERROR(GOOGLEFINANCE(A149,""VOLUME""),)"),600314.0)</f>
        <v>600314</v>
      </c>
      <c r="J149" s="51" t="str">
        <f>IFERROR(__xludf.DUMMYFUNCTION("IFERROR(INDEX(SPLIT(A149,"":""),1,2),)"),"AUTOIND")</f>
        <v>AUTOIND</v>
      </c>
      <c r="K149" s="51" t="str">
        <f t="shared" si="4"/>
        <v/>
      </c>
      <c r="L149" s="51">
        <f t="shared" si="5"/>
        <v>649</v>
      </c>
      <c r="M149" s="51">
        <f t="shared" si="6"/>
        <v>360</v>
      </c>
      <c r="N149" s="53">
        <f>IFERROR(__xludf.DUMMYFUNCTION("IFERROR(GOOGLEFINANCE(A149,""TRADETIME""),)"),46269.64583333333)</f>
        <v>46269.64583</v>
      </c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</row>
    <row r="150" ht="15.75" customHeight="1">
      <c r="A150" s="48" t="s">
        <v>196</v>
      </c>
      <c r="B150" s="48" t="str">
        <f>IFERROR(__xludf.DUMMYFUNCTION("IFERROR(GOOGLEFINANCE(A150,""NAME""),)"),"Avadh Sugar &amp; Energy Ltd")</f>
        <v>Avadh Sugar &amp; Energy Ltd</v>
      </c>
      <c r="C150" s="48">
        <f>IFERROR(__xludf.DUMMYFUNCTION("IFERROR(GOOGLEFINANCE(A150,""CHANGE""),)"),-22.0)</f>
        <v>-22</v>
      </c>
      <c r="D150" s="48">
        <f>IFERROR(__xludf.DUMMYFUNCTION("IFERROR(GOOGLEFINANCE(A150,""CHANGEPCT""),)"),-2.65)</f>
        <v>-2.65</v>
      </c>
      <c r="E150" s="48" t="str">
        <f t="shared" si="1"/>
        <v>-2.65%</v>
      </c>
      <c r="F150" s="48" t="str">
        <f t="shared" si="2"/>
        <v/>
      </c>
      <c r="G150" s="48">
        <f t="shared" si="3"/>
        <v>-2.65</v>
      </c>
      <c r="H150" s="48">
        <f>IFERROR(__xludf.DUMMYFUNCTION("IFERROR(GOOGLEFINANCE(A150,""PRICE""),)"),809.1)</f>
        <v>809.1</v>
      </c>
      <c r="I150" s="49">
        <f>IFERROR(__xludf.DUMMYFUNCTION("IFERROR(GOOGLEFINANCE(A150,""VOLUME""),)"),97497.0)</f>
        <v>97497</v>
      </c>
      <c r="J150" s="48" t="str">
        <f>IFERROR(__xludf.DUMMYFUNCTION("IFERROR(INDEX(SPLIT(A150,"":""),1,2),)"),"AVADHSUGAR")</f>
        <v>AVADHSUGAR</v>
      </c>
      <c r="K150" s="48" t="str">
        <f t="shared" si="4"/>
        <v/>
      </c>
      <c r="L150" s="48">
        <f t="shared" si="5"/>
        <v>580</v>
      </c>
      <c r="M150" s="48">
        <f t="shared" si="6"/>
        <v>781</v>
      </c>
      <c r="N150" s="50">
        <f>IFERROR(__xludf.DUMMYFUNCTION("IFERROR(GOOGLEFINANCE(A150,""TRADETIME""),)"),46269.64583333333)</f>
        <v>46269.64583</v>
      </c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</row>
    <row r="151" ht="15.75" customHeight="1">
      <c r="A151" s="51" t="s">
        <v>197</v>
      </c>
      <c r="B151" s="51" t="str">
        <f>IFERROR(__xludf.DUMMYFUNCTION("IFERROR(GOOGLEFINANCE(A151,""NAME""),)"),"Avanti Feeds Ltd")</f>
        <v>Avanti Feeds Ltd</v>
      </c>
      <c r="C151" s="51">
        <f>IFERROR(__xludf.DUMMYFUNCTION("IFERROR(GOOGLEFINANCE(A151,""CHANGE""),)"),2.15)</f>
        <v>2.15</v>
      </c>
      <c r="D151" s="51">
        <f>IFERROR(__xludf.DUMMYFUNCTION("IFERROR(GOOGLEFINANCE(A151,""CHANGEPCT""),)"),0.27)</f>
        <v>0.27</v>
      </c>
      <c r="E151" s="51" t="str">
        <f t="shared" si="1"/>
        <v>0.27%</v>
      </c>
      <c r="F151" s="51">
        <f t="shared" si="2"/>
        <v>0.27</v>
      </c>
      <c r="G151" s="51" t="str">
        <f t="shared" si="3"/>
        <v/>
      </c>
      <c r="H151" s="51">
        <f>IFERROR(__xludf.DUMMYFUNCTION("IFERROR(GOOGLEFINANCE(A151,""PRICE""),)"),798.0)</f>
        <v>798</v>
      </c>
      <c r="I151" s="52">
        <f>IFERROR(__xludf.DUMMYFUNCTION("IFERROR(GOOGLEFINANCE(A151,""VOLUME""),)"),208229.0)</f>
        <v>208229</v>
      </c>
      <c r="J151" s="51" t="str">
        <f>IFERROR(__xludf.DUMMYFUNCTION("IFERROR(INDEX(SPLIT(A151,"":""),1,2),)"),"AVANTIFEED")</f>
        <v>AVANTIFEED</v>
      </c>
      <c r="K151" s="51">
        <f t="shared" si="4"/>
        <v>671</v>
      </c>
      <c r="L151" s="51" t="str">
        <f t="shared" si="5"/>
        <v/>
      </c>
      <c r="M151" s="51">
        <f t="shared" si="6"/>
        <v>615</v>
      </c>
      <c r="N151" s="53">
        <f>IFERROR(__xludf.DUMMYFUNCTION("IFERROR(GOOGLEFINANCE(A151,""TRADETIME""),)"),46269.64584490741)</f>
        <v>46269.64584</v>
      </c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</row>
    <row r="152" ht="15.75" customHeight="1">
      <c r="A152" s="48" t="s">
        <v>198</v>
      </c>
      <c r="B152" s="48" t="str">
        <f>IFERROR(__xludf.DUMMYFUNCTION("IFERROR(GOOGLEFINANCE(A152,""NAME""),)"),"Avt Natural Products Ltd")</f>
        <v>Avt Natural Products Ltd</v>
      </c>
      <c r="C152" s="48">
        <f>IFERROR(__xludf.DUMMYFUNCTION("IFERROR(GOOGLEFINANCE(A152,""CHANGE""),)"),-0.14)</f>
        <v>-0.14</v>
      </c>
      <c r="D152" s="48">
        <f>IFERROR(__xludf.DUMMYFUNCTION("IFERROR(GOOGLEFINANCE(A152,""CHANGEPCT""),)"),-0.15)</f>
        <v>-0.15</v>
      </c>
      <c r="E152" s="48" t="str">
        <f t="shared" si="1"/>
        <v>-0.15%</v>
      </c>
      <c r="F152" s="48" t="str">
        <f t="shared" si="2"/>
        <v/>
      </c>
      <c r="G152" s="48">
        <f t="shared" si="3"/>
        <v>-0.15</v>
      </c>
      <c r="H152" s="48">
        <f>IFERROR(__xludf.DUMMYFUNCTION("IFERROR(GOOGLEFINANCE(A152,""PRICE""),)"),91.5)</f>
        <v>91.5</v>
      </c>
      <c r="I152" s="49">
        <f>IFERROR(__xludf.DUMMYFUNCTION("IFERROR(GOOGLEFINANCE(A152,""VOLUME""),)"),309025.0)</f>
        <v>309025</v>
      </c>
      <c r="J152" s="48" t="str">
        <f>IFERROR(__xludf.DUMMYFUNCTION("IFERROR(INDEX(SPLIT(A152,"":""),1,2),)"),"AVTNPL")</f>
        <v>AVTNPL</v>
      </c>
      <c r="K152" s="48" t="str">
        <f t="shared" si="4"/>
        <v/>
      </c>
      <c r="L152" s="48">
        <f t="shared" si="5"/>
        <v>53</v>
      </c>
      <c r="M152" s="48">
        <f t="shared" si="6"/>
        <v>503</v>
      </c>
      <c r="N152" s="50">
        <f>IFERROR(__xludf.DUMMYFUNCTION("IFERROR(GOOGLEFINANCE(A152,""TRADETIME""),)"),46269.64583333333)</f>
        <v>46269.64583</v>
      </c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</row>
    <row r="153" ht="15.75" customHeight="1">
      <c r="A153" s="51" t="s">
        <v>199</v>
      </c>
      <c r="B153" s="51" t="str">
        <f>IFERROR(__xludf.DUMMYFUNCTION("IFERROR(GOOGLEFINANCE(A153,""NAME""),)"),"Antony Waste Handling Cell Ltd")</f>
        <v>Antony Waste Handling Cell Ltd</v>
      </c>
      <c r="C153" s="51">
        <f>IFERROR(__xludf.DUMMYFUNCTION("IFERROR(GOOGLEFINANCE(A153,""CHANGE""),)"),-0.6)</f>
        <v>-0.6</v>
      </c>
      <c r="D153" s="51">
        <f>IFERROR(__xludf.DUMMYFUNCTION("IFERROR(GOOGLEFINANCE(A153,""CHANGEPCT""),)"),-0.16)</f>
        <v>-0.16</v>
      </c>
      <c r="E153" s="51" t="str">
        <f t="shared" si="1"/>
        <v>-0.16%</v>
      </c>
      <c r="F153" s="51" t="str">
        <f t="shared" si="2"/>
        <v/>
      </c>
      <c r="G153" s="51">
        <f t="shared" si="3"/>
        <v>-0.16</v>
      </c>
      <c r="H153" s="51">
        <f>IFERROR(__xludf.DUMMYFUNCTION("IFERROR(GOOGLEFINANCE(A153,""PRICE""),)"),370.8)</f>
        <v>370.8</v>
      </c>
      <c r="I153" s="52">
        <f>IFERROR(__xludf.DUMMYFUNCTION("IFERROR(GOOGLEFINANCE(A153,""VOLUME""),)"),64504.0)</f>
        <v>64504</v>
      </c>
      <c r="J153" s="51" t="str">
        <f>IFERROR(__xludf.DUMMYFUNCTION("IFERROR(INDEX(SPLIT(A153,"":""),1,2),)"),"AWHCL")</f>
        <v>AWHCL</v>
      </c>
      <c r="K153" s="51" t="str">
        <f t="shared" si="4"/>
        <v/>
      </c>
      <c r="L153" s="51">
        <f t="shared" si="5"/>
        <v>57</v>
      </c>
      <c r="M153" s="51">
        <f t="shared" si="6"/>
        <v>884</v>
      </c>
      <c r="N153" s="53">
        <f>IFERROR(__xludf.DUMMYFUNCTION("IFERROR(GOOGLEFINANCE(A153,""TRADETIME""),)"),46269.64583333333)</f>
        <v>46269.64583</v>
      </c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</row>
    <row r="154" ht="15.75" customHeight="1">
      <c r="A154" s="48" t="s">
        <v>200</v>
      </c>
      <c r="B154" s="48" t="str">
        <f>IFERROR(__xludf.DUMMYFUNCTION("IFERROR(GOOGLEFINANCE(A154,""NAME""),)"),"Axis Bank Ltd")</f>
        <v>Axis Bank Ltd</v>
      </c>
      <c r="C154" s="48">
        <f>IFERROR(__xludf.DUMMYFUNCTION("IFERROR(GOOGLEFINANCE(A154,""CHANGE""),)"),6.0)</f>
        <v>6</v>
      </c>
      <c r="D154" s="48">
        <f>IFERROR(__xludf.DUMMYFUNCTION("IFERROR(GOOGLEFINANCE(A154,""CHANGEPCT""),)"),0.47)</f>
        <v>0.47</v>
      </c>
      <c r="E154" s="48" t="str">
        <f t="shared" si="1"/>
        <v>0.47%</v>
      </c>
      <c r="F154" s="48">
        <f t="shared" si="2"/>
        <v>0.47</v>
      </c>
      <c r="G154" s="48" t="str">
        <f t="shared" si="3"/>
        <v/>
      </c>
      <c r="H154" s="48">
        <f>IFERROR(__xludf.DUMMYFUNCTION("IFERROR(GOOGLEFINANCE(A154,""PRICE""),)"),1273.0)</f>
        <v>1273</v>
      </c>
      <c r="I154" s="49">
        <f>IFERROR(__xludf.DUMMYFUNCTION("IFERROR(GOOGLEFINANCE(A154,""VOLUME""),)"),3810611.0)</f>
        <v>3810611</v>
      </c>
      <c r="J154" s="48" t="str">
        <f>IFERROR(__xludf.DUMMYFUNCTION("IFERROR(INDEX(SPLIT(A154,"":""),1,2),)"),"AXISBANK")</f>
        <v>AXISBANK</v>
      </c>
      <c r="K154" s="48">
        <f t="shared" si="4"/>
        <v>602</v>
      </c>
      <c r="L154" s="48" t="str">
        <f t="shared" si="5"/>
        <v/>
      </c>
      <c r="M154" s="48">
        <f t="shared" si="6"/>
        <v>107</v>
      </c>
      <c r="N154" s="50">
        <f>IFERROR(__xludf.DUMMYFUNCTION("IFERROR(GOOGLEFINANCE(A154,""TRADETIME""),)"),46269.64583333333)</f>
        <v>46269.64583</v>
      </c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</row>
    <row r="155" ht="15.75" customHeight="1">
      <c r="A155" s="51" t="s">
        <v>201</v>
      </c>
      <c r="B155" s="51" t="str">
        <f>IFERROR(__xludf.DUMMYFUNCTION("IFERROR(GOOGLEFINANCE(A155,""NAME""),)"),"Axiscades Technologies Ltd")</f>
        <v>Axiscades Technologies Ltd</v>
      </c>
      <c r="C155" s="51">
        <f>IFERROR(__xludf.DUMMYFUNCTION("IFERROR(GOOGLEFINANCE(A155,""CHANGE""),)"),-20.3)</f>
        <v>-20.3</v>
      </c>
      <c r="D155" s="51">
        <f>IFERROR(__xludf.DUMMYFUNCTION("IFERROR(GOOGLEFINANCE(A155,""CHANGEPCT""),)"),-1.17)</f>
        <v>-1.17</v>
      </c>
      <c r="E155" s="51" t="str">
        <f t="shared" si="1"/>
        <v>-1.17%</v>
      </c>
      <c r="F155" s="51" t="str">
        <f t="shared" si="2"/>
        <v/>
      </c>
      <c r="G155" s="51">
        <f t="shared" si="3"/>
        <v>-1.17</v>
      </c>
      <c r="H155" s="51">
        <f>IFERROR(__xludf.DUMMYFUNCTION("IFERROR(GOOGLEFINANCE(A155,""PRICE""),)"),1710.1)</f>
        <v>1710.1</v>
      </c>
      <c r="I155" s="52">
        <f>IFERROR(__xludf.DUMMYFUNCTION("IFERROR(GOOGLEFINANCE(A155,""VOLUME""),)"),168634.0)</f>
        <v>168634</v>
      </c>
      <c r="J155" s="51" t="str">
        <f>IFERROR(__xludf.DUMMYFUNCTION("IFERROR(INDEX(SPLIT(A155,"":""),1,2),)"),"AXISCADES")</f>
        <v>AXISCADES</v>
      </c>
      <c r="K155" s="51" t="str">
        <f t="shared" si="4"/>
        <v/>
      </c>
      <c r="L155" s="51">
        <f t="shared" si="5"/>
        <v>373</v>
      </c>
      <c r="M155" s="51">
        <f t="shared" si="6"/>
        <v>664</v>
      </c>
      <c r="N155" s="53">
        <f>IFERROR(__xludf.DUMMYFUNCTION("IFERROR(GOOGLEFINANCE(A155,""TRADETIME""),)"),46269.64583333333)</f>
        <v>46269.64583</v>
      </c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</row>
    <row r="156" ht="15.75" customHeight="1">
      <c r="A156" s="48" t="s">
        <v>202</v>
      </c>
      <c r="B156" s="48" t="str">
        <f>IFERROR(__xludf.DUMMYFUNCTION("IFERROR(GOOGLEFINANCE(A156,""NAME""),)"),"AYM Syntex Ltd")</f>
        <v>AYM Syntex Ltd</v>
      </c>
      <c r="C156" s="48">
        <f>IFERROR(__xludf.DUMMYFUNCTION("IFERROR(GOOGLEFINANCE(A156,""CHANGE""),)"),-2.15)</f>
        <v>-2.15</v>
      </c>
      <c r="D156" s="48">
        <f>IFERROR(__xludf.DUMMYFUNCTION("IFERROR(GOOGLEFINANCE(A156,""CHANGEPCT""),)"),-0.68)</f>
        <v>-0.68</v>
      </c>
      <c r="E156" s="48" t="str">
        <f t="shared" si="1"/>
        <v>-0.68%</v>
      </c>
      <c r="F156" s="48" t="str">
        <f t="shared" si="2"/>
        <v/>
      </c>
      <c r="G156" s="48">
        <f t="shared" si="3"/>
        <v>-0.68</v>
      </c>
      <c r="H156" s="48">
        <f>IFERROR(__xludf.DUMMYFUNCTION("IFERROR(GOOGLEFINANCE(A156,""PRICE""),)"),315.1)</f>
        <v>315.1</v>
      </c>
      <c r="I156" s="49">
        <f>IFERROR(__xludf.DUMMYFUNCTION("IFERROR(GOOGLEFINANCE(A156,""VOLUME""),)"),124761.0)</f>
        <v>124761</v>
      </c>
      <c r="J156" s="48" t="str">
        <f>IFERROR(__xludf.DUMMYFUNCTION("IFERROR(INDEX(SPLIT(A156,"":""),1,2),)"),"AYMSYNTEX")</f>
        <v>AYMSYNTEX</v>
      </c>
      <c r="K156" s="48" t="str">
        <f t="shared" si="4"/>
        <v/>
      </c>
      <c r="L156" s="48">
        <f t="shared" si="5"/>
        <v>252</v>
      </c>
      <c r="M156" s="48">
        <f t="shared" si="6"/>
        <v>732</v>
      </c>
      <c r="N156" s="50">
        <f>IFERROR(__xludf.DUMMYFUNCTION("IFERROR(GOOGLEFINANCE(A156,""TRADETIME""),)"),46269.64585648148)</f>
        <v>46269.64586</v>
      </c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</row>
    <row r="157" ht="15.75" customHeight="1">
      <c r="A157" s="51" t="s">
        <v>203</v>
      </c>
      <c r="B157" s="51" t="str">
        <f>IFERROR(__xludf.DUMMYFUNCTION("IFERROR(GOOGLEFINANCE(A157,""NAME""),)"),"Bafna Pharmaceuticals Ltd")</f>
        <v>Bafna Pharmaceuticals Ltd</v>
      </c>
      <c r="C157" s="51">
        <f>IFERROR(__xludf.DUMMYFUNCTION("IFERROR(GOOGLEFINANCE(A157,""CHANGE""),)"),-6.0)</f>
        <v>-6</v>
      </c>
      <c r="D157" s="51">
        <f>IFERROR(__xludf.DUMMYFUNCTION("IFERROR(GOOGLEFINANCE(A157,""CHANGEPCT""),)"),-1.99)</f>
        <v>-1.99</v>
      </c>
      <c r="E157" s="51" t="str">
        <f t="shared" si="1"/>
        <v>-1.99%</v>
      </c>
      <c r="F157" s="51" t="str">
        <f t="shared" si="2"/>
        <v/>
      </c>
      <c r="G157" s="51">
        <f t="shared" si="3"/>
        <v>-1.99</v>
      </c>
      <c r="H157" s="51">
        <f>IFERROR(__xludf.DUMMYFUNCTION("IFERROR(GOOGLEFINANCE(A157,""PRICE""),)"),295.85)</f>
        <v>295.85</v>
      </c>
      <c r="I157" s="52">
        <f>IFERROR(__xludf.DUMMYFUNCTION("IFERROR(GOOGLEFINANCE(A157,""VOLUME""),)"),4794.0)</f>
        <v>4794</v>
      </c>
      <c r="J157" s="51" t="str">
        <f>IFERROR(__xludf.DUMMYFUNCTION("IFERROR(INDEX(SPLIT(A157,"":""),1,2),)"),"BAFNAPH")</f>
        <v>BAFNAPH</v>
      </c>
      <c r="K157" s="51" t="str">
        <f t="shared" si="4"/>
        <v/>
      </c>
      <c r="L157" s="51">
        <f t="shared" si="5"/>
        <v>529</v>
      </c>
      <c r="M157" s="51">
        <f t="shared" si="6"/>
        <v>1329</v>
      </c>
      <c r="N157" s="53">
        <f>IFERROR(__xludf.DUMMYFUNCTION("IFERROR(GOOGLEFINANCE(A157,""TRADETIME""),)"),46269.64583333333)</f>
        <v>46269.64583</v>
      </c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</row>
    <row r="158" ht="15.75" customHeight="1">
      <c r="A158" s="48" t="s">
        <v>204</v>
      </c>
      <c r="B158" s="48" t="str">
        <f>IFERROR(__xludf.DUMMYFUNCTION("IFERROR(GOOGLEFINANCE(A158,""NAME""),)"),"B.A.G. Films and Media Ltd")</f>
        <v>B.A.G. Films and Media Ltd</v>
      </c>
      <c r="C158" s="48">
        <f>IFERROR(__xludf.DUMMYFUNCTION("IFERROR(GOOGLEFINANCE(A158,""CHANGE""),)"),0.17)</f>
        <v>0.17</v>
      </c>
      <c r="D158" s="48">
        <f>IFERROR(__xludf.DUMMYFUNCTION("IFERROR(GOOGLEFINANCE(A158,""CHANGEPCT""),)"),3.94)</f>
        <v>3.94</v>
      </c>
      <c r="E158" s="48" t="str">
        <f t="shared" si="1"/>
        <v>3.94%</v>
      </c>
      <c r="F158" s="48">
        <f t="shared" si="2"/>
        <v>3.94</v>
      </c>
      <c r="G158" s="48" t="str">
        <f t="shared" si="3"/>
        <v/>
      </c>
      <c r="H158" s="48">
        <f>IFERROR(__xludf.DUMMYFUNCTION("IFERROR(GOOGLEFINANCE(A158,""PRICE""),)"),4.49)</f>
        <v>4.49</v>
      </c>
      <c r="I158" s="49">
        <f>IFERROR(__xludf.DUMMYFUNCTION("IFERROR(GOOGLEFINANCE(A158,""VOLUME""),)"),225253.0)</f>
        <v>225253</v>
      </c>
      <c r="J158" s="48" t="str">
        <f>IFERROR(__xludf.DUMMYFUNCTION("IFERROR(INDEX(SPLIT(A158,"":""),1,2),)"),"BAGFILMS")</f>
        <v>BAGFILMS</v>
      </c>
      <c r="K158" s="48">
        <f t="shared" si="4"/>
        <v>121</v>
      </c>
      <c r="L158" s="48" t="str">
        <f t="shared" si="5"/>
        <v/>
      </c>
      <c r="M158" s="48">
        <f t="shared" si="6"/>
        <v>593</v>
      </c>
      <c r="N158" s="50">
        <f>IFERROR(__xludf.DUMMYFUNCTION("IFERROR(GOOGLEFINANCE(A158,""TRADETIME""),)"),46269.64583333333)</f>
        <v>46269.64583</v>
      </c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</row>
    <row r="159" ht="15.75" customHeight="1">
      <c r="A159" s="51" t="s">
        <v>205</v>
      </c>
      <c r="B159" s="51" t="str">
        <f>IFERROR(__xludf.DUMMYFUNCTION("IFERROR(GOOGLEFINANCE(A159,""NAME""),)"),"Bajaj Auto Ltd")</f>
        <v>Bajaj Auto Ltd</v>
      </c>
      <c r="C159" s="51">
        <f>IFERROR(__xludf.DUMMYFUNCTION("IFERROR(GOOGLEFINANCE(A159,""CHANGE""),)"),-5.0)</f>
        <v>-5</v>
      </c>
      <c r="D159" s="51">
        <f>IFERROR(__xludf.DUMMYFUNCTION("IFERROR(GOOGLEFINANCE(A159,""CHANGEPCT""),)"),-0.04)</f>
        <v>-0.04</v>
      </c>
      <c r="E159" s="51" t="str">
        <f t="shared" si="1"/>
        <v>-0.04%</v>
      </c>
      <c r="F159" s="51" t="str">
        <f t="shared" si="2"/>
        <v/>
      </c>
      <c r="G159" s="51">
        <f t="shared" si="3"/>
        <v>-0.04</v>
      </c>
      <c r="H159" s="51">
        <f>IFERROR(__xludf.DUMMYFUNCTION("IFERROR(GOOGLEFINANCE(A159,""PRICE""),)"),11915.0)</f>
        <v>11915</v>
      </c>
      <c r="I159" s="52">
        <f>IFERROR(__xludf.DUMMYFUNCTION("IFERROR(GOOGLEFINANCE(A159,""VOLUME""),)"),154199.0)</f>
        <v>154199</v>
      </c>
      <c r="J159" s="51" t="str">
        <f>IFERROR(__xludf.DUMMYFUNCTION("IFERROR(INDEX(SPLIT(A159,"":""),1,2),)"),"BAJAJ-AUTO")</f>
        <v>BAJAJ-AUTO</v>
      </c>
      <c r="K159" s="51" t="str">
        <f t="shared" si="4"/>
        <v/>
      </c>
      <c r="L159" s="51">
        <f t="shared" si="5"/>
        <v>11</v>
      </c>
      <c r="M159" s="51">
        <f t="shared" si="6"/>
        <v>686</v>
      </c>
      <c r="N159" s="53">
        <f>IFERROR(__xludf.DUMMYFUNCTION("IFERROR(GOOGLEFINANCE(A159,""TRADETIME""),)"),46269.64583333333)</f>
        <v>46269.64583</v>
      </c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</row>
    <row r="160" ht="15.75" customHeight="1">
      <c r="A160" s="48" t="s">
        <v>206</v>
      </c>
      <c r="B160" s="48" t="str">
        <f>IFERROR(__xludf.DUMMYFUNCTION("IFERROR(GOOGLEFINANCE(A160,""NAME""),)"),"Bajaj Consumer Care Ltd")</f>
        <v>Bajaj Consumer Care Ltd</v>
      </c>
      <c r="C160" s="48">
        <f>IFERROR(__xludf.DUMMYFUNCTION("IFERROR(GOOGLEFINANCE(A160,""CHANGE""),)"),7.05)</f>
        <v>7.05</v>
      </c>
      <c r="D160" s="48">
        <f>IFERROR(__xludf.DUMMYFUNCTION("IFERROR(GOOGLEFINANCE(A160,""CHANGEPCT""),)"),1.39)</f>
        <v>1.39</v>
      </c>
      <c r="E160" s="48" t="str">
        <f t="shared" si="1"/>
        <v>1.39%</v>
      </c>
      <c r="F160" s="48">
        <f t="shared" si="2"/>
        <v>1.39</v>
      </c>
      <c r="G160" s="48" t="str">
        <f t="shared" si="3"/>
        <v/>
      </c>
      <c r="H160" s="48">
        <f>IFERROR(__xludf.DUMMYFUNCTION("IFERROR(GOOGLEFINANCE(A160,""PRICE""),)"),516.0)</f>
        <v>516</v>
      </c>
      <c r="I160" s="49">
        <f>IFERROR(__xludf.DUMMYFUNCTION("IFERROR(GOOGLEFINANCE(A160,""VOLUME""),)"),1279757.0)</f>
        <v>1279757</v>
      </c>
      <c r="J160" s="48" t="str">
        <f>IFERROR(__xludf.DUMMYFUNCTION("IFERROR(INDEX(SPLIT(A160,"":""),1,2),)"),"BAJAJCON")</f>
        <v>BAJAJCON</v>
      </c>
      <c r="K160" s="48">
        <f t="shared" si="4"/>
        <v>360</v>
      </c>
      <c r="L160" s="48" t="str">
        <f t="shared" si="5"/>
        <v/>
      </c>
      <c r="M160" s="48">
        <f t="shared" si="6"/>
        <v>233</v>
      </c>
      <c r="N160" s="50">
        <f>IFERROR(__xludf.DUMMYFUNCTION("IFERROR(GOOGLEFINANCE(A160,""TRADETIME""),)"),46269.64584490741)</f>
        <v>46269.64584</v>
      </c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</row>
    <row r="161" ht="15.75" customHeight="1">
      <c r="A161" s="51" t="s">
        <v>207</v>
      </c>
      <c r="B161" s="51" t="str">
        <f>IFERROR(__xludf.DUMMYFUNCTION("IFERROR(GOOGLEFINANCE(A161,""NAME""),)"),"Bajaj Electricals Ltd")</f>
        <v>Bajaj Electricals Ltd</v>
      </c>
      <c r="C161" s="51">
        <f>IFERROR(__xludf.DUMMYFUNCTION("IFERROR(GOOGLEFINANCE(A161,""CHANGE""),)"),-3.2)</f>
        <v>-3.2</v>
      </c>
      <c r="D161" s="51">
        <f>IFERROR(__xludf.DUMMYFUNCTION("IFERROR(GOOGLEFINANCE(A161,""CHANGEPCT""),)"),-0.96)</f>
        <v>-0.96</v>
      </c>
      <c r="E161" s="51" t="str">
        <f t="shared" si="1"/>
        <v>-0.96%</v>
      </c>
      <c r="F161" s="51" t="str">
        <f t="shared" si="2"/>
        <v/>
      </c>
      <c r="G161" s="51">
        <f t="shared" si="3"/>
        <v>-0.96</v>
      </c>
      <c r="H161" s="51">
        <f>IFERROR(__xludf.DUMMYFUNCTION("IFERROR(GOOGLEFINANCE(A161,""PRICE""),)"),331.0)</f>
        <v>331</v>
      </c>
      <c r="I161" s="52">
        <f>IFERROR(__xludf.DUMMYFUNCTION("IFERROR(GOOGLEFINANCE(A161,""VOLUME""),)"),73439.0)</f>
        <v>73439</v>
      </c>
      <c r="J161" s="51" t="str">
        <f>IFERROR(__xludf.DUMMYFUNCTION("IFERROR(INDEX(SPLIT(A161,"":""),1,2),)"),"BAJAJELEC")</f>
        <v>BAJAJELEC</v>
      </c>
      <c r="K161" s="51" t="str">
        <f t="shared" si="4"/>
        <v/>
      </c>
      <c r="L161" s="51">
        <f t="shared" si="5"/>
        <v>330</v>
      </c>
      <c r="M161" s="51">
        <f t="shared" si="6"/>
        <v>851</v>
      </c>
      <c r="N161" s="53">
        <f>IFERROR(__xludf.DUMMYFUNCTION("IFERROR(GOOGLEFINANCE(A161,""TRADETIME""),)"),46269.64583333333)</f>
        <v>46269.64583</v>
      </c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</row>
    <row r="162" ht="15.75" customHeight="1">
      <c r="A162" s="48" t="s">
        <v>208</v>
      </c>
      <c r="B162" s="48" t="str">
        <f>IFERROR(__xludf.DUMMYFUNCTION("IFERROR(GOOGLEFINANCE(A162,""NAME""),)"),"Bajaj Finserv Ltd")</f>
        <v>Bajaj Finserv Ltd</v>
      </c>
      <c r="C162" s="48">
        <f>IFERROR(__xludf.DUMMYFUNCTION("IFERROR(GOOGLEFINANCE(A162,""CHANGE""),)"),-20.1)</f>
        <v>-20.1</v>
      </c>
      <c r="D162" s="48">
        <f>IFERROR(__xludf.DUMMYFUNCTION("IFERROR(GOOGLEFINANCE(A162,""CHANGEPCT""),)"),-1.01)</f>
        <v>-1.01</v>
      </c>
      <c r="E162" s="48" t="str">
        <f t="shared" si="1"/>
        <v>-1.01%</v>
      </c>
      <c r="F162" s="48" t="str">
        <f t="shared" si="2"/>
        <v/>
      </c>
      <c r="G162" s="48">
        <f t="shared" si="3"/>
        <v>-1.01</v>
      </c>
      <c r="H162" s="48">
        <f>IFERROR(__xludf.DUMMYFUNCTION("IFERROR(GOOGLEFINANCE(A162,""PRICE""),)"),1972.0)</f>
        <v>1972</v>
      </c>
      <c r="I162" s="49">
        <f>IFERROR(__xludf.DUMMYFUNCTION("IFERROR(GOOGLEFINANCE(A162,""VOLUME""),)"),437793.0)</f>
        <v>437793</v>
      </c>
      <c r="J162" s="48" t="str">
        <f>IFERROR(__xludf.DUMMYFUNCTION("IFERROR(INDEX(SPLIT(A162,"":""),1,2),)"),"BAJAJFINSV")</f>
        <v>BAJAJFINSV</v>
      </c>
      <c r="K162" s="48" t="str">
        <f t="shared" si="4"/>
        <v/>
      </c>
      <c r="L162" s="48">
        <f t="shared" si="5"/>
        <v>341</v>
      </c>
      <c r="M162" s="48">
        <f t="shared" si="6"/>
        <v>429</v>
      </c>
      <c r="N162" s="50">
        <f>IFERROR(__xludf.DUMMYFUNCTION("IFERROR(GOOGLEFINANCE(A162,""TRADETIME""),)"),46269.64583333333)</f>
        <v>46269.64583</v>
      </c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</row>
    <row r="163" ht="15.75" customHeight="1">
      <c r="A163" s="51" t="s">
        <v>209</v>
      </c>
      <c r="B163" s="51" t="str">
        <f>IFERROR(__xludf.DUMMYFUNCTION("IFERROR(GOOGLEFINANCE(A163,""NAME""),)"),"Bajaj Hindusthan Sugar Ltd")</f>
        <v>Bajaj Hindusthan Sugar Ltd</v>
      </c>
      <c r="C163" s="51">
        <f>IFERROR(__xludf.DUMMYFUNCTION("IFERROR(GOOGLEFINANCE(A163,""CHANGE""),)"),-0.12)</f>
        <v>-0.12</v>
      </c>
      <c r="D163" s="51">
        <f>IFERROR(__xludf.DUMMYFUNCTION("IFERROR(GOOGLEFINANCE(A163,""CHANGEPCT""),)"),-0.54)</f>
        <v>-0.54</v>
      </c>
      <c r="E163" s="51" t="str">
        <f t="shared" si="1"/>
        <v>-0.54%</v>
      </c>
      <c r="F163" s="51" t="str">
        <f t="shared" si="2"/>
        <v/>
      </c>
      <c r="G163" s="51">
        <f t="shared" si="3"/>
        <v>-0.54</v>
      </c>
      <c r="H163" s="51">
        <f>IFERROR(__xludf.DUMMYFUNCTION("IFERROR(GOOGLEFINANCE(A163,""PRICE""),)"),21.96)</f>
        <v>21.96</v>
      </c>
      <c r="I163" s="52">
        <f>IFERROR(__xludf.DUMMYFUNCTION("IFERROR(GOOGLEFINANCE(A163,""VOLUME""),)"),2.1280859E7)</f>
        <v>21280859</v>
      </c>
      <c r="J163" s="51" t="str">
        <f>IFERROR(__xludf.DUMMYFUNCTION("IFERROR(INDEX(SPLIT(A163,"":""),1,2),)"),"BAJAJHIND")</f>
        <v>BAJAJHIND</v>
      </c>
      <c r="K163" s="51" t="str">
        <f t="shared" si="4"/>
        <v/>
      </c>
      <c r="L163" s="51">
        <f t="shared" si="5"/>
        <v>207</v>
      </c>
      <c r="M163" s="51">
        <f t="shared" si="6"/>
        <v>20</v>
      </c>
      <c r="N163" s="53">
        <f>IFERROR(__xludf.DUMMYFUNCTION("IFERROR(GOOGLEFINANCE(A163,""TRADETIME""),)"),46269.64584490741)</f>
        <v>46269.64584</v>
      </c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</row>
    <row r="164" ht="15.75" customHeight="1">
      <c r="A164" s="48" t="s">
        <v>210</v>
      </c>
      <c r="B164" s="48" t="str">
        <f>IFERROR(__xludf.DUMMYFUNCTION("IFERROR(GOOGLEFINANCE(A164,""NAME""),)"),"Bajaj Holdings And Investment Ltd")</f>
        <v>Bajaj Holdings And Investment Ltd</v>
      </c>
      <c r="C164" s="48">
        <f>IFERROR(__xludf.DUMMYFUNCTION("IFERROR(GOOGLEFINANCE(A164,""CHANGE""),)"),16.0)</f>
        <v>16</v>
      </c>
      <c r="D164" s="48">
        <f>IFERROR(__xludf.DUMMYFUNCTION("IFERROR(GOOGLEFINANCE(A164,""CHANGEPCT""),)"),0.14)</f>
        <v>0.14</v>
      </c>
      <c r="E164" s="48" t="str">
        <f t="shared" si="1"/>
        <v>0.14%</v>
      </c>
      <c r="F164" s="48">
        <f t="shared" si="2"/>
        <v>0.14</v>
      </c>
      <c r="G164" s="48" t="str">
        <f t="shared" si="3"/>
        <v/>
      </c>
      <c r="H164" s="48">
        <f>IFERROR(__xludf.DUMMYFUNCTION("IFERROR(GOOGLEFINANCE(A164,""PRICE""),)"),11181.0)</f>
        <v>11181</v>
      </c>
      <c r="I164" s="49">
        <f>IFERROR(__xludf.DUMMYFUNCTION("IFERROR(GOOGLEFINANCE(A164,""VOLUME""),)"),37106.0)</f>
        <v>37106</v>
      </c>
      <c r="J164" s="48" t="str">
        <f>IFERROR(__xludf.DUMMYFUNCTION("IFERROR(INDEX(SPLIT(A164,"":""),1,2),)"),"BAJAJHLDNG")</f>
        <v>BAJAJHLDNG</v>
      </c>
      <c r="K164" s="48">
        <f t="shared" si="4"/>
        <v>724</v>
      </c>
      <c r="L164" s="48" t="str">
        <f t="shared" si="5"/>
        <v/>
      </c>
      <c r="M164" s="48">
        <f t="shared" si="6"/>
        <v>1018</v>
      </c>
      <c r="N164" s="50">
        <f>IFERROR(__xludf.DUMMYFUNCTION("IFERROR(GOOGLEFINANCE(A164,""TRADETIME""),)"),46269.64583333333)</f>
        <v>46269.64583</v>
      </c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</row>
    <row r="165" ht="15.75" customHeight="1">
      <c r="A165" s="51" t="s">
        <v>211</v>
      </c>
      <c r="B165" s="51" t="str">
        <f>IFERROR(__xludf.DUMMYFUNCTION("IFERROR(GOOGLEFINANCE(A165,""NAME""),)"),"Bajaj Finance Ltd")</f>
        <v>Bajaj Finance Ltd</v>
      </c>
      <c r="C165" s="51">
        <f>IFERROR(__xludf.DUMMYFUNCTION("IFERROR(GOOGLEFINANCE(A165,""CHANGE""),)"),14.0)</f>
        <v>14</v>
      </c>
      <c r="D165" s="51">
        <f>IFERROR(__xludf.DUMMYFUNCTION("IFERROR(GOOGLEFINANCE(A165,""CHANGEPCT""),)"),1.33)</f>
        <v>1.33</v>
      </c>
      <c r="E165" s="51" t="str">
        <f t="shared" si="1"/>
        <v>1.33%</v>
      </c>
      <c r="F165" s="51">
        <f t="shared" si="2"/>
        <v>1.33</v>
      </c>
      <c r="G165" s="51" t="str">
        <f t="shared" si="3"/>
        <v/>
      </c>
      <c r="H165" s="51">
        <f>IFERROR(__xludf.DUMMYFUNCTION("IFERROR(GOOGLEFINANCE(A165,""PRICE""),)"),1063.0)</f>
        <v>1063</v>
      </c>
      <c r="I165" s="52">
        <f>IFERROR(__xludf.DUMMYFUNCTION("IFERROR(GOOGLEFINANCE(A165,""VOLUME""),)"),5952048.0)</f>
        <v>5952048</v>
      </c>
      <c r="J165" s="51" t="str">
        <f>IFERROR(__xludf.DUMMYFUNCTION("IFERROR(INDEX(SPLIT(A165,"":""),1,2),)"),"BAJFINANCE")</f>
        <v>BAJFINANCE</v>
      </c>
      <c r="K165" s="51">
        <f t="shared" si="4"/>
        <v>373</v>
      </c>
      <c r="L165" s="51" t="str">
        <f t="shared" si="5"/>
        <v/>
      </c>
      <c r="M165" s="51">
        <f t="shared" si="6"/>
        <v>75</v>
      </c>
      <c r="N165" s="53">
        <f>IFERROR(__xludf.DUMMYFUNCTION("IFERROR(GOOGLEFINANCE(A165,""TRADETIME""),)"),46269.64583333333)</f>
        <v>46269.64583</v>
      </c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</row>
    <row r="166" ht="15.75" customHeight="1">
      <c r="A166" s="48" t="s">
        <v>212</v>
      </c>
      <c r="B166" s="48" t="str">
        <f>IFERROR(__xludf.DUMMYFUNCTION("IFERROR(GOOGLEFINANCE(A166,""NAME""),)"),"Balaji Telefilms Ltd")</f>
        <v>Balaji Telefilms Ltd</v>
      </c>
      <c r="C166" s="48">
        <f>IFERROR(__xludf.DUMMYFUNCTION("IFERROR(GOOGLEFINANCE(A166,""CHANGE""),)"),1.69)</f>
        <v>1.69</v>
      </c>
      <c r="D166" s="48">
        <f>IFERROR(__xludf.DUMMYFUNCTION("IFERROR(GOOGLEFINANCE(A166,""CHANGEPCT""),)"),1.85)</f>
        <v>1.85</v>
      </c>
      <c r="E166" s="48" t="str">
        <f t="shared" si="1"/>
        <v>1.85%</v>
      </c>
      <c r="F166" s="48">
        <f t="shared" si="2"/>
        <v>1.85</v>
      </c>
      <c r="G166" s="48" t="str">
        <f t="shared" si="3"/>
        <v/>
      </c>
      <c r="H166" s="48">
        <f>IFERROR(__xludf.DUMMYFUNCTION("IFERROR(GOOGLEFINANCE(A166,""PRICE""),)"),93.0)</f>
        <v>93</v>
      </c>
      <c r="I166" s="49">
        <f>IFERROR(__xludf.DUMMYFUNCTION("IFERROR(GOOGLEFINANCE(A166,""VOLUME""),)"),1526021.0)</f>
        <v>1526021</v>
      </c>
      <c r="J166" s="48" t="str">
        <f>IFERROR(__xludf.DUMMYFUNCTION("IFERROR(INDEX(SPLIT(A166,"":""),1,2),)"),"BALAJITELE")</f>
        <v>BALAJITELE</v>
      </c>
      <c r="K166" s="48">
        <f t="shared" si="4"/>
        <v>287</v>
      </c>
      <c r="L166" s="48" t="str">
        <f t="shared" si="5"/>
        <v/>
      </c>
      <c r="M166" s="48">
        <f t="shared" si="6"/>
        <v>207</v>
      </c>
      <c r="N166" s="50">
        <f>IFERROR(__xludf.DUMMYFUNCTION("IFERROR(GOOGLEFINANCE(A166,""TRADETIME""),)"),46269.64583333333)</f>
        <v>46269.64583</v>
      </c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</row>
    <row r="167" ht="15.75" customHeight="1">
      <c r="A167" s="51" t="s">
        <v>213</v>
      </c>
      <c r="B167" s="51" t="str">
        <f>IFERROR(__xludf.DUMMYFUNCTION("IFERROR(GOOGLEFINANCE(A167,""NAME""),)"),"Balaji Amines Ltd")</f>
        <v>Balaji Amines Ltd</v>
      </c>
      <c r="C167" s="51">
        <f>IFERROR(__xludf.DUMMYFUNCTION("IFERROR(GOOGLEFINANCE(A167,""CHANGE""),)"),98.2)</f>
        <v>98.2</v>
      </c>
      <c r="D167" s="51">
        <f>IFERROR(__xludf.DUMMYFUNCTION("IFERROR(GOOGLEFINANCE(A167,""CHANGEPCT""),)"),4.06)</f>
        <v>4.06</v>
      </c>
      <c r="E167" s="51" t="str">
        <f t="shared" si="1"/>
        <v>4.06%</v>
      </c>
      <c r="F167" s="51">
        <f t="shared" si="2"/>
        <v>4.06</v>
      </c>
      <c r="G167" s="51" t="str">
        <f t="shared" si="3"/>
        <v/>
      </c>
      <c r="H167" s="51">
        <f>IFERROR(__xludf.DUMMYFUNCTION("IFERROR(GOOGLEFINANCE(A167,""PRICE""),)"),2516.0)</f>
        <v>2516</v>
      </c>
      <c r="I167" s="52">
        <f>IFERROR(__xludf.DUMMYFUNCTION("IFERROR(GOOGLEFINANCE(A167,""VOLUME""),)"),608894.0)</f>
        <v>608894</v>
      </c>
      <c r="J167" s="51" t="str">
        <f>IFERROR(__xludf.DUMMYFUNCTION("IFERROR(INDEX(SPLIT(A167,"":""),1,2),)"),"BALAMINES")</f>
        <v>BALAMINES</v>
      </c>
      <c r="K167" s="51">
        <f t="shared" si="4"/>
        <v>114</v>
      </c>
      <c r="L167" s="51" t="str">
        <f t="shared" si="5"/>
        <v/>
      </c>
      <c r="M167" s="51">
        <f t="shared" si="6"/>
        <v>354</v>
      </c>
      <c r="N167" s="53">
        <f>IFERROR(__xludf.DUMMYFUNCTION("IFERROR(GOOGLEFINANCE(A167,""TRADETIME""),)"),46269.64584490741)</f>
        <v>46269.64584</v>
      </c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</row>
    <row r="168" ht="15.75" customHeight="1">
      <c r="A168" s="48" t="s">
        <v>214</v>
      </c>
      <c r="B168" s="48" t="str">
        <f>IFERROR(__xludf.DUMMYFUNCTION("IFERROR(GOOGLEFINANCE(A168,""NAME""),)"),"Balaxi Pharmaceuticals Ltd")</f>
        <v>Balaxi Pharmaceuticals Ltd</v>
      </c>
      <c r="C168" s="48">
        <f>IFERROR(__xludf.DUMMYFUNCTION("IFERROR(GOOGLEFINANCE(A168,""CHANGE""),)"),-0.87)</f>
        <v>-0.87</v>
      </c>
      <c r="D168" s="48">
        <f>IFERROR(__xludf.DUMMYFUNCTION("IFERROR(GOOGLEFINANCE(A168,""CHANGEPCT""),)"),-3.37)</f>
        <v>-3.37</v>
      </c>
      <c r="E168" s="48" t="str">
        <f t="shared" si="1"/>
        <v>-3.37%</v>
      </c>
      <c r="F168" s="48" t="str">
        <f t="shared" si="2"/>
        <v/>
      </c>
      <c r="G168" s="48">
        <f t="shared" si="3"/>
        <v>-3.37</v>
      </c>
      <c r="H168" s="48">
        <f>IFERROR(__xludf.DUMMYFUNCTION("IFERROR(GOOGLEFINANCE(A168,""PRICE""),)"),24.93)</f>
        <v>24.93</v>
      </c>
      <c r="I168" s="49">
        <f>IFERROR(__xludf.DUMMYFUNCTION("IFERROR(GOOGLEFINANCE(A168,""VOLUME""),)"),50780.0)</f>
        <v>50780</v>
      </c>
      <c r="J168" s="48" t="str">
        <f>IFERROR(__xludf.DUMMYFUNCTION("IFERROR(INDEX(SPLIT(A168,"":""),1,2),)"),"BALAXI")</f>
        <v>BALAXI</v>
      </c>
      <c r="K168" s="48" t="str">
        <f t="shared" si="4"/>
        <v/>
      </c>
      <c r="L168" s="48">
        <f t="shared" si="5"/>
        <v>603</v>
      </c>
      <c r="M168" s="48">
        <f t="shared" si="6"/>
        <v>942</v>
      </c>
      <c r="N168" s="50">
        <f>IFERROR(__xludf.DUMMYFUNCTION("IFERROR(GOOGLEFINANCE(A168,""TRADETIME""),)"),46269.64583333333)</f>
        <v>46269.64583</v>
      </c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</row>
    <row r="169" ht="15.75" customHeight="1">
      <c r="A169" s="51" t="s">
        <v>215</v>
      </c>
      <c r="B169" s="51" t="str">
        <f>IFERROR(__xludf.DUMMYFUNCTION("IFERROR(GOOGLEFINANCE(A169,""NAME""),)"),"Balkrishna Paper Mills Ltd")</f>
        <v>Balkrishna Paper Mills Ltd</v>
      </c>
      <c r="C169" s="51">
        <f>IFERROR(__xludf.DUMMYFUNCTION("IFERROR(GOOGLEFINANCE(A169,""CHANGE""),)"),-0.08)</f>
        <v>-0.08</v>
      </c>
      <c r="D169" s="51">
        <f>IFERROR(__xludf.DUMMYFUNCTION("IFERROR(GOOGLEFINANCE(A169,""CHANGEPCT""),)"),-0.46)</f>
        <v>-0.46</v>
      </c>
      <c r="E169" s="51" t="str">
        <f t="shared" si="1"/>
        <v>-0.46%</v>
      </c>
      <c r="F169" s="51" t="str">
        <f t="shared" si="2"/>
        <v/>
      </c>
      <c r="G169" s="51">
        <f t="shared" si="3"/>
        <v>-0.46</v>
      </c>
      <c r="H169" s="51">
        <f>IFERROR(__xludf.DUMMYFUNCTION("IFERROR(GOOGLEFINANCE(A169,""PRICE""),)"),17.4)</f>
        <v>17.4</v>
      </c>
      <c r="I169" s="52">
        <f>IFERROR(__xludf.DUMMYFUNCTION("IFERROR(GOOGLEFINANCE(A169,""VOLUME""),)"),6016.0)</f>
        <v>6016</v>
      </c>
      <c r="J169" s="51" t="str">
        <f>IFERROR(__xludf.DUMMYFUNCTION("IFERROR(INDEX(SPLIT(A169,"":""),1,2),)"),"BALKRISHNA")</f>
        <v>BALKRISHNA</v>
      </c>
      <c r="K169" s="51" t="str">
        <f t="shared" si="4"/>
        <v/>
      </c>
      <c r="L169" s="51">
        <f t="shared" si="5"/>
        <v>174</v>
      </c>
      <c r="M169" s="51">
        <f t="shared" si="6"/>
        <v>1305</v>
      </c>
      <c r="N169" s="53">
        <f>IFERROR(__xludf.DUMMYFUNCTION("IFERROR(GOOGLEFINANCE(A169,""TRADETIME""),)"),46269.64583333333)</f>
        <v>46269.64583</v>
      </c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</row>
    <row r="170" ht="15.75" customHeight="1">
      <c r="A170" s="48" t="s">
        <v>216</v>
      </c>
      <c r="B170" s="48" t="str">
        <f>IFERROR(__xludf.DUMMYFUNCTION("IFERROR(GOOGLEFINANCE(A170,""NAME""),)"),"Balkrishna Industries Ltd")</f>
        <v>Balkrishna Industries Ltd</v>
      </c>
      <c r="C170" s="48">
        <f>IFERROR(__xludf.DUMMYFUNCTION("IFERROR(GOOGLEFINANCE(A170,""CHANGE""),)"),-46.3)</f>
        <v>-46.3</v>
      </c>
      <c r="D170" s="48">
        <f>IFERROR(__xludf.DUMMYFUNCTION("IFERROR(GOOGLEFINANCE(A170,""CHANGEPCT""),)"),-1.99)</f>
        <v>-1.99</v>
      </c>
      <c r="E170" s="48" t="str">
        <f t="shared" si="1"/>
        <v>-1.99%</v>
      </c>
      <c r="F170" s="48" t="str">
        <f t="shared" si="2"/>
        <v/>
      </c>
      <c r="G170" s="48">
        <f t="shared" si="3"/>
        <v>-1.99</v>
      </c>
      <c r="H170" s="48">
        <f>IFERROR(__xludf.DUMMYFUNCTION("IFERROR(GOOGLEFINANCE(A170,""PRICE""),)"),2281.0)</f>
        <v>2281</v>
      </c>
      <c r="I170" s="49">
        <f>IFERROR(__xludf.DUMMYFUNCTION("IFERROR(GOOGLEFINANCE(A170,""VOLUME""),)"),324489.0)</f>
        <v>324489</v>
      </c>
      <c r="J170" s="48" t="str">
        <f>IFERROR(__xludf.DUMMYFUNCTION("IFERROR(INDEX(SPLIT(A170,"":""),1,2),)"),"BALKRISIND")</f>
        <v>BALKRISIND</v>
      </c>
      <c r="K170" s="48" t="str">
        <f t="shared" si="4"/>
        <v/>
      </c>
      <c r="L170" s="48">
        <f t="shared" si="5"/>
        <v>530</v>
      </c>
      <c r="M170" s="48">
        <f t="shared" si="6"/>
        <v>490</v>
      </c>
      <c r="N170" s="50">
        <f>IFERROR(__xludf.DUMMYFUNCTION("IFERROR(GOOGLEFINANCE(A170,""TRADETIME""),)"),46269.64585648148)</f>
        <v>46269.64586</v>
      </c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</row>
    <row r="171" ht="15.75" customHeight="1">
      <c r="A171" s="51" t="s">
        <v>217</v>
      </c>
      <c r="B171" s="51" t="str">
        <f>IFERROR(__xludf.DUMMYFUNCTION("IFERROR(GOOGLEFINANCE(A171,""NAME""),)"),"")</f>
        <v/>
      </c>
      <c r="C171" s="51" t="str">
        <f>IFERROR(__xludf.DUMMYFUNCTION("IFERROR(GOOGLEFINANCE(A171,""CHANGE""),)"),"")</f>
        <v/>
      </c>
      <c r="D171" s="51" t="str">
        <f>IFERROR(__xludf.DUMMYFUNCTION("IFERROR(GOOGLEFINANCE(A171,""CHANGEPCT""),)"),"")</f>
        <v/>
      </c>
      <c r="E171" s="51" t="str">
        <f t="shared" si="1"/>
        <v>%</v>
      </c>
      <c r="F171" s="51" t="str">
        <f t="shared" si="2"/>
        <v/>
      </c>
      <c r="G171" s="51" t="str">
        <f t="shared" si="3"/>
        <v/>
      </c>
      <c r="H171" s="51" t="str">
        <f>IFERROR(__xludf.DUMMYFUNCTION("IFERROR(GOOGLEFINANCE(A171,""PRICE""),)"),"")</f>
        <v/>
      </c>
      <c r="I171" s="52" t="str">
        <f>IFERROR(__xludf.DUMMYFUNCTION("IFERROR(GOOGLEFINANCE(A171,""VOLUME""),)"),"")</f>
        <v/>
      </c>
      <c r="J171" s="51" t="str">
        <f>IFERROR(__xludf.DUMMYFUNCTION("IFERROR(INDEX(SPLIT(A171,"":""),1,2),)"),"BALLARPUR")</f>
        <v>BALLARPUR</v>
      </c>
      <c r="K171" s="51" t="str">
        <f t="shared" si="4"/>
        <v/>
      </c>
      <c r="L171" s="51" t="str">
        <f t="shared" si="5"/>
        <v/>
      </c>
      <c r="M171" s="51">
        <f t="shared" si="6"/>
        <v>1456</v>
      </c>
      <c r="N171" s="53" t="str">
        <f>IFERROR(__xludf.DUMMYFUNCTION("IFERROR(GOOGLEFINANCE(A171,""TRADETIME""),)"),"")</f>
        <v/>
      </c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</row>
    <row r="172" ht="15.75" customHeight="1">
      <c r="A172" s="48" t="s">
        <v>218</v>
      </c>
      <c r="B172" s="48" t="str">
        <f>IFERROR(__xludf.DUMMYFUNCTION("IFERROR(GOOGLEFINANCE(A172,""NAME""),)"),"Balmer Lawrie and Company Ltd")</f>
        <v>Balmer Lawrie and Company Ltd</v>
      </c>
      <c r="C172" s="48">
        <f>IFERROR(__xludf.DUMMYFUNCTION("IFERROR(GOOGLEFINANCE(A172,""CHANGE""),)"),1.31)</f>
        <v>1.31</v>
      </c>
      <c r="D172" s="48">
        <f>IFERROR(__xludf.DUMMYFUNCTION("IFERROR(GOOGLEFINANCE(A172,""CHANGEPCT""),)"),0.74)</f>
        <v>0.74</v>
      </c>
      <c r="E172" s="48" t="str">
        <f t="shared" si="1"/>
        <v>0.74%</v>
      </c>
      <c r="F172" s="48">
        <f t="shared" si="2"/>
        <v>0.74</v>
      </c>
      <c r="G172" s="48" t="str">
        <f t="shared" si="3"/>
        <v/>
      </c>
      <c r="H172" s="48">
        <f>IFERROR(__xludf.DUMMYFUNCTION("IFERROR(GOOGLEFINANCE(A172,""PRICE""),)"),178.24)</f>
        <v>178.24</v>
      </c>
      <c r="I172" s="49">
        <f>IFERROR(__xludf.DUMMYFUNCTION("IFERROR(GOOGLEFINANCE(A172,""VOLUME""),)"),106907.0)</f>
        <v>106907</v>
      </c>
      <c r="J172" s="48" t="str">
        <f>IFERROR(__xludf.DUMMYFUNCTION("IFERROR(INDEX(SPLIT(A172,"":""),1,2),)"),"BALMLAWRIE")</f>
        <v>BALMLAWRIE</v>
      </c>
      <c r="K172" s="48">
        <f t="shared" si="4"/>
        <v>518</v>
      </c>
      <c r="L172" s="48" t="str">
        <f t="shared" si="5"/>
        <v/>
      </c>
      <c r="M172" s="48">
        <f t="shared" si="6"/>
        <v>755</v>
      </c>
      <c r="N172" s="50">
        <f>IFERROR(__xludf.DUMMYFUNCTION("IFERROR(GOOGLEFINANCE(A172,""TRADETIME""),)"),46269.64584490741)</f>
        <v>46269.64584</v>
      </c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</row>
    <row r="173" ht="15.75" customHeight="1">
      <c r="A173" s="51" t="s">
        <v>219</v>
      </c>
      <c r="B173" s="51" t="str">
        <f>IFERROR(__xludf.DUMMYFUNCTION("IFERROR(GOOGLEFINANCE(A173,""NAME""),)"),"Bal Pharma Ltd")</f>
        <v>Bal Pharma Ltd</v>
      </c>
      <c r="C173" s="51">
        <f>IFERROR(__xludf.DUMMYFUNCTION("IFERROR(GOOGLEFINANCE(A173,""CHANGE""),)"),0.29)</f>
        <v>0.29</v>
      </c>
      <c r="D173" s="51">
        <f>IFERROR(__xludf.DUMMYFUNCTION("IFERROR(GOOGLEFINANCE(A173,""CHANGEPCT""),)"),0.33)</f>
        <v>0.33</v>
      </c>
      <c r="E173" s="51" t="str">
        <f t="shared" si="1"/>
        <v>0.33%</v>
      </c>
      <c r="F173" s="51">
        <f t="shared" si="2"/>
        <v>0.33</v>
      </c>
      <c r="G173" s="51" t="str">
        <f t="shared" si="3"/>
        <v/>
      </c>
      <c r="H173" s="51">
        <f>IFERROR(__xludf.DUMMYFUNCTION("IFERROR(GOOGLEFINANCE(A173,""PRICE""),)"),88.0)</f>
        <v>88</v>
      </c>
      <c r="I173" s="52">
        <f>IFERROR(__xludf.DUMMYFUNCTION("IFERROR(GOOGLEFINANCE(A173,""VOLUME""),)"),8210.0)</f>
        <v>8210</v>
      </c>
      <c r="J173" s="51" t="str">
        <f>IFERROR(__xludf.DUMMYFUNCTION("IFERROR(INDEX(SPLIT(A173,"":""),1,2),)"),"BALPHARMA")</f>
        <v>BALPHARMA</v>
      </c>
      <c r="K173" s="51">
        <f t="shared" si="4"/>
        <v>649</v>
      </c>
      <c r="L173" s="51" t="str">
        <f t="shared" si="5"/>
        <v/>
      </c>
      <c r="M173" s="51">
        <f t="shared" si="6"/>
        <v>1258</v>
      </c>
      <c r="N173" s="53">
        <f>IFERROR(__xludf.DUMMYFUNCTION("IFERROR(GOOGLEFINANCE(A173,""TRADETIME""),)"),46269.64583333333)</f>
        <v>46269.64583</v>
      </c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</row>
    <row r="174" ht="15.75" customHeight="1">
      <c r="A174" s="48" t="s">
        <v>220</v>
      </c>
      <c r="B174" s="48" t="str">
        <f>IFERROR(__xludf.DUMMYFUNCTION("IFERROR(GOOGLEFINANCE(A174,""NAME""),)"),"Balrampur Chini Mills Ltd")</f>
        <v>Balrampur Chini Mills Ltd</v>
      </c>
      <c r="C174" s="48">
        <f>IFERROR(__xludf.DUMMYFUNCTION("IFERROR(GOOGLEFINANCE(A174,""CHANGE""),)"),-12.8)</f>
        <v>-12.8</v>
      </c>
      <c r="D174" s="48">
        <f>IFERROR(__xludf.DUMMYFUNCTION("IFERROR(GOOGLEFINANCE(A174,""CHANGEPCT""),)"),-1.82)</f>
        <v>-1.82</v>
      </c>
      <c r="E174" s="48" t="str">
        <f t="shared" si="1"/>
        <v>-1.82%</v>
      </c>
      <c r="F174" s="48" t="str">
        <f t="shared" si="2"/>
        <v/>
      </c>
      <c r="G174" s="48">
        <f t="shared" si="3"/>
        <v>-1.82</v>
      </c>
      <c r="H174" s="48">
        <f>IFERROR(__xludf.DUMMYFUNCTION("IFERROR(GOOGLEFINANCE(A174,""PRICE""),)"),691.55)</f>
        <v>691.55</v>
      </c>
      <c r="I174" s="49">
        <f>IFERROR(__xludf.DUMMYFUNCTION("IFERROR(GOOGLEFINANCE(A174,""VOLUME""),)"),2232338.0)</f>
        <v>2232338</v>
      </c>
      <c r="J174" s="48" t="str">
        <f>IFERROR(__xludf.DUMMYFUNCTION("IFERROR(INDEX(SPLIT(A174,"":""),1,2),)"),"BALRAMCHIN")</f>
        <v>BALRAMCHIN</v>
      </c>
      <c r="K174" s="48" t="str">
        <f t="shared" si="4"/>
        <v/>
      </c>
      <c r="L174" s="48">
        <f t="shared" si="5"/>
        <v>494</v>
      </c>
      <c r="M174" s="48">
        <f t="shared" si="6"/>
        <v>160</v>
      </c>
      <c r="N174" s="50">
        <f>IFERROR(__xludf.DUMMYFUNCTION("IFERROR(GOOGLEFINANCE(A174,""TRADETIME""),)"),46269.64584490741)</f>
        <v>46269.64584</v>
      </c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</row>
    <row r="175" ht="15.75" customHeight="1">
      <c r="A175" s="51" t="s">
        <v>221</v>
      </c>
      <c r="B175" s="51" t="str">
        <f>IFERROR(__xludf.DUMMYFUNCTION("IFERROR(GOOGLEFINANCE(A175,""NAME""),)"),"Banaras Beads Ltd")</f>
        <v>Banaras Beads Ltd</v>
      </c>
      <c r="C175" s="51">
        <f>IFERROR(__xludf.DUMMYFUNCTION("IFERROR(GOOGLEFINANCE(A175,""CHANGE""),)"),-1.1)</f>
        <v>-1.1</v>
      </c>
      <c r="D175" s="51">
        <f>IFERROR(__xludf.DUMMYFUNCTION("IFERROR(GOOGLEFINANCE(A175,""CHANGEPCT""),)"),-0.96)</f>
        <v>-0.96</v>
      </c>
      <c r="E175" s="51" t="str">
        <f t="shared" si="1"/>
        <v>-0.96%</v>
      </c>
      <c r="F175" s="51" t="str">
        <f t="shared" si="2"/>
        <v/>
      </c>
      <c r="G175" s="51">
        <f t="shared" si="3"/>
        <v>-0.96</v>
      </c>
      <c r="H175" s="51">
        <f>IFERROR(__xludf.DUMMYFUNCTION("IFERROR(GOOGLEFINANCE(A175,""PRICE""),)"),113.75)</f>
        <v>113.75</v>
      </c>
      <c r="I175" s="52">
        <f>IFERROR(__xludf.DUMMYFUNCTION("IFERROR(GOOGLEFINANCE(A175,""VOLUME""),)"),1302.0)</f>
        <v>1302</v>
      </c>
      <c r="J175" s="51" t="str">
        <f>IFERROR(__xludf.DUMMYFUNCTION("IFERROR(INDEX(SPLIT(A175,"":""),1,2),)"),"BANARBEADS")</f>
        <v>BANARBEADS</v>
      </c>
      <c r="K175" s="51" t="str">
        <f t="shared" si="4"/>
        <v/>
      </c>
      <c r="L175" s="51">
        <f t="shared" si="5"/>
        <v>331</v>
      </c>
      <c r="M175" s="51">
        <f t="shared" si="6"/>
        <v>1411</v>
      </c>
      <c r="N175" s="53">
        <f>IFERROR(__xludf.DUMMYFUNCTION("IFERROR(GOOGLEFINANCE(A175,""TRADETIME""),)"),46269.64583333333)</f>
        <v>46269.64583</v>
      </c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</row>
    <row r="176" ht="15.75" customHeight="1">
      <c r="A176" s="48" t="s">
        <v>222</v>
      </c>
      <c r="B176" s="48" t="str">
        <f>IFERROR(__xludf.DUMMYFUNCTION("IFERROR(GOOGLEFINANCE(A176,""NAME""),)"),"Bannari Amman Sugars Ltd")</f>
        <v>Bannari Amman Sugars Ltd</v>
      </c>
      <c r="C176" s="48">
        <f>IFERROR(__xludf.DUMMYFUNCTION("IFERROR(GOOGLEFINANCE(A176,""CHANGE""),)"),-74.7)</f>
        <v>-74.7</v>
      </c>
      <c r="D176" s="48">
        <f>IFERROR(__xludf.DUMMYFUNCTION("IFERROR(GOOGLEFINANCE(A176,""CHANGEPCT""),)"),-1.93)</f>
        <v>-1.93</v>
      </c>
      <c r="E176" s="48" t="str">
        <f t="shared" si="1"/>
        <v>-1.93%</v>
      </c>
      <c r="F176" s="48" t="str">
        <f t="shared" si="2"/>
        <v/>
      </c>
      <c r="G176" s="48">
        <f t="shared" si="3"/>
        <v>-1.93</v>
      </c>
      <c r="H176" s="48">
        <f>IFERROR(__xludf.DUMMYFUNCTION("IFERROR(GOOGLEFINANCE(A176,""PRICE""),)"),3800.0)</f>
        <v>3800</v>
      </c>
      <c r="I176" s="49">
        <f>IFERROR(__xludf.DUMMYFUNCTION("IFERROR(GOOGLEFINANCE(A176,""VOLUME""),)"),857.0)</f>
        <v>857</v>
      </c>
      <c r="J176" s="48" t="str">
        <f>IFERROR(__xludf.DUMMYFUNCTION("IFERROR(INDEX(SPLIT(A176,"":""),1,2),)"),"BANARISUG")</f>
        <v>BANARISUG</v>
      </c>
      <c r="K176" s="48" t="str">
        <f t="shared" si="4"/>
        <v/>
      </c>
      <c r="L176" s="48">
        <f t="shared" si="5"/>
        <v>513</v>
      </c>
      <c r="M176" s="48">
        <f t="shared" si="6"/>
        <v>1429</v>
      </c>
      <c r="N176" s="50">
        <f>IFERROR(__xludf.DUMMYFUNCTION("IFERROR(GOOGLEFINANCE(A176,""TRADETIME""),)"),46269.64583333333)</f>
        <v>46269.64583</v>
      </c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</row>
    <row r="177" ht="15.75" customHeight="1">
      <c r="A177" s="51" t="s">
        <v>223</v>
      </c>
      <c r="B177" s="51" t="str">
        <f>IFERROR(__xludf.DUMMYFUNCTION("IFERROR(GOOGLEFINANCE(A177,""NAME""),)"),"CCL Products (India) Ltd")</f>
        <v>CCL Products (India) Ltd</v>
      </c>
      <c r="C177" s="51">
        <f>IFERROR(__xludf.DUMMYFUNCTION("IFERROR(GOOGLEFINANCE(A177,""CHANGE""),)"),-1.8)</f>
        <v>-1.8</v>
      </c>
      <c r="D177" s="51">
        <f>IFERROR(__xludf.DUMMYFUNCTION("IFERROR(GOOGLEFINANCE(A177,""CHANGEPCT""),)"),-0.16)</f>
        <v>-0.16</v>
      </c>
      <c r="E177" s="51" t="str">
        <f t="shared" si="1"/>
        <v>-0.16%</v>
      </c>
      <c r="F177" s="51" t="str">
        <f t="shared" si="2"/>
        <v/>
      </c>
      <c r="G177" s="51">
        <f t="shared" si="3"/>
        <v>-0.16</v>
      </c>
      <c r="H177" s="51">
        <f>IFERROR(__xludf.DUMMYFUNCTION("IFERROR(GOOGLEFINANCE(A177,""PRICE""),)"),1105.5)</f>
        <v>1105.5</v>
      </c>
      <c r="I177" s="52">
        <f>IFERROR(__xludf.DUMMYFUNCTION("IFERROR(GOOGLEFINANCE(A177,""VOLUME""),)"),193825.0)</f>
        <v>193825</v>
      </c>
      <c r="J177" s="51" t="str">
        <f>IFERROR(__xludf.DUMMYFUNCTION("IFERROR(INDEX(SPLIT(A177,"":""),1,2),)"),"CCL")</f>
        <v>CCL</v>
      </c>
      <c r="K177" s="51" t="str">
        <f t="shared" si="4"/>
        <v/>
      </c>
      <c r="L177" s="51">
        <f t="shared" si="5"/>
        <v>58</v>
      </c>
      <c r="M177" s="51">
        <f t="shared" si="6"/>
        <v>637</v>
      </c>
      <c r="N177" s="53">
        <f>IFERROR(__xludf.DUMMYFUNCTION("IFERROR(GOOGLEFINANCE(A177,""TRADETIME""),)"),46269.64583333333)</f>
        <v>46269.64583</v>
      </c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</row>
    <row r="178" ht="15.75" customHeight="1">
      <c r="A178" s="48" t="s">
        <v>224</v>
      </c>
      <c r="B178" s="48" t="str">
        <f>IFERROR(__xludf.DUMMYFUNCTION("IFERROR(GOOGLEFINANCE(A178,""NAME""),)"),"Bandhan Bank Ltd")</f>
        <v>Bandhan Bank Ltd</v>
      </c>
      <c r="C178" s="48">
        <f>IFERROR(__xludf.DUMMYFUNCTION("IFERROR(GOOGLEFINANCE(A178,""CHANGE""),)"),0.6)</f>
        <v>0.6</v>
      </c>
      <c r="D178" s="48">
        <f>IFERROR(__xludf.DUMMYFUNCTION("IFERROR(GOOGLEFINANCE(A178,""CHANGEPCT""),)"),0.37)</f>
        <v>0.37</v>
      </c>
      <c r="E178" s="48" t="str">
        <f t="shared" si="1"/>
        <v>0.37%</v>
      </c>
      <c r="F178" s="48">
        <f t="shared" si="2"/>
        <v>0.37</v>
      </c>
      <c r="G178" s="48" t="str">
        <f t="shared" si="3"/>
        <v/>
      </c>
      <c r="H178" s="48">
        <f>IFERROR(__xludf.DUMMYFUNCTION("IFERROR(GOOGLEFINANCE(A178,""PRICE""),)"),164.83)</f>
        <v>164.83</v>
      </c>
      <c r="I178" s="49">
        <f>IFERROR(__xludf.DUMMYFUNCTION("IFERROR(GOOGLEFINANCE(A178,""VOLUME""),)"),2928918.0)</f>
        <v>2928918</v>
      </c>
      <c r="J178" s="48" t="str">
        <f>IFERROR(__xludf.DUMMYFUNCTION("IFERROR(INDEX(SPLIT(A178,"":""),1,2),)"),"BANDHANBNK")</f>
        <v>BANDHANBNK</v>
      </c>
      <c r="K178" s="48">
        <f t="shared" si="4"/>
        <v>633</v>
      </c>
      <c r="L178" s="48" t="str">
        <f t="shared" si="5"/>
        <v/>
      </c>
      <c r="M178" s="48">
        <f t="shared" si="6"/>
        <v>128</v>
      </c>
      <c r="N178" s="50">
        <f>IFERROR(__xludf.DUMMYFUNCTION("IFERROR(GOOGLEFINANCE(A178,""TRADETIME""),)"),46269.64583333333)</f>
        <v>46269.64583</v>
      </c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</row>
    <row r="179" ht="15.75" customHeight="1">
      <c r="A179" s="51" t="s">
        <v>225</v>
      </c>
      <c r="B179" s="51" t="str">
        <f>IFERROR(__xludf.DUMMYFUNCTION("IFERROR(GOOGLEFINANCE(A179,""NAME""),)"),"Bang Overseas Ltd")</f>
        <v>Bang Overseas Ltd</v>
      </c>
      <c r="C179" s="51">
        <f>IFERROR(__xludf.DUMMYFUNCTION("IFERROR(GOOGLEFINANCE(A179,""CHANGE""),)"),0.66)</f>
        <v>0.66</v>
      </c>
      <c r="D179" s="51">
        <f>IFERROR(__xludf.DUMMYFUNCTION("IFERROR(GOOGLEFINANCE(A179,""CHANGEPCT""),)"),1.93)</f>
        <v>1.93</v>
      </c>
      <c r="E179" s="51" t="str">
        <f t="shared" si="1"/>
        <v>1.93%</v>
      </c>
      <c r="F179" s="51">
        <f t="shared" si="2"/>
        <v>1.93</v>
      </c>
      <c r="G179" s="51" t="str">
        <f t="shared" si="3"/>
        <v/>
      </c>
      <c r="H179" s="51">
        <f>IFERROR(__xludf.DUMMYFUNCTION("IFERROR(GOOGLEFINANCE(A179,""PRICE""),)"),34.83)</f>
        <v>34.83</v>
      </c>
      <c r="I179" s="52">
        <f>IFERROR(__xludf.DUMMYFUNCTION("IFERROR(GOOGLEFINANCE(A179,""VOLUME""),)"),78335.0)</f>
        <v>78335</v>
      </c>
      <c r="J179" s="51" t="str">
        <f>IFERROR(__xludf.DUMMYFUNCTION("IFERROR(INDEX(SPLIT(A179,"":""),1,2),)"),"BANG")</f>
        <v>BANG</v>
      </c>
      <c r="K179" s="51">
        <f t="shared" si="4"/>
        <v>274</v>
      </c>
      <c r="L179" s="51" t="str">
        <f t="shared" si="5"/>
        <v/>
      </c>
      <c r="M179" s="51">
        <f t="shared" si="6"/>
        <v>828</v>
      </c>
      <c r="N179" s="53">
        <f>IFERROR(__xludf.DUMMYFUNCTION("IFERROR(GOOGLEFINANCE(A179,""TRADETIME""),)"),46269.64583333333)</f>
        <v>46269.64583</v>
      </c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</row>
    <row r="180" ht="15.75" customHeight="1">
      <c r="A180" s="48" t="s">
        <v>226</v>
      </c>
      <c r="B180" s="48" t="str">
        <f>IFERROR(__xludf.DUMMYFUNCTION("IFERROR(GOOGLEFINANCE(A180,""NAME""),)"),"Banka BioLoo Ltd")</f>
        <v>Banka BioLoo Ltd</v>
      </c>
      <c r="C180" s="48">
        <f>IFERROR(__xludf.DUMMYFUNCTION("IFERROR(GOOGLEFINANCE(A180,""CHANGE""),)"),3.73)</f>
        <v>3.73</v>
      </c>
      <c r="D180" s="48">
        <f>IFERROR(__xludf.DUMMYFUNCTION("IFERROR(GOOGLEFINANCE(A180,""CHANGEPCT""),)"),4.96)</f>
        <v>4.96</v>
      </c>
      <c r="E180" s="48" t="str">
        <f t="shared" si="1"/>
        <v>4.96%</v>
      </c>
      <c r="F180" s="48">
        <f t="shared" si="2"/>
        <v>4.96</v>
      </c>
      <c r="G180" s="48" t="str">
        <f t="shared" si="3"/>
        <v/>
      </c>
      <c r="H180" s="48">
        <f>IFERROR(__xludf.DUMMYFUNCTION("IFERROR(GOOGLEFINANCE(A180,""PRICE""),)"),79.0)</f>
        <v>79</v>
      </c>
      <c r="I180" s="49">
        <f>IFERROR(__xludf.DUMMYFUNCTION("IFERROR(GOOGLEFINANCE(A180,""VOLUME""),)"),5253.0)</f>
        <v>5253</v>
      </c>
      <c r="J180" s="48" t="str">
        <f>IFERROR(__xludf.DUMMYFUNCTION("IFERROR(INDEX(SPLIT(A180,"":""),1,2),)"),"BANKA")</f>
        <v>BANKA</v>
      </c>
      <c r="K180" s="48">
        <f t="shared" si="4"/>
        <v>75</v>
      </c>
      <c r="L180" s="48" t="str">
        <f t="shared" si="5"/>
        <v/>
      </c>
      <c r="M180" s="48">
        <f t="shared" si="6"/>
        <v>1323</v>
      </c>
      <c r="N180" s="50">
        <f>IFERROR(__xludf.DUMMYFUNCTION("IFERROR(GOOGLEFINANCE(A180,""TRADETIME""),)"),46269.64583333333)</f>
        <v>46269.64583</v>
      </c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</row>
    <row r="181" ht="15.75" customHeight="1">
      <c r="A181" s="51" t="s">
        <v>227</v>
      </c>
      <c r="B181" s="51" t="str">
        <f>IFERROR(__xludf.DUMMYFUNCTION("IFERROR(GOOGLEFINANCE(A181,""NAME""),)"),"Bank of Baroda Ltd")</f>
        <v>Bank of Baroda Ltd</v>
      </c>
      <c r="C181" s="51">
        <f>IFERROR(__xludf.DUMMYFUNCTION("IFERROR(GOOGLEFINANCE(A181,""CHANGE""),)"),-0.96)</f>
        <v>-0.96</v>
      </c>
      <c r="D181" s="51">
        <f>IFERROR(__xludf.DUMMYFUNCTION("IFERROR(GOOGLEFINANCE(A181,""CHANGEPCT""),)"),-0.4)</f>
        <v>-0.4</v>
      </c>
      <c r="E181" s="51" t="str">
        <f t="shared" si="1"/>
        <v>-0.4%</v>
      </c>
      <c r="F181" s="51" t="str">
        <f t="shared" si="2"/>
        <v/>
      </c>
      <c r="G181" s="51">
        <f t="shared" si="3"/>
        <v>-0.4</v>
      </c>
      <c r="H181" s="51">
        <f>IFERROR(__xludf.DUMMYFUNCTION("IFERROR(GOOGLEFINANCE(A181,""PRICE""),)"),239.48)</f>
        <v>239.48</v>
      </c>
      <c r="I181" s="52">
        <f>IFERROR(__xludf.DUMMYFUNCTION("IFERROR(GOOGLEFINANCE(A181,""VOLUME""),)"),7816984.0)</f>
        <v>7816984</v>
      </c>
      <c r="J181" s="51" t="str">
        <f>IFERROR(__xludf.DUMMYFUNCTION("IFERROR(INDEX(SPLIT(A181,"":""),1,2),)"),"BANKBARODA")</f>
        <v>BANKBARODA</v>
      </c>
      <c r="K181" s="51" t="str">
        <f t="shared" si="4"/>
        <v/>
      </c>
      <c r="L181" s="51">
        <f t="shared" si="5"/>
        <v>154</v>
      </c>
      <c r="M181" s="51">
        <f t="shared" si="6"/>
        <v>59</v>
      </c>
      <c r="N181" s="53">
        <f>IFERROR(__xludf.DUMMYFUNCTION("IFERROR(GOOGLEFINANCE(A181,""TRADETIME""),)"),46269.64583333333)</f>
        <v>46269.64583</v>
      </c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</row>
    <row r="182" ht="15.75" customHeight="1">
      <c r="A182" s="48" t="s">
        <v>228</v>
      </c>
      <c r="B182" s="48" t="str">
        <f>IFERROR(__xludf.DUMMYFUNCTION("IFERROR(GOOGLEFINANCE(A182,""NAME""),)"),"Bank of India Ltd")</f>
        <v>Bank of India Ltd</v>
      </c>
      <c r="C182" s="48">
        <f>IFERROR(__xludf.DUMMYFUNCTION("IFERROR(GOOGLEFINANCE(A182,""CHANGE""),)"),0.04)</f>
        <v>0.04</v>
      </c>
      <c r="D182" s="48">
        <f>IFERROR(__xludf.DUMMYFUNCTION("IFERROR(GOOGLEFINANCE(A182,""CHANGEPCT""),)"),0.03)</f>
        <v>0.03</v>
      </c>
      <c r="E182" s="48" t="str">
        <f t="shared" si="1"/>
        <v>0.03%</v>
      </c>
      <c r="F182" s="48">
        <f t="shared" si="2"/>
        <v>0.03</v>
      </c>
      <c r="G182" s="48" t="str">
        <f t="shared" si="3"/>
        <v/>
      </c>
      <c r="H182" s="48">
        <f>IFERROR(__xludf.DUMMYFUNCTION("IFERROR(GOOGLEFINANCE(A182,""PRICE""),)"),145.04)</f>
        <v>145.04</v>
      </c>
      <c r="I182" s="49">
        <f>IFERROR(__xludf.DUMMYFUNCTION("IFERROR(GOOGLEFINANCE(A182,""VOLUME""),)"),2902558.0)</f>
        <v>2902558</v>
      </c>
      <c r="J182" s="48" t="str">
        <f>IFERROR(__xludf.DUMMYFUNCTION("IFERROR(INDEX(SPLIT(A182,"":""),1,2),)"),"BANKINDIA")</f>
        <v>BANKINDIA</v>
      </c>
      <c r="K182" s="48">
        <f t="shared" si="4"/>
        <v>763</v>
      </c>
      <c r="L182" s="48" t="str">
        <f t="shared" si="5"/>
        <v/>
      </c>
      <c r="M182" s="48">
        <f t="shared" si="6"/>
        <v>130</v>
      </c>
      <c r="N182" s="50">
        <f>IFERROR(__xludf.DUMMYFUNCTION("IFERROR(GOOGLEFINANCE(A182,""TRADETIME""),)"),46269.64583333333)</f>
        <v>46269.64583</v>
      </c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</row>
    <row r="183" ht="15.75" customHeight="1">
      <c r="A183" s="51" t="s">
        <v>229</v>
      </c>
      <c r="B183" s="51" t="str">
        <f>IFERROR(__xludf.DUMMYFUNCTION("IFERROR(GOOGLEFINANCE(A183,""NAME""),)"),"Banswara Syntex Ltd")</f>
        <v>Banswara Syntex Ltd</v>
      </c>
      <c r="C183" s="51">
        <f>IFERROR(__xludf.DUMMYFUNCTION("IFERROR(GOOGLEFINANCE(A183,""CHANGE""),)"),-0.78)</f>
        <v>-0.78</v>
      </c>
      <c r="D183" s="51">
        <f>IFERROR(__xludf.DUMMYFUNCTION("IFERROR(GOOGLEFINANCE(A183,""CHANGEPCT""),)"),-0.66)</f>
        <v>-0.66</v>
      </c>
      <c r="E183" s="51" t="str">
        <f t="shared" si="1"/>
        <v>-0.66%</v>
      </c>
      <c r="F183" s="51" t="str">
        <f t="shared" si="2"/>
        <v/>
      </c>
      <c r="G183" s="51">
        <f t="shared" si="3"/>
        <v>-0.66</v>
      </c>
      <c r="H183" s="51">
        <f>IFERROR(__xludf.DUMMYFUNCTION("IFERROR(GOOGLEFINANCE(A183,""PRICE""),)"),117.0)</f>
        <v>117</v>
      </c>
      <c r="I183" s="52">
        <f>IFERROR(__xludf.DUMMYFUNCTION("IFERROR(GOOGLEFINANCE(A183,""VOLUME""),)"),31201.0)</f>
        <v>31201</v>
      </c>
      <c r="J183" s="51" t="str">
        <f>IFERROR(__xludf.DUMMYFUNCTION("IFERROR(INDEX(SPLIT(A183,"":""),1,2),)"),"BANSWRAS")</f>
        <v>BANSWRAS</v>
      </c>
      <c r="K183" s="51" t="str">
        <f t="shared" si="4"/>
        <v/>
      </c>
      <c r="L183" s="51">
        <f t="shared" si="5"/>
        <v>245</v>
      </c>
      <c r="M183" s="51">
        <f t="shared" si="6"/>
        <v>1048</v>
      </c>
      <c r="N183" s="53">
        <f>IFERROR(__xludf.DUMMYFUNCTION("IFERROR(GOOGLEFINANCE(A183,""TRADETIME""),)"),46269.64583333333)</f>
        <v>46269.64583</v>
      </c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</row>
    <row r="184" ht="15.75" customHeight="1">
      <c r="A184" s="48" t="s">
        <v>230</v>
      </c>
      <c r="B184" s="48" t="str">
        <f>IFERROR(__xludf.DUMMYFUNCTION("IFERROR(GOOGLEFINANCE(A184,""NAME""),)"),"AVIO Smart Market Stack Ltd")</f>
        <v>AVIO Smart Market Stack Ltd</v>
      </c>
      <c r="C184" s="48">
        <f>IFERROR(__xludf.DUMMYFUNCTION("IFERROR(GOOGLEFINANCE(A184,""CHANGE""),)"),0.01)</f>
        <v>0.01</v>
      </c>
      <c r="D184" s="48">
        <f>IFERROR(__xludf.DUMMYFUNCTION("IFERROR(GOOGLEFINANCE(A184,""CHANGEPCT""),)"),0.14)</f>
        <v>0.14</v>
      </c>
      <c r="E184" s="48" t="str">
        <f t="shared" si="1"/>
        <v>0.14%</v>
      </c>
      <c r="F184" s="48">
        <f t="shared" si="2"/>
        <v>0.14</v>
      </c>
      <c r="G184" s="48" t="str">
        <f t="shared" si="3"/>
        <v/>
      </c>
      <c r="H184" s="48">
        <f>IFERROR(__xludf.DUMMYFUNCTION("IFERROR(GOOGLEFINANCE(A184,""PRICE""),)"),7.12)</f>
        <v>7.12</v>
      </c>
      <c r="I184" s="49">
        <f>IFERROR(__xludf.DUMMYFUNCTION("IFERROR(GOOGLEFINANCE(A184,""VOLUME""),)"),65281.0)</f>
        <v>65281</v>
      </c>
      <c r="J184" s="48" t="str">
        <f>IFERROR(__xludf.DUMMYFUNCTION("IFERROR(INDEX(SPLIT(A184,"":""),1,2),)"),"ASMS")</f>
        <v>ASMS</v>
      </c>
      <c r="K184" s="48">
        <f t="shared" si="4"/>
        <v>725</v>
      </c>
      <c r="L184" s="48" t="str">
        <f t="shared" si="5"/>
        <v/>
      </c>
      <c r="M184" s="48">
        <f t="shared" si="6"/>
        <v>879</v>
      </c>
      <c r="N184" s="50">
        <f>IFERROR(__xludf.DUMMYFUNCTION("IFERROR(GOOGLEFINANCE(A184,""TRADETIME""),)"),46269.64583333333)</f>
        <v>46269.64583</v>
      </c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</row>
    <row r="185" ht="15.75" customHeight="1">
      <c r="A185" s="51" t="s">
        <v>231</v>
      </c>
      <c r="B185" s="51" t="str">
        <f>IFERROR(__xludf.DUMMYFUNCTION("IFERROR(GOOGLEFINANCE(A185,""NAME""),)"),"BASF India Ltd")</f>
        <v>BASF India Ltd</v>
      </c>
      <c r="C185" s="51">
        <f>IFERROR(__xludf.DUMMYFUNCTION("IFERROR(GOOGLEFINANCE(A185,""CHANGE""),)"),42.6)</f>
        <v>42.6</v>
      </c>
      <c r="D185" s="51">
        <f>IFERROR(__xludf.DUMMYFUNCTION("IFERROR(GOOGLEFINANCE(A185,""CHANGEPCT""),)"),1.11)</f>
        <v>1.11</v>
      </c>
      <c r="E185" s="51" t="str">
        <f t="shared" si="1"/>
        <v>1.11%</v>
      </c>
      <c r="F185" s="51">
        <f t="shared" si="2"/>
        <v>1.11</v>
      </c>
      <c r="G185" s="51" t="str">
        <f t="shared" si="3"/>
        <v/>
      </c>
      <c r="H185" s="51">
        <f>IFERROR(__xludf.DUMMYFUNCTION("IFERROR(GOOGLEFINANCE(A185,""PRICE""),)"),3875.0)</f>
        <v>3875</v>
      </c>
      <c r="I185" s="52">
        <f>IFERROR(__xludf.DUMMYFUNCTION("IFERROR(GOOGLEFINANCE(A185,""VOLUME""),)"),30319.0)</f>
        <v>30319</v>
      </c>
      <c r="J185" s="51" t="str">
        <f>IFERROR(__xludf.DUMMYFUNCTION("IFERROR(INDEX(SPLIT(A185,"":""),1,2),)"),"BASF")</f>
        <v>BASF</v>
      </c>
      <c r="K185" s="51">
        <f t="shared" si="4"/>
        <v>432</v>
      </c>
      <c r="L185" s="51" t="str">
        <f t="shared" si="5"/>
        <v/>
      </c>
      <c r="M185" s="51">
        <f t="shared" si="6"/>
        <v>1054</v>
      </c>
      <c r="N185" s="53">
        <f>IFERROR(__xludf.DUMMYFUNCTION("IFERROR(GOOGLEFINANCE(A185,""TRADETIME""),)"),46269.64584490741)</f>
        <v>46269.64584</v>
      </c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</row>
    <row r="186" ht="15.75" customHeight="1">
      <c r="A186" s="48" t="s">
        <v>232</v>
      </c>
      <c r="B186" s="48" t="str">
        <f>IFERROR(__xludf.DUMMYFUNCTION("IFERROR(GOOGLEFINANCE(A186,""NAME""),)"),"Bannari Amman Spinning Mills Ltd")</f>
        <v>Bannari Amman Spinning Mills Ltd</v>
      </c>
      <c r="C186" s="48">
        <f>IFERROR(__xludf.DUMMYFUNCTION("IFERROR(GOOGLEFINANCE(A186,""CHANGE""),)"),0.38)</f>
        <v>0.38</v>
      </c>
      <c r="D186" s="48">
        <f>IFERROR(__xludf.DUMMYFUNCTION("IFERROR(GOOGLEFINANCE(A186,""CHANGEPCT""),)"),1.52)</f>
        <v>1.52</v>
      </c>
      <c r="E186" s="48" t="str">
        <f t="shared" si="1"/>
        <v>1.52%</v>
      </c>
      <c r="F186" s="48">
        <f t="shared" si="2"/>
        <v>1.52</v>
      </c>
      <c r="G186" s="48" t="str">
        <f t="shared" si="3"/>
        <v/>
      </c>
      <c r="H186" s="48">
        <f>IFERROR(__xludf.DUMMYFUNCTION("IFERROR(GOOGLEFINANCE(A186,""PRICE""),)"),25.4)</f>
        <v>25.4</v>
      </c>
      <c r="I186" s="49">
        <f>IFERROR(__xludf.DUMMYFUNCTION("IFERROR(GOOGLEFINANCE(A186,""VOLUME""),)"),39871.0)</f>
        <v>39871</v>
      </c>
      <c r="J186" s="48" t="str">
        <f>IFERROR(__xludf.DUMMYFUNCTION("IFERROR(INDEX(SPLIT(A186,"":""),1,2),)"),"BASML")</f>
        <v>BASML</v>
      </c>
      <c r="K186" s="48">
        <f t="shared" si="4"/>
        <v>341</v>
      </c>
      <c r="L186" s="48" t="str">
        <f t="shared" si="5"/>
        <v/>
      </c>
      <c r="M186" s="48">
        <f t="shared" si="6"/>
        <v>1007</v>
      </c>
      <c r="N186" s="50">
        <f>IFERROR(__xludf.DUMMYFUNCTION("IFERROR(GOOGLEFINANCE(A186,""TRADETIME""),)"),46269.64583333333)</f>
        <v>46269.64583</v>
      </c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</row>
    <row r="187" ht="15.75" customHeight="1">
      <c r="A187" s="51" t="s">
        <v>233</v>
      </c>
      <c r="B187" s="51" t="str">
        <f>IFERROR(__xludf.DUMMYFUNCTION("IFERROR(GOOGLEFINANCE(A187,""NAME""),)"),"Bata India Ltd")</f>
        <v>Bata India Ltd</v>
      </c>
      <c r="C187" s="51">
        <f>IFERROR(__xludf.DUMMYFUNCTION("IFERROR(GOOGLEFINANCE(A187,""CHANGE""),)"),-4.4)</f>
        <v>-4.4</v>
      </c>
      <c r="D187" s="51">
        <f>IFERROR(__xludf.DUMMYFUNCTION("IFERROR(GOOGLEFINANCE(A187,""CHANGEPCT""),)"),-0.65)</f>
        <v>-0.65</v>
      </c>
      <c r="E187" s="51" t="str">
        <f t="shared" si="1"/>
        <v>-0.65%</v>
      </c>
      <c r="F187" s="51" t="str">
        <f t="shared" si="2"/>
        <v/>
      </c>
      <c r="G187" s="51">
        <f t="shared" si="3"/>
        <v>-0.65</v>
      </c>
      <c r="H187" s="51">
        <f>IFERROR(__xludf.DUMMYFUNCTION("IFERROR(GOOGLEFINANCE(A187,""PRICE""),)"),673.0)</f>
        <v>673</v>
      </c>
      <c r="I187" s="52">
        <f>IFERROR(__xludf.DUMMYFUNCTION("IFERROR(GOOGLEFINANCE(A187,""VOLUME""),)"),89939.0)</f>
        <v>89939</v>
      </c>
      <c r="J187" s="51" t="str">
        <f>IFERROR(__xludf.DUMMYFUNCTION("IFERROR(INDEX(SPLIT(A187,"":""),1,2),)"),"BATAINDIA")</f>
        <v>BATAINDIA</v>
      </c>
      <c r="K187" s="51" t="str">
        <f t="shared" si="4"/>
        <v/>
      </c>
      <c r="L187" s="51">
        <f t="shared" si="5"/>
        <v>242</v>
      </c>
      <c r="M187" s="51">
        <f t="shared" si="6"/>
        <v>799</v>
      </c>
      <c r="N187" s="53">
        <f>IFERROR(__xludf.DUMMYFUNCTION("IFERROR(GOOGLEFINANCE(A187,""TRADETIME""),)"),46269.64584490741)</f>
        <v>46269.64584</v>
      </c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</row>
    <row r="188" ht="15.75" customHeight="1">
      <c r="A188" s="48" t="s">
        <v>234</v>
      </c>
      <c r="B188" s="48" t="str">
        <f>IFERROR(__xludf.DUMMYFUNCTION("IFERROR(GOOGLEFINANCE(A188,""NAME""),)"),"Bayer CropScience Ltd")</f>
        <v>Bayer CropScience Ltd</v>
      </c>
      <c r="C188" s="48">
        <f>IFERROR(__xludf.DUMMYFUNCTION("IFERROR(GOOGLEFINANCE(A188,""CHANGE""),)"),34.2)</f>
        <v>34.2</v>
      </c>
      <c r="D188" s="48">
        <f>IFERROR(__xludf.DUMMYFUNCTION("IFERROR(GOOGLEFINANCE(A188,""CHANGEPCT""),)"),0.86)</f>
        <v>0.86</v>
      </c>
      <c r="E188" s="48" t="str">
        <f t="shared" si="1"/>
        <v>0.86%</v>
      </c>
      <c r="F188" s="48">
        <f t="shared" si="2"/>
        <v>0.86</v>
      </c>
      <c r="G188" s="48" t="str">
        <f t="shared" si="3"/>
        <v/>
      </c>
      <c r="H188" s="48">
        <f>IFERROR(__xludf.DUMMYFUNCTION("IFERROR(GOOGLEFINANCE(A188,""PRICE""),)"),3995.0)</f>
        <v>3995</v>
      </c>
      <c r="I188" s="49">
        <f>IFERROR(__xludf.DUMMYFUNCTION("IFERROR(GOOGLEFINANCE(A188,""VOLUME""),)"),9989.0)</f>
        <v>9989</v>
      </c>
      <c r="J188" s="48" t="str">
        <f>IFERROR(__xludf.DUMMYFUNCTION("IFERROR(INDEX(SPLIT(A188,"":""),1,2),)"),"BAYERCROP")</f>
        <v>BAYERCROP</v>
      </c>
      <c r="K188" s="48">
        <f t="shared" si="4"/>
        <v>478</v>
      </c>
      <c r="L188" s="48" t="str">
        <f t="shared" si="5"/>
        <v/>
      </c>
      <c r="M188" s="48">
        <f t="shared" si="6"/>
        <v>1235</v>
      </c>
      <c r="N188" s="50">
        <f>IFERROR(__xludf.DUMMYFUNCTION("IFERROR(GOOGLEFINANCE(A188,""TRADETIME""),)"),46269.64583333333)</f>
        <v>46269.64583</v>
      </c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</row>
    <row r="189" ht="15.75" customHeight="1">
      <c r="A189" s="51" t="s">
        <v>235</v>
      </c>
      <c r="B189" s="51" t="str">
        <f>IFERROR(__xludf.DUMMYFUNCTION("IFERROR(GOOGLEFINANCE(A189,""NAME""),)"),"Bharat Bijlee Ltd")</f>
        <v>Bharat Bijlee Ltd</v>
      </c>
      <c r="C189" s="51">
        <f>IFERROR(__xludf.DUMMYFUNCTION("IFERROR(GOOGLEFINANCE(A189,""CHANGE""),)"),-18.3)</f>
        <v>-18.3</v>
      </c>
      <c r="D189" s="51">
        <f>IFERROR(__xludf.DUMMYFUNCTION("IFERROR(GOOGLEFINANCE(A189,""CHANGEPCT""),)"),-0.8)</f>
        <v>-0.8</v>
      </c>
      <c r="E189" s="51" t="str">
        <f t="shared" si="1"/>
        <v>-0.8%</v>
      </c>
      <c r="F189" s="51" t="str">
        <f t="shared" si="2"/>
        <v/>
      </c>
      <c r="G189" s="51">
        <f t="shared" si="3"/>
        <v>-0.8</v>
      </c>
      <c r="H189" s="51">
        <f>IFERROR(__xludf.DUMMYFUNCTION("IFERROR(GOOGLEFINANCE(A189,""PRICE""),)"),2280.0)</f>
        <v>2280</v>
      </c>
      <c r="I189" s="52">
        <f>IFERROR(__xludf.DUMMYFUNCTION("IFERROR(GOOGLEFINANCE(A189,""VOLUME""),)"),26842.0)</f>
        <v>26842</v>
      </c>
      <c r="J189" s="51" t="str">
        <f>IFERROR(__xludf.DUMMYFUNCTION("IFERROR(INDEX(SPLIT(A189,"":""),1,2),)"),"BBL")</f>
        <v>BBL</v>
      </c>
      <c r="K189" s="51" t="str">
        <f t="shared" si="4"/>
        <v/>
      </c>
      <c r="L189" s="51">
        <f t="shared" si="5"/>
        <v>298</v>
      </c>
      <c r="M189" s="51">
        <f t="shared" si="6"/>
        <v>1073</v>
      </c>
      <c r="N189" s="53">
        <f>IFERROR(__xludf.DUMMYFUNCTION("IFERROR(GOOGLEFINANCE(A189,""TRADETIME""),)"),46269.64583333333)</f>
        <v>46269.64583</v>
      </c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</row>
    <row r="190" ht="15.75" customHeight="1">
      <c r="A190" s="48" t="s">
        <v>236</v>
      </c>
      <c r="B190" s="48" t="str">
        <f>IFERROR(__xludf.DUMMYFUNCTION("IFERROR(GOOGLEFINANCE(A190,""NAME""),)"),"Bombay Burmah Trading Corporation, Ltd")</f>
        <v>Bombay Burmah Trading Corporation, Ltd</v>
      </c>
      <c r="C190" s="48">
        <f>IFERROR(__xludf.DUMMYFUNCTION("IFERROR(GOOGLEFINANCE(A190,""CHANGE""),)"),-6.5)</f>
        <v>-6.5</v>
      </c>
      <c r="D190" s="48">
        <f>IFERROR(__xludf.DUMMYFUNCTION("IFERROR(GOOGLEFINANCE(A190,""CHANGEPCT""),)"),-0.43)</f>
        <v>-0.43</v>
      </c>
      <c r="E190" s="48" t="str">
        <f t="shared" si="1"/>
        <v>-0.43%</v>
      </c>
      <c r="F190" s="48" t="str">
        <f t="shared" si="2"/>
        <v/>
      </c>
      <c r="G190" s="48">
        <f t="shared" si="3"/>
        <v>-0.43</v>
      </c>
      <c r="H190" s="48">
        <f>IFERROR(__xludf.DUMMYFUNCTION("IFERROR(GOOGLEFINANCE(A190,""PRICE""),)"),1495.1)</f>
        <v>1495.1</v>
      </c>
      <c r="I190" s="49">
        <f>IFERROR(__xludf.DUMMYFUNCTION("IFERROR(GOOGLEFINANCE(A190,""VOLUME""),)"),43404.0)</f>
        <v>43404</v>
      </c>
      <c r="J190" s="48" t="str">
        <f>IFERROR(__xludf.DUMMYFUNCTION("IFERROR(INDEX(SPLIT(A190,"":""),1,2),)"),"BBTC")</f>
        <v>BBTC</v>
      </c>
      <c r="K190" s="48" t="str">
        <f t="shared" si="4"/>
        <v/>
      </c>
      <c r="L190" s="48">
        <f t="shared" si="5"/>
        <v>163</v>
      </c>
      <c r="M190" s="48">
        <f t="shared" si="6"/>
        <v>982</v>
      </c>
      <c r="N190" s="50">
        <f>IFERROR(__xludf.DUMMYFUNCTION("IFERROR(GOOGLEFINANCE(A190,""TRADETIME""),)"),46269.64584490741)</f>
        <v>46269.64584</v>
      </c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</row>
    <row r="191" ht="15.75" customHeight="1">
      <c r="A191" s="51" t="s">
        <v>237</v>
      </c>
      <c r="B191" s="51" t="str">
        <f>IFERROR(__xludf.DUMMYFUNCTION("IFERROR(GOOGLEFINANCE(A191,""NAME""),)"),"Brightcom Group Ltd")</f>
        <v>Brightcom Group Ltd</v>
      </c>
      <c r="C191" s="51">
        <f>IFERROR(__xludf.DUMMYFUNCTION("IFERROR(GOOGLEFINANCE(A191,""CHANGE""),)"),0.02)</f>
        <v>0.02</v>
      </c>
      <c r="D191" s="51">
        <f>IFERROR(__xludf.DUMMYFUNCTION("IFERROR(GOOGLEFINANCE(A191,""CHANGEPCT""),)"),0.22)</f>
        <v>0.22</v>
      </c>
      <c r="E191" s="51" t="str">
        <f t="shared" si="1"/>
        <v>0.22%</v>
      </c>
      <c r="F191" s="51">
        <f t="shared" si="2"/>
        <v>0.22</v>
      </c>
      <c r="G191" s="51" t="str">
        <f t="shared" si="3"/>
        <v/>
      </c>
      <c r="H191" s="51">
        <f>IFERROR(__xludf.DUMMYFUNCTION("IFERROR(GOOGLEFINANCE(A191,""PRICE""),)"),9.02)</f>
        <v>9.02</v>
      </c>
      <c r="I191" s="52">
        <f>IFERROR(__xludf.DUMMYFUNCTION("IFERROR(GOOGLEFINANCE(A191,""VOLUME""),)"),2648978.0)</f>
        <v>2648978</v>
      </c>
      <c r="J191" s="51" t="str">
        <f>IFERROR(__xludf.DUMMYFUNCTION("IFERROR(INDEX(SPLIT(A191,"":""),1,2),)"),"BCG")</f>
        <v>BCG</v>
      </c>
      <c r="K191" s="51">
        <f t="shared" si="4"/>
        <v>684</v>
      </c>
      <c r="L191" s="51" t="str">
        <f t="shared" si="5"/>
        <v/>
      </c>
      <c r="M191" s="51">
        <f t="shared" si="6"/>
        <v>135</v>
      </c>
      <c r="N191" s="53">
        <f>IFERROR(__xludf.DUMMYFUNCTION("IFERROR(GOOGLEFINANCE(A191,""TRADETIME""),)"),46269.64584490741)</f>
        <v>46269.64584</v>
      </c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</row>
    <row r="192" ht="15.75" customHeight="1">
      <c r="A192" s="48" t="s">
        <v>238</v>
      </c>
      <c r="B192" s="48" t="str">
        <f>IFERROR(__xludf.DUMMYFUNCTION("IFERROR(GOOGLEFINANCE(A192,""NAME""),)"),"")</f>
        <v/>
      </c>
      <c r="C192" s="48" t="str">
        <f>IFERROR(__xludf.DUMMYFUNCTION("IFERROR(GOOGLEFINANCE(A192,""CHANGE""),)"),"")</f>
        <v/>
      </c>
      <c r="D192" s="48" t="str">
        <f>IFERROR(__xludf.DUMMYFUNCTION("IFERROR(GOOGLEFINANCE(A192,""CHANGEPCT""),)"),"")</f>
        <v/>
      </c>
      <c r="E192" s="48" t="str">
        <f t="shared" si="1"/>
        <v>%</v>
      </c>
      <c r="F192" s="48" t="str">
        <f t="shared" si="2"/>
        <v/>
      </c>
      <c r="G192" s="48" t="str">
        <f t="shared" si="3"/>
        <v/>
      </c>
      <c r="H192" s="48" t="str">
        <f>IFERROR(__xludf.DUMMYFUNCTION("IFERROR(GOOGLEFINANCE(A192,""PRICE""),)"),"")</f>
        <v/>
      </c>
      <c r="I192" s="49" t="str">
        <f>IFERROR(__xludf.DUMMYFUNCTION("IFERROR(GOOGLEFINANCE(A192,""VOLUME""),)"),"")</f>
        <v/>
      </c>
      <c r="J192" s="48" t="str">
        <f>IFERROR(__xludf.DUMMYFUNCTION("IFERROR(INDEX(SPLIT(A192,"":""),1,2),)"),"BCP")</f>
        <v>BCP</v>
      </c>
      <c r="K192" s="48" t="str">
        <f t="shared" si="4"/>
        <v/>
      </c>
      <c r="L192" s="48" t="str">
        <f t="shared" si="5"/>
        <v/>
      </c>
      <c r="M192" s="48">
        <f t="shared" si="6"/>
        <v>1456</v>
      </c>
      <c r="N192" s="50" t="str">
        <f>IFERROR(__xludf.DUMMYFUNCTION("IFERROR(GOOGLEFINANCE(A192,""TRADETIME""),)"),"")</f>
        <v/>
      </c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</row>
    <row r="193" ht="15.75" customHeight="1">
      <c r="A193" s="51" t="s">
        <v>239</v>
      </c>
      <c r="B193" s="51" t="str">
        <f>IFERROR(__xludf.DUMMYFUNCTION("IFERROR(GOOGLEFINANCE(A193,""NAME""),)"),"Bharat Dynamics Ltd")</f>
        <v>Bharat Dynamics Ltd</v>
      </c>
      <c r="C193" s="51">
        <f>IFERROR(__xludf.DUMMYFUNCTION("IFERROR(GOOGLEFINANCE(A193,""CHANGE""),)"),1.3)</f>
        <v>1.3</v>
      </c>
      <c r="D193" s="51">
        <f>IFERROR(__xludf.DUMMYFUNCTION("IFERROR(GOOGLEFINANCE(A193,""CHANGEPCT""),)"),0.1)</f>
        <v>0.1</v>
      </c>
      <c r="E193" s="51" t="str">
        <f t="shared" si="1"/>
        <v>0.1%</v>
      </c>
      <c r="F193" s="51">
        <f t="shared" si="2"/>
        <v>0.1</v>
      </c>
      <c r="G193" s="51" t="str">
        <f t="shared" si="3"/>
        <v/>
      </c>
      <c r="H193" s="51">
        <f>IFERROR(__xludf.DUMMYFUNCTION("IFERROR(GOOGLEFINANCE(A193,""PRICE""),)"),1259.0)</f>
        <v>1259</v>
      </c>
      <c r="I193" s="52">
        <f>IFERROR(__xludf.DUMMYFUNCTION("IFERROR(GOOGLEFINANCE(A193,""VOLUME""),)"),1391949.0)</f>
        <v>1391949</v>
      </c>
      <c r="J193" s="51" t="str">
        <f>IFERROR(__xludf.DUMMYFUNCTION("IFERROR(INDEX(SPLIT(A193,"":""),1,2),)"),"BDL")</f>
        <v>BDL</v>
      </c>
      <c r="K193" s="51">
        <f t="shared" si="4"/>
        <v>740</v>
      </c>
      <c r="L193" s="51" t="str">
        <f t="shared" si="5"/>
        <v/>
      </c>
      <c r="M193" s="51">
        <f t="shared" si="6"/>
        <v>218</v>
      </c>
      <c r="N193" s="53">
        <f>IFERROR(__xludf.DUMMYFUNCTION("IFERROR(GOOGLEFINANCE(A193,""TRADETIME""),)"),46269.64583333333)</f>
        <v>46269.64583</v>
      </c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</row>
    <row r="194" ht="15.75" customHeight="1">
      <c r="A194" s="48" t="s">
        <v>240</v>
      </c>
      <c r="B194" s="48" t="str">
        <f>IFERROR(__xludf.DUMMYFUNCTION("IFERROR(GOOGLEFINANCE(A194,""NAME""),)"),"Beardsell Ltd")</f>
        <v>Beardsell Ltd</v>
      </c>
      <c r="C194" s="48">
        <f>IFERROR(__xludf.DUMMYFUNCTION("IFERROR(GOOGLEFINANCE(A194,""CHANGE""),)"),0.38)</f>
        <v>0.38</v>
      </c>
      <c r="D194" s="48">
        <f>IFERROR(__xludf.DUMMYFUNCTION("IFERROR(GOOGLEFINANCE(A194,""CHANGEPCT""),)"),1.5)</f>
        <v>1.5</v>
      </c>
      <c r="E194" s="48" t="str">
        <f t="shared" si="1"/>
        <v>1.5%</v>
      </c>
      <c r="F194" s="48">
        <f t="shared" si="2"/>
        <v>1.5</v>
      </c>
      <c r="G194" s="48" t="str">
        <f t="shared" si="3"/>
        <v/>
      </c>
      <c r="H194" s="48">
        <f>IFERROR(__xludf.DUMMYFUNCTION("IFERROR(GOOGLEFINANCE(A194,""PRICE""),)"),25.79)</f>
        <v>25.79</v>
      </c>
      <c r="I194" s="49">
        <f>IFERROR(__xludf.DUMMYFUNCTION("IFERROR(GOOGLEFINANCE(A194,""VOLUME""),)"),7642.0)</f>
        <v>7642</v>
      </c>
      <c r="J194" s="48" t="str">
        <f>IFERROR(__xludf.DUMMYFUNCTION("IFERROR(INDEX(SPLIT(A194,"":""),1,2),)"),"BEARDSELL")</f>
        <v>BEARDSELL</v>
      </c>
      <c r="K194" s="48">
        <f t="shared" si="4"/>
        <v>345</v>
      </c>
      <c r="L194" s="48" t="str">
        <f t="shared" si="5"/>
        <v/>
      </c>
      <c r="M194" s="48">
        <f t="shared" si="6"/>
        <v>1267</v>
      </c>
      <c r="N194" s="50">
        <f>IFERROR(__xludf.DUMMYFUNCTION("IFERROR(GOOGLEFINANCE(A194,""TRADETIME""),)"),46269.64583333333)</f>
        <v>46269.64583</v>
      </c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</row>
    <row r="195" ht="15.75" customHeight="1">
      <c r="A195" s="51" t="s">
        <v>241</v>
      </c>
      <c r="B195" s="51" t="str">
        <f>IFERROR(__xludf.DUMMYFUNCTION("IFERROR(GOOGLEFINANCE(A195,""NAME""),)"),"Mrs. Bectors Food Specialities Ltd")</f>
        <v>Mrs. Bectors Food Specialities Ltd</v>
      </c>
      <c r="C195" s="51">
        <f>IFERROR(__xludf.DUMMYFUNCTION("IFERROR(GOOGLEFINANCE(A195,""CHANGE""),)"),-2.91)</f>
        <v>-2.91</v>
      </c>
      <c r="D195" s="51">
        <f>IFERROR(__xludf.DUMMYFUNCTION("IFERROR(GOOGLEFINANCE(A195,""CHANGEPCT""),)"),-1.27)</f>
        <v>-1.27</v>
      </c>
      <c r="E195" s="51" t="str">
        <f t="shared" si="1"/>
        <v>-1.27%</v>
      </c>
      <c r="F195" s="51" t="str">
        <f t="shared" si="2"/>
        <v/>
      </c>
      <c r="G195" s="51">
        <f t="shared" si="3"/>
        <v>-1.27</v>
      </c>
      <c r="H195" s="51">
        <f>IFERROR(__xludf.DUMMYFUNCTION("IFERROR(GOOGLEFINANCE(A195,""PRICE""),)"),226.5)</f>
        <v>226.5</v>
      </c>
      <c r="I195" s="52">
        <f>IFERROR(__xludf.DUMMYFUNCTION("IFERROR(GOOGLEFINANCE(A195,""VOLUME""),)"),493507.0)</f>
        <v>493507</v>
      </c>
      <c r="J195" s="51" t="str">
        <f>IFERROR(__xludf.DUMMYFUNCTION("IFERROR(INDEX(SPLIT(A195,"":""),1,2),)"),"BECTORFOOD")</f>
        <v>BECTORFOOD</v>
      </c>
      <c r="K195" s="51" t="str">
        <f t="shared" si="4"/>
        <v/>
      </c>
      <c r="L195" s="51">
        <f t="shared" si="5"/>
        <v>397</v>
      </c>
      <c r="M195" s="51">
        <f t="shared" si="6"/>
        <v>398</v>
      </c>
      <c r="N195" s="53">
        <f>IFERROR(__xludf.DUMMYFUNCTION("IFERROR(GOOGLEFINANCE(A195,""TRADETIME""),)"),46269.64583333333)</f>
        <v>46269.64583</v>
      </c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</row>
    <row r="196" ht="15.75" customHeight="1">
      <c r="A196" s="48" t="s">
        <v>242</v>
      </c>
      <c r="B196" s="48" t="str">
        <f>IFERROR(__xludf.DUMMYFUNCTION("IFERROR(GOOGLEFINANCE(A196,""NAME""),)"),"Bedmutha Industries Ltd")</f>
        <v>Bedmutha Industries Ltd</v>
      </c>
      <c r="C196" s="48">
        <f>IFERROR(__xludf.DUMMYFUNCTION("IFERROR(GOOGLEFINANCE(A196,""CHANGE""),)"),-0.23)</f>
        <v>-0.23</v>
      </c>
      <c r="D196" s="48">
        <f>IFERROR(__xludf.DUMMYFUNCTION("IFERROR(GOOGLEFINANCE(A196,""CHANGEPCT""),)"),-0.2)</f>
        <v>-0.2</v>
      </c>
      <c r="E196" s="48" t="str">
        <f t="shared" si="1"/>
        <v>-0.2%</v>
      </c>
      <c r="F196" s="48" t="str">
        <f t="shared" si="2"/>
        <v/>
      </c>
      <c r="G196" s="48">
        <f t="shared" si="3"/>
        <v>-0.2</v>
      </c>
      <c r="H196" s="48">
        <f>IFERROR(__xludf.DUMMYFUNCTION("IFERROR(GOOGLEFINANCE(A196,""PRICE""),)"),112.0)</f>
        <v>112</v>
      </c>
      <c r="I196" s="49">
        <f>IFERROR(__xludf.DUMMYFUNCTION("IFERROR(GOOGLEFINANCE(A196,""VOLUME""),)"),7077.0)</f>
        <v>7077</v>
      </c>
      <c r="J196" s="48" t="str">
        <f>IFERROR(__xludf.DUMMYFUNCTION("IFERROR(INDEX(SPLIT(A196,"":""),1,2),)"),"BEDMUTHA")</f>
        <v>BEDMUTHA</v>
      </c>
      <c r="K196" s="48" t="str">
        <f t="shared" si="4"/>
        <v/>
      </c>
      <c r="L196" s="48">
        <f t="shared" si="5"/>
        <v>74</v>
      </c>
      <c r="M196" s="48">
        <f t="shared" si="6"/>
        <v>1288</v>
      </c>
      <c r="N196" s="50">
        <f>IFERROR(__xludf.DUMMYFUNCTION("IFERROR(GOOGLEFINANCE(A196,""TRADETIME""),)"),46269.64583333333)</f>
        <v>46269.64583</v>
      </c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</row>
    <row r="197" ht="15.75" customHeight="1">
      <c r="A197" s="51" t="s">
        <v>243</v>
      </c>
      <c r="B197" s="51" t="str">
        <f>IFERROR(__xludf.DUMMYFUNCTION("IFERROR(GOOGLEFINANCE(A197,""NAME""),)"),"Bharat Electronics Ltd")</f>
        <v>Bharat Electronics Ltd</v>
      </c>
      <c r="C197" s="51">
        <f>IFERROR(__xludf.DUMMYFUNCTION("IFERROR(GOOGLEFINANCE(A197,""CHANGE""),)"),-1.0)</f>
        <v>-1</v>
      </c>
      <c r="D197" s="51">
        <f>IFERROR(__xludf.DUMMYFUNCTION("IFERROR(GOOGLEFINANCE(A197,""CHANGEPCT""),)"),-0.24)</f>
        <v>-0.24</v>
      </c>
      <c r="E197" s="51" t="str">
        <f t="shared" si="1"/>
        <v>-0.24%</v>
      </c>
      <c r="F197" s="51" t="str">
        <f t="shared" si="2"/>
        <v/>
      </c>
      <c r="G197" s="51">
        <f t="shared" si="3"/>
        <v>-0.24</v>
      </c>
      <c r="H197" s="51">
        <f>IFERROR(__xludf.DUMMYFUNCTION("IFERROR(GOOGLEFINANCE(A197,""PRICE""),)"),407.6)</f>
        <v>407.6</v>
      </c>
      <c r="I197" s="52">
        <f>IFERROR(__xludf.DUMMYFUNCTION("IFERROR(GOOGLEFINANCE(A197,""VOLUME""),)"),8354982.0)</f>
        <v>8354982</v>
      </c>
      <c r="J197" s="51" t="str">
        <f>IFERROR(__xludf.DUMMYFUNCTION("IFERROR(INDEX(SPLIT(A197,"":""),1,2),)"),"BEL")</f>
        <v>BEL</v>
      </c>
      <c r="K197" s="51" t="str">
        <f t="shared" si="4"/>
        <v/>
      </c>
      <c r="L197" s="51">
        <f t="shared" si="5"/>
        <v>87</v>
      </c>
      <c r="M197" s="51">
        <f t="shared" si="6"/>
        <v>51</v>
      </c>
      <c r="N197" s="53">
        <f>IFERROR(__xludf.DUMMYFUNCTION("IFERROR(GOOGLEFINANCE(A197,""TRADETIME""),)"),46269.64583333333)</f>
        <v>46269.64583</v>
      </c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</row>
    <row r="198" ht="15.75" customHeight="1">
      <c r="A198" s="48" t="s">
        <v>244</v>
      </c>
      <c r="B198" s="48" t="str">
        <f>IFERROR(__xludf.DUMMYFUNCTION("IFERROR(GOOGLEFINANCE(A198,""NAME""),)"),"BEML Ltd")</f>
        <v>BEML Ltd</v>
      </c>
      <c r="C198" s="48">
        <f>IFERROR(__xludf.DUMMYFUNCTION("IFERROR(GOOGLEFINANCE(A198,""CHANGE""),)"),-21.4)</f>
        <v>-21.4</v>
      </c>
      <c r="D198" s="48">
        <f>IFERROR(__xludf.DUMMYFUNCTION("IFERROR(GOOGLEFINANCE(A198,""CHANGEPCT""),)"),-1.03)</f>
        <v>-1.03</v>
      </c>
      <c r="E198" s="48" t="str">
        <f t="shared" si="1"/>
        <v>-1.03%</v>
      </c>
      <c r="F198" s="48" t="str">
        <f t="shared" si="2"/>
        <v/>
      </c>
      <c r="G198" s="48">
        <f t="shared" si="3"/>
        <v>-1.03</v>
      </c>
      <c r="H198" s="48">
        <f>IFERROR(__xludf.DUMMYFUNCTION("IFERROR(GOOGLEFINANCE(A198,""PRICE""),)"),2058.0)</f>
        <v>2058</v>
      </c>
      <c r="I198" s="49">
        <f>IFERROR(__xludf.DUMMYFUNCTION("IFERROR(GOOGLEFINANCE(A198,""VOLUME""),)"),687676.0)</f>
        <v>687676</v>
      </c>
      <c r="J198" s="48" t="str">
        <f>IFERROR(__xludf.DUMMYFUNCTION("IFERROR(INDEX(SPLIT(A198,"":""),1,2),)"),"BEML")</f>
        <v>BEML</v>
      </c>
      <c r="K198" s="48" t="str">
        <f t="shared" si="4"/>
        <v/>
      </c>
      <c r="L198" s="48">
        <f t="shared" si="5"/>
        <v>346</v>
      </c>
      <c r="M198" s="48">
        <f t="shared" si="6"/>
        <v>334</v>
      </c>
      <c r="N198" s="50">
        <f>IFERROR(__xludf.DUMMYFUNCTION("IFERROR(GOOGLEFINANCE(A198,""TRADETIME""),)"),46269.64584490741)</f>
        <v>46269.64584</v>
      </c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</row>
    <row r="199" ht="15.75" customHeight="1">
      <c r="A199" s="51" t="s">
        <v>245</v>
      </c>
      <c r="B199" s="51" t="str">
        <f>IFERROR(__xludf.DUMMYFUNCTION("IFERROR(GOOGLEFINANCE(A199,""NAME""),)"),"Bhansali Engineering Polymers Ltd")</f>
        <v>Bhansali Engineering Polymers Ltd</v>
      </c>
      <c r="C199" s="51">
        <f>IFERROR(__xludf.DUMMYFUNCTION("IFERROR(GOOGLEFINANCE(A199,""CHANGE""),)"),-2.63)</f>
        <v>-2.63</v>
      </c>
      <c r="D199" s="51">
        <f>IFERROR(__xludf.DUMMYFUNCTION("IFERROR(GOOGLEFINANCE(A199,""CHANGEPCT""),)"),-2.03)</f>
        <v>-2.03</v>
      </c>
      <c r="E199" s="51" t="str">
        <f t="shared" si="1"/>
        <v>-2.03%</v>
      </c>
      <c r="F199" s="51" t="str">
        <f t="shared" si="2"/>
        <v/>
      </c>
      <c r="G199" s="51">
        <f t="shared" si="3"/>
        <v>-2.03</v>
      </c>
      <c r="H199" s="51">
        <f>IFERROR(__xludf.DUMMYFUNCTION("IFERROR(GOOGLEFINANCE(A199,""PRICE""),)"),127.11)</f>
        <v>127.11</v>
      </c>
      <c r="I199" s="52">
        <f>IFERROR(__xludf.DUMMYFUNCTION("IFERROR(GOOGLEFINANCE(A199,""VOLUME""),)"),1190325.0)</f>
        <v>1190325</v>
      </c>
      <c r="J199" s="51" t="str">
        <f>IFERROR(__xludf.DUMMYFUNCTION("IFERROR(INDEX(SPLIT(A199,"":""),1,2),)"),"BEPL")</f>
        <v>BEPL</v>
      </c>
      <c r="K199" s="51" t="str">
        <f t="shared" si="4"/>
        <v/>
      </c>
      <c r="L199" s="51">
        <f t="shared" si="5"/>
        <v>535</v>
      </c>
      <c r="M199" s="51">
        <f t="shared" si="6"/>
        <v>240</v>
      </c>
      <c r="N199" s="53">
        <f>IFERROR(__xludf.DUMMYFUNCTION("IFERROR(GOOGLEFINANCE(A199,""TRADETIME""),)"),46269.64583333333)</f>
        <v>46269.64583</v>
      </c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</row>
    <row r="200" ht="15.75" customHeight="1">
      <c r="A200" s="48" t="s">
        <v>246</v>
      </c>
      <c r="B200" s="48" t="str">
        <f>IFERROR(__xludf.DUMMYFUNCTION("IFERROR(GOOGLEFINANCE(A200,""NAME""),)"),"Berger Paints India Ltd")</f>
        <v>Berger Paints India Ltd</v>
      </c>
      <c r="C200" s="48">
        <f>IFERROR(__xludf.DUMMYFUNCTION("IFERROR(GOOGLEFINANCE(A200,""CHANGE""),)"),-6.45)</f>
        <v>-6.45</v>
      </c>
      <c r="D200" s="48">
        <f>IFERROR(__xludf.DUMMYFUNCTION("IFERROR(GOOGLEFINANCE(A200,""CHANGEPCT""),)"),-1.31)</f>
        <v>-1.31</v>
      </c>
      <c r="E200" s="48" t="str">
        <f t="shared" si="1"/>
        <v>-1.31%</v>
      </c>
      <c r="F200" s="48" t="str">
        <f t="shared" si="2"/>
        <v/>
      </c>
      <c r="G200" s="48">
        <f t="shared" si="3"/>
        <v>-1.31</v>
      </c>
      <c r="H200" s="48">
        <f>IFERROR(__xludf.DUMMYFUNCTION("IFERROR(GOOGLEFINANCE(A200,""PRICE""),)"),484.95)</f>
        <v>484.95</v>
      </c>
      <c r="I200" s="49">
        <f>IFERROR(__xludf.DUMMYFUNCTION("IFERROR(GOOGLEFINANCE(A200,""VOLUME""),)"),277300.0)</f>
        <v>277300</v>
      </c>
      <c r="J200" s="48" t="str">
        <f>IFERROR(__xludf.DUMMYFUNCTION("IFERROR(INDEX(SPLIT(A200,"":""),1,2),)"),"BERGEPAINT")</f>
        <v>BERGEPAINT</v>
      </c>
      <c r="K200" s="48" t="str">
        <f t="shared" si="4"/>
        <v/>
      </c>
      <c r="L200" s="48">
        <f t="shared" si="5"/>
        <v>404</v>
      </c>
      <c r="M200" s="48">
        <f t="shared" si="6"/>
        <v>540</v>
      </c>
      <c r="N200" s="50">
        <f>IFERROR(__xludf.DUMMYFUNCTION("IFERROR(GOOGLEFINANCE(A200,""TRADETIME""),)"),46269.64583333333)</f>
        <v>46269.64583</v>
      </c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</row>
    <row r="201" ht="15.75" customHeight="1">
      <c r="A201" s="51" t="s">
        <v>247</v>
      </c>
      <c r="B201" s="51" t="str">
        <f>IFERROR(__xludf.DUMMYFUNCTION("IFERROR(GOOGLEFINANCE(A201,""NAME""),)"),"BF Investment Ltd")</f>
        <v>BF Investment Ltd</v>
      </c>
      <c r="C201" s="51">
        <f>IFERROR(__xludf.DUMMYFUNCTION("IFERROR(GOOGLEFINANCE(A201,""CHANGE""),)"),0.55)</f>
        <v>0.55</v>
      </c>
      <c r="D201" s="51">
        <f>IFERROR(__xludf.DUMMYFUNCTION("IFERROR(GOOGLEFINANCE(A201,""CHANGEPCT""),)"),0.12)</f>
        <v>0.12</v>
      </c>
      <c r="E201" s="51" t="str">
        <f t="shared" si="1"/>
        <v>0.12%</v>
      </c>
      <c r="F201" s="51">
        <f t="shared" si="2"/>
        <v>0.12</v>
      </c>
      <c r="G201" s="51" t="str">
        <f t="shared" si="3"/>
        <v/>
      </c>
      <c r="H201" s="51">
        <f>IFERROR(__xludf.DUMMYFUNCTION("IFERROR(GOOGLEFINANCE(A201,""PRICE""),)"),470.0)</f>
        <v>470</v>
      </c>
      <c r="I201" s="52">
        <f>IFERROR(__xludf.DUMMYFUNCTION("IFERROR(GOOGLEFINANCE(A201,""VOLUME""),)"),33149.0)</f>
        <v>33149</v>
      </c>
      <c r="J201" s="51" t="str">
        <f>IFERROR(__xludf.DUMMYFUNCTION("IFERROR(INDEX(SPLIT(A201,"":""),1,2),)"),"BFINVEST")</f>
        <v>BFINVEST</v>
      </c>
      <c r="K201" s="51">
        <f t="shared" si="4"/>
        <v>733</v>
      </c>
      <c r="L201" s="51" t="str">
        <f t="shared" si="5"/>
        <v/>
      </c>
      <c r="M201" s="51">
        <f t="shared" si="6"/>
        <v>1035</v>
      </c>
      <c r="N201" s="53">
        <f>IFERROR(__xludf.DUMMYFUNCTION("IFERROR(GOOGLEFINANCE(A201,""TRADETIME""),)"),46269.64585648148)</f>
        <v>46269.64586</v>
      </c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</row>
    <row r="202" ht="15.75" customHeight="1">
      <c r="A202" s="48" t="s">
        <v>248</v>
      </c>
      <c r="B202" s="48" t="str">
        <f>IFERROR(__xludf.DUMMYFUNCTION("IFERROR(GOOGLEFINANCE(A202,""NAME""),)"),"BF Utilities Ltd")</f>
        <v>BF Utilities Ltd</v>
      </c>
      <c r="C202" s="48">
        <f>IFERROR(__xludf.DUMMYFUNCTION("IFERROR(GOOGLEFINANCE(A202,""CHANGE""),)"),-7.0)</f>
        <v>-7</v>
      </c>
      <c r="D202" s="48">
        <f>IFERROR(__xludf.DUMMYFUNCTION("IFERROR(GOOGLEFINANCE(A202,""CHANGEPCT""),)"),-1.29)</f>
        <v>-1.29</v>
      </c>
      <c r="E202" s="48" t="str">
        <f t="shared" si="1"/>
        <v>-1.29%</v>
      </c>
      <c r="F202" s="48" t="str">
        <f t="shared" si="2"/>
        <v/>
      </c>
      <c r="G202" s="48">
        <f t="shared" si="3"/>
        <v>-1.29</v>
      </c>
      <c r="H202" s="48">
        <f>IFERROR(__xludf.DUMMYFUNCTION("IFERROR(GOOGLEFINANCE(A202,""PRICE""),)"),537.0)</f>
        <v>537</v>
      </c>
      <c r="I202" s="49">
        <f>IFERROR(__xludf.DUMMYFUNCTION("IFERROR(GOOGLEFINANCE(A202,""VOLUME""),)"),272295.0)</f>
        <v>272295</v>
      </c>
      <c r="J202" s="48" t="str">
        <f>IFERROR(__xludf.DUMMYFUNCTION("IFERROR(INDEX(SPLIT(A202,"":""),1,2),)"),"BFUTILITIE")</f>
        <v>BFUTILITIE</v>
      </c>
      <c r="K202" s="48" t="str">
        <f t="shared" si="4"/>
        <v/>
      </c>
      <c r="L202" s="48">
        <f t="shared" si="5"/>
        <v>401</v>
      </c>
      <c r="M202" s="48">
        <f t="shared" si="6"/>
        <v>546</v>
      </c>
      <c r="N202" s="50">
        <f>IFERROR(__xludf.DUMMYFUNCTION("IFERROR(GOOGLEFINANCE(A202,""TRADETIME""),)"),46269.64583333333)</f>
        <v>46269.64583</v>
      </c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</row>
    <row r="203" ht="15.75" customHeight="1">
      <c r="A203" s="51" t="s">
        <v>249</v>
      </c>
      <c r="B203" s="51" t="str">
        <f>IFERROR(__xludf.DUMMYFUNCTION("IFERROR(GOOGLEFINANCE(A203,""NAME""),)"),"BGR Energy Systems Ltd")</f>
        <v>BGR Energy Systems Ltd</v>
      </c>
      <c r="C203" s="51">
        <f>IFERROR(__xludf.DUMMYFUNCTION("IFERROR(GOOGLEFINANCE(A203,""CHANGE""),)"),5.66)</f>
        <v>5.66</v>
      </c>
      <c r="D203" s="51">
        <f>IFERROR(__xludf.DUMMYFUNCTION("IFERROR(GOOGLEFINANCE(A203,""CHANGEPCT""),)"),2.37)</f>
        <v>2.37</v>
      </c>
      <c r="E203" s="51" t="str">
        <f t="shared" si="1"/>
        <v>2.37%</v>
      </c>
      <c r="F203" s="51">
        <f t="shared" si="2"/>
        <v>2.37</v>
      </c>
      <c r="G203" s="51" t="str">
        <f t="shared" si="3"/>
        <v/>
      </c>
      <c r="H203" s="51">
        <f>IFERROR(__xludf.DUMMYFUNCTION("IFERROR(GOOGLEFINANCE(A203,""PRICE""),)"),244.1)</f>
        <v>244.1</v>
      </c>
      <c r="I203" s="52">
        <f>IFERROR(__xludf.DUMMYFUNCTION("IFERROR(GOOGLEFINANCE(A203,""VOLUME""),)"),42914.0)</f>
        <v>42914</v>
      </c>
      <c r="J203" s="51" t="str">
        <f>IFERROR(__xludf.DUMMYFUNCTION("IFERROR(INDEX(SPLIT(A203,"":""),1,2),)"),"BGRENERGY")</f>
        <v>BGRENERGY</v>
      </c>
      <c r="K203" s="51">
        <f t="shared" si="4"/>
        <v>218</v>
      </c>
      <c r="L203" s="51" t="str">
        <f t="shared" si="5"/>
        <v/>
      </c>
      <c r="M203" s="51">
        <f t="shared" si="6"/>
        <v>984</v>
      </c>
      <c r="N203" s="53">
        <f>IFERROR(__xludf.DUMMYFUNCTION("IFERROR(GOOGLEFINANCE(A203,""TRADETIME""),)"),46269.64583333333)</f>
        <v>46269.64583</v>
      </c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</row>
    <row r="204" ht="15.75" customHeight="1">
      <c r="A204" s="48" t="s">
        <v>250</v>
      </c>
      <c r="B204" s="48" t="str">
        <f>IFERROR(__xludf.DUMMYFUNCTION("IFERROR(GOOGLEFINANCE(A204,""NAME""),)"),"Bhageria Industries Ltd")</f>
        <v>Bhageria Industries Ltd</v>
      </c>
      <c r="C204" s="48">
        <f>IFERROR(__xludf.DUMMYFUNCTION("IFERROR(GOOGLEFINANCE(A204,""CHANGE""),)"),14.5)</f>
        <v>14.5</v>
      </c>
      <c r="D204" s="48">
        <f>IFERROR(__xludf.DUMMYFUNCTION("IFERROR(GOOGLEFINANCE(A204,""CHANGEPCT""),)"),5.0)</f>
        <v>5</v>
      </c>
      <c r="E204" s="48" t="str">
        <f t="shared" si="1"/>
        <v>5%</v>
      </c>
      <c r="F204" s="48">
        <f t="shared" si="2"/>
        <v>5</v>
      </c>
      <c r="G204" s="48" t="str">
        <f t="shared" si="3"/>
        <v/>
      </c>
      <c r="H204" s="48">
        <f>IFERROR(__xludf.DUMMYFUNCTION("IFERROR(GOOGLEFINANCE(A204,""PRICE""),)"),304.65)</f>
        <v>304.65</v>
      </c>
      <c r="I204" s="49">
        <f>IFERROR(__xludf.DUMMYFUNCTION("IFERROR(GOOGLEFINANCE(A204,""VOLUME""),)"),218809.0)</f>
        <v>218809</v>
      </c>
      <c r="J204" s="48" t="str">
        <f>IFERROR(__xludf.DUMMYFUNCTION("IFERROR(INDEX(SPLIT(A204,"":""),1,2),)"),"BHAGERIA")</f>
        <v>BHAGERIA</v>
      </c>
      <c r="K204" s="48">
        <f t="shared" si="4"/>
        <v>53</v>
      </c>
      <c r="L204" s="48" t="str">
        <f t="shared" si="5"/>
        <v/>
      </c>
      <c r="M204" s="48">
        <f t="shared" si="6"/>
        <v>600</v>
      </c>
      <c r="N204" s="50">
        <f>IFERROR(__xludf.DUMMYFUNCTION("IFERROR(GOOGLEFINANCE(A204,""TRADETIME""),)"),46269.64583333333)</f>
        <v>46269.64583</v>
      </c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</row>
    <row r="205" ht="15.75" customHeight="1">
      <c r="A205" s="51" t="s">
        <v>251</v>
      </c>
      <c r="B205" s="51" t="str">
        <f>IFERROR(__xludf.DUMMYFUNCTION("IFERROR(GOOGLEFINANCE(A205,""NAME""),)"),"Bhagyanagar India Ltd")</f>
        <v>Bhagyanagar India Ltd</v>
      </c>
      <c r="C205" s="51">
        <f>IFERROR(__xludf.DUMMYFUNCTION("IFERROR(GOOGLEFINANCE(A205,""CHANGE""),)"),-3.7)</f>
        <v>-3.7</v>
      </c>
      <c r="D205" s="51">
        <f>IFERROR(__xludf.DUMMYFUNCTION("IFERROR(GOOGLEFINANCE(A205,""CHANGEPCT""),)"),-0.99)</f>
        <v>-0.99</v>
      </c>
      <c r="E205" s="51" t="str">
        <f t="shared" si="1"/>
        <v>-0.99%</v>
      </c>
      <c r="F205" s="51" t="str">
        <f t="shared" si="2"/>
        <v/>
      </c>
      <c r="G205" s="51">
        <f t="shared" si="3"/>
        <v>-0.99</v>
      </c>
      <c r="H205" s="51">
        <f>IFERROR(__xludf.DUMMYFUNCTION("IFERROR(GOOGLEFINANCE(A205,""PRICE""),)"),369.75)</f>
        <v>369.75</v>
      </c>
      <c r="I205" s="52">
        <f>IFERROR(__xludf.DUMMYFUNCTION("IFERROR(GOOGLEFINANCE(A205,""VOLUME""),)"),77510.0)</f>
        <v>77510</v>
      </c>
      <c r="J205" s="51" t="str">
        <f>IFERROR(__xludf.DUMMYFUNCTION("IFERROR(INDEX(SPLIT(A205,"":""),1,2),)"),"BHAGYANGR")</f>
        <v>BHAGYANGR</v>
      </c>
      <c r="K205" s="51" t="str">
        <f t="shared" si="4"/>
        <v/>
      </c>
      <c r="L205" s="51">
        <f t="shared" si="5"/>
        <v>336</v>
      </c>
      <c r="M205" s="51">
        <f t="shared" si="6"/>
        <v>834</v>
      </c>
      <c r="N205" s="53">
        <f>IFERROR(__xludf.DUMMYFUNCTION("IFERROR(GOOGLEFINANCE(A205,""TRADETIME""),)"),46269.64586805555)</f>
        <v>46269.64587</v>
      </c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</row>
    <row r="206" ht="15.75" customHeight="1">
      <c r="A206" s="48" t="s">
        <v>252</v>
      </c>
      <c r="B206" s="48" t="str">
        <f>IFERROR(__xludf.DUMMYFUNCTION("IFERROR(GOOGLEFINANCE(A206,""NAME""),)"),"Bhandari Hosiery Exports Ltd")</f>
        <v>Bhandari Hosiery Exports Ltd</v>
      </c>
      <c r="C206" s="48">
        <f>IFERROR(__xludf.DUMMYFUNCTION("IFERROR(GOOGLEFINANCE(A206,""CHANGE""),)"),0.04)</f>
        <v>0.04</v>
      </c>
      <c r="D206" s="48">
        <f>IFERROR(__xludf.DUMMYFUNCTION("IFERROR(GOOGLEFINANCE(A206,""CHANGEPCT""),)"),1.33)</f>
        <v>1.33</v>
      </c>
      <c r="E206" s="48" t="str">
        <f t="shared" si="1"/>
        <v>1.33%</v>
      </c>
      <c r="F206" s="48">
        <f t="shared" si="2"/>
        <v>1.33</v>
      </c>
      <c r="G206" s="48" t="str">
        <f t="shared" si="3"/>
        <v/>
      </c>
      <c r="H206" s="48">
        <f>IFERROR(__xludf.DUMMYFUNCTION("IFERROR(GOOGLEFINANCE(A206,""PRICE""),)"),3.04)</f>
        <v>3.04</v>
      </c>
      <c r="I206" s="49">
        <f>IFERROR(__xludf.DUMMYFUNCTION("IFERROR(GOOGLEFINANCE(A206,""VOLUME""),)"),101595.0)</f>
        <v>101595</v>
      </c>
      <c r="J206" s="48" t="str">
        <f>IFERROR(__xludf.DUMMYFUNCTION("IFERROR(INDEX(SPLIT(A206,"":""),1,2),)"),"BHANDARI")</f>
        <v>BHANDARI</v>
      </c>
      <c r="K206" s="48">
        <f t="shared" si="4"/>
        <v>374</v>
      </c>
      <c r="L206" s="48" t="str">
        <f t="shared" si="5"/>
        <v/>
      </c>
      <c r="M206" s="48">
        <f t="shared" si="6"/>
        <v>762</v>
      </c>
      <c r="N206" s="50">
        <f>IFERROR(__xludf.DUMMYFUNCTION("IFERROR(GOOGLEFINANCE(A206,""TRADETIME""),)"),46269.64583333333)</f>
        <v>46269.64583</v>
      </c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</row>
    <row r="207" ht="15.75" customHeight="1">
      <c r="A207" s="51" t="s">
        <v>253</v>
      </c>
      <c r="B207" s="51" t="str">
        <f>IFERROR(__xludf.DUMMYFUNCTION("IFERROR(GOOGLEFINANCE(A207,""NAME""),)"),"Bharat Forge Ltd")</f>
        <v>Bharat Forge Ltd</v>
      </c>
      <c r="C207" s="51">
        <f>IFERROR(__xludf.DUMMYFUNCTION("IFERROR(GOOGLEFINANCE(A207,""CHANGE""),)"),-24.9)</f>
        <v>-24.9</v>
      </c>
      <c r="D207" s="51">
        <f>IFERROR(__xludf.DUMMYFUNCTION("IFERROR(GOOGLEFINANCE(A207,""CHANGEPCT""),)"),-1.26)</f>
        <v>-1.26</v>
      </c>
      <c r="E207" s="51" t="str">
        <f t="shared" si="1"/>
        <v>-1.26%</v>
      </c>
      <c r="F207" s="51" t="str">
        <f t="shared" si="2"/>
        <v/>
      </c>
      <c r="G207" s="51">
        <f t="shared" si="3"/>
        <v>-1.26</v>
      </c>
      <c r="H207" s="51">
        <f>IFERROR(__xludf.DUMMYFUNCTION("IFERROR(GOOGLEFINANCE(A207,""PRICE""),)"),1956.1)</f>
        <v>1956.1</v>
      </c>
      <c r="I207" s="52">
        <f>IFERROR(__xludf.DUMMYFUNCTION("IFERROR(GOOGLEFINANCE(A207,""VOLUME""),)"),1526364.0)</f>
        <v>1526364</v>
      </c>
      <c r="J207" s="51" t="str">
        <f>IFERROR(__xludf.DUMMYFUNCTION("IFERROR(INDEX(SPLIT(A207,"":""),1,2),)"),"BHARATFORG")</f>
        <v>BHARATFORG</v>
      </c>
      <c r="K207" s="51" t="str">
        <f t="shared" si="4"/>
        <v/>
      </c>
      <c r="L207" s="51">
        <f t="shared" si="5"/>
        <v>394</v>
      </c>
      <c r="M207" s="51">
        <f t="shared" si="6"/>
        <v>206</v>
      </c>
      <c r="N207" s="53">
        <f>IFERROR(__xludf.DUMMYFUNCTION("IFERROR(GOOGLEFINANCE(A207,""TRADETIME""),)"),46269.64583333333)</f>
        <v>46269.64583</v>
      </c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</row>
    <row r="208" ht="15.75" customHeight="1">
      <c r="A208" s="48" t="s">
        <v>254</v>
      </c>
      <c r="B208" s="48" t="str">
        <f>IFERROR(__xludf.DUMMYFUNCTION("IFERROR(GOOGLEFINANCE(A208,""NAME""),)"),"Bharat Gears Ltd")</f>
        <v>Bharat Gears Ltd</v>
      </c>
      <c r="C208" s="48">
        <f>IFERROR(__xludf.DUMMYFUNCTION("IFERROR(GOOGLEFINANCE(A208,""CHANGE""),)"),-1.48)</f>
        <v>-1.48</v>
      </c>
      <c r="D208" s="48">
        <f>IFERROR(__xludf.DUMMYFUNCTION("IFERROR(GOOGLEFINANCE(A208,""CHANGEPCT""),)"),-1.42)</f>
        <v>-1.42</v>
      </c>
      <c r="E208" s="48" t="str">
        <f t="shared" si="1"/>
        <v>-1.42%</v>
      </c>
      <c r="F208" s="48" t="str">
        <f t="shared" si="2"/>
        <v/>
      </c>
      <c r="G208" s="48">
        <f t="shared" si="3"/>
        <v>-1.42</v>
      </c>
      <c r="H208" s="48">
        <f>IFERROR(__xludf.DUMMYFUNCTION("IFERROR(GOOGLEFINANCE(A208,""PRICE""),)"),103.01)</f>
        <v>103.01</v>
      </c>
      <c r="I208" s="49">
        <f>IFERROR(__xludf.DUMMYFUNCTION("IFERROR(GOOGLEFINANCE(A208,""VOLUME""),)"),18094.0)</f>
        <v>18094</v>
      </c>
      <c r="J208" s="48" t="str">
        <f>IFERROR(__xludf.DUMMYFUNCTION("IFERROR(INDEX(SPLIT(A208,"":""),1,2),)"),"BHARATGEAR")</f>
        <v>BHARATGEAR</v>
      </c>
      <c r="K208" s="48" t="str">
        <f t="shared" si="4"/>
        <v/>
      </c>
      <c r="L208" s="48">
        <f t="shared" si="5"/>
        <v>433</v>
      </c>
      <c r="M208" s="48">
        <f t="shared" si="6"/>
        <v>1144</v>
      </c>
      <c r="N208" s="50">
        <f>IFERROR(__xludf.DUMMYFUNCTION("IFERROR(GOOGLEFINANCE(A208,""TRADETIME""),)"),46269.64583333333)</f>
        <v>46269.64583</v>
      </c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</row>
    <row r="209" ht="15.75" customHeight="1">
      <c r="A209" s="51" t="s">
        <v>255</v>
      </c>
      <c r="B209" s="51" t="str">
        <f>IFERROR(__xludf.DUMMYFUNCTION("IFERROR(GOOGLEFINANCE(A209,""NAME""),)"),"Bharat Rasayan Ltd")</f>
        <v>Bharat Rasayan Ltd</v>
      </c>
      <c r="C209" s="51">
        <f>IFERROR(__xludf.DUMMYFUNCTION("IFERROR(GOOGLEFINANCE(A209,""CHANGE""),)"),-4.3)</f>
        <v>-4.3</v>
      </c>
      <c r="D209" s="51">
        <f>IFERROR(__xludf.DUMMYFUNCTION("IFERROR(GOOGLEFINANCE(A209,""CHANGEPCT""),)"),-0.36)</f>
        <v>-0.36</v>
      </c>
      <c r="E209" s="51" t="str">
        <f t="shared" si="1"/>
        <v>-0.36%</v>
      </c>
      <c r="F209" s="51" t="str">
        <f t="shared" si="2"/>
        <v/>
      </c>
      <c r="G209" s="51">
        <f t="shared" si="3"/>
        <v>-0.36</v>
      </c>
      <c r="H209" s="51">
        <f>IFERROR(__xludf.DUMMYFUNCTION("IFERROR(GOOGLEFINANCE(A209,""PRICE""),)"),1179.9)</f>
        <v>1179.9</v>
      </c>
      <c r="I209" s="52">
        <f>IFERROR(__xludf.DUMMYFUNCTION("IFERROR(GOOGLEFINANCE(A209,""VOLUME""),)"),25242.0)</f>
        <v>25242</v>
      </c>
      <c r="J209" s="51" t="str">
        <f>IFERROR(__xludf.DUMMYFUNCTION("IFERROR(INDEX(SPLIT(A209,"":""),1,2),)"),"BHARATRAS")</f>
        <v>BHARATRAS</v>
      </c>
      <c r="K209" s="51" t="str">
        <f t="shared" si="4"/>
        <v/>
      </c>
      <c r="L209" s="51">
        <f t="shared" si="5"/>
        <v>139</v>
      </c>
      <c r="M209" s="51">
        <f t="shared" si="6"/>
        <v>1081</v>
      </c>
      <c r="N209" s="53">
        <f>IFERROR(__xludf.DUMMYFUNCTION("IFERROR(GOOGLEFINANCE(A209,""TRADETIME""),)"),46269.64583333333)</f>
        <v>46269.64583</v>
      </c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</row>
    <row r="210" ht="15.75" customHeight="1">
      <c r="A210" s="48" t="s">
        <v>256</v>
      </c>
      <c r="B210" s="48" t="str">
        <f>IFERROR(__xludf.DUMMYFUNCTION("IFERROR(GOOGLEFINANCE(A210,""NAME""),)"),"Bharat Wire Ropes Ltd")</f>
        <v>Bharat Wire Ropes Ltd</v>
      </c>
      <c r="C210" s="48">
        <f>IFERROR(__xludf.DUMMYFUNCTION("IFERROR(GOOGLEFINANCE(A210,""CHANGE""),)"),1.08)</f>
        <v>1.08</v>
      </c>
      <c r="D210" s="48">
        <f>IFERROR(__xludf.DUMMYFUNCTION("IFERROR(GOOGLEFINANCE(A210,""CHANGEPCT""),)"),0.6)</f>
        <v>0.6</v>
      </c>
      <c r="E210" s="48" t="str">
        <f t="shared" si="1"/>
        <v>0.6%</v>
      </c>
      <c r="F210" s="48">
        <f t="shared" si="2"/>
        <v>0.6</v>
      </c>
      <c r="G210" s="48" t="str">
        <f t="shared" si="3"/>
        <v/>
      </c>
      <c r="H210" s="48">
        <f>IFERROR(__xludf.DUMMYFUNCTION("IFERROR(GOOGLEFINANCE(A210,""PRICE""),)"),181.5)</f>
        <v>181.5</v>
      </c>
      <c r="I210" s="49">
        <f>IFERROR(__xludf.DUMMYFUNCTION("IFERROR(GOOGLEFINANCE(A210,""VOLUME""),)"),141594.0)</f>
        <v>141594</v>
      </c>
      <c r="J210" s="48" t="str">
        <f>IFERROR(__xludf.DUMMYFUNCTION("IFERROR(INDEX(SPLIT(A210,"":""),1,2),)"),"BHARATWIRE")</f>
        <v>BHARATWIRE</v>
      </c>
      <c r="K210" s="48">
        <f t="shared" si="4"/>
        <v>559</v>
      </c>
      <c r="L210" s="48" t="str">
        <f t="shared" si="5"/>
        <v/>
      </c>
      <c r="M210" s="48">
        <f t="shared" si="6"/>
        <v>702</v>
      </c>
      <c r="N210" s="50">
        <f>IFERROR(__xludf.DUMMYFUNCTION("IFERROR(GOOGLEFINANCE(A210,""TRADETIME""),)"),46269.64585648148)</f>
        <v>46269.64586</v>
      </c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</row>
    <row r="211" ht="15.75" customHeight="1">
      <c r="A211" s="51" t="s">
        <v>257</v>
      </c>
      <c r="B211" s="51" t="str">
        <f>IFERROR(__xludf.DUMMYFUNCTION("IFERROR(GOOGLEFINANCE(A211,""NAME""),)"),"Bharti Airtel Ltd")</f>
        <v>Bharti Airtel Ltd</v>
      </c>
      <c r="C211" s="51">
        <f>IFERROR(__xludf.DUMMYFUNCTION("IFERROR(GOOGLEFINANCE(A211,""CHANGE""),)"),-19.5)</f>
        <v>-19.5</v>
      </c>
      <c r="D211" s="51">
        <f>IFERROR(__xludf.DUMMYFUNCTION("IFERROR(GOOGLEFINANCE(A211,""CHANGEPCT""),)"),-1.04)</f>
        <v>-1.04</v>
      </c>
      <c r="E211" s="51" t="str">
        <f t="shared" si="1"/>
        <v>-1.04%</v>
      </c>
      <c r="F211" s="51" t="str">
        <f t="shared" si="2"/>
        <v/>
      </c>
      <c r="G211" s="51">
        <f t="shared" si="3"/>
        <v>-1.04</v>
      </c>
      <c r="H211" s="51">
        <f>IFERROR(__xludf.DUMMYFUNCTION("IFERROR(GOOGLEFINANCE(A211,""PRICE""),)"),1849.5)</f>
        <v>1849.5</v>
      </c>
      <c r="I211" s="52">
        <f>IFERROR(__xludf.DUMMYFUNCTION("IFERROR(GOOGLEFINANCE(A211,""VOLUME""),)"),3614328.0)</f>
        <v>3614328</v>
      </c>
      <c r="J211" s="51" t="str">
        <f>IFERROR(__xludf.DUMMYFUNCTION("IFERROR(INDEX(SPLIT(A211,"":""),1,2),)"),"BHARTIARTL")</f>
        <v>BHARTIARTL</v>
      </c>
      <c r="K211" s="51" t="str">
        <f t="shared" si="4"/>
        <v/>
      </c>
      <c r="L211" s="51">
        <f t="shared" si="5"/>
        <v>347</v>
      </c>
      <c r="M211" s="51">
        <f t="shared" si="6"/>
        <v>112</v>
      </c>
      <c r="N211" s="53">
        <f>IFERROR(__xludf.DUMMYFUNCTION("IFERROR(GOOGLEFINANCE(A211,""TRADETIME""),)"),46269.64583333333)</f>
        <v>46269.64583</v>
      </c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</row>
    <row r="212" ht="15.75" customHeight="1">
      <c r="A212" s="48" t="s">
        <v>258</v>
      </c>
      <c r="B212" s="48" t="str">
        <f>IFERROR(__xludf.DUMMYFUNCTION("IFERROR(GOOGLEFINANCE(A212,""NAME""),)"),"Bharat Heavy Electricals Ltd")</f>
        <v>Bharat Heavy Electricals Ltd</v>
      </c>
      <c r="C212" s="48">
        <f>IFERROR(__xludf.DUMMYFUNCTION("IFERROR(GOOGLEFINANCE(A212,""CHANGE""),)"),1.55)</f>
        <v>1.55</v>
      </c>
      <c r="D212" s="48">
        <f>IFERROR(__xludf.DUMMYFUNCTION("IFERROR(GOOGLEFINANCE(A212,""CHANGEPCT""),)"),0.36)</f>
        <v>0.36</v>
      </c>
      <c r="E212" s="48" t="str">
        <f t="shared" si="1"/>
        <v>0.36%</v>
      </c>
      <c r="F212" s="48">
        <f t="shared" si="2"/>
        <v>0.36</v>
      </c>
      <c r="G212" s="48" t="str">
        <f t="shared" si="3"/>
        <v/>
      </c>
      <c r="H212" s="48">
        <f>IFERROR(__xludf.DUMMYFUNCTION("IFERROR(GOOGLEFINANCE(A212,""PRICE""),)"),433.35)</f>
        <v>433.35</v>
      </c>
      <c r="I212" s="49">
        <f>IFERROR(__xludf.DUMMYFUNCTION("IFERROR(GOOGLEFINANCE(A212,""VOLUME""),)"),5925391.0)</f>
        <v>5925391</v>
      </c>
      <c r="J212" s="48" t="str">
        <f>IFERROR(__xludf.DUMMYFUNCTION("IFERROR(INDEX(SPLIT(A212,"":""),1,2),)"),"BHEL")</f>
        <v>BHEL</v>
      </c>
      <c r="K212" s="48">
        <f t="shared" si="4"/>
        <v>636</v>
      </c>
      <c r="L212" s="48" t="str">
        <f t="shared" si="5"/>
        <v/>
      </c>
      <c r="M212" s="48">
        <f t="shared" si="6"/>
        <v>76</v>
      </c>
      <c r="N212" s="50">
        <f>IFERROR(__xludf.DUMMYFUNCTION("IFERROR(GOOGLEFINANCE(A212,""TRADETIME""),)"),46269.64583333333)</f>
        <v>46269.64583</v>
      </c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</row>
    <row r="213" ht="15.75" customHeight="1">
      <c r="A213" s="51" t="s">
        <v>259</v>
      </c>
      <c r="B213" s="51" t="str">
        <f>IFERROR(__xludf.DUMMYFUNCTION("IFERROR(GOOGLEFINANCE(A213,""NAME""),)"),"Bigbloc Construction Ltd")</f>
        <v>Bigbloc Construction Ltd</v>
      </c>
      <c r="C213" s="51">
        <f>IFERROR(__xludf.DUMMYFUNCTION("IFERROR(GOOGLEFINANCE(A213,""CHANGE""),)"),1.11)</f>
        <v>1.11</v>
      </c>
      <c r="D213" s="51">
        <f>IFERROR(__xludf.DUMMYFUNCTION("IFERROR(GOOGLEFINANCE(A213,""CHANGEPCT""),)"),2.69)</f>
        <v>2.69</v>
      </c>
      <c r="E213" s="51" t="str">
        <f t="shared" si="1"/>
        <v>2.69%</v>
      </c>
      <c r="F213" s="51">
        <f t="shared" si="2"/>
        <v>2.69</v>
      </c>
      <c r="G213" s="51" t="str">
        <f t="shared" si="3"/>
        <v/>
      </c>
      <c r="H213" s="51">
        <f>IFERROR(__xludf.DUMMYFUNCTION("IFERROR(GOOGLEFINANCE(A213,""PRICE""),)"),42.4)</f>
        <v>42.4</v>
      </c>
      <c r="I213" s="52">
        <f>IFERROR(__xludf.DUMMYFUNCTION("IFERROR(GOOGLEFINANCE(A213,""VOLUME""),)"),56466.0)</f>
        <v>56466</v>
      </c>
      <c r="J213" s="51" t="str">
        <f>IFERROR(__xludf.DUMMYFUNCTION("IFERROR(INDEX(SPLIT(A213,"":""),1,2),)"),"BIGBLOC")</f>
        <v>BIGBLOC</v>
      </c>
      <c r="K213" s="51">
        <f t="shared" si="4"/>
        <v>183</v>
      </c>
      <c r="L213" s="51" t="str">
        <f t="shared" si="5"/>
        <v/>
      </c>
      <c r="M213" s="51">
        <f t="shared" si="6"/>
        <v>916</v>
      </c>
      <c r="N213" s="53">
        <f>IFERROR(__xludf.DUMMYFUNCTION("IFERROR(GOOGLEFINANCE(A213,""TRADETIME""),)"),46269.64583333333)</f>
        <v>46269.64583</v>
      </c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</row>
    <row r="214" ht="15.75" customHeight="1">
      <c r="A214" s="48" t="s">
        <v>260</v>
      </c>
      <c r="B214" s="48" t="str">
        <f>IFERROR(__xludf.DUMMYFUNCTION("IFERROR(GOOGLEFINANCE(A214,""NAME""),)"),"Bhartiya International Ltd")</f>
        <v>Bhartiya International Ltd</v>
      </c>
      <c r="C214" s="48">
        <f>IFERROR(__xludf.DUMMYFUNCTION("IFERROR(GOOGLEFINANCE(A214,""CHANGE""),)"),-2.1)</f>
        <v>-2.1</v>
      </c>
      <c r="D214" s="48">
        <f>IFERROR(__xludf.DUMMYFUNCTION("IFERROR(GOOGLEFINANCE(A214,""CHANGEPCT""),)"),-0.23)</f>
        <v>-0.23</v>
      </c>
      <c r="E214" s="48" t="str">
        <f t="shared" si="1"/>
        <v>-0.23%</v>
      </c>
      <c r="F214" s="48" t="str">
        <f t="shared" si="2"/>
        <v/>
      </c>
      <c r="G214" s="48">
        <f t="shared" si="3"/>
        <v>-0.23</v>
      </c>
      <c r="H214" s="48">
        <f>IFERROR(__xludf.DUMMYFUNCTION("IFERROR(GOOGLEFINANCE(A214,""PRICE""),)"),913.75)</f>
        <v>913.75</v>
      </c>
      <c r="I214" s="49">
        <f>IFERROR(__xludf.DUMMYFUNCTION("IFERROR(GOOGLEFINANCE(A214,""VOLUME""),)"),8736.0)</f>
        <v>8736</v>
      </c>
      <c r="J214" s="48" t="str">
        <f>IFERROR(__xludf.DUMMYFUNCTION("IFERROR(INDEX(SPLIT(A214,"":""),1,2),)"),"BIL")</f>
        <v>BIL</v>
      </c>
      <c r="K214" s="48" t="str">
        <f t="shared" si="4"/>
        <v/>
      </c>
      <c r="L214" s="48">
        <f t="shared" si="5"/>
        <v>83</v>
      </c>
      <c r="M214" s="48">
        <f t="shared" si="6"/>
        <v>1250</v>
      </c>
      <c r="N214" s="50">
        <f>IFERROR(__xludf.DUMMYFUNCTION("IFERROR(GOOGLEFINANCE(A214,""TRADETIME""),)"),46269.64583333333)</f>
        <v>46269.64583</v>
      </c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</row>
    <row r="215" ht="15.75" customHeight="1">
      <c r="A215" s="51" t="s">
        <v>261</v>
      </c>
      <c r="B215" s="51" t="str">
        <f>IFERROR(__xludf.DUMMYFUNCTION("IFERROR(GOOGLEFINANCE(A215,""NAME""),)"),"")</f>
        <v/>
      </c>
      <c r="C215" s="51" t="str">
        <f>IFERROR(__xludf.DUMMYFUNCTION("IFERROR(GOOGLEFINANCE(A215,""CHANGE""),)"),"")</f>
        <v/>
      </c>
      <c r="D215" s="51" t="str">
        <f>IFERROR(__xludf.DUMMYFUNCTION("IFERROR(GOOGLEFINANCE(A215,""CHANGEPCT""),)"),"")</f>
        <v/>
      </c>
      <c r="E215" s="51" t="str">
        <f t="shared" si="1"/>
        <v>%</v>
      </c>
      <c r="F215" s="51" t="str">
        <f t="shared" si="2"/>
        <v/>
      </c>
      <c r="G215" s="51" t="str">
        <f t="shared" si="3"/>
        <v/>
      </c>
      <c r="H215" s="51" t="str">
        <f>IFERROR(__xludf.DUMMYFUNCTION("IFERROR(GOOGLEFINANCE(A215,""PRICE""),)"),"")</f>
        <v/>
      </c>
      <c r="I215" s="52" t="str">
        <f>IFERROR(__xludf.DUMMYFUNCTION("IFERROR(GOOGLEFINANCE(A215,""VOLUME""),)"),"")</f>
        <v/>
      </c>
      <c r="J215" s="51" t="str">
        <f>IFERROR(__xludf.DUMMYFUNCTION("IFERROR(INDEX(SPLIT(A215,"":""),1,2),)"),"BINDALAGRO")</f>
        <v>BINDALAGRO</v>
      </c>
      <c r="K215" s="51" t="str">
        <f t="shared" si="4"/>
        <v/>
      </c>
      <c r="L215" s="51" t="str">
        <f t="shared" si="5"/>
        <v/>
      </c>
      <c r="M215" s="51">
        <f t="shared" si="6"/>
        <v>1456</v>
      </c>
      <c r="N215" s="53" t="str">
        <f>IFERROR(__xludf.DUMMYFUNCTION("IFERROR(GOOGLEFINANCE(A215,""TRADETIME""),)"),"")</f>
        <v/>
      </c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</row>
    <row r="216" ht="15.75" customHeight="1">
      <c r="A216" s="48" t="s">
        <v>262</v>
      </c>
      <c r="B216" s="48" t="str">
        <f>IFERROR(__xludf.DUMMYFUNCTION("IFERROR(GOOGLEFINANCE(A216,""NAME""),)"),"Biocon Ltd")</f>
        <v>Biocon Ltd</v>
      </c>
      <c r="C216" s="48">
        <f>IFERROR(__xludf.DUMMYFUNCTION("IFERROR(GOOGLEFINANCE(A216,""CHANGE""),)"),-5.5)</f>
        <v>-5.5</v>
      </c>
      <c r="D216" s="48">
        <f>IFERROR(__xludf.DUMMYFUNCTION("IFERROR(GOOGLEFINANCE(A216,""CHANGEPCT""),)"),-1.37)</f>
        <v>-1.37</v>
      </c>
      <c r="E216" s="48" t="str">
        <f t="shared" si="1"/>
        <v>-1.37%</v>
      </c>
      <c r="F216" s="48" t="str">
        <f t="shared" si="2"/>
        <v/>
      </c>
      <c r="G216" s="48">
        <f t="shared" si="3"/>
        <v>-1.37</v>
      </c>
      <c r="H216" s="48">
        <f>IFERROR(__xludf.DUMMYFUNCTION("IFERROR(GOOGLEFINANCE(A216,""PRICE""),)"),396.5)</f>
        <v>396.5</v>
      </c>
      <c r="I216" s="49">
        <f>IFERROR(__xludf.DUMMYFUNCTION("IFERROR(GOOGLEFINANCE(A216,""VOLUME""),)"),3108555.0)</f>
        <v>3108555</v>
      </c>
      <c r="J216" s="48" t="str">
        <f>IFERROR(__xludf.DUMMYFUNCTION("IFERROR(INDEX(SPLIT(A216,"":""),1,2),)"),"BIOCON")</f>
        <v>BIOCON</v>
      </c>
      <c r="K216" s="48" t="str">
        <f t="shared" si="4"/>
        <v/>
      </c>
      <c r="L216" s="48">
        <f t="shared" si="5"/>
        <v>421</v>
      </c>
      <c r="M216" s="48">
        <f t="shared" si="6"/>
        <v>123</v>
      </c>
      <c r="N216" s="50">
        <f>IFERROR(__xludf.DUMMYFUNCTION("IFERROR(GOOGLEFINANCE(A216,""TRADETIME""),)"),46269.64583333333)</f>
        <v>46269.64583</v>
      </c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</row>
    <row r="217" ht="15.75" customHeight="1">
      <c r="A217" s="51" t="s">
        <v>263</v>
      </c>
      <c r="B217" s="51" t="str">
        <f>IFERROR(__xludf.DUMMYFUNCTION("IFERROR(GOOGLEFINANCE(A217,""NAME""),)"),"Biofil Chemicals and Pharmaceuticals Ltd")</f>
        <v>Biofil Chemicals and Pharmaceuticals Ltd</v>
      </c>
      <c r="C217" s="51">
        <f>IFERROR(__xludf.DUMMYFUNCTION("IFERROR(GOOGLEFINANCE(A217,""CHANGE""),)"),-0.12)</f>
        <v>-0.12</v>
      </c>
      <c r="D217" s="51">
        <f>IFERROR(__xludf.DUMMYFUNCTION("IFERROR(GOOGLEFINANCE(A217,""CHANGEPCT""),)"),-0.38)</f>
        <v>-0.38</v>
      </c>
      <c r="E217" s="51" t="str">
        <f t="shared" si="1"/>
        <v>-0.38%</v>
      </c>
      <c r="F217" s="51" t="str">
        <f t="shared" si="2"/>
        <v/>
      </c>
      <c r="G217" s="51">
        <f t="shared" si="3"/>
        <v>-0.38</v>
      </c>
      <c r="H217" s="51">
        <f>IFERROR(__xludf.DUMMYFUNCTION("IFERROR(GOOGLEFINANCE(A217,""PRICE""),)"),31.85)</f>
        <v>31.85</v>
      </c>
      <c r="I217" s="52">
        <f>IFERROR(__xludf.DUMMYFUNCTION("IFERROR(GOOGLEFINANCE(A217,""VOLUME""),)"),5543.0)</f>
        <v>5543</v>
      </c>
      <c r="J217" s="51" t="str">
        <f>IFERROR(__xludf.DUMMYFUNCTION("IFERROR(INDEX(SPLIT(A217,"":""),1,2),)"),"BIOFILCHEM")</f>
        <v>BIOFILCHEM</v>
      </c>
      <c r="K217" s="51" t="str">
        <f t="shared" si="4"/>
        <v/>
      </c>
      <c r="L217" s="51">
        <f t="shared" si="5"/>
        <v>146</v>
      </c>
      <c r="M217" s="51">
        <f t="shared" si="6"/>
        <v>1317</v>
      </c>
      <c r="N217" s="53">
        <f>IFERROR(__xludf.DUMMYFUNCTION("IFERROR(GOOGLEFINANCE(A217,""TRADETIME""),)"),46269.64583333333)</f>
        <v>46269.64583</v>
      </c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</row>
    <row r="218" ht="15.75" customHeight="1">
      <c r="A218" s="48" t="s">
        <v>264</v>
      </c>
      <c r="B218" s="48" t="str">
        <f>IFERROR(__xludf.DUMMYFUNCTION("IFERROR(GOOGLEFINANCE(A218,""NAME""),)"),"Birla Cable Ltd")</f>
        <v>Birla Cable Ltd</v>
      </c>
      <c r="C218" s="48">
        <f>IFERROR(__xludf.DUMMYFUNCTION("IFERROR(GOOGLEFINANCE(A218,""CHANGE""),)"),17.9)</f>
        <v>17.9</v>
      </c>
      <c r="D218" s="48">
        <f>IFERROR(__xludf.DUMMYFUNCTION("IFERROR(GOOGLEFINANCE(A218,""CHANGEPCT""),)"),4.99)</f>
        <v>4.99</v>
      </c>
      <c r="E218" s="48" t="str">
        <f t="shared" si="1"/>
        <v>4.99%</v>
      </c>
      <c r="F218" s="48">
        <f t="shared" si="2"/>
        <v>4.99</v>
      </c>
      <c r="G218" s="48" t="str">
        <f t="shared" si="3"/>
        <v/>
      </c>
      <c r="H218" s="48">
        <f>IFERROR(__xludf.DUMMYFUNCTION("IFERROR(GOOGLEFINANCE(A218,""PRICE""),)"),376.55)</f>
        <v>376.55</v>
      </c>
      <c r="I218" s="49">
        <f>IFERROR(__xludf.DUMMYFUNCTION("IFERROR(GOOGLEFINANCE(A218,""VOLUME""),)"),174752.0)</f>
        <v>174752</v>
      </c>
      <c r="J218" s="48" t="str">
        <f>IFERROR(__xludf.DUMMYFUNCTION("IFERROR(INDEX(SPLIT(A218,"":""),1,2),)"),"BIRLACABLE")</f>
        <v>BIRLACABLE</v>
      </c>
      <c r="K218" s="48">
        <f t="shared" si="4"/>
        <v>64</v>
      </c>
      <c r="L218" s="48" t="str">
        <f t="shared" si="5"/>
        <v/>
      </c>
      <c r="M218" s="48">
        <f t="shared" si="6"/>
        <v>654</v>
      </c>
      <c r="N218" s="50">
        <f>IFERROR(__xludf.DUMMYFUNCTION("IFERROR(GOOGLEFINANCE(A218,""TRADETIME""),)"),46269.64583333333)</f>
        <v>46269.64583</v>
      </c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</row>
    <row r="219" ht="15.75" customHeight="1">
      <c r="A219" s="51" t="s">
        <v>265</v>
      </c>
      <c r="B219" s="51" t="str">
        <f>IFERROR(__xludf.DUMMYFUNCTION("IFERROR(GOOGLEFINANCE(A219,""NAME""),)"),"Birla Corporation Ltd")</f>
        <v>Birla Corporation Ltd</v>
      </c>
      <c r="C219" s="51">
        <f>IFERROR(__xludf.DUMMYFUNCTION("IFERROR(GOOGLEFINANCE(A219,""CHANGE""),)"),11.1)</f>
        <v>11.1</v>
      </c>
      <c r="D219" s="51">
        <f>IFERROR(__xludf.DUMMYFUNCTION("IFERROR(GOOGLEFINANCE(A219,""CHANGEPCT""),)"),1.26)</f>
        <v>1.26</v>
      </c>
      <c r="E219" s="51" t="str">
        <f t="shared" si="1"/>
        <v>1.26%</v>
      </c>
      <c r="F219" s="51">
        <f t="shared" si="2"/>
        <v>1.26</v>
      </c>
      <c r="G219" s="51" t="str">
        <f t="shared" si="3"/>
        <v/>
      </c>
      <c r="H219" s="51">
        <f>IFERROR(__xludf.DUMMYFUNCTION("IFERROR(GOOGLEFINANCE(A219,""PRICE""),)"),892.0)</f>
        <v>892</v>
      </c>
      <c r="I219" s="52">
        <f>IFERROR(__xludf.DUMMYFUNCTION("IFERROR(GOOGLEFINANCE(A219,""VOLUME""),)"),48723.0)</f>
        <v>48723</v>
      </c>
      <c r="J219" s="51" t="str">
        <f>IFERROR(__xludf.DUMMYFUNCTION("IFERROR(INDEX(SPLIT(A219,"":""),1,2),)"),"BIRLACORPN")</f>
        <v>BIRLACORPN</v>
      </c>
      <c r="K219" s="51">
        <f t="shared" si="4"/>
        <v>390</v>
      </c>
      <c r="L219" s="51" t="str">
        <f t="shared" si="5"/>
        <v/>
      </c>
      <c r="M219" s="51">
        <f t="shared" si="6"/>
        <v>953</v>
      </c>
      <c r="N219" s="53">
        <f>IFERROR(__xludf.DUMMYFUNCTION("IFERROR(GOOGLEFINANCE(A219,""TRADETIME""),)"),46269.64585648148)</f>
        <v>46269.64586</v>
      </c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</row>
    <row r="220" ht="15.75" customHeight="1">
      <c r="A220" s="48" t="s">
        <v>266</v>
      </c>
      <c r="B220" s="48" t="str">
        <f>IFERROR(__xludf.DUMMYFUNCTION("IFERROR(GOOGLEFINANCE(A220,""NAME""),)"),"Aditya Birla Money Ltd")</f>
        <v>Aditya Birla Money Ltd</v>
      </c>
      <c r="C220" s="48">
        <f>IFERROR(__xludf.DUMMYFUNCTION("IFERROR(GOOGLEFINANCE(A220,""CHANGE""),)"),-0.86)</f>
        <v>-0.86</v>
      </c>
      <c r="D220" s="48">
        <f>IFERROR(__xludf.DUMMYFUNCTION("IFERROR(GOOGLEFINANCE(A220,""CHANGEPCT""),)"),-0.68)</f>
        <v>-0.68</v>
      </c>
      <c r="E220" s="48" t="str">
        <f t="shared" si="1"/>
        <v>-0.68%</v>
      </c>
      <c r="F220" s="48" t="str">
        <f t="shared" si="2"/>
        <v/>
      </c>
      <c r="G220" s="48">
        <f t="shared" si="3"/>
        <v>-0.68</v>
      </c>
      <c r="H220" s="48">
        <f>IFERROR(__xludf.DUMMYFUNCTION("IFERROR(GOOGLEFINANCE(A220,""PRICE""),)"),126.29)</f>
        <v>126.29</v>
      </c>
      <c r="I220" s="49">
        <f>IFERROR(__xludf.DUMMYFUNCTION("IFERROR(GOOGLEFINANCE(A220,""VOLUME""),)"),62184.0)</f>
        <v>62184</v>
      </c>
      <c r="J220" s="48" t="str">
        <f>IFERROR(__xludf.DUMMYFUNCTION("IFERROR(INDEX(SPLIT(A220,"":""),1,2),)"),"BIRLAMONEY")</f>
        <v>BIRLAMONEY</v>
      </c>
      <c r="K220" s="48" t="str">
        <f t="shared" si="4"/>
        <v/>
      </c>
      <c r="L220" s="48">
        <f t="shared" si="5"/>
        <v>253</v>
      </c>
      <c r="M220" s="48">
        <f t="shared" si="6"/>
        <v>893</v>
      </c>
      <c r="N220" s="50">
        <f>IFERROR(__xludf.DUMMYFUNCTION("IFERROR(GOOGLEFINANCE(A220,""TRADETIME""),)"),46269.64583333333)</f>
        <v>46269.64583</v>
      </c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</row>
    <row r="221" ht="15.75" customHeight="1">
      <c r="A221" s="51" t="s">
        <v>267</v>
      </c>
      <c r="B221" s="51" t="str">
        <f>IFERROR(__xludf.DUMMYFUNCTION("IFERROR(GOOGLEFINANCE(A221,""NAME""),)"),"")</f>
        <v/>
      </c>
      <c r="C221" s="51" t="str">
        <f>IFERROR(__xludf.DUMMYFUNCTION("IFERROR(GOOGLEFINANCE(A221,""CHANGE""),)"),"")</f>
        <v/>
      </c>
      <c r="D221" s="51" t="str">
        <f>IFERROR(__xludf.DUMMYFUNCTION("IFERROR(GOOGLEFINANCE(A221,""CHANGEPCT""),)"),"")</f>
        <v/>
      </c>
      <c r="E221" s="51" t="str">
        <f t="shared" si="1"/>
        <v>%</v>
      </c>
      <c r="F221" s="51" t="str">
        <f t="shared" si="2"/>
        <v/>
      </c>
      <c r="G221" s="51" t="str">
        <f t="shared" si="3"/>
        <v/>
      </c>
      <c r="H221" s="51" t="str">
        <f>IFERROR(__xludf.DUMMYFUNCTION("IFERROR(GOOGLEFINANCE(A221,""PRICE""),)"),"")</f>
        <v/>
      </c>
      <c r="I221" s="52" t="str">
        <f>IFERROR(__xludf.DUMMYFUNCTION("IFERROR(GOOGLEFINANCE(A221,""VOLUME""),)"),"")</f>
        <v/>
      </c>
      <c r="J221" s="51" t="str">
        <f>IFERROR(__xludf.DUMMYFUNCTION("IFERROR(INDEX(SPLIT(A221,"":""),1,2),)"),"BIRLATYRE")</f>
        <v>BIRLATYRE</v>
      </c>
      <c r="K221" s="51" t="str">
        <f t="shared" si="4"/>
        <v/>
      </c>
      <c r="L221" s="51" t="str">
        <f t="shared" si="5"/>
        <v/>
      </c>
      <c r="M221" s="51">
        <f t="shared" si="6"/>
        <v>1456</v>
      </c>
      <c r="N221" s="53" t="str">
        <f>IFERROR(__xludf.DUMMYFUNCTION("IFERROR(GOOGLEFINANCE(A221,""TRADETIME""),)"),"")</f>
        <v/>
      </c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</row>
    <row r="222" ht="15.75" customHeight="1">
      <c r="A222" s="48" t="s">
        <v>268</v>
      </c>
      <c r="B222" s="48" t="str">
        <f>IFERROR(__xludf.DUMMYFUNCTION("IFERROR(GOOGLEFINANCE(A222,""NAME""),)"),"")</f>
        <v/>
      </c>
      <c r="C222" s="48" t="str">
        <f>IFERROR(__xludf.DUMMYFUNCTION("IFERROR(GOOGLEFINANCE(A222,""CHANGE""),)"),"")</f>
        <v/>
      </c>
      <c r="D222" s="48" t="str">
        <f>IFERROR(__xludf.DUMMYFUNCTION("IFERROR(GOOGLEFINANCE(A222,""CHANGEPCT""),)"),"")</f>
        <v/>
      </c>
      <c r="E222" s="48" t="str">
        <f t="shared" si="1"/>
        <v>%</v>
      </c>
      <c r="F222" s="48" t="str">
        <f t="shared" si="2"/>
        <v/>
      </c>
      <c r="G222" s="48" t="str">
        <f t="shared" si="3"/>
        <v/>
      </c>
      <c r="H222" s="48" t="str">
        <f>IFERROR(__xludf.DUMMYFUNCTION("IFERROR(GOOGLEFINANCE(A222,""PRICE""),)"),"")</f>
        <v/>
      </c>
      <c r="I222" s="49" t="str">
        <f>IFERROR(__xludf.DUMMYFUNCTION("IFERROR(GOOGLEFINANCE(A222,""VOLUME""),)"),"")</f>
        <v/>
      </c>
      <c r="J222" s="48" t="str">
        <f>IFERROR(__xludf.DUMMYFUNCTION("IFERROR(INDEX(SPLIT(A222,"":""),1,2),)"),"BKMINDST")</f>
        <v>BKMINDST</v>
      </c>
      <c r="K222" s="48" t="str">
        <f t="shared" si="4"/>
        <v/>
      </c>
      <c r="L222" s="48" t="str">
        <f t="shared" si="5"/>
        <v/>
      </c>
      <c r="M222" s="48">
        <f t="shared" si="6"/>
        <v>1456</v>
      </c>
      <c r="N222" s="50" t="str">
        <f>IFERROR(__xludf.DUMMYFUNCTION("IFERROR(GOOGLEFINANCE(A222,""TRADETIME""),)"),"")</f>
        <v/>
      </c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</row>
    <row r="223" ht="15.75" customHeight="1">
      <c r="A223" s="51" t="s">
        <v>269</v>
      </c>
      <c r="B223" s="51" t="str">
        <f>IFERROR(__xludf.DUMMYFUNCTION("IFERROR(GOOGLEFINANCE(A223,""NAME""),)"),"BLB Ltd")</f>
        <v>BLB Ltd</v>
      </c>
      <c r="C223" s="51">
        <f>IFERROR(__xludf.DUMMYFUNCTION("IFERROR(GOOGLEFINANCE(A223,""CHANGE""),)"),-0.01)</f>
        <v>-0.01</v>
      </c>
      <c r="D223" s="51">
        <f>IFERROR(__xludf.DUMMYFUNCTION("IFERROR(GOOGLEFINANCE(A223,""CHANGEPCT""),)"),-0.06)</f>
        <v>-0.06</v>
      </c>
      <c r="E223" s="51" t="str">
        <f t="shared" si="1"/>
        <v>-0.06%</v>
      </c>
      <c r="F223" s="51" t="str">
        <f t="shared" si="2"/>
        <v/>
      </c>
      <c r="G223" s="51">
        <f t="shared" si="3"/>
        <v>-0.06</v>
      </c>
      <c r="H223" s="51">
        <f>IFERROR(__xludf.DUMMYFUNCTION("IFERROR(GOOGLEFINANCE(A223,""PRICE""),)"),16.95)</f>
        <v>16.95</v>
      </c>
      <c r="I223" s="52">
        <f>IFERROR(__xludf.DUMMYFUNCTION("IFERROR(GOOGLEFINANCE(A223,""VOLUME""),)"),117198.0)</f>
        <v>117198</v>
      </c>
      <c r="J223" s="51" t="str">
        <f>IFERROR(__xludf.DUMMYFUNCTION("IFERROR(INDEX(SPLIT(A223,"":""),1,2),)"),"BLBLIMITED")</f>
        <v>BLBLIMITED</v>
      </c>
      <c r="K223" s="51" t="str">
        <f t="shared" si="4"/>
        <v/>
      </c>
      <c r="L223" s="51">
        <f t="shared" si="5"/>
        <v>17</v>
      </c>
      <c r="M223" s="51">
        <f t="shared" si="6"/>
        <v>744</v>
      </c>
      <c r="N223" s="53">
        <f>IFERROR(__xludf.DUMMYFUNCTION("IFERROR(GOOGLEFINANCE(A223,""TRADETIME""),)"),46269.64583333333)</f>
        <v>46269.64583</v>
      </c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</row>
    <row r="224" ht="15.75" customHeight="1">
      <c r="A224" s="48" t="s">
        <v>270</v>
      </c>
      <c r="B224" s="48" t="str">
        <f>IFERROR(__xludf.DUMMYFUNCTION("IFERROR(GOOGLEFINANCE(A224,""NAME""),)"),"Bliss GVS Pharma Ltd")</f>
        <v>Bliss GVS Pharma Ltd</v>
      </c>
      <c r="C224" s="48">
        <f>IFERROR(__xludf.DUMMYFUNCTION("IFERROR(GOOGLEFINANCE(A224,""CHANGE""),)"),31.95)</f>
        <v>31.95</v>
      </c>
      <c r="D224" s="48">
        <f>IFERROR(__xludf.DUMMYFUNCTION("IFERROR(GOOGLEFINANCE(A224,""CHANGEPCT""),)"),5.0)</f>
        <v>5</v>
      </c>
      <c r="E224" s="48" t="str">
        <f t="shared" si="1"/>
        <v>5%</v>
      </c>
      <c r="F224" s="48">
        <f t="shared" si="2"/>
        <v>5</v>
      </c>
      <c r="G224" s="48" t="str">
        <f t="shared" si="3"/>
        <v/>
      </c>
      <c r="H224" s="48">
        <f>IFERROR(__xludf.DUMMYFUNCTION("IFERROR(GOOGLEFINANCE(A224,""PRICE""),)"),671.3)</f>
        <v>671.3</v>
      </c>
      <c r="I224" s="49">
        <f>IFERROR(__xludf.DUMMYFUNCTION("IFERROR(GOOGLEFINANCE(A224,""VOLUME""),)"),347698.0)</f>
        <v>347698</v>
      </c>
      <c r="J224" s="48" t="str">
        <f>IFERROR(__xludf.DUMMYFUNCTION("IFERROR(INDEX(SPLIT(A224,"":""),1,2),)"),"BLISSGVS")</f>
        <v>BLISSGVS</v>
      </c>
      <c r="K224" s="48">
        <f t="shared" si="4"/>
        <v>54</v>
      </c>
      <c r="L224" s="48" t="str">
        <f t="shared" si="5"/>
        <v/>
      </c>
      <c r="M224" s="48">
        <f t="shared" si="6"/>
        <v>474</v>
      </c>
      <c r="N224" s="50">
        <f>IFERROR(__xludf.DUMMYFUNCTION("IFERROR(GOOGLEFINANCE(A224,""TRADETIME""),)"),46269.64583333333)</f>
        <v>46269.64583</v>
      </c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</row>
    <row r="225" ht="15.75" customHeight="1">
      <c r="A225" s="51" t="s">
        <v>271</v>
      </c>
      <c r="B225" s="51" t="str">
        <f>IFERROR(__xludf.DUMMYFUNCTION("IFERROR(GOOGLEFINANCE(A225,""NAME""),)"),"B L Kashyap and Sons Ltd")</f>
        <v>B L Kashyap and Sons Ltd</v>
      </c>
      <c r="C225" s="51">
        <f>IFERROR(__xludf.DUMMYFUNCTION("IFERROR(GOOGLEFINANCE(A225,""CHANGE""),)"),1.8)</f>
        <v>1.8</v>
      </c>
      <c r="D225" s="51">
        <f>IFERROR(__xludf.DUMMYFUNCTION("IFERROR(GOOGLEFINANCE(A225,""CHANGEPCT""),)"),3.13)</f>
        <v>3.13</v>
      </c>
      <c r="E225" s="51" t="str">
        <f t="shared" si="1"/>
        <v>3.13%</v>
      </c>
      <c r="F225" s="51">
        <f t="shared" si="2"/>
        <v>3.13</v>
      </c>
      <c r="G225" s="51" t="str">
        <f t="shared" si="3"/>
        <v/>
      </c>
      <c r="H225" s="51">
        <f>IFERROR(__xludf.DUMMYFUNCTION("IFERROR(GOOGLEFINANCE(A225,""PRICE""),)"),59.4)</f>
        <v>59.4</v>
      </c>
      <c r="I225" s="52">
        <f>IFERROR(__xludf.DUMMYFUNCTION("IFERROR(GOOGLEFINANCE(A225,""VOLUME""),)"),2983058.0)</f>
        <v>2983058</v>
      </c>
      <c r="J225" s="51" t="str">
        <f>IFERROR(__xludf.DUMMYFUNCTION("IFERROR(INDEX(SPLIT(A225,"":""),1,2),)"),"BLKASHYAP")</f>
        <v>BLKASHYAP</v>
      </c>
      <c r="K225" s="51">
        <f t="shared" si="4"/>
        <v>156</v>
      </c>
      <c r="L225" s="51" t="str">
        <f t="shared" si="5"/>
        <v/>
      </c>
      <c r="M225" s="51">
        <f t="shared" si="6"/>
        <v>126</v>
      </c>
      <c r="N225" s="53">
        <f>IFERROR(__xludf.DUMMYFUNCTION("IFERROR(GOOGLEFINANCE(A225,""TRADETIME""),)"),46269.64583333333)</f>
        <v>46269.64583</v>
      </c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</row>
    <row r="226" ht="15.75" customHeight="1">
      <c r="A226" s="48" t="s">
        <v>272</v>
      </c>
      <c r="B226" s="48" t="str">
        <f>IFERROR(__xludf.DUMMYFUNCTION("IFERROR(GOOGLEFINANCE(A226,""NAME""),)"),"BLS International Services Ltd")</f>
        <v>BLS International Services Ltd</v>
      </c>
      <c r="C226" s="48">
        <f>IFERROR(__xludf.DUMMYFUNCTION("IFERROR(GOOGLEFINANCE(A226,""CHANGE""),)"),0.85)</f>
        <v>0.85</v>
      </c>
      <c r="D226" s="48">
        <f>IFERROR(__xludf.DUMMYFUNCTION("IFERROR(GOOGLEFINANCE(A226,""CHANGEPCT""),)"),0.35)</f>
        <v>0.35</v>
      </c>
      <c r="E226" s="48" t="str">
        <f t="shared" si="1"/>
        <v>0.35%</v>
      </c>
      <c r="F226" s="48">
        <f t="shared" si="2"/>
        <v>0.35</v>
      </c>
      <c r="G226" s="48" t="str">
        <f t="shared" si="3"/>
        <v/>
      </c>
      <c r="H226" s="48">
        <f>IFERROR(__xludf.DUMMYFUNCTION("IFERROR(GOOGLEFINANCE(A226,""PRICE""),)"),241.0)</f>
        <v>241</v>
      </c>
      <c r="I226" s="49">
        <f>IFERROR(__xludf.DUMMYFUNCTION("IFERROR(GOOGLEFINANCE(A226,""VOLUME""),)"),646943.0)</f>
        <v>646943</v>
      </c>
      <c r="J226" s="48" t="str">
        <f>IFERROR(__xludf.DUMMYFUNCTION("IFERROR(INDEX(SPLIT(A226,"":""),1,2),)"),"BLS")</f>
        <v>BLS</v>
      </c>
      <c r="K226" s="48">
        <f t="shared" si="4"/>
        <v>641</v>
      </c>
      <c r="L226" s="48" t="str">
        <f t="shared" si="5"/>
        <v/>
      </c>
      <c r="M226" s="48">
        <f t="shared" si="6"/>
        <v>345</v>
      </c>
      <c r="N226" s="50">
        <f>IFERROR(__xludf.DUMMYFUNCTION("IFERROR(GOOGLEFINANCE(A226,""TRADETIME""),)"),46269.64584490741)</f>
        <v>46269.64584</v>
      </c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</row>
    <row r="227" ht="15.75" customHeight="1">
      <c r="A227" s="51" t="s">
        <v>273</v>
      </c>
      <c r="B227" s="51" t="str">
        <f>IFERROR(__xludf.DUMMYFUNCTION("IFERROR(GOOGLEFINANCE(A227,""NAME""),)"),"Blue Dart Express Ltd")</f>
        <v>Blue Dart Express Ltd</v>
      </c>
      <c r="C227" s="51">
        <f>IFERROR(__xludf.DUMMYFUNCTION("IFERROR(GOOGLEFINANCE(A227,""CHANGE""),)"),-28.8)</f>
        <v>-28.8</v>
      </c>
      <c r="D227" s="51">
        <f>IFERROR(__xludf.DUMMYFUNCTION("IFERROR(GOOGLEFINANCE(A227,""CHANGEPCT""),)"),-0.57)</f>
        <v>-0.57</v>
      </c>
      <c r="E227" s="51" t="str">
        <f t="shared" si="1"/>
        <v>-0.57%</v>
      </c>
      <c r="F227" s="51" t="str">
        <f t="shared" si="2"/>
        <v/>
      </c>
      <c r="G227" s="51">
        <f t="shared" si="3"/>
        <v>-0.57</v>
      </c>
      <c r="H227" s="51">
        <f>IFERROR(__xludf.DUMMYFUNCTION("IFERROR(GOOGLEFINANCE(A227,""PRICE""),)"),5000.0)</f>
        <v>5000</v>
      </c>
      <c r="I227" s="52">
        <f>IFERROR(__xludf.DUMMYFUNCTION("IFERROR(GOOGLEFINANCE(A227,""VOLUME""),)"),5838.0)</f>
        <v>5838</v>
      </c>
      <c r="J227" s="51" t="str">
        <f>IFERROR(__xludf.DUMMYFUNCTION("IFERROR(INDEX(SPLIT(A227,"":""),1,2),)"),"BLUEDART")</f>
        <v>BLUEDART</v>
      </c>
      <c r="K227" s="51" t="str">
        <f t="shared" si="4"/>
        <v/>
      </c>
      <c r="L227" s="51">
        <f t="shared" si="5"/>
        <v>217</v>
      </c>
      <c r="M227" s="51">
        <f t="shared" si="6"/>
        <v>1309</v>
      </c>
      <c r="N227" s="53">
        <f>IFERROR(__xludf.DUMMYFUNCTION("IFERROR(GOOGLEFINANCE(A227,""TRADETIME""),)"),46269.64583333333)</f>
        <v>46269.64583</v>
      </c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</row>
    <row r="228" ht="15.75" customHeight="1">
      <c r="A228" s="48" t="s">
        <v>274</v>
      </c>
      <c r="B228" s="48" t="str">
        <f>IFERROR(__xludf.DUMMYFUNCTION("IFERROR(GOOGLEFINANCE(A228,""NAME""),)"),"Blue Star Ltd")</f>
        <v>Blue Star Ltd</v>
      </c>
      <c r="C228" s="48">
        <f>IFERROR(__xludf.DUMMYFUNCTION("IFERROR(GOOGLEFINANCE(A228,""CHANGE""),)"),-1.7)</f>
        <v>-1.7</v>
      </c>
      <c r="D228" s="48">
        <f>IFERROR(__xludf.DUMMYFUNCTION("IFERROR(GOOGLEFINANCE(A228,""CHANGEPCT""),)"),-0.11)</f>
        <v>-0.11</v>
      </c>
      <c r="E228" s="48" t="str">
        <f t="shared" si="1"/>
        <v>-0.11%</v>
      </c>
      <c r="F228" s="48" t="str">
        <f t="shared" si="2"/>
        <v/>
      </c>
      <c r="G228" s="48">
        <f t="shared" si="3"/>
        <v>-0.11</v>
      </c>
      <c r="H228" s="48">
        <f>IFERROR(__xludf.DUMMYFUNCTION("IFERROR(GOOGLEFINANCE(A228,""PRICE""),)"),1484.0)</f>
        <v>1484</v>
      </c>
      <c r="I228" s="49">
        <f>IFERROR(__xludf.DUMMYFUNCTION("IFERROR(GOOGLEFINANCE(A228,""VOLUME""),)"),419549.0)</f>
        <v>419549</v>
      </c>
      <c r="J228" s="48" t="str">
        <f>IFERROR(__xludf.DUMMYFUNCTION("IFERROR(INDEX(SPLIT(A228,"":""),1,2),)"),"BLUESTARCO")</f>
        <v>BLUESTARCO</v>
      </c>
      <c r="K228" s="48" t="str">
        <f t="shared" si="4"/>
        <v/>
      </c>
      <c r="L228" s="48">
        <f t="shared" si="5"/>
        <v>37</v>
      </c>
      <c r="M228" s="48">
        <f t="shared" si="6"/>
        <v>434</v>
      </c>
      <c r="N228" s="50">
        <f>IFERROR(__xludf.DUMMYFUNCTION("IFERROR(GOOGLEFINANCE(A228,""TRADETIME""),)"),46269.64583333333)</f>
        <v>46269.64583</v>
      </c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</row>
    <row r="229" ht="15.75" customHeight="1">
      <c r="A229" s="51" t="s">
        <v>275</v>
      </c>
      <c r="B229" s="51" t="str">
        <f>IFERROR(__xludf.DUMMYFUNCTION("IFERROR(GOOGLEFINANCE(A229,""NAME""),)"),"Bodal Chemicals Ltd")</f>
        <v>Bodal Chemicals Ltd</v>
      </c>
      <c r="C229" s="51">
        <f>IFERROR(__xludf.DUMMYFUNCTION("IFERROR(GOOGLEFINANCE(A229,""CHANGE""),)"),4.73)</f>
        <v>4.73</v>
      </c>
      <c r="D229" s="51">
        <f>IFERROR(__xludf.DUMMYFUNCTION("IFERROR(GOOGLEFINANCE(A229,""CHANGEPCT""),)"),3.14)</f>
        <v>3.14</v>
      </c>
      <c r="E229" s="51" t="str">
        <f t="shared" si="1"/>
        <v>3.14%</v>
      </c>
      <c r="F229" s="51">
        <f t="shared" si="2"/>
        <v>3.14</v>
      </c>
      <c r="G229" s="51" t="str">
        <f t="shared" si="3"/>
        <v/>
      </c>
      <c r="H229" s="51">
        <f>IFERROR(__xludf.DUMMYFUNCTION("IFERROR(GOOGLEFINANCE(A229,""PRICE""),)"),155.49)</f>
        <v>155.49</v>
      </c>
      <c r="I229" s="52">
        <f>IFERROR(__xludf.DUMMYFUNCTION("IFERROR(GOOGLEFINANCE(A229,""VOLUME""),)"),5050468.0)</f>
        <v>5050468</v>
      </c>
      <c r="J229" s="51" t="str">
        <f>IFERROR(__xludf.DUMMYFUNCTION("IFERROR(INDEX(SPLIT(A229,"":""),1,2),)"),"BODALCHEM")</f>
        <v>BODALCHEM</v>
      </c>
      <c r="K229" s="51">
        <f t="shared" si="4"/>
        <v>154</v>
      </c>
      <c r="L229" s="51" t="str">
        <f t="shared" si="5"/>
        <v/>
      </c>
      <c r="M229" s="51">
        <f t="shared" si="6"/>
        <v>86</v>
      </c>
      <c r="N229" s="53">
        <f>IFERROR(__xludf.DUMMYFUNCTION("IFERROR(GOOGLEFINANCE(A229,""TRADETIME""),)"),46269.64584490741)</f>
        <v>46269.64584</v>
      </c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</row>
    <row r="230" ht="15.75" customHeight="1">
      <c r="A230" s="48" t="s">
        <v>276</v>
      </c>
      <c r="B230" s="48" t="str">
        <f>IFERROR(__xludf.DUMMYFUNCTION("IFERROR(GOOGLEFINANCE(A230,""NAME""),)"),"Bombay Dyeing and Mfg Co Ltd")</f>
        <v>Bombay Dyeing and Mfg Co Ltd</v>
      </c>
      <c r="C230" s="48">
        <f>IFERROR(__xludf.DUMMYFUNCTION("IFERROR(GOOGLEFINANCE(A230,""CHANGE""),)"),0.49)</f>
        <v>0.49</v>
      </c>
      <c r="D230" s="48">
        <f>IFERROR(__xludf.DUMMYFUNCTION("IFERROR(GOOGLEFINANCE(A230,""CHANGEPCT""),)"),0.43)</f>
        <v>0.43</v>
      </c>
      <c r="E230" s="48" t="str">
        <f t="shared" si="1"/>
        <v>0.43%</v>
      </c>
      <c r="F230" s="48">
        <f t="shared" si="2"/>
        <v>0.43</v>
      </c>
      <c r="G230" s="48" t="str">
        <f t="shared" si="3"/>
        <v/>
      </c>
      <c r="H230" s="48">
        <f>IFERROR(__xludf.DUMMYFUNCTION("IFERROR(GOOGLEFINANCE(A230,""PRICE""),)"),113.68)</f>
        <v>113.68</v>
      </c>
      <c r="I230" s="49">
        <f>IFERROR(__xludf.DUMMYFUNCTION("IFERROR(GOOGLEFINANCE(A230,""VOLUME""),)"),381464.0)</f>
        <v>381464</v>
      </c>
      <c r="J230" s="48" t="str">
        <f>IFERROR(__xludf.DUMMYFUNCTION("IFERROR(INDEX(SPLIT(A230,"":""),1,2),)"),"BOMDYEING")</f>
        <v>BOMDYEING</v>
      </c>
      <c r="K230" s="48">
        <f t="shared" si="4"/>
        <v>614</v>
      </c>
      <c r="L230" s="48" t="str">
        <f t="shared" si="5"/>
        <v/>
      </c>
      <c r="M230" s="48">
        <f t="shared" si="6"/>
        <v>455</v>
      </c>
      <c r="N230" s="50">
        <f>IFERROR(__xludf.DUMMYFUNCTION("IFERROR(GOOGLEFINANCE(A230,""TRADETIME""),)"),46269.64583333333)</f>
        <v>46269.64583</v>
      </c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</row>
    <row r="231" ht="15.75" customHeight="1">
      <c r="A231" s="51" t="s">
        <v>277</v>
      </c>
      <c r="B231" s="51" t="str">
        <f>IFERROR(__xludf.DUMMYFUNCTION("IFERROR(GOOGLEFINANCE(A231,""NAME""),)"),"Borosil Ltd")</f>
        <v>Borosil Ltd</v>
      </c>
      <c r="C231" s="51">
        <f>IFERROR(__xludf.DUMMYFUNCTION("IFERROR(GOOGLEFINANCE(A231,""CHANGE""),)"),10.08)</f>
        <v>10.08</v>
      </c>
      <c r="D231" s="51">
        <f>IFERROR(__xludf.DUMMYFUNCTION("IFERROR(GOOGLEFINANCE(A231,""CHANGEPCT""),)"),4.05)</f>
        <v>4.05</v>
      </c>
      <c r="E231" s="51" t="str">
        <f t="shared" si="1"/>
        <v>4.05%</v>
      </c>
      <c r="F231" s="51">
        <f t="shared" si="2"/>
        <v>4.05</v>
      </c>
      <c r="G231" s="51" t="str">
        <f t="shared" si="3"/>
        <v/>
      </c>
      <c r="H231" s="51">
        <f>IFERROR(__xludf.DUMMYFUNCTION("IFERROR(GOOGLEFINANCE(A231,""PRICE""),)"),258.71)</f>
        <v>258.71</v>
      </c>
      <c r="I231" s="52">
        <f>IFERROR(__xludf.DUMMYFUNCTION("IFERROR(GOOGLEFINANCE(A231,""VOLUME""),)"),265545.0)</f>
        <v>265545</v>
      </c>
      <c r="J231" s="51" t="str">
        <f>IFERROR(__xludf.DUMMYFUNCTION("IFERROR(INDEX(SPLIT(A231,"":""),1,2),)"),"BOROLTD")</f>
        <v>BOROLTD</v>
      </c>
      <c r="K231" s="51">
        <f t="shared" si="4"/>
        <v>115</v>
      </c>
      <c r="L231" s="51" t="str">
        <f t="shared" si="5"/>
        <v/>
      </c>
      <c r="M231" s="51">
        <f t="shared" si="6"/>
        <v>552</v>
      </c>
      <c r="N231" s="53">
        <f>IFERROR(__xludf.DUMMYFUNCTION("IFERROR(GOOGLEFINANCE(A231,""TRADETIME""),)"),46269.64584490741)</f>
        <v>46269.64584</v>
      </c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</row>
    <row r="232" ht="15.75" customHeight="1">
      <c r="A232" s="48" t="s">
        <v>278</v>
      </c>
      <c r="B232" s="48" t="str">
        <f>IFERROR(__xludf.DUMMYFUNCTION("IFERROR(GOOGLEFINANCE(A232,""NAME""),)"),"Borosil Renewables Ltd")</f>
        <v>Borosil Renewables Ltd</v>
      </c>
      <c r="C232" s="48">
        <f>IFERROR(__xludf.DUMMYFUNCTION("IFERROR(GOOGLEFINANCE(A232,""CHANGE""),)"),1.6)</f>
        <v>1.6</v>
      </c>
      <c r="D232" s="48">
        <f>IFERROR(__xludf.DUMMYFUNCTION("IFERROR(GOOGLEFINANCE(A232,""CHANGEPCT""),)"),0.32)</f>
        <v>0.32</v>
      </c>
      <c r="E232" s="48" t="str">
        <f t="shared" si="1"/>
        <v>0.32%</v>
      </c>
      <c r="F232" s="48">
        <f t="shared" si="2"/>
        <v>0.32</v>
      </c>
      <c r="G232" s="48" t="str">
        <f t="shared" si="3"/>
        <v/>
      </c>
      <c r="H232" s="48">
        <f>IFERROR(__xludf.DUMMYFUNCTION("IFERROR(GOOGLEFINANCE(A232,""PRICE""),)"),499.1)</f>
        <v>499.1</v>
      </c>
      <c r="I232" s="49">
        <f>IFERROR(__xludf.DUMMYFUNCTION("IFERROR(GOOGLEFINANCE(A232,""VOLUME""),)"),271428.0)</f>
        <v>271428</v>
      </c>
      <c r="J232" s="48" t="str">
        <f>IFERROR(__xludf.DUMMYFUNCTION("IFERROR(INDEX(SPLIT(A232,"":""),1,2),)"),"BORORENEW")</f>
        <v>BORORENEW</v>
      </c>
      <c r="K232" s="48">
        <f t="shared" si="4"/>
        <v>654</v>
      </c>
      <c r="L232" s="48" t="str">
        <f t="shared" si="5"/>
        <v/>
      </c>
      <c r="M232" s="48">
        <f t="shared" si="6"/>
        <v>547</v>
      </c>
      <c r="N232" s="50">
        <f>IFERROR(__xludf.DUMMYFUNCTION("IFERROR(GOOGLEFINANCE(A232,""TRADETIME""),)"),46269.64584490741)</f>
        <v>46269.64584</v>
      </c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</row>
    <row r="233" ht="15.75" customHeight="1">
      <c r="A233" s="51" t="s">
        <v>279</v>
      </c>
      <c r="B233" s="51" t="str">
        <f>IFERROR(__xludf.DUMMYFUNCTION("IFERROR(GOOGLEFINANCE(A233,""NAME""),)"),"Bosch Ltd")</f>
        <v>Bosch Ltd</v>
      </c>
      <c r="C233" s="51">
        <f>IFERROR(__xludf.DUMMYFUNCTION("IFERROR(GOOGLEFINANCE(A233,""CHANGE""),)"),-150.0)</f>
        <v>-150</v>
      </c>
      <c r="D233" s="51">
        <f>IFERROR(__xludf.DUMMYFUNCTION("IFERROR(GOOGLEFINANCE(A233,""CHANGEPCT""),)"),-0.32)</f>
        <v>-0.32</v>
      </c>
      <c r="E233" s="51" t="str">
        <f t="shared" si="1"/>
        <v>-0.32%</v>
      </c>
      <c r="F233" s="51" t="str">
        <f t="shared" si="2"/>
        <v/>
      </c>
      <c r="G233" s="51">
        <f t="shared" si="3"/>
        <v>-0.32</v>
      </c>
      <c r="H233" s="51">
        <f>IFERROR(__xludf.DUMMYFUNCTION("IFERROR(GOOGLEFINANCE(A233,""PRICE""),)"),46850.0)</f>
        <v>46850</v>
      </c>
      <c r="I233" s="52">
        <f>IFERROR(__xludf.DUMMYFUNCTION("IFERROR(GOOGLEFINANCE(A233,""VOLUME""),)"),16913.0)</f>
        <v>16913</v>
      </c>
      <c r="J233" s="51" t="str">
        <f>IFERROR(__xludf.DUMMYFUNCTION("IFERROR(INDEX(SPLIT(A233,"":""),1,2),)"),"BOSCHLTD")</f>
        <v>BOSCHLTD</v>
      </c>
      <c r="K233" s="51" t="str">
        <f t="shared" si="4"/>
        <v/>
      </c>
      <c r="L233" s="51">
        <f t="shared" si="5"/>
        <v>123</v>
      </c>
      <c r="M233" s="51">
        <f t="shared" si="6"/>
        <v>1157</v>
      </c>
      <c r="N233" s="53">
        <f>IFERROR(__xludf.DUMMYFUNCTION("IFERROR(GOOGLEFINANCE(A233,""TRADETIME""),)"),46269.64583333333)</f>
        <v>46269.64583</v>
      </c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</row>
    <row r="234" ht="15.75" customHeight="1">
      <c r="A234" s="48" t="s">
        <v>280</v>
      </c>
      <c r="B234" s="48" t="str">
        <f>IFERROR(__xludf.DUMMYFUNCTION("IFERROR(GOOGLEFINANCE(A234,""NAME""),)"),"Bharat Petroleum Corporation Limited")</f>
        <v>Bharat Petroleum Corporation Limited</v>
      </c>
      <c r="C234" s="48">
        <f>IFERROR(__xludf.DUMMYFUNCTION("IFERROR(GOOGLEFINANCE(A234,""CHANGE""),)"),-3.15)</f>
        <v>-3.15</v>
      </c>
      <c r="D234" s="48">
        <f>IFERROR(__xludf.DUMMYFUNCTION("IFERROR(GOOGLEFINANCE(A234,""CHANGEPCT""),)"),-0.98)</f>
        <v>-0.98</v>
      </c>
      <c r="E234" s="48" t="str">
        <f t="shared" si="1"/>
        <v>-0.98%</v>
      </c>
      <c r="F234" s="48" t="str">
        <f t="shared" si="2"/>
        <v/>
      </c>
      <c r="G234" s="48">
        <f t="shared" si="3"/>
        <v>-0.98</v>
      </c>
      <c r="H234" s="48">
        <f>IFERROR(__xludf.DUMMYFUNCTION("IFERROR(GOOGLEFINANCE(A234,""PRICE""),)"),316.9)</f>
        <v>316.9</v>
      </c>
      <c r="I234" s="49">
        <f>IFERROR(__xludf.DUMMYFUNCTION("IFERROR(GOOGLEFINANCE(A234,""VOLUME""),)"),1834819.0)</f>
        <v>1834819</v>
      </c>
      <c r="J234" s="48" t="str">
        <f>IFERROR(__xludf.DUMMYFUNCTION("IFERROR(INDEX(SPLIT(A234,"":""),1,2),)"),"BPCL")</f>
        <v>BPCL</v>
      </c>
      <c r="K234" s="48" t="str">
        <f t="shared" si="4"/>
        <v/>
      </c>
      <c r="L234" s="48">
        <f t="shared" si="5"/>
        <v>333</v>
      </c>
      <c r="M234" s="48">
        <f t="shared" si="6"/>
        <v>180</v>
      </c>
      <c r="N234" s="50">
        <f>IFERROR(__xludf.DUMMYFUNCTION("IFERROR(GOOGLEFINANCE(A234,""TRADETIME""),)"),46269.64583333333)</f>
        <v>46269.64583</v>
      </c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</row>
    <row r="235" ht="15.75" customHeight="1">
      <c r="A235" s="51" t="s">
        <v>281</v>
      </c>
      <c r="B235" s="51" t="str">
        <f>IFERROR(__xludf.DUMMYFUNCTION("IFERROR(GOOGLEFINANCE(A235,""NAME""),)"),"BPL Ltd")</f>
        <v>BPL Ltd</v>
      </c>
      <c r="C235" s="51">
        <f>IFERROR(__xludf.DUMMYFUNCTION("IFERROR(GOOGLEFINANCE(A235,""CHANGE""),)"),-0.01)</f>
        <v>-0.01</v>
      </c>
      <c r="D235" s="51">
        <f>IFERROR(__xludf.DUMMYFUNCTION("IFERROR(GOOGLEFINANCE(A235,""CHANGEPCT""),)"),-0.02)</f>
        <v>-0.02</v>
      </c>
      <c r="E235" s="51" t="str">
        <f t="shared" si="1"/>
        <v>-0.02%</v>
      </c>
      <c r="F235" s="51" t="str">
        <f t="shared" si="2"/>
        <v/>
      </c>
      <c r="G235" s="51">
        <f t="shared" si="3"/>
        <v>-0.02</v>
      </c>
      <c r="H235" s="51">
        <f>IFERROR(__xludf.DUMMYFUNCTION("IFERROR(GOOGLEFINANCE(A235,""PRICE""),)"),49.3)</f>
        <v>49.3</v>
      </c>
      <c r="I235" s="52">
        <f>IFERROR(__xludf.DUMMYFUNCTION("IFERROR(GOOGLEFINANCE(A235,""VOLUME""),)"),56301.0)</f>
        <v>56301</v>
      </c>
      <c r="J235" s="51" t="str">
        <f>IFERROR(__xludf.DUMMYFUNCTION("IFERROR(INDEX(SPLIT(A235,"":""),1,2),)"),"BPL")</f>
        <v>BPL</v>
      </c>
      <c r="K235" s="51" t="str">
        <f t="shared" si="4"/>
        <v/>
      </c>
      <c r="L235" s="51">
        <f t="shared" si="5"/>
        <v>2</v>
      </c>
      <c r="M235" s="51">
        <f t="shared" si="6"/>
        <v>918</v>
      </c>
      <c r="N235" s="53">
        <f>IFERROR(__xludf.DUMMYFUNCTION("IFERROR(GOOGLEFINANCE(A235,""TRADETIME""),)"),46269.64583333333)</f>
        <v>46269.64583</v>
      </c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</row>
    <row r="236" ht="15.75" customHeight="1">
      <c r="A236" s="48" t="s">
        <v>282</v>
      </c>
      <c r="B236" s="48" t="str">
        <f>IFERROR(__xludf.DUMMYFUNCTION("IFERROR(GOOGLEFINANCE(A236,""NAME""),)"),"Brigade Enterprises Limited")</f>
        <v>Brigade Enterprises Limited</v>
      </c>
      <c r="C236" s="48">
        <f>IFERROR(__xludf.DUMMYFUNCTION("IFERROR(GOOGLEFINANCE(A236,""CHANGE""),)"),-19.3)</f>
        <v>-19.3</v>
      </c>
      <c r="D236" s="48">
        <f>IFERROR(__xludf.DUMMYFUNCTION("IFERROR(GOOGLEFINANCE(A236,""CHANGEPCT""),)"),-2.71)</f>
        <v>-2.71</v>
      </c>
      <c r="E236" s="48" t="str">
        <f t="shared" si="1"/>
        <v>-2.71%</v>
      </c>
      <c r="F236" s="48" t="str">
        <f t="shared" si="2"/>
        <v/>
      </c>
      <c r="G236" s="48">
        <f t="shared" si="3"/>
        <v>-2.71</v>
      </c>
      <c r="H236" s="48">
        <f>IFERROR(__xludf.DUMMYFUNCTION("IFERROR(GOOGLEFINANCE(A236,""PRICE""),)"),693.0)</f>
        <v>693</v>
      </c>
      <c r="I236" s="49">
        <f>IFERROR(__xludf.DUMMYFUNCTION("IFERROR(GOOGLEFINANCE(A236,""VOLUME""),)"),1980508.0)</f>
        <v>1980508</v>
      </c>
      <c r="J236" s="48" t="str">
        <f>IFERROR(__xludf.DUMMYFUNCTION("IFERROR(INDEX(SPLIT(A236,"":""),1,2),)"),"BRIGADE")</f>
        <v>BRIGADE</v>
      </c>
      <c r="K236" s="48" t="str">
        <f t="shared" si="4"/>
        <v/>
      </c>
      <c r="L236" s="48">
        <f t="shared" si="5"/>
        <v>584</v>
      </c>
      <c r="M236" s="48">
        <f t="shared" si="6"/>
        <v>172</v>
      </c>
      <c r="N236" s="50">
        <f>IFERROR(__xludf.DUMMYFUNCTION("IFERROR(GOOGLEFINANCE(A236,""TRADETIME""),)"),46269.64584490741)</f>
        <v>46269.64584</v>
      </c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</row>
    <row r="237" ht="15.75" customHeight="1">
      <c r="A237" s="51" t="s">
        <v>283</v>
      </c>
      <c r="B237" s="51" t="str">
        <f>IFERROR(__xludf.DUMMYFUNCTION("IFERROR(GOOGLEFINANCE(A237,""NAME""),)"),"Britannia Industries Ltd")</f>
        <v>Britannia Industries Ltd</v>
      </c>
      <c r="C237" s="51">
        <f>IFERROR(__xludf.DUMMYFUNCTION("IFERROR(GOOGLEFINANCE(A237,""CHANGE""),)"),-32.0)</f>
        <v>-32</v>
      </c>
      <c r="D237" s="51">
        <f>IFERROR(__xludf.DUMMYFUNCTION("IFERROR(GOOGLEFINANCE(A237,""CHANGEPCT""),)"),-0.62)</f>
        <v>-0.62</v>
      </c>
      <c r="E237" s="51" t="str">
        <f t="shared" si="1"/>
        <v>-0.62%</v>
      </c>
      <c r="F237" s="51" t="str">
        <f t="shared" si="2"/>
        <v/>
      </c>
      <c r="G237" s="51">
        <f t="shared" si="3"/>
        <v>-0.62</v>
      </c>
      <c r="H237" s="51">
        <f>IFERROR(__xludf.DUMMYFUNCTION("IFERROR(GOOGLEFINANCE(A237,""PRICE""),)"),5098.0)</f>
        <v>5098</v>
      </c>
      <c r="I237" s="52">
        <f>IFERROR(__xludf.DUMMYFUNCTION("IFERROR(GOOGLEFINANCE(A237,""VOLUME""),)"),269673.0)</f>
        <v>269673</v>
      </c>
      <c r="J237" s="51" t="str">
        <f>IFERROR(__xludf.DUMMYFUNCTION("IFERROR(INDEX(SPLIT(A237,"":""),1,2),)"),"BRITANNIA")</f>
        <v>BRITANNIA</v>
      </c>
      <c r="K237" s="51" t="str">
        <f t="shared" si="4"/>
        <v/>
      </c>
      <c r="L237" s="51">
        <f t="shared" si="5"/>
        <v>229</v>
      </c>
      <c r="M237" s="51">
        <f t="shared" si="6"/>
        <v>549</v>
      </c>
      <c r="N237" s="53">
        <f>IFERROR(__xludf.DUMMYFUNCTION("IFERROR(GOOGLEFINANCE(A237,""TRADETIME""),)"),46269.64583333333)</f>
        <v>46269.64583</v>
      </c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</row>
    <row r="238" ht="15.75" customHeight="1">
      <c r="A238" s="48" t="s">
        <v>284</v>
      </c>
      <c r="B238" s="48" t="str">
        <f>IFERROR(__xludf.DUMMYFUNCTION("IFERROR(GOOGLEFINANCE(A238,""NAME""),)"),"Bharat Road Network Ltd")</f>
        <v>Bharat Road Network Ltd</v>
      </c>
      <c r="C238" s="48">
        <f>IFERROR(__xludf.DUMMYFUNCTION("IFERROR(GOOGLEFINANCE(A238,""CHANGE""),)"),0.13)</f>
        <v>0.13</v>
      </c>
      <c r="D238" s="48">
        <f>IFERROR(__xludf.DUMMYFUNCTION("IFERROR(GOOGLEFINANCE(A238,""CHANGEPCT""),)"),0.76)</f>
        <v>0.76</v>
      </c>
      <c r="E238" s="48" t="str">
        <f t="shared" si="1"/>
        <v>0.76%</v>
      </c>
      <c r="F238" s="48">
        <f t="shared" si="2"/>
        <v>0.76</v>
      </c>
      <c r="G238" s="48" t="str">
        <f t="shared" si="3"/>
        <v/>
      </c>
      <c r="H238" s="48">
        <f>IFERROR(__xludf.DUMMYFUNCTION("IFERROR(GOOGLEFINANCE(A238,""PRICE""),)"),17.25)</f>
        <v>17.25</v>
      </c>
      <c r="I238" s="49">
        <f>IFERROR(__xludf.DUMMYFUNCTION("IFERROR(GOOGLEFINANCE(A238,""VOLUME""),)"),18030.0)</f>
        <v>18030</v>
      </c>
      <c r="J238" s="48" t="str">
        <f>IFERROR(__xludf.DUMMYFUNCTION("IFERROR(INDEX(SPLIT(A238,"":""),1,2),)"),"BRNL")</f>
        <v>BRNL</v>
      </c>
      <c r="K238" s="48">
        <f t="shared" si="4"/>
        <v>513</v>
      </c>
      <c r="L238" s="48" t="str">
        <f t="shared" si="5"/>
        <v/>
      </c>
      <c r="M238" s="48">
        <f t="shared" si="6"/>
        <v>1146</v>
      </c>
      <c r="N238" s="50">
        <f>IFERROR(__xludf.DUMMYFUNCTION("IFERROR(GOOGLEFINANCE(A238,""TRADETIME""),)"),46269.64583333333)</f>
        <v>46269.64583</v>
      </c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</row>
    <row r="239" ht="15.75" customHeight="1">
      <c r="A239" s="51" t="s">
        <v>285</v>
      </c>
      <c r="B239" s="51" t="str">
        <f>IFERROR(__xludf.DUMMYFUNCTION("IFERROR(GOOGLEFINANCE(A239,""NAME""),)"),"Brooks Laboratories Ltd")</f>
        <v>Brooks Laboratories Ltd</v>
      </c>
      <c r="C239" s="51">
        <f>IFERROR(__xludf.DUMMYFUNCTION("IFERROR(GOOGLEFINANCE(A239,""CHANGE""),)"),1.85)</f>
        <v>1.85</v>
      </c>
      <c r="D239" s="51">
        <f>IFERROR(__xludf.DUMMYFUNCTION("IFERROR(GOOGLEFINANCE(A239,""CHANGEPCT""),)"),2.88)</f>
        <v>2.88</v>
      </c>
      <c r="E239" s="51" t="str">
        <f t="shared" si="1"/>
        <v>2.88%</v>
      </c>
      <c r="F239" s="51">
        <f t="shared" si="2"/>
        <v>2.88</v>
      </c>
      <c r="G239" s="51" t="str">
        <f t="shared" si="3"/>
        <v/>
      </c>
      <c r="H239" s="51">
        <f>IFERROR(__xludf.DUMMYFUNCTION("IFERROR(GOOGLEFINANCE(A239,""PRICE""),)"),66.0)</f>
        <v>66</v>
      </c>
      <c r="I239" s="52">
        <f>IFERROR(__xludf.DUMMYFUNCTION("IFERROR(GOOGLEFINANCE(A239,""VOLUME""),)"),12920.0)</f>
        <v>12920</v>
      </c>
      <c r="J239" s="51" t="str">
        <f>IFERROR(__xludf.DUMMYFUNCTION("IFERROR(INDEX(SPLIT(A239,"":""),1,2),)"),"BROOKS")</f>
        <v>BROOKS</v>
      </c>
      <c r="K239" s="51">
        <f t="shared" si="4"/>
        <v>170</v>
      </c>
      <c r="L239" s="51" t="str">
        <f t="shared" si="5"/>
        <v/>
      </c>
      <c r="M239" s="51">
        <f t="shared" si="6"/>
        <v>1197</v>
      </c>
      <c r="N239" s="53">
        <f>IFERROR(__xludf.DUMMYFUNCTION("IFERROR(GOOGLEFINANCE(A239,""TRADETIME""),)"),46269.64583333333)</f>
        <v>46269.64583</v>
      </c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</row>
    <row r="240" ht="15.75" customHeight="1">
      <c r="A240" s="48" t="s">
        <v>286</v>
      </c>
      <c r="B240" s="48" t="str">
        <f>IFERROR(__xludf.DUMMYFUNCTION("IFERROR(GOOGLEFINANCE(A240,""NAME""),)"),"BSE Ltd")</f>
        <v>BSE Ltd</v>
      </c>
      <c r="C240" s="48">
        <f>IFERROR(__xludf.DUMMYFUNCTION("IFERROR(GOOGLEFINANCE(A240,""CHANGE""),)"),104.9)</f>
        <v>104.9</v>
      </c>
      <c r="D240" s="48">
        <f>IFERROR(__xludf.DUMMYFUNCTION("IFERROR(GOOGLEFINANCE(A240,""CHANGEPCT""),)"),3.17)</f>
        <v>3.17</v>
      </c>
      <c r="E240" s="48" t="str">
        <f t="shared" si="1"/>
        <v>3.17%</v>
      </c>
      <c r="F240" s="48">
        <f t="shared" si="2"/>
        <v>3.17</v>
      </c>
      <c r="G240" s="48" t="str">
        <f t="shared" si="3"/>
        <v/>
      </c>
      <c r="H240" s="48">
        <f>IFERROR(__xludf.DUMMYFUNCTION("IFERROR(GOOGLEFINANCE(A240,""PRICE""),)"),3411.0)</f>
        <v>3411</v>
      </c>
      <c r="I240" s="49">
        <f>IFERROR(__xludf.DUMMYFUNCTION("IFERROR(GOOGLEFINANCE(A240,""VOLUME""),)"),7975058.0)</f>
        <v>7975058</v>
      </c>
      <c r="J240" s="48" t="str">
        <f>IFERROR(__xludf.DUMMYFUNCTION("IFERROR(INDEX(SPLIT(A240,"":""),1,2),)"),"BSE")</f>
        <v>BSE</v>
      </c>
      <c r="K240" s="48">
        <f t="shared" si="4"/>
        <v>151</v>
      </c>
      <c r="L240" s="48" t="str">
        <f t="shared" si="5"/>
        <v/>
      </c>
      <c r="M240" s="48">
        <f t="shared" si="6"/>
        <v>55</v>
      </c>
      <c r="N240" s="50">
        <f>IFERROR(__xludf.DUMMYFUNCTION("IFERROR(GOOGLEFINANCE(A240,""TRADETIME""),)"),46269.64583333333)</f>
        <v>46269.64583</v>
      </c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</row>
    <row r="241" ht="15.75" customHeight="1">
      <c r="A241" s="51" t="s">
        <v>287</v>
      </c>
      <c r="B241" s="51" t="str">
        <f>IFERROR(__xludf.DUMMYFUNCTION("IFERROR(GOOGLEFINANCE(A241,""NAME""),)"),"Bombay Super Hybrid Seeds Ltd")</f>
        <v>Bombay Super Hybrid Seeds Ltd</v>
      </c>
      <c r="C241" s="51">
        <f>IFERROR(__xludf.DUMMYFUNCTION("IFERROR(GOOGLEFINANCE(A241,""CHANGE""),)"),1.35)</f>
        <v>1.35</v>
      </c>
      <c r="D241" s="51">
        <f>IFERROR(__xludf.DUMMYFUNCTION("IFERROR(GOOGLEFINANCE(A241,""CHANGEPCT""),)"),1.51)</f>
        <v>1.51</v>
      </c>
      <c r="E241" s="51" t="str">
        <f t="shared" si="1"/>
        <v>1.51%</v>
      </c>
      <c r="F241" s="51">
        <f t="shared" si="2"/>
        <v>1.51</v>
      </c>
      <c r="G241" s="51" t="str">
        <f t="shared" si="3"/>
        <v/>
      </c>
      <c r="H241" s="51">
        <f>IFERROR(__xludf.DUMMYFUNCTION("IFERROR(GOOGLEFINANCE(A241,""PRICE""),)"),90.81)</f>
        <v>90.81</v>
      </c>
      <c r="I241" s="52">
        <f>IFERROR(__xludf.DUMMYFUNCTION("IFERROR(GOOGLEFINANCE(A241,""VOLUME""),)"),15418.0)</f>
        <v>15418</v>
      </c>
      <c r="J241" s="51" t="str">
        <f>IFERROR(__xludf.DUMMYFUNCTION("IFERROR(INDEX(SPLIT(A241,"":""),1,2),)"),"BSHSL")</f>
        <v>BSHSL</v>
      </c>
      <c r="K241" s="51">
        <f t="shared" si="4"/>
        <v>343</v>
      </c>
      <c r="L241" s="51" t="str">
        <f t="shared" si="5"/>
        <v/>
      </c>
      <c r="M241" s="51">
        <f t="shared" si="6"/>
        <v>1171</v>
      </c>
      <c r="N241" s="53">
        <f>IFERROR(__xludf.DUMMYFUNCTION("IFERROR(GOOGLEFINANCE(A241,""TRADETIME""),)"),46269.64583333333)</f>
        <v>46269.64583</v>
      </c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</row>
    <row r="242" ht="15.75" customHeight="1">
      <c r="A242" s="48" t="s">
        <v>288</v>
      </c>
      <c r="B242" s="48" t="str">
        <f>IFERROR(__xludf.DUMMYFUNCTION("IFERROR(GOOGLEFINANCE(A242,""NAME""),)"),"BSL Ltd")</f>
        <v>BSL Ltd</v>
      </c>
      <c r="C242" s="48">
        <f>IFERROR(__xludf.DUMMYFUNCTION("IFERROR(GOOGLEFINANCE(A242,""CHANGE""),)"),0.63)</f>
        <v>0.63</v>
      </c>
      <c r="D242" s="48">
        <f>IFERROR(__xludf.DUMMYFUNCTION("IFERROR(GOOGLEFINANCE(A242,""CHANGEPCT""),)"),0.51)</f>
        <v>0.51</v>
      </c>
      <c r="E242" s="48" t="str">
        <f t="shared" si="1"/>
        <v>0.51%</v>
      </c>
      <c r="F242" s="48">
        <f t="shared" si="2"/>
        <v>0.51</v>
      </c>
      <c r="G242" s="48" t="str">
        <f t="shared" si="3"/>
        <v/>
      </c>
      <c r="H242" s="48">
        <f>IFERROR(__xludf.DUMMYFUNCTION("IFERROR(GOOGLEFINANCE(A242,""PRICE""),)"),123.85)</f>
        <v>123.85</v>
      </c>
      <c r="I242" s="49">
        <f>IFERROR(__xludf.DUMMYFUNCTION("IFERROR(GOOGLEFINANCE(A242,""VOLUME""),)"),1949.0)</f>
        <v>1949</v>
      </c>
      <c r="J242" s="48" t="str">
        <f>IFERROR(__xludf.DUMMYFUNCTION("IFERROR(INDEX(SPLIT(A242,"":""),1,2),)"),"BSL")</f>
        <v>BSL</v>
      </c>
      <c r="K242" s="48">
        <f t="shared" si="4"/>
        <v>587</v>
      </c>
      <c r="L242" s="48" t="str">
        <f t="shared" si="5"/>
        <v/>
      </c>
      <c r="M242" s="48">
        <f t="shared" si="6"/>
        <v>1395</v>
      </c>
      <c r="N242" s="50">
        <f>IFERROR(__xludf.DUMMYFUNCTION("IFERROR(GOOGLEFINANCE(A242,""TRADETIME""),)"),46269.64583333333)</f>
        <v>46269.64583</v>
      </c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</row>
    <row r="243" ht="15.75" customHeight="1">
      <c r="A243" s="51" t="s">
        <v>289</v>
      </c>
      <c r="B243" s="51" t="str">
        <f>IFERROR(__xludf.DUMMYFUNCTION("IFERROR(GOOGLEFINANCE(A243,""NAME""),)"),"Birlasoft Ltd")</f>
        <v>Birlasoft Ltd</v>
      </c>
      <c r="C243" s="51">
        <f>IFERROR(__xludf.DUMMYFUNCTION("IFERROR(GOOGLEFINANCE(A243,""CHANGE""),)"),-4.65)</f>
        <v>-4.65</v>
      </c>
      <c r="D243" s="51">
        <f>IFERROR(__xludf.DUMMYFUNCTION("IFERROR(GOOGLEFINANCE(A243,""CHANGEPCT""),)"),-1.59)</f>
        <v>-1.59</v>
      </c>
      <c r="E243" s="51" t="str">
        <f t="shared" si="1"/>
        <v>-1.59%</v>
      </c>
      <c r="F243" s="51" t="str">
        <f t="shared" si="2"/>
        <v/>
      </c>
      <c r="G243" s="51">
        <f t="shared" si="3"/>
        <v>-1.59</v>
      </c>
      <c r="H243" s="51">
        <f>IFERROR(__xludf.DUMMYFUNCTION("IFERROR(GOOGLEFINANCE(A243,""PRICE""),)"),288.6)</f>
        <v>288.6</v>
      </c>
      <c r="I243" s="52">
        <f>IFERROR(__xludf.DUMMYFUNCTION("IFERROR(GOOGLEFINANCE(A243,""VOLUME""),)"),1083783.0)</f>
        <v>1083783</v>
      </c>
      <c r="J243" s="51" t="str">
        <f>IFERROR(__xludf.DUMMYFUNCTION("IFERROR(INDEX(SPLIT(A243,"":""),1,2),)"),"BSOFT")</f>
        <v>BSOFT</v>
      </c>
      <c r="K243" s="51" t="str">
        <f t="shared" si="4"/>
        <v/>
      </c>
      <c r="L243" s="51">
        <f t="shared" si="5"/>
        <v>467</v>
      </c>
      <c r="M243" s="51">
        <f t="shared" si="6"/>
        <v>259</v>
      </c>
      <c r="N243" s="53">
        <f>IFERROR(__xludf.DUMMYFUNCTION("IFERROR(GOOGLEFINANCE(A243,""TRADETIME""),)"),46269.64584490741)</f>
        <v>46269.64584</v>
      </c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</row>
    <row r="244" ht="15.75" customHeight="1">
      <c r="A244" s="48" t="s">
        <v>290</v>
      </c>
      <c r="B244" s="48" t="str">
        <f>IFERROR(__xludf.DUMMYFUNCTION("IFERROR(GOOGLEFINANCE(A244,""NAME""),)"),"Restaurant Brands Asia Ltd")</f>
        <v>Restaurant Brands Asia Ltd</v>
      </c>
      <c r="C244" s="48">
        <f>IFERROR(__xludf.DUMMYFUNCTION("IFERROR(GOOGLEFINANCE(A244,""CHANGE""),)"),-1.04)</f>
        <v>-1.04</v>
      </c>
      <c r="D244" s="48">
        <f>IFERROR(__xludf.DUMMYFUNCTION("IFERROR(GOOGLEFINANCE(A244,""CHANGEPCT""),)"),-1.06)</f>
        <v>-1.06</v>
      </c>
      <c r="E244" s="48" t="str">
        <f t="shared" si="1"/>
        <v>-1.06%</v>
      </c>
      <c r="F244" s="48" t="str">
        <f t="shared" si="2"/>
        <v/>
      </c>
      <c r="G244" s="48">
        <f t="shared" si="3"/>
        <v>-1.06</v>
      </c>
      <c r="H244" s="48">
        <f>IFERROR(__xludf.DUMMYFUNCTION("IFERROR(GOOGLEFINANCE(A244,""PRICE""),)"),96.85)</f>
        <v>96.85</v>
      </c>
      <c r="I244" s="49">
        <f>IFERROR(__xludf.DUMMYFUNCTION("IFERROR(GOOGLEFINANCE(A244,""VOLUME""),)"),2606009.0)</f>
        <v>2606009</v>
      </c>
      <c r="J244" s="48" t="str">
        <f>IFERROR(__xludf.DUMMYFUNCTION("IFERROR(INDEX(SPLIT(A244,"":""),1,2),)"),"RBA")</f>
        <v>RBA</v>
      </c>
      <c r="K244" s="48" t="str">
        <f t="shared" si="4"/>
        <v/>
      </c>
      <c r="L244" s="48">
        <f t="shared" si="5"/>
        <v>352</v>
      </c>
      <c r="M244" s="48">
        <f t="shared" si="6"/>
        <v>140</v>
      </c>
      <c r="N244" s="50">
        <f>IFERROR(__xludf.DUMMYFUNCTION("IFERROR(GOOGLEFINANCE(A244,""TRADETIME""),)"),46269.64584490741)</f>
        <v>46269.64584</v>
      </c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</row>
    <row r="245" ht="15.75" customHeight="1">
      <c r="A245" s="51" t="s">
        <v>291</v>
      </c>
      <c r="B245" s="51" t="str">
        <f>IFERROR(__xludf.DUMMYFUNCTION("IFERROR(GOOGLEFINANCE(A245,""NAME""),)"),"Burnpur Cement Ltd")</f>
        <v>Burnpur Cement Ltd</v>
      </c>
      <c r="C245" s="51">
        <f>IFERROR(__xludf.DUMMYFUNCTION("IFERROR(GOOGLEFINANCE(A245,""CHANGE""),)"),1.02)</f>
        <v>1.02</v>
      </c>
      <c r="D245" s="51">
        <f>IFERROR(__xludf.DUMMYFUNCTION("IFERROR(GOOGLEFINANCE(A245,""CHANGEPCT""),)"),4.97)</f>
        <v>4.97</v>
      </c>
      <c r="E245" s="51" t="str">
        <f t="shared" si="1"/>
        <v>4.97%</v>
      </c>
      <c r="F245" s="51">
        <f t="shared" si="2"/>
        <v>4.97</v>
      </c>
      <c r="G245" s="51" t="str">
        <f t="shared" si="3"/>
        <v/>
      </c>
      <c r="H245" s="51">
        <f>IFERROR(__xludf.DUMMYFUNCTION("IFERROR(GOOGLEFINANCE(A245,""PRICE""),)"),21.56)</f>
        <v>21.56</v>
      </c>
      <c r="I245" s="52">
        <f>IFERROR(__xludf.DUMMYFUNCTION("IFERROR(GOOGLEFINANCE(A245,""VOLUME""),)"),55339.0)</f>
        <v>55339</v>
      </c>
      <c r="J245" s="51" t="str">
        <f>IFERROR(__xludf.DUMMYFUNCTION("IFERROR(INDEX(SPLIT(A245,"":""),1,2),)"),"BURNPUR")</f>
        <v>BURNPUR</v>
      </c>
      <c r="K245" s="51">
        <f t="shared" si="4"/>
        <v>73</v>
      </c>
      <c r="L245" s="51" t="str">
        <f t="shared" si="5"/>
        <v/>
      </c>
      <c r="M245" s="51">
        <f t="shared" si="6"/>
        <v>922</v>
      </c>
      <c r="N245" s="53">
        <f>IFERROR(__xludf.DUMMYFUNCTION("IFERROR(GOOGLEFINANCE(A245,""TRADETIME""),)"),46269.64583333333)</f>
        <v>46269.64583</v>
      </c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</row>
    <row r="246" ht="15.75" customHeight="1">
      <c r="A246" s="48" t="s">
        <v>292</v>
      </c>
      <c r="B246" s="48" t="str">
        <f>IFERROR(__xludf.DUMMYFUNCTION("IFERROR(GOOGLEFINANCE(A246,""NAME""),)"),"Butterfly Gandhimathi Appliances Ltd")</f>
        <v>Butterfly Gandhimathi Appliances Ltd</v>
      </c>
      <c r="C246" s="48">
        <f>IFERROR(__xludf.DUMMYFUNCTION("IFERROR(GOOGLEFINANCE(A246,""CHANGE""),)"),9.4)</f>
        <v>9.4</v>
      </c>
      <c r="D246" s="48">
        <f>IFERROR(__xludf.DUMMYFUNCTION("IFERROR(GOOGLEFINANCE(A246,""CHANGEPCT""),)"),1.53)</f>
        <v>1.53</v>
      </c>
      <c r="E246" s="48" t="str">
        <f t="shared" si="1"/>
        <v>1.53%</v>
      </c>
      <c r="F246" s="48">
        <f t="shared" si="2"/>
        <v>1.53</v>
      </c>
      <c r="G246" s="48" t="str">
        <f t="shared" si="3"/>
        <v/>
      </c>
      <c r="H246" s="48">
        <f>IFERROR(__xludf.DUMMYFUNCTION("IFERROR(GOOGLEFINANCE(A246,""PRICE""),)"),623.0)</f>
        <v>623</v>
      </c>
      <c r="I246" s="49">
        <f>IFERROR(__xludf.DUMMYFUNCTION("IFERROR(GOOGLEFINANCE(A246,""VOLUME""),)"),11660.0)</f>
        <v>11660</v>
      </c>
      <c r="J246" s="48" t="str">
        <f>IFERROR(__xludf.DUMMYFUNCTION("IFERROR(INDEX(SPLIT(A246,"":""),1,2),)"),"BUTTERFLY")</f>
        <v>BUTTERFLY</v>
      </c>
      <c r="K246" s="48">
        <f t="shared" si="4"/>
        <v>337</v>
      </c>
      <c r="L246" s="48" t="str">
        <f t="shared" si="5"/>
        <v/>
      </c>
      <c r="M246" s="48">
        <f t="shared" si="6"/>
        <v>1210</v>
      </c>
      <c r="N246" s="50">
        <f>IFERROR(__xludf.DUMMYFUNCTION("IFERROR(GOOGLEFINANCE(A246,""TRADETIME""),)"),46269.64585648148)</f>
        <v>46269.64586</v>
      </c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</row>
    <row r="247" ht="15.75" customHeight="1">
      <c r="A247" s="51" t="s">
        <v>293</v>
      </c>
      <c r="B247" s="51" t="str">
        <f>IFERROR(__xludf.DUMMYFUNCTION("IFERROR(GOOGLEFINANCE(A247,""NAME""),)"),"Barak Valley Cements Ltd")</f>
        <v>Barak Valley Cements Ltd</v>
      </c>
      <c r="C247" s="51">
        <f>IFERROR(__xludf.DUMMYFUNCTION("IFERROR(GOOGLEFINANCE(A247,""CHANGE""),)"),0.07)</f>
        <v>0.07</v>
      </c>
      <c r="D247" s="51">
        <f>IFERROR(__xludf.DUMMYFUNCTION("IFERROR(GOOGLEFINANCE(A247,""CHANGEPCT""),)"),0.16)</f>
        <v>0.16</v>
      </c>
      <c r="E247" s="51" t="str">
        <f t="shared" si="1"/>
        <v>0.16%</v>
      </c>
      <c r="F247" s="51">
        <f t="shared" si="2"/>
        <v>0.16</v>
      </c>
      <c r="G247" s="51" t="str">
        <f t="shared" si="3"/>
        <v/>
      </c>
      <c r="H247" s="51">
        <f>IFERROR(__xludf.DUMMYFUNCTION("IFERROR(GOOGLEFINANCE(A247,""PRICE""),)"),43.21)</f>
        <v>43.21</v>
      </c>
      <c r="I247" s="52">
        <f>IFERROR(__xludf.DUMMYFUNCTION("IFERROR(GOOGLEFINANCE(A247,""VOLUME""),)"),85128.0)</f>
        <v>85128</v>
      </c>
      <c r="J247" s="51" t="str">
        <f>IFERROR(__xludf.DUMMYFUNCTION("IFERROR(INDEX(SPLIT(A247,"":""),1,2),)"),"BVCL")</f>
        <v>BVCL</v>
      </c>
      <c r="K247" s="51">
        <f t="shared" si="4"/>
        <v>716</v>
      </c>
      <c r="L247" s="51" t="str">
        <f t="shared" si="5"/>
        <v/>
      </c>
      <c r="M247" s="51">
        <f t="shared" si="6"/>
        <v>812</v>
      </c>
      <c r="N247" s="53">
        <f>IFERROR(__xludf.DUMMYFUNCTION("IFERROR(GOOGLEFINANCE(A247,""TRADETIME""),)"),46269.64583333333)</f>
        <v>46269.64583</v>
      </c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</row>
    <row r="248" ht="15.75" customHeight="1">
      <c r="A248" s="48" t="s">
        <v>294</v>
      </c>
      <c r="B248" s="48" t="str">
        <f>IFERROR(__xludf.DUMMYFUNCTION("IFERROR(GOOGLEFINANCE(A248,""NAME""),)"),"Byke Hospitality Ltd")</f>
        <v>Byke Hospitality Ltd</v>
      </c>
      <c r="C248" s="48">
        <f>IFERROR(__xludf.DUMMYFUNCTION("IFERROR(GOOGLEFINANCE(A248,""CHANGE""),)"),0.5)</f>
        <v>0.5</v>
      </c>
      <c r="D248" s="48">
        <f>IFERROR(__xludf.DUMMYFUNCTION("IFERROR(GOOGLEFINANCE(A248,""CHANGEPCT""),)"),1.57)</f>
        <v>1.57</v>
      </c>
      <c r="E248" s="48" t="str">
        <f t="shared" si="1"/>
        <v>1.57%</v>
      </c>
      <c r="F248" s="48">
        <f t="shared" si="2"/>
        <v>1.57</v>
      </c>
      <c r="G248" s="48" t="str">
        <f t="shared" si="3"/>
        <v/>
      </c>
      <c r="H248" s="48">
        <f>IFERROR(__xludf.DUMMYFUNCTION("IFERROR(GOOGLEFINANCE(A248,""PRICE""),)"),32.4)</f>
        <v>32.4</v>
      </c>
      <c r="I248" s="49">
        <f>IFERROR(__xludf.DUMMYFUNCTION("IFERROR(GOOGLEFINANCE(A248,""VOLUME""),)"),33009.0)</f>
        <v>33009</v>
      </c>
      <c r="J248" s="48" t="str">
        <f>IFERROR(__xludf.DUMMYFUNCTION("IFERROR(INDEX(SPLIT(A248,"":""),1,2),)"),"BYKE")</f>
        <v>BYKE</v>
      </c>
      <c r="K248" s="48">
        <f t="shared" si="4"/>
        <v>330</v>
      </c>
      <c r="L248" s="48" t="str">
        <f t="shared" si="5"/>
        <v/>
      </c>
      <c r="M248" s="48">
        <f t="shared" si="6"/>
        <v>1036</v>
      </c>
      <c r="N248" s="50">
        <f>IFERROR(__xludf.DUMMYFUNCTION("IFERROR(GOOGLEFINANCE(A248,""TRADETIME""),)"),46269.64583333333)</f>
        <v>46269.64583</v>
      </c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</row>
    <row r="249" ht="15.75" customHeight="1">
      <c r="A249" s="51" t="s">
        <v>295</v>
      </c>
      <c r="B249" s="51" t="str">
        <f>IFERROR(__xludf.DUMMYFUNCTION("IFERROR(GOOGLEFINANCE(A249,""NAME""),)"),"Zydus Lifesciences Ltd")</f>
        <v>Zydus Lifesciences Ltd</v>
      </c>
      <c r="C249" s="51">
        <f>IFERROR(__xludf.DUMMYFUNCTION("IFERROR(GOOGLEFINANCE(A249,""CHANGE""),)"),-18.8)</f>
        <v>-18.8</v>
      </c>
      <c r="D249" s="51">
        <f>IFERROR(__xludf.DUMMYFUNCTION("IFERROR(GOOGLEFINANCE(A249,""CHANGEPCT""),)"),-1.64)</f>
        <v>-1.64</v>
      </c>
      <c r="E249" s="51" t="str">
        <f t="shared" si="1"/>
        <v>-1.64%</v>
      </c>
      <c r="F249" s="51" t="str">
        <f t="shared" si="2"/>
        <v/>
      </c>
      <c r="G249" s="51">
        <f t="shared" si="3"/>
        <v>-1.64</v>
      </c>
      <c r="H249" s="51">
        <f>IFERROR(__xludf.DUMMYFUNCTION("IFERROR(GOOGLEFINANCE(A249,""PRICE""),)"),1124.2)</f>
        <v>1124.2</v>
      </c>
      <c r="I249" s="52">
        <f>IFERROR(__xludf.DUMMYFUNCTION("IFERROR(GOOGLEFINANCE(A249,""VOLUME""),)"),516768.0)</f>
        <v>516768</v>
      </c>
      <c r="J249" s="51" t="str">
        <f>IFERROR(__xludf.DUMMYFUNCTION("IFERROR(INDEX(SPLIT(A249,"":""),1,2),)"),"ZYDUSLIFE")</f>
        <v>ZYDUSLIFE</v>
      </c>
      <c r="K249" s="51" t="str">
        <f t="shared" si="4"/>
        <v/>
      </c>
      <c r="L249" s="51">
        <f t="shared" si="5"/>
        <v>476</v>
      </c>
      <c r="M249" s="51">
        <f t="shared" si="6"/>
        <v>386</v>
      </c>
      <c r="N249" s="53">
        <f>IFERROR(__xludf.DUMMYFUNCTION("IFERROR(GOOGLEFINANCE(A249,""TRADETIME""),)"),46269.64583333333)</f>
        <v>46269.64583</v>
      </c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</row>
    <row r="250" ht="15.75" customHeight="1">
      <c r="A250" s="48" t="s">
        <v>296</v>
      </c>
      <c r="B250" s="48" t="str">
        <f>IFERROR(__xludf.DUMMYFUNCTION("IFERROR(GOOGLEFINANCE(A250,""NAME""),)"),"California Software Company Ltd")</f>
        <v>California Software Company Ltd</v>
      </c>
      <c r="C250" s="48">
        <f>IFERROR(__xludf.DUMMYFUNCTION("IFERROR(GOOGLEFINANCE(A250,""CHANGE""),)"),-2.15)</f>
        <v>-2.15</v>
      </c>
      <c r="D250" s="48">
        <f>IFERROR(__xludf.DUMMYFUNCTION("IFERROR(GOOGLEFINANCE(A250,""CHANGEPCT""),)"),-4.98)</f>
        <v>-4.98</v>
      </c>
      <c r="E250" s="48" t="str">
        <f t="shared" si="1"/>
        <v>-4.98%</v>
      </c>
      <c r="F250" s="48" t="str">
        <f t="shared" si="2"/>
        <v/>
      </c>
      <c r="G250" s="48">
        <f t="shared" si="3"/>
        <v>-4.98</v>
      </c>
      <c r="H250" s="48">
        <f>IFERROR(__xludf.DUMMYFUNCTION("IFERROR(GOOGLEFINANCE(A250,""PRICE""),)"),40.98)</f>
        <v>40.98</v>
      </c>
      <c r="I250" s="49">
        <f>IFERROR(__xludf.DUMMYFUNCTION("IFERROR(GOOGLEFINANCE(A250,""VOLUME""),)"),155604.0)</f>
        <v>155604</v>
      </c>
      <c r="J250" s="48" t="str">
        <f>IFERROR(__xludf.DUMMYFUNCTION("IFERROR(INDEX(SPLIT(A250,"":""),1,2),)"),"CALSOFT")</f>
        <v>CALSOFT</v>
      </c>
      <c r="K250" s="48" t="str">
        <f t="shared" si="4"/>
        <v/>
      </c>
      <c r="L250" s="48">
        <f t="shared" si="5"/>
        <v>640</v>
      </c>
      <c r="M250" s="48">
        <f t="shared" si="6"/>
        <v>682</v>
      </c>
      <c r="N250" s="50">
        <f>IFERROR(__xludf.DUMMYFUNCTION("IFERROR(GOOGLEFINANCE(A250,""TRADETIME""),)"),46269.64583333333)</f>
        <v>46269.64583</v>
      </c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</row>
    <row r="251" ht="15.75" customHeight="1">
      <c r="A251" s="51" t="s">
        <v>297</v>
      </c>
      <c r="B251" s="51" t="str">
        <f>IFERROR(__xludf.DUMMYFUNCTION("IFERROR(GOOGLEFINANCE(A251,""NAME""),)"),"Camlin Fine Sciences Ltd")</f>
        <v>Camlin Fine Sciences Ltd</v>
      </c>
      <c r="C251" s="51">
        <f>IFERROR(__xludf.DUMMYFUNCTION("IFERROR(GOOGLEFINANCE(A251,""CHANGE""),)"),0.73)</f>
        <v>0.73</v>
      </c>
      <c r="D251" s="51">
        <f>IFERROR(__xludf.DUMMYFUNCTION("IFERROR(GOOGLEFINANCE(A251,""CHANGEPCT""),)"),0.71)</f>
        <v>0.71</v>
      </c>
      <c r="E251" s="51" t="str">
        <f t="shared" si="1"/>
        <v>0.71%</v>
      </c>
      <c r="F251" s="51">
        <f t="shared" si="2"/>
        <v>0.71</v>
      </c>
      <c r="G251" s="51" t="str">
        <f t="shared" si="3"/>
        <v/>
      </c>
      <c r="H251" s="51">
        <f>IFERROR(__xludf.DUMMYFUNCTION("IFERROR(GOOGLEFINANCE(A251,""PRICE""),)"),103.01)</f>
        <v>103.01</v>
      </c>
      <c r="I251" s="52">
        <f>IFERROR(__xludf.DUMMYFUNCTION("IFERROR(GOOGLEFINANCE(A251,""VOLUME""),)"),689443.0)</f>
        <v>689443</v>
      </c>
      <c r="J251" s="51" t="str">
        <f>IFERROR(__xludf.DUMMYFUNCTION("IFERROR(INDEX(SPLIT(A251,"":""),1,2),)"),"CAMLINFINE")</f>
        <v>CAMLINFINE</v>
      </c>
      <c r="K251" s="51">
        <f t="shared" si="4"/>
        <v>527</v>
      </c>
      <c r="L251" s="51" t="str">
        <f t="shared" si="5"/>
        <v/>
      </c>
      <c r="M251" s="51">
        <f t="shared" si="6"/>
        <v>333</v>
      </c>
      <c r="N251" s="53">
        <f>IFERROR(__xludf.DUMMYFUNCTION("IFERROR(GOOGLEFINANCE(A251,""TRADETIME""),)"),46269.64583333333)</f>
        <v>46269.64583</v>
      </c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</row>
    <row r="252" ht="15.75" customHeight="1">
      <c r="A252" s="48" t="s">
        <v>298</v>
      </c>
      <c r="B252" s="48" t="str">
        <f>IFERROR(__xludf.DUMMYFUNCTION("IFERROR(GOOGLEFINANCE(A252,""NAME""),)"),"Computer Age Management Services Ltd")</f>
        <v>Computer Age Management Services Ltd</v>
      </c>
      <c r="C252" s="48">
        <f>IFERROR(__xludf.DUMMYFUNCTION("IFERROR(GOOGLEFINANCE(A252,""CHANGE""),)"),0.3)</f>
        <v>0.3</v>
      </c>
      <c r="D252" s="48">
        <f>IFERROR(__xludf.DUMMYFUNCTION("IFERROR(GOOGLEFINANCE(A252,""CHANGEPCT""),)"),0.04)</f>
        <v>0.04</v>
      </c>
      <c r="E252" s="48" t="str">
        <f t="shared" si="1"/>
        <v>0.04%</v>
      </c>
      <c r="F252" s="48">
        <f t="shared" si="2"/>
        <v>0.04</v>
      </c>
      <c r="G252" s="48" t="str">
        <f t="shared" si="3"/>
        <v/>
      </c>
      <c r="H252" s="48">
        <f>IFERROR(__xludf.DUMMYFUNCTION("IFERROR(GOOGLEFINANCE(A252,""PRICE""),)"),747.7)</f>
        <v>747.7</v>
      </c>
      <c r="I252" s="49">
        <f>IFERROR(__xludf.DUMMYFUNCTION("IFERROR(GOOGLEFINANCE(A252,""VOLUME""),)"),469646.0)</f>
        <v>469646</v>
      </c>
      <c r="J252" s="48" t="str">
        <f>IFERROR(__xludf.DUMMYFUNCTION("IFERROR(INDEX(SPLIT(A252,"":""),1,2),)"),"CAMS")</f>
        <v>CAMS</v>
      </c>
      <c r="K252" s="48">
        <f t="shared" si="4"/>
        <v>759</v>
      </c>
      <c r="L252" s="48" t="str">
        <f t="shared" si="5"/>
        <v/>
      </c>
      <c r="M252" s="48">
        <f t="shared" si="6"/>
        <v>413</v>
      </c>
      <c r="N252" s="50">
        <f>IFERROR(__xludf.DUMMYFUNCTION("IFERROR(GOOGLEFINANCE(A252,""TRADETIME""),)"),46269.64583333333)</f>
        <v>46269.64583</v>
      </c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</row>
    <row r="253" ht="15.75" customHeight="1">
      <c r="A253" s="51" t="s">
        <v>299</v>
      </c>
      <c r="B253" s="51" t="str">
        <f>IFERROR(__xludf.DUMMYFUNCTION("IFERROR(GOOGLEFINANCE(A253,""NAME""),)"),"Canara Bank Ltd")</f>
        <v>Canara Bank Ltd</v>
      </c>
      <c r="C253" s="51">
        <f>IFERROR(__xludf.DUMMYFUNCTION("IFERROR(GOOGLEFINANCE(A253,""CHANGE""),)"),0.3)</f>
        <v>0.3</v>
      </c>
      <c r="D253" s="51">
        <f>IFERROR(__xludf.DUMMYFUNCTION("IFERROR(GOOGLEFINANCE(A253,""CHANGEPCT""),)"),0.24)</f>
        <v>0.24</v>
      </c>
      <c r="E253" s="51" t="str">
        <f t="shared" si="1"/>
        <v>0.24%</v>
      </c>
      <c r="F253" s="51">
        <f t="shared" si="2"/>
        <v>0.24</v>
      </c>
      <c r="G253" s="51" t="str">
        <f t="shared" si="3"/>
        <v/>
      </c>
      <c r="H253" s="51">
        <f>IFERROR(__xludf.DUMMYFUNCTION("IFERROR(GOOGLEFINANCE(A253,""PRICE""),)"),126.1)</f>
        <v>126.1</v>
      </c>
      <c r="I253" s="52">
        <f>IFERROR(__xludf.DUMMYFUNCTION("IFERROR(GOOGLEFINANCE(A253,""VOLUME""),)"),1.2141084E7)</f>
        <v>12141084</v>
      </c>
      <c r="J253" s="51" t="str">
        <f>IFERROR(__xludf.DUMMYFUNCTION("IFERROR(INDEX(SPLIT(A253,"":""),1,2),)"),"CANBK")</f>
        <v>CANBK</v>
      </c>
      <c r="K253" s="51">
        <f t="shared" si="4"/>
        <v>680</v>
      </c>
      <c r="L253" s="51" t="str">
        <f t="shared" si="5"/>
        <v/>
      </c>
      <c r="M253" s="51">
        <f t="shared" si="6"/>
        <v>40</v>
      </c>
      <c r="N253" s="53">
        <f>IFERROR(__xludf.DUMMYFUNCTION("IFERROR(GOOGLEFINANCE(A253,""TRADETIME""),)"),46269.64583333333)</f>
        <v>46269.64583</v>
      </c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</row>
    <row r="254" ht="15.75" customHeight="1">
      <c r="A254" s="48" t="s">
        <v>300</v>
      </c>
      <c r="B254" s="48" t="str">
        <f>IFERROR(__xludf.DUMMYFUNCTION("IFERROR(GOOGLEFINANCE(A254,""NAME""),)"),"Can Fin Homes Ltd")</f>
        <v>Can Fin Homes Ltd</v>
      </c>
      <c r="C254" s="48">
        <f>IFERROR(__xludf.DUMMYFUNCTION("IFERROR(GOOGLEFINANCE(A254,""CHANGE""),)"),2.1)</f>
        <v>2.1</v>
      </c>
      <c r="D254" s="48">
        <f>IFERROR(__xludf.DUMMYFUNCTION("IFERROR(GOOGLEFINANCE(A254,""CHANGEPCT""),)"),0.26)</f>
        <v>0.26</v>
      </c>
      <c r="E254" s="48" t="str">
        <f t="shared" si="1"/>
        <v>0.26%</v>
      </c>
      <c r="F254" s="48">
        <f t="shared" si="2"/>
        <v>0.26</v>
      </c>
      <c r="G254" s="48" t="str">
        <f t="shared" si="3"/>
        <v/>
      </c>
      <c r="H254" s="48">
        <f>IFERROR(__xludf.DUMMYFUNCTION("IFERROR(GOOGLEFINANCE(A254,""PRICE""),)"),807.05)</f>
        <v>807.05</v>
      </c>
      <c r="I254" s="49">
        <f>IFERROR(__xludf.DUMMYFUNCTION("IFERROR(GOOGLEFINANCE(A254,""VOLUME""),)"),222474.0)</f>
        <v>222474</v>
      </c>
      <c r="J254" s="48" t="str">
        <f>IFERROR(__xludf.DUMMYFUNCTION("IFERROR(INDEX(SPLIT(A254,"":""),1,2),)"),"CANFINHOME")</f>
        <v>CANFINHOME</v>
      </c>
      <c r="K254" s="48">
        <f t="shared" si="4"/>
        <v>673</v>
      </c>
      <c r="L254" s="48" t="str">
        <f t="shared" si="5"/>
        <v/>
      </c>
      <c r="M254" s="48">
        <f t="shared" si="6"/>
        <v>594</v>
      </c>
      <c r="N254" s="50">
        <f>IFERROR(__xludf.DUMMYFUNCTION("IFERROR(GOOGLEFINANCE(A254,""TRADETIME""),)"),46269.64583333333)</f>
        <v>46269.64583</v>
      </c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</row>
    <row r="255" ht="15.75" customHeight="1">
      <c r="A255" s="51" t="s">
        <v>301</v>
      </c>
      <c r="B255" s="51" t="str">
        <f>IFERROR(__xludf.DUMMYFUNCTION("IFERROR(GOOGLEFINANCE(A255,""NAME""),)"),"Cantabil Retail India Limited")</f>
        <v>Cantabil Retail India Limited</v>
      </c>
      <c r="C255" s="51">
        <f>IFERROR(__xludf.DUMMYFUNCTION("IFERROR(GOOGLEFINANCE(A255,""CHANGE""),)"),5.96)</f>
        <v>5.96</v>
      </c>
      <c r="D255" s="51">
        <f>IFERROR(__xludf.DUMMYFUNCTION("IFERROR(GOOGLEFINANCE(A255,""CHANGEPCT""),)"),2.51)</f>
        <v>2.51</v>
      </c>
      <c r="E255" s="51" t="str">
        <f t="shared" si="1"/>
        <v>2.51%</v>
      </c>
      <c r="F255" s="51">
        <f t="shared" si="2"/>
        <v>2.51</v>
      </c>
      <c r="G255" s="51" t="str">
        <f t="shared" si="3"/>
        <v/>
      </c>
      <c r="H255" s="51">
        <f>IFERROR(__xludf.DUMMYFUNCTION("IFERROR(GOOGLEFINANCE(A255,""PRICE""),)"),243.7)</f>
        <v>243.7</v>
      </c>
      <c r="I255" s="52">
        <f>IFERROR(__xludf.DUMMYFUNCTION("IFERROR(GOOGLEFINANCE(A255,""VOLUME""),)"),94452.0)</f>
        <v>94452</v>
      </c>
      <c r="J255" s="51" t="str">
        <f>IFERROR(__xludf.DUMMYFUNCTION("IFERROR(INDEX(SPLIT(A255,"":""),1,2),)"),"CANTABIL")</f>
        <v>CANTABIL</v>
      </c>
      <c r="K255" s="51">
        <f t="shared" si="4"/>
        <v>200</v>
      </c>
      <c r="L255" s="51" t="str">
        <f t="shared" si="5"/>
        <v/>
      </c>
      <c r="M255" s="51">
        <f t="shared" si="6"/>
        <v>787</v>
      </c>
      <c r="N255" s="53">
        <f>IFERROR(__xludf.DUMMYFUNCTION("IFERROR(GOOGLEFINANCE(A255,""TRADETIME""),)"),46269.64583333333)</f>
        <v>46269.64583</v>
      </c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</row>
    <row r="256" ht="15.75" customHeight="1">
      <c r="A256" s="48" t="s">
        <v>302</v>
      </c>
      <c r="B256" s="48" t="str">
        <f>IFERROR(__xludf.DUMMYFUNCTION("IFERROR(GOOGLEFINANCE(A256,""NAME""),)"),"Capacite Infraprojects Ltd")</f>
        <v>Capacite Infraprojects Ltd</v>
      </c>
      <c r="C256" s="48">
        <f>IFERROR(__xludf.DUMMYFUNCTION("IFERROR(GOOGLEFINANCE(A256,""CHANGE""),)"),7.62)</f>
        <v>7.62</v>
      </c>
      <c r="D256" s="48">
        <f>IFERROR(__xludf.DUMMYFUNCTION("IFERROR(GOOGLEFINANCE(A256,""CHANGEPCT""),)"),3.65)</f>
        <v>3.65</v>
      </c>
      <c r="E256" s="48" t="str">
        <f t="shared" si="1"/>
        <v>3.65%</v>
      </c>
      <c r="F256" s="48">
        <f t="shared" si="2"/>
        <v>3.65</v>
      </c>
      <c r="G256" s="48" t="str">
        <f t="shared" si="3"/>
        <v/>
      </c>
      <c r="H256" s="48">
        <f>IFERROR(__xludf.DUMMYFUNCTION("IFERROR(GOOGLEFINANCE(A256,""PRICE""),)"),216.5)</f>
        <v>216.5</v>
      </c>
      <c r="I256" s="49">
        <f>IFERROR(__xludf.DUMMYFUNCTION("IFERROR(GOOGLEFINANCE(A256,""VOLUME""),)"),373452.0)</f>
        <v>373452</v>
      </c>
      <c r="J256" s="48" t="str">
        <f>IFERROR(__xludf.DUMMYFUNCTION("IFERROR(INDEX(SPLIT(A256,"":""),1,2),)"),"CAPACITE")</f>
        <v>CAPACITE</v>
      </c>
      <c r="K256" s="48">
        <f t="shared" si="4"/>
        <v>130</v>
      </c>
      <c r="L256" s="48" t="str">
        <f t="shared" si="5"/>
        <v/>
      </c>
      <c r="M256" s="48">
        <f t="shared" si="6"/>
        <v>457</v>
      </c>
      <c r="N256" s="50">
        <f>IFERROR(__xludf.DUMMYFUNCTION("IFERROR(GOOGLEFINANCE(A256,""TRADETIME""),)"),46269.64583333333)</f>
        <v>46269.64583</v>
      </c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</row>
    <row r="257" ht="15.75" customHeight="1">
      <c r="A257" s="51" t="s">
        <v>303</v>
      </c>
      <c r="B257" s="51" t="str">
        <f>IFERROR(__xludf.DUMMYFUNCTION("IFERROR(GOOGLEFINANCE(A257,""NAME""),)"),"Caplin Point Laboratories Ltd")</f>
        <v>Caplin Point Laboratories Ltd</v>
      </c>
      <c r="C257" s="51">
        <f>IFERROR(__xludf.DUMMYFUNCTION("IFERROR(GOOGLEFINANCE(A257,""CHANGE""),)"),-51.0)</f>
        <v>-51</v>
      </c>
      <c r="D257" s="51">
        <f>IFERROR(__xludf.DUMMYFUNCTION("IFERROR(GOOGLEFINANCE(A257,""CHANGEPCT""),)"),-1.79)</f>
        <v>-1.79</v>
      </c>
      <c r="E257" s="51" t="str">
        <f t="shared" si="1"/>
        <v>-1.79%</v>
      </c>
      <c r="F257" s="51" t="str">
        <f t="shared" si="2"/>
        <v/>
      </c>
      <c r="G257" s="51">
        <f t="shared" si="3"/>
        <v>-1.79</v>
      </c>
      <c r="H257" s="51">
        <f>IFERROR(__xludf.DUMMYFUNCTION("IFERROR(GOOGLEFINANCE(A257,""PRICE""),)"),2794.0)</f>
        <v>2794</v>
      </c>
      <c r="I257" s="52">
        <f>IFERROR(__xludf.DUMMYFUNCTION("IFERROR(GOOGLEFINANCE(A257,""VOLUME""),)"),208526.0)</f>
        <v>208526</v>
      </c>
      <c r="J257" s="51" t="str">
        <f>IFERROR(__xludf.DUMMYFUNCTION("IFERROR(INDEX(SPLIT(A257,"":""),1,2),)"),"CAPLIPOINT")</f>
        <v>CAPLIPOINT</v>
      </c>
      <c r="K257" s="51" t="str">
        <f t="shared" si="4"/>
        <v/>
      </c>
      <c r="L257" s="51">
        <f t="shared" si="5"/>
        <v>492</v>
      </c>
      <c r="M257" s="51">
        <f t="shared" si="6"/>
        <v>613</v>
      </c>
      <c r="N257" s="53">
        <f>IFERROR(__xludf.DUMMYFUNCTION("IFERROR(GOOGLEFINANCE(A257,""TRADETIME""),)"),46269.64584490741)</f>
        <v>46269.64584</v>
      </c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</row>
    <row r="258" ht="15.75" customHeight="1">
      <c r="A258" s="48" t="s">
        <v>304</v>
      </c>
      <c r="B258" s="48" t="str">
        <f>IFERROR(__xludf.DUMMYFUNCTION("IFERROR(GOOGLEFINANCE(A258,""NAME""),)"),"Capital Trust Ltd")</f>
        <v>Capital Trust Ltd</v>
      </c>
      <c r="C258" s="48">
        <f>IFERROR(__xludf.DUMMYFUNCTION("IFERROR(GOOGLEFINANCE(A258,""CHANGE""),)"),0.4)</f>
        <v>0.4</v>
      </c>
      <c r="D258" s="48">
        <f>IFERROR(__xludf.DUMMYFUNCTION("IFERROR(GOOGLEFINANCE(A258,""CHANGEPCT""),)"),2.02)</f>
        <v>2.02</v>
      </c>
      <c r="E258" s="48" t="str">
        <f t="shared" si="1"/>
        <v>2.02%</v>
      </c>
      <c r="F258" s="48">
        <f t="shared" si="2"/>
        <v>2.02</v>
      </c>
      <c r="G258" s="48" t="str">
        <f t="shared" si="3"/>
        <v/>
      </c>
      <c r="H258" s="48">
        <f>IFERROR(__xludf.DUMMYFUNCTION("IFERROR(GOOGLEFINANCE(A258,""PRICE""),)"),20.16)</f>
        <v>20.16</v>
      </c>
      <c r="I258" s="49">
        <f>IFERROR(__xludf.DUMMYFUNCTION("IFERROR(GOOGLEFINANCE(A258,""VOLUME""),)"),37318.0)</f>
        <v>37318</v>
      </c>
      <c r="J258" s="48" t="str">
        <f>IFERROR(__xludf.DUMMYFUNCTION("IFERROR(INDEX(SPLIT(A258,"":""),1,2),)"),"CAPTRUST")</f>
        <v>CAPTRUST</v>
      </c>
      <c r="K258" s="48">
        <f t="shared" si="4"/>
        <v>252</v>
      </c>
      <c r="L258" s="48" t="str">
        <f t="shared" si="5"/>
        <v/>
      </c>
      <c r="M258" s="48">
        <f t="shared" si="6"/>
        <v>1015</v>
      </c>
      <c r="N258" s="50">
        <f>IFERROR(__xludf.DUMMYFUNCTION("IFERROR(GOOGLEFINANCE(A258,""TRADETIME""),)"),46269.64583333333)</f>
        <v>46269.64583</v>
      </c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</row>
    <row r="259" ht="15.75" customHeight="1">
      <c r="A259" s="51" t="s">
        <v>305</v>
      </c>
      <c r="B259" s="51" t="str">
        <f>IFERROR(__xludf.DUMMYFUNCTION("IFERROR(GOOGLEFINANCE(A259,""NAME""),)"),"Carborundum Universal Ltd")</f>
        <v>Carborundum Universal Ltd</v>
      </c>
      <c r="C259" s="51">
        <f>IFERROR(__xludf.DUMMYFUNCTION("IFERROR(GOOGLEFINANCE(A259,""CHANGE""),)"),52.0)</f>
        <v>52</v>
      </c>
      <c r="D259" s="51">
        <f>IFERROR(__xludf.DUMMYFUNCTION("IFERROR(GOOGLEFINANCE(A259,""CHANGEPCT""),)"),4.82)</f>
        <v>4.82</v>
      </c>
      <c r="E259" s="51" t="str">
        <f t="shared" si="1"/>
        <v>4.82%</v>
      </c>
      <c r="F259" s="51">
        <f t="shared" si="2"/>
        <v>4.82</v>
      </c>
      <c r="G259" s="51" t="str">
        <f t="shared" si="3"/>
        <v/>
      </c>
      <c r="H259" s="51">
        <f>IFERROR(__xludf.DUMMYFUNCTION("IFERROR(GOOGLEFINANCE(A259,""PRICE""),)"),1130.0)</f>
        <v>1130</v>
      </c>
      <c r="I259" s="52">
        <f>IFERROR(__xludf.DUMMYFUNCTION("IFERROR(GOOGLEFINANCE(A259,""VOLUME""),)"),338864.0)</f>
        <v>338864</v>
      </c>
      <c r="J259" s="51" t="str">
        <f>IFERROR(__xludf.DUMMYFUNCTION("IFERROR(INDEX(SPLIT(A259,"":""),1,2),)"),"CARBORUNIV")</f>
        <v>CARBORUNIV</v>
      </c>
      <c r="K259" s="51">
        <f t="shared" si="4"/>
        <v>83</v>
      </c>
      <c r="L259" s="51" t="str">
        <f t="shared" si="5"/>
        <v/>
      </c>
      <c r="M259" s="51">
        <f t="shared" si="6"/>
        <v>479</v>
      </c>
      <c r="N259" s="53">
        <f>IFERROR(__xludf.DUMMYFUNCTION("IFERROR(GOOGLEFINANCE(A259,""TRADETIME""),)"),46269.64583333333)</f>
        <v>46269.64583</v>
      </c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</row>
    <row r="260" ht="15.75" customHeight="1">
      <c r="A260" s="48" t="s">
        <v>306</v>
      </c>
      <c r="B260" s="48" t="str">
        <f>IFERROR(__xludf.DUMMYFUNCTION("IFERROR(GOOGLEFINANCE(A260,""NAME""),)"),"")</f>
        <v/>
      </c>
      <c r="C260" s="48" t="str">
        <f>IFERROR(__xludf.DUMMYFUNCTION("IFERROR(GOOGLEFINANCE(A260,""CHANGE""),)"),"")</f>
        <v/>
      </c>
      <c r="D260" s="48" t="str">
        <f>IFERROR(__xludf.DUMMYFUNCTION("IFERROR(GOOGLEFINANCE(A260,""CHANGEPCT""),)"),"")</f>
        <v/>
      </c>
      <c r="E260" s="48" t="str">
        <f t="shared" si="1"/>
        <v>%</v>
      </c>
      <c r="F260" s="48" t="str">
        <f t="shared" si="2"/>
        <v/>
      </c>
      <c r="G260" s="48" t="str">
        <f t="shared" si="3"/>
        <v/>
      </c>
      <c r="H260" s="48" t="str">
        <f>IFERROR(__xludf.DUMMYFUNCTION("IFERROR(GOOGLEFINANCE(A260,""PRICE""),)"),"")</f>
        <v/>
      </c>
      <c r="I260" s="49" t="str">
        <f>IFERROR(__xludf.DUMMYFUNCTION("IFERROR(GOOGLEFINANCE(A260,""VOLUME""),)"),"")</f>
        <v/>
      </c>
      <c r="J260" s="48" t="str">
        <f>IFERROR(__xludf.DUMMYFUNCTION("IFERROR(INDEX(SPLIT(A260,"":""),1,2),)"),"CAREERP")</f>
        <v>CAREERP</v>
      </c>
      <c r="K260" s="48" t="str">
        <f t="shared" si="4"/>
        <v/>
      </c>
      <c r="L260" s="48" t="str">
        <f t="shared" si="5"/>
        <v/>
      </c>
      <c r="M260" s="48">
        <f t="shared" si="6"/>
        <v>1456</v>
      </c>
      <c r="N260" s="50" t="str">
        <f>IFERROR(__xludf.DUMMYFUNCTION("IFERROR(GOOGLEFINANCE(A260,""TRADETIME""),)"),"")</f>
        <v/>
      </c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</row>
    <row r="261" ht="15.75" customHeight="1">
      <c r="A261" s="51" t="s">
        <v>307</v>
      </c>
      <c r="B261" s="51" t="str">
        <f>IFERROR(__xludf.DUMMYFUNCTION("IFERROR(GOOGLEFINANCE(A261,""NAME""),)"),"CARE Ratings Ltd")</f>
        <v>CARE Ratings Ltd</v>
      </c>
      <c r="C261" s="51">
        <f>IFERROR(__xludf.DUMMYFUNCTION("IFERROR(GOOGLEFINANCE(A261,""CHANGE""),)"),22.6)</f>
        <v>22.6</v>
      </c>
      <c r="D261" s="51">
        <f>IFERROR(__xludf.DUMMYFUNCTION("IFERROR(GOOGLEFINANCE(A261,""CHANGEPCT""),)"),1.32)</f>
        <v>1.32</v>
      </c>
      <c r="E261" s="51" t="str">
        <f t="shared" si="1"/>
        <v>1.32%</v>
      </c>
      <c r="F261" s="51">
        <f t="shared" si="2"/>
        <v>1.32</v>
      </c>
      <c r="G261" s="51" t="str">
        <f t="shared" si="3"/>
        <v/>
      </c>
      <c r="H261" s="51">
        <f>IFERROR(__xludf.DUMMYFUNCTION("IFERROR(GOOGLEFINANCE(A261,""PRICE""),)"),1731.0)</f>
        <v>1731</v>
      </c>
      <c r="I261" s="52">
        <f>IFERROR(__xludf.DUMMYFUNCTION("IFERROR(GOOGLEFINANCE(A261,""VOLUME""),)"),354155.0)</f>
        <v>354155</v>
      </c>
      <c r="J261" s="51" t="str">
        <f>IFERROR(__xludf.DUMMYFUNCTION("IFERROR(INDEX(SPLIT(A261,"":""),1,2),)"),"CARERATING")</f>
        <v>CARERATING</v>
      </c>
      <c r="K261" s="51">
        <f t="shared" si="4"/>
        <v>376</v>
      </c>
      <c r="L261" s="51" t="str">
        <f t="shared" si="5"/>
        <v/>
      </c>
      <c r="M261" s="51">
        <f t="shared" si="6"/>
        <v>467</v>
      </c>
      <c r="N261" s="53">
        <f>IFERROR(__xludf.DUMMYFUNCTION("IFERROR(GOOGLEFINANCE(A261,""TRADETIME""),)"),46269.64584490741)</f>
        <v>46269.64584</v>
      </c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</row>
    <row r="262" ht="15.75" customHeight="1">
      <c r="A262" s="48" t="s">
        <v>308</v>
      </c>
      <c r="B262" s="48" t="str">
        <f>IFERROR(__xludf.DUMMYFUNCTION("IFERROR(GOOGLEFINANCE(A262,""NAME""),)"),"Castrol India Ltd")</f>
        <v>Castrol India Ltd</v>
      </c>
      <c r="C262" s="48">
        <f>IFERROR(__xludf.DUMMYFUNCTION("IFERROR(GOOGLEFINANCE(A262,""CHANGE""),)"),3.89)</f>
        <v>3.89</v>
      </c>
      <c r="D262" s="48">
        <f>IFERROR(__xludf.DUMMYFUNCTION("IFERROR(GOOGLEFINANCE(A262,""CHANGEPCT""),)"),2.09)</f>
        <v>2.09</v>
      </c>
      <c r="E262" s="48" t="str">
        <f t="shared" si="1"/>
        <v>2.09%</v>
      </c>
      <c r="F262" s="48">
        <f t="shared" si="2"/>
        <v>2.09</v>
      </c>
      <c r="G262" s="48" t="str">
        <f t="shared" si="3"/>
        <v/>
      </c>
      <c r="H262" s="48">
        <f>IFERROR(__xludf.DUMMYFUNCTION("IFERROR(GOOGLEFINANCE(A262,""PRICE""),)"),190.31)</f>
        <v>190.31</v>
      </c>
      <c r="I262" s="49">
        <f>IFERROR(__xludf.DUMMYFUNCTION("IFERROR(GOOGLEFINANCE(A262,""VOLUME""),)"),4231930.0)</f>
        <v>4231930</v>
      </c>
      <c r="J262" s="48" t="str">
        <f>IFERROR(__xludf.DUMMYFUNCTION("IFERROR(INDEX(SPLIT(A262,"":""),1,2),)"),"CASTROLIND")</f>
        <v>CASTROLIND</v>
      </c>
      <c r="K262" s="48">
        <f t="shared" si="4"/>
        <v>243</v>
      </c>
      <c r="L262" s="48" t="str">
        <f t="shared" si="5"/>
        <v/>
      </c>
      <c r="M262" s="48">
        <f t="shared" si="6"/>
        <v>96</v>
      </c>
      <c r="N262" s="50">
        <f>IFERROR(__xludf.DUMMYFUNCTION("IFERROR(GOOGLEFINANCE(A262,""TRADETIME""),)"),46269.64584490741)</f>
        <v>46269.64584</v>
      </c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</row>
    <row r="263" ht="15.75" customHeight="1">
      <c r="A263" s="51" t="s">
        <v>309</v>
      </c>
      <c r="B263" s="51" t="str">
        <f>IFERROR(__xludf.DUMMYFUNCTION("IFERROR(GOOGLEFINANCE(A263,""NAME""),)"),"Consolidated Construction Consortium Ltd")</f>
        <v>Consolidated Construction Consortium Ltd</v>
      </c>
      <c r="C263" s="51">
        <f>IFERROR(__xludf.DUMMYFUNCTION("IFERROR(GOOGLEFINANCE(A263,""CHANGE""),)"),0.26)</f>
        <v>0.26</v>
      </c>
      <c r="D263" s="51">
        <f>IFERROR(__xludf.DUMMYFUNCTION("IFERROR(GOOGLEFINANCE(A263,""CHANGEPCT""),)"),1.83)</f>
        <v>1.83</v>
      </c>
      <c r="E263" s="51" t="str">
        <f t="shared" si="1"/>
        <v>1.83%</v>
      </c>
      <c r="F263" s="51">
        <f t="shared" si="2"/>
        <v>1.83</v>
      </c>
      <c r="G263" s="51" t="str">
        <f t="shared" si="3"/>
        <v/>
      </c>
      <c r="H263" s="51">
        <f>IFERROR(__xludf.DUMMYFUNCTION("IFERROR(GOOGLEFINANCE(A263,""PRICE""),)"),14.45)</f>
        <v>14.45</v>
      </c>
      <c r="I263" s="52">
        <f>IFERROR(__xludf.DUMMYFUNCTION("IFERROR(GOOGLEFINANCE(A263,""VOLUME""),)"),118802.0)</f>
        <v>118802</v>
      </c>
      <c r="J263" s="51" t="str">
        <f>IFERROR(__xludf.DUMMYFUNCTION("IFERROR(INDEX(SPLIT(A263,"":""),1,2),)"),"CCCL")</f>
        <v>CCCL</v>
      </c>
      <c r="K263" s="51">
        <f t="shared" si="4"/>
        <v>290</v>
      </c>
      <c r="L263" s="51" t="str">
        <f t="shared" si="5"/>
        <v/>
      </c>
      <c r="M263" s="51">
        <f t="shared" si="6"/>
        <v>738</v>
      </c>
      <c r="N263" s="53">
        <f>IFERROR(__xludf.DUMMYFUNCTION("IFERROR(GOOGLEFINANCE(A263,""TRADETIME""),)"),46269.64583333333)</f>
        <v>46269.64583</v>
      </c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</row>
    <row r="264" ht="15.75" customHeight="1">
      <c r="A264" s="48" t="s">
        <v>310</v>
      </c>
      <c r="B264" s="48" t="str">
        <f>IFERROR(__xludf.DUMMYFUNCTION("IFERROR(GOOGLEFINANCE(A264,""NAME""),)"),"Country Club Hospitality &amp; Holidays Ltd")</f>
        <v>Country Club Hospitality &amp; Holidays Ltd</v>
      </c>
      <c r="C264" s="48">
        <f>IFERROR(__xludf.DUMMYFUNCTION("IFERROR(GOOGLEFINANCE(A264,""CHANGE""),)"),0.19)</f>
        <v>0.19</v>
      </c>
      <c r="D264" s="48">
        <f>IFERROR(__xludf.DUMMYFUNCTION("IFERROR(GOOGLEFINANCE(A264,""CHANGEPCT""),)"),1.5)</f>
        <v>1.5</v>
      </c>
      <c r="E264" s="48" t="str">
        <f t="shared" si="1"/>
        <v>1.5%</v>
      </c>
      <c r="F264" s="48">
        <f t="shared" si="2"/>
        <v>1.5</v>
      </c>
      <c r="G264" s="48" t="str">
        <f t="shared" si="3"/>
        <v/>
      </c>
      <c r="H264" s="48">
        <f>IFERROR(__xludf.DUMMYFUNCTION("IFERROR(GOOGLEFINANCE(A264,""PRICE""),)"),12.83)</f>
        <v>12.83</v>
      </c>
      <c r="I264" s="49">
        <f>IFERROR(__xludf.DUMMYFUNCTION("IFERROR(GOOGLEFINANCE(A264,""VOLUME""),)"),42082.0)</f>
        <v>42082</v>
      </c>
      <c r="J264" s="48" t="str">
        <f>IFERROR(__xludf.DUMMYFUNCTION("IFERROR(INDEX(SPLIT(A264,"":""),1,2),)"),"CCHHL")</f>
        <v>CCHHL</v>
      </c>
      <c r="K264" s="48">
        <f t="shared" si="4"/>
        <v>346</v>
      </c>
      <c r="L264" s="48" t="str">
        <f t="shared" si="5"/>
        <v/>
      </c>
      <c r="M264" s="48">
        <f t="shared" si="6"/>
        <v>990</v>
      </c>
      <c r="N264" s="50">
        <f>IFERROR(__xludf.DUMMYFUNCTION("IFERROR(GOOGLEFINANCE(A264,""TRADETIME""),)"),46269.64583333333)</f>
        <v>46269.64583</v>
      </c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</row>
    <row r="265" ht="15.75" customHeight="1">
      <c r="A265" s="51" t="s">
        <v>311</v>
      </c>
      <c r="B265" s="51" t="str">
        <f>IFERROR(__xludf.DUMMYFUNCTION("IFERROR(GOOGLEFINANCE(A265,""NAME""),)"),"Central Depository Services (India) Ltd")</f>
        <v>Central Depository Services (India) Ltd</v>
      </c>
      <c r="C265" s="51">
        <f>IFERROR(__xludf.DUMMYFUNCTION("IFERROR(GOOGLEFINANCE(A265,""CHANGE""),)"),0.0)</f>
        <v>0</v>
      </c>
      <c r="D265" s="51">
        <f>IFERROR(__xludf.DUMMYFUNCTION("IFERROR(GOOGLEFINANCE(A265,""CHANGEPCT""),)"),0.0)</f>
        <v>0</v>
      </c>
      <c r="E265" s="51" t="str">
        <f t="shared" si="1"/>
        <v>0%</v>
      </c>
      <c r="F265" s="51" t="str">
        <f t="shared" si="2"/>
        <v/>
      </c>
      <c r="G265" s="51" t="str">
        <f t="shared" si="3"/>
        <v/>
      </c>
      <c r="H265" s="51">
        <f>IFERROR(__xludf.DUMMYFUNCTION("IFERROR(GOOGLEFINANCE(A265,""PRICE""),)"),1394.0)</f>
        <v>1394</v>
      </c>
      <c r="I265" s="52">
        <f>IFERROR(__xludf.DUMMYFUNCTION("IFERROR(GOOGLEFINANCE(A265,""VOLUME""),)"),1117172.0)</f>
        <v>1117172</v>
      </c>
      <c r="J265" s="51" t="str">
        <f>IFERROR(__xludf.DUMMYFUNCTION("IFERROR(INDEX(SPLIT(A265,"":""),1,2),)"),"CDSL")</f>
        <v>CDSL</v>
      </c>
      <c r="K265" s="51" t="str">
        <f t="shared" si="4"/>
        <v/>
      </c>
      <c r="L265" s="51" t="str">
        <f t="shared" si="5"/>
        <v/>
      </c>
      <c r="M265" s="51">
        <f t="shared" si="6"/>
        <v>252</v>
      </c>
      <c r="N265" s="53">
        <f>IFERROR(__xludf.DUMMYFUNCTION("IFERROR(GOOGLEFINANCE(A265,""TRADETIME""),)"),46269.64583333333)</f>
        <v>46269.64583</v>
      </c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</row>
    <row r="266" ht="15.75" customHeight="1">
      <c r="A266" s="48" t="s">
        <v>312</v>
      </c>
      <c r="B266" s="48" t="str">
        <f>IFERROR(__xludf.DUMMYFUNCTION("IFERROR(GOOGLEFINANCE(A266,""NAME""),)"),"Century Plyboards (India) Ltd")</f>
        <v>Century Plyboards (India) Ltd</v>
      </c>
      <c r="C266" s="48">
        <f>IFERROR(__xludf.DUMMYFUNCTION("IFERROR(GOOGLEFINANCE(A266,""CHANGE""),)"),1.05)</f>
        <v>1.05</v>
      </c>
      <c r="D266" s="48">
        <f>IFERROR(__xludf.DUMMYFUNCTION("IFERROR(GOOGLEFINANCE(A266,""CHANGEPCT""),)"),0.14)</f>
        <v>0.14</v>
      </c>
      <c r="E266" s="48" t="str">
        <f t="shared" si="1"/>
        <v>0.14%</v>
      </c>
      <c r="F266" s="48">
        <f t="shared" si="2"/>
        <v>0.14</v>
      </c>
      <c r="G266" s="48" t="str">
        <f t="shared" si="3"/>
        <v/>
      </c>
      <c r="H266" s="48">
        <f>IFERROR(__xludf.DUMMYFUNCTION("IFERROR(GOOGLEFINANCE(A266,""PRICE""),)"),750.25)</f>
        <v>750.25</v>
      </c>
      <c r="I266" s="49">
        <f>IFERROR(__xludf.DUMMYFUNCTION("IFERROR(GOOGLEFINANCE(A266,""VOLUME""),)"),17510.0)</f>
        <v>17510</v>
      </c>
      <c r="J266" s="48" t="str">
        <f>IFERROR(__xludf.DUMMYFUNCTION("IFERROR(INDEX(SPLIT(A266,"":""),1,2),)"),"CENTURYPLY")</f>
        <v>CENTURYPLY</v>
      </c>
      <c r="K266" s="48">
        <f t="shared" si="4"/>
        <v>726</v>
      </c>
      <c r="L266" s="48" t="str">
        <f t="shared" si="5"/>
        <v/>
      </c>
      <c r="M266" s="48">
        <f t="shared" si="6"/>
        <v>1150</v>
      </c>
      <c r="N266" s="50">
        <f>IFERROR(__xludf.DUMMYFUNCTION("IFERROR(GOOGLEFINANCE(A266,""TRADETIME""),)"),46269.64583333333)</f>
        <v>46269.64583</v>
      </c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</row>
    <row r="267" ht="15.75" customHeight="1">
      <c r="A267" s="51" t="s">
        <v>313</v>
      </c>
      <c r="B267" s="51" t="str">
        <f>IFERROR(__xludf.DUMMYFUNCTION("IFERROR(GOOGLEFINANCE(A267,""NAME""),)"),"CEAT Ltd")</f>
        <v>CEAT Ltd</v>
      </c>
      <c r="C267" s="51">
        <f>IFERROR(__xludf.DUMMYFUNCTION("IFERROR(GOOGLEFINANCE(A267,""CHANGE""),)"),17.7)</f>
        <v>17.7</v>
      </c>
      <c r="D267" s="51">
        <f>IFERROR(__xludf.DUMMYFUNCTION("IFERROR(GOOGLEFINANCE(A267,""CHANGEPCT""),)"),0.53)</f>
        <v>0.53</v>
      </c>
      <c r="E267" s="51" t="str">
        <f t="shared" si="1"/>
        <v>0.53%</v>
      </c>
      <c r="F267" s="51">
        <f t="shared" si="2"/>
        <v>0.53</v>
      </c>
      <c r="G267" s="51" t="str">
        <f t="shared" si="3"/>
        <v/>
      </c>
      <c r="H267" s="51">
        <f>IFERROR(__xludf.DUMMYFUNCTION("IFERROR(GOOGLEFINANCE(A267,""PRICE""),)"),3333.0)</f>
        <v>3333</v>
      </c>
      <c r="I267" s="52">
        <f>IFERROR(__xludf.DUMMYFUNCTION("IFERROR(GOOGLEFINANCE(A267,""VOLUME""),)"),73368.0)</f>
        <v>73368</v>
      </c>
      <c r="J267" s="51" t="str">
        <f>IFERROR(__xludf.DUMMYFUNCTION("IFERROR(INDEX(SPLIT(A267,"":""),1,2),)"),"CEATLTD")</f>
        <v>CEATLTD</v>
      </c>
      <c r="K267" s="51">
        <f t="shared" si="4"/>
        <v>583</v>
      </c>
      <c r="L267" s="51" t="str">
        <f t="shared" si="5"/>
        <v/>
      </c>
      <c r="M267" s="51">
        <f t="shared" si="6"/>
        <v>852</v>
      </c>
      <c r="N267" s="53">
        <f>IFERROR(__xludf.DUMMYFUNCTION("IFERROR(GOOGLEFINANCE(A267,""TRADETIME""),)"),46269.64584490741)</f>
        <v>46269.64584</v>
      </c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</row>
    <row r="268" ht="15.75" customHeight="1">
      <c r="A268" s="48" t="s">
        <v>314</v>
      </c>
      <c r="B268" s="48" t="str">
        <f>IFERROR(__xludf.DUMMYFUNCTION("IFERROR(GOOGLEFINANCE(A268,""NAME""),)"),"Jupiter Wagons Ltd")</f>
        <v>Jupiter Wagons Ltd</v>
      </c>
      <c r="C268" s="48">
        <f>IFERROR(__xludf.DUMMYFUNCTION("IFERROR(GOOGLEFINANCE(A268,""CHANGE""),)"),2.91)</f>
        <v>2.91</v>
      </c>
      <c r="D268" s="48">
        <f>IFERROR(__xludf.DUMMYFUNCTION("IFERROR(GOOGLEFINANCE(A268,""CHANGEPCT""),)"),1.21)</f>
        <v>1.21</v>
      </c>
      <c r="E268" s="48" t="str">
        <f t="shared" si="1"/>
        <v>1.21%</v>
      </c>
      <c r="F268" s="48">
        <f t="shared" si="2"/>
        <v>1.21</v>
      </c>
      <c r="G268" s="48" t="str">
        <f t="shared" si="3"/>
        <v/>
      </c>
      <c r="H268" s="48">
        <f>IFERROR(__xludf.DUMMYFUNCTION("IFERROR(GOOGLEFINANCE(A268,""PRICE""),)"),244.0)</f>
        <v>244</v>
      </c>
      <c r="I268" s="49">
        <f>IFERROR(__xludf.DUMMYFUNCTION("IFERROR(GOOGLEFINANCE(A268,""VOLUME""),)"),1056588.0)</f>
        <v>1056588</v>
      </c>
      <c r="J268" s="48" t="str">
        <f>IFERROR(__xludf.DUMMYFUNCTION("IFERROR(INDEX(SPLIT(A268,"":""),1,2),)"),"JWL")</f>
        <v>JWL</v>
      </c>
      <c r="K268" s="48">
        <f t="shared" si="4"/>
        <v>402</v>
      </c>
      <c r="L268" s="48" t="str">
        <f t="shared" si="5"/>
        <v/>
      </c>
      <c r="M268" s="48">
        <f t="shared" si="6"/>
        <v>264</v>
      </c>
      <c r="N268" s="50">
        <f>IFERROR(__xludf.DUMMYFUNCTION("IFERROR(GOOGLEFINANCE(A268,""TRADETIME""),)"),46269.64583333333)</f>
        <v>46269.64583</v>
      </c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</row>
    <row r="269" ht="15.75" customHeight="1">
      <c r="A269" s="51" t="s">
        <v>315</v>
      </c>
      <c r="B269" s="51" t="str">
        <f>IFERROR(__xludf.DUMMYFUNCTION("IFERROR(GOOGLEFINANCE(A269,""NAME""),)"),"Celebrity Fashions Ltd")</f>
        <v>Celebrity Fashions Ltd</v>
      </c>
      <c r="C269" s="51">
        <f>IFERROR(__xludf.DUMMYFUNCTION("IFERROR(GOOGLEFINANCE(A269,""CHANGE""),)"),0.08)</f>
        <v>0.08</v>
      </c>
      <c r="D269" s="51">
        <f>IFERROR(__xludf.DUMMYFUNCTION("IFERROR(GOOGLEFINANCE(A269,""CHANGEPCT""),)"),1.19)</f>
        <v>1.19</v>
      </c>
      <c r="E269" s="51" t="str">
        <f t="shared" si="1"/>
        <v>1.19%</v>
      </c>
      <c r="F269" s="51">
        <f t="shared" si="2"/>
        <v>1.19</v>
      </c>
      <c r="G269" s="51" t="str">
        <f t="shared" si="3"/>
        <v/>
      </c>
      <c r="H269" s="51">
        <f>IFERROR(__xludf.DUMMYFUNCTION("IFERROR(GOOGLEFINANCE(A269,""PRICE""),)"),6.82)</f>
        <v>6.82</v>
      </c>
      <c r="I269" s="52">
        <f>IFERROR(__xludf.DUMMYFUNCTION("IFERROR(GOOGLEFINANCE(A269,""VOLUME""),)"),23532.0)</f>
        <v>23532</v>
      </c>
      <c r="J269" s="51" t="str">
        <f>IFERROR(__xludf.DUMMYFUNCTION("IFERROR(INDEX(SPLIT(A269,"":""),1,2),)"),"CELEBRITY")</f>
        <v>CELEBRITY</v>
      </c>
      <c r="K269" s="51">
        <f t="shared" si="4"/>
        <v>409</v>
      </c>
      <c r="L269" s="51" t="str">
        <f t="shared" si="5"/>
        <v/>
      </c>
      <c r="M269" s="51">
        <f t="shared" si="6"/>
        <v>1097</v>
      </c>
      <c r="N269" s="53">
        <f>IFERROR(__xludf.DUMMYFUNCTION("IFERROR(GOOGLEFINANCE(A269,""TRADETIME""),)"),46269.64583333333)</f>
        <v>46269.64583</v>
      </c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</row>
    <row r="270" ht="15.75" customHeight="1">
      <c r="A270" s="48" t="s">
        <v>316</v>
      </c>
      <c r="B270" s="48" t="str">
        <f>IFERROR(__xludf.DUMMYFUNCTION("IFERROR(GOOGLEFINANCE(A270,""NAME""),)"),"Century Enka Ltd")</f>
        <v>Century Enka Ltd</v>
      </c>
      <c r="C270" s="48">
        <f>IFERROR(__xludf.DUMMYFUNCTION("IFERROR(GOOGLEFINANCE(A270,""CHANGE""),)"),-6.65)</f>
        <v>-6.65</v>
      </c>
      <c r="D270" s="48">
        <f>IFERROR(__xludf.DUMMYFUNCTION("IFERROR(GOOGLEFINANCE(A270,""CHANGEPCT""),)"),-1.08)</f>
        <v>-1.08</v>
      </c>
      <c r="E270" s="48" t="str">
        <f t="shared" si="1"/>
        <v>-1.08%</v>
      </c>
      <c r="F270" s="48" t="str">
        <f t="shared" si="2"/>
        <v/>
      </c>
      <c r="G270" s="48">
        <f t="shared" si="3"/>
        <v>-1.08</v>
      </c>
      <c r="H270" s="48">
        <f>IFERROR(__xludf.DUMMYFUNCTION("IFERROR(GOOGLEFINANCE(A270,""PRICE""),)"),610.0)</f>
        <v>610</v>
      </c>
      <c r="I270" s="49">
        <f>IFERROR(__xludf.DUMMYFUNCTION("IFERROR(GOOGLEFINANCE(A270,""VOLUME""),)"),126471.0)</f>
        <v>126471</v>
      </c>
      <c r="J270" s="48" t="str">
        <f>IFERROR(__xludf.DUMMYFUNCTION("IFERROR(INDEX(SPLIT(A270,"":""),1,2),)"),"CENTENKA")</f>
        <v>CENTENKA</v>
      </c>
      <c r="K270" s="48" t="str">
        <f t="shared" si="4"/>
        <v/>
      </c>
      <c r="L270" s="48">
        <f t="shared" si="5"/>
        <v>356</v>
      </c>
      <c r="M270" s="48">
        <f t="shared" si="6"/>
        <v>730</v>
      </c>
      <c r="N270" s="50">
        <f>IFERROR(__xludf.DUMMYFUNCTION("IFERROR(GOOGLEFINANCE(A270,""TRADETIME""),)"),46269.64584490741)</f>
        <v>46269.64584</v>
      </c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</row>
    <row r="271" ht="15.75" customHeight="1">
      <c r="A271" s="51" t="s">
        <v>317</v>
      </c>
      <c r="B271" s="51" t="str">
        <f>IFERROR(__xludf.DUMMYFUNCTION("IFERROR(GOOGLEFINANCE(A271,""NAME""),)"),"Century Extrusions Ltd")</f>
        <v>Century Extrusions Ltd</v>
      </c>
      <c r="C271" s="51">
        <f>IFERROR(__xludf.DUMMYFUNCTION("IFERROR(GOOGLEFINANCE(A271,""CHANGE""),)"),-0.74)</f>
        <v>-0.74</v>
      </c>
      <c r="D271" s="51">
        <f>IFERROR(__xludf.DUMMYFUNCTION("IFERROR(GOOGLEFINANCE(A271,""CHANGEPCT""),)"),-3.48)</f>
        <v>-3.48</v>
      </c>
      <c r="E271" s="51" t="str">
        <f t="shared" si="1"/>
        <v>-3.48%</v>
      </c>
      <c r="F271" s="51" t="str">
        <f t="shared" si="2"/>
        <v/>
      </c>
      <c r="G271" s="51">
        <f t="shared" si="3"/>
        <v>-3.48</v>
      </c>
      <c r="H271" s="51">
        <f>IFERROR(__xludf.DUMMYFUNCTION("IFERROR(GOOGLEFINANCE(A271,""PRICE""),)"),20.5)</f>
        <v>20.5</v>
      </c>
      <c r="I271" s="52">
        <f>IFERROR(__xludf.DUMMYFUNCTION("IFERROR(GOOGLEFINANCE(A271,""VOLUME""),)"),957330.0)</f>
        <v>957330</v>
      </c>
      <c r="J271" s="51" t="str">
        <f>IFERROR(__xludf.DUMMYFUNCTION("IFERROR(INDEX(SPLIT(A271,"":""),1,2),)"),"CENTEXT")</f>
        <v>CENTEXT</v>
      </c>
      <c r="K271" s="51" t="str">
        <f t="shared" si="4"/>
        <v/>
      </c>
      <c r="L271" s="51">
        <f t="shared" si="5"/>
        <v>607</v>
      </c>
      <c r="M271" s="51">
        <f t="shared" si="6"/>
        <v>283</v>
      </c>
      <c r="N271" s="53">
        <f>IFERROR(__xludf.DUMMYFUNCTION("IFERROR(GOOGLEFINANCE(A271,""TRADETIME""),)"),46269.64584490741)</f>
        <v>46269.64584</v>
      </c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</row>
    <row r="272" ht="15.75" customHeight="1">
      <c r="A272" s="48" t="s">
        <v>318</v>
      </c>
      <c r="B272" s="48" t="str">
        <f>IFERROR(__xludf.DUMMYFUNCTION("IFERROR(GOOGLEFINANCE(A272,""NAME""),)"),"Central Bank of India Ltd")</f>
        <v>Central Bank of India Ltd</v>
      </c>
      <c r="C272" s="48">
        <f>IFERROR(__xludf.DUMMYFUNCTION("IFERROR(GOOGLEFINANCE(A272,""CHANGE""),)"),0.33)</f>
        <v>0.33</v>
      </c>
      <c r="D272" s="48">
        <f>IFERROR(__xludf.DUMMYFUNCTION("IFERROR(GOOGLEFINANCE(A272,""CHANGEPCT""),)"),1.07)</f>
        <v>1.07</v>
      </c>
      <c r="E272" s="48" t="str">
        <f t="shared" si="1"/>
        <v>1.07%</v>
      </c>
      <c r="F272" s="48">
        <f t="shared" si="2"/>
        <v>1.07</v>
      </c>
      <c r="G272" s="48" t="str">
        <f t="shared" si="3"/>
        <v/>
      </c>
      <c r="H272" s="48">
        <f>IFERROR(__xludf.DUMMYFUNCTION("IFERROR(GOOGLEFINANCE(A272,""PRICE""),)"),31.1)</f>
        <v>31.1</v>
      </c>
      <c r="I272" s="49">
        <f>IFERROR(__xludf.DUMMYFUNCTION("IFERROR(GOOGLEFINANCE(A272,""VOLUME""),)"),5295221.0)</f>
        <v>5295221</v>
      </c>
      <c r="J272" s="48" t="str">
        <f>IFERROR(__xludf.DUMMYFUNCTION("IFERROR(INDEX(SPLIT(A272,"":""),1,2),)"),"CENTRALBK")</f>
        <v>CENTRALBK</v>
      </c>
      <c r="K272" s="48">
        <f t="shared" si="4"/>
        <v>440</v>
      </c>
      <c r="L272" s="48" t="str">
        <f t="shared" si="5"/>
        <v/>
      </c>
      <c r="M272" s="48">
        <f t="shared" si="6"/>
        <v>84</v>
      </c>
      <c r="N272" s="50">
        <f>IFERROR(__xludf.DUMMYFUNCTION("IFERROR(GOOGLEFINANCE(A272,""TRADETIME""),)"),46269.64585648148)</f>
        <v>46269.64586</v>
      </c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</row>
    <row r="273" ht="15.75" customHeight="1">
      <c r="A273" s="51" t="s">
        <v>319</v>
      </c>
      <c r="B273" s="51" t="str">
        <f>IFERROR(__xludf.DUMMYFUNCTION("IFERROR(GOOGLEFINANCE(A273,""NAME""),)"),"Centrum Capital Ltd")</f>
        <v>Centrum Capital Ltd</v>
      </c>
      <c r="C273" s="51">
        <f>IFERROR(__xludf.DUMMYFUNCTION("IFERROR(GOOGLEFINANCE(A273,""CHANGE""),)"),0.3)</f>
        <v>0.3</v>
      </c>
      <c r="D273" s="51">
        <f>IFERROR(__xludf.DUMMYFUNCTION("IFERROR(GOOGLEFINANCE(A273,""CHANGEPCT""),)"),1.34)</f>
        <v>1.34</v>
      </c>
      <c r="E273" s="51" t="str">
        <f t="shared" si="1"/>
        <v>1.34%</v>
      </c>
      <c r="F273" s="51">
        <f t="shared" si="2"/>
        <v>1.34</v>
      </c>
      <c r="G273" s="51" t="str">
        <f t="shared" si="3"/>
        <v/>
      </c>
      <c r="H273" s="51">
        <f>IFERROR(__xludf.DUMMYFUNCTION("IFERROR(GOOGLEFINANCE(A273,""PRICE""),)"),22.75)</f>
        <v>22.75</v>
      </c>
      <c r="I273" s="52">
        <f>IFERROR(__xludf.DUMMYFUNCTION("IFERROR(GOOGLEFINANCE(A273,""VOLUME""),)"),180060.0)</f>
        <v>180060</v>
      </c>
      <c r="J273" s="51" t="str">
        <f>IFERROR(__xludf.DUMMYFUNCTION("IFERROR(INDEX(SPLIT(A273,"":""),1,2),)"),"CENTRUM")</f>
        <v>CENTRUM</v>
      </c>
      <c r="K273" s="51">
        <f t="shared" si="4"/>
        <v>371</v>
      </c>
      <c r="L273" s="51" t="str">
        <f t="shared" si="5"/>
        <v/>
      </c>
      <c r="M273" s="51">
        <f t="shared" si="6"/>
        <v>649</v>
      </c>
      <c r="N273" s="53">
        <f>IFERROR(__xludf.DUMMYFUNCTION("IFERROR(GOOGLEFINANCE(A273,""TRADETIME""),)"),46269.64583333333)</f>
        <v>46269.64583</v>
      </c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</row>
    <row r="274" ht="15.75" customHeight="1">
      <c r="A274" s="48" t="s">
        <v>320</v>
      </c>
      <c r="B274" s="48" t="str">
        <f>IFERROR(__xludf.DUMMYFUNCTION("IFERROR(GOOGLEFINANCE(A274,""NAME""),)"),"Centum Electronics Ltd")</f>
        <v>Centum Electronics Ltd</v>
      </c>
      <c r="C274" s="48">
        <f>IFERROR(__xludf.DUMMYFUNCTION("IFERROR(GOOGLEFINANCE(A274,""CHANGE""),)"),-16.1)</f>
        <v>-16.1</v>
      </c>
      <c r="D274" s="48">
        <f>IFERROR(__xludf.DUMMYFUNCTION("IFERROR(GOOGLEFINANCE(A274,""CHANGEPCT""),)"),-0.43)</f>
        <v>-0.43</v>
      </c>
      <c r="E274" s="48" t="str">
        <f t="shared" si="1"/>
        <v>-0.43%</v>
      </c>
      <c r="F274" s="48" t="str">
        <f t="shared" si="2"/>
        <v/>
      </c>
      <c r="G274" s="48">
        <f t="shared" si="3"/>
        <v>-0.43</v>
      </c>
      <c r="H274" s="48">
        <f>IFERROR(__xludf.DUMMYFUNCTION("IFERROR(GOOGLEFINANCE(A274,""PRICE""),)"),3760.0)</f>
        <v>3760</v>
      </c>
      <c r="I274" s="49">
        <f>IFERROR(__xludf.DUMMYFUNCTION("IFERROR(GOOGLEFINANCE(A274,""VOLUME""),)"),29156.0)</f>
        <v>29156</v>
      </c>
      <c r="J274" s="48" t="str">
        <f>IFERROR(__xludf.DUMMYFUNCTION("IFERROR(INDEX(SPLIT(A274,"":""),1,2),)"),"CENTUM")</f>
        <v>CENTUM</v>
      </c>
      <c r="K274" s="48" t="str">
        <f t="shared" si="4"/>
        <v/>
      </c>
      <c r="L274" s="48">
        <f t="shared" si="5"/>
        <v>164</v>
      </c>
      <c r="M274" s="48">
        <f t="shared" si="6"/>
        <v>1060</v>
      </c>
      <c r="N274" s="50">
        <f>IFERROR(__xludf.DUMMYFUNCTION("IFERROR(GOOGLEFINANCE(A274,""TRADETIME""),)"),46269.64585648148)</f>
        <v>46269.64586</v>
      </c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</row>
    <row r="275" ht="15.75" customHeight="1">
      <c r="A275" s="51" t="s">
        <v>321</v>
      </c>
      <c r="B275" s="51" t="str">
        <f>IFERROR(__xludf.DUMMYFUNCTION("IFERROR(GOOGLEFINANCE(A275,""NAME""),)"),"Colgate-Palmolive (India) Ltd")</f>
        <v>Colgate-Palmolive (India) Ltd</v>
      </c>
      <c r="C275" s="51">
        <f>IFERROR(__xludf.DUMMYFUNCTION("IFERROR(GOOGLEFINANCE(A275,""CHANGE""),)"),-13.6)</f>
        <v>-13.6</v>
      </c>
      <c r="D275" s="51">
        <f>IFERROR(__xludf.DUMMYFUNCTION("IFERROR(GOOGLEFINANCE(A275,""CHANGEPCT""),)"),-0.74)</f>
        <v>-0.74</v>
      </c>
      <c r="E275" s="51" t="str">
        <f t="shared" si="1"/>
        <v>-0.74%</v>
      </c>
      <c r="F275" s="51" t="str">
        <f t="shared" si="2"/>
        <v/>
      </c>
      <c r="G275" s="51">
        <f t="shared" si="3"/>
        <v>-0.74</v>
      </c>
      <c r="H275" s="51">
        <f>IFERROR(__xludf.DUMMYFUNCTION("IFERROR(GOOGLEFINANCE(A275,""PRICE""),)"),1836.4)</f>
        <v>1836.4</v>
      </c>
      <c r="I275" s="52">
        <f>IFERROR(__xludf.DUMMYFUNCTION("IFERROR(GOOGLEFINANCE(A275,""VOLUME""),)"),562995.0)</f>
        <v>562995</v>
      </c>
      <c r="J275" s="51" t="str">
        <f>IFERROR(__xludf.DUMMYFUNCTION("IFERROR(INDEX(SPLIT(A275,"":""),1,2),)"),"COLPAL")</f>
        <v>COLPAL</v>
      </c>
      <c r="K275" s="51" t="str">
        <f t="shared" si="4"/>
        <v/>
      </c>
      <c r="L275" s="51">
        <f t="shared" si="5"/>
        <v>280</v>
      </c>
      <c r="M275" s="51">
        <f t="shared" si="6"/>
        <v>373</v>
      </c>
      <c r="N275" s="53">
        <f>IFERROR(__xludf.DUMMYFUNCTION("IFERROR(GOOGLEFINANCE(A275,""TRADETIME""),)"),46269.64583333333)</f>
        <v>46269.64583</v>
      </c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</row>
    <row r="276" ht="15.75" customHeight="1">
      <c r="A276" s="48" t="s">
        <v>322</v>
      </c>
      <c r="B276" s="48" t="str">
        <f>IFERROR(__xludf.DUMMYFUNCTION("IFERROR(GOOGLEFINANCE(A276,""NAME""),)"),"")</f>
        <v/>
      </c>
      <c r="C276" s="48" t="str">
        <f>IFERROR(__xludf.DUMMYFUNCTION("IFERROR(GOOGLEFINANCE(A276,""CHANGE""),)"),"")</f>
        <v/>
      </c>
      <c r="D276" s="48" t="str">
        <f>IFERROR(__xludf.DUMMYFUNCTION("IFERROR(GOOGLEFINANCE(A276,""CHANGEPCT""),)"),"")</f>
        <v/>
      </c>
      <c r="E276" s="48" t="str">
        <f t="shared" si="1"/>
        <v>%</v>
      </c>
      <c r="F276" s="48" t="str">
        <f t="shared" si="2"/>
        <v/>
      </c>
      <c r="G276" s="48" t="str">
        <f t="shared" si="3"/>
        <v/>
      </c>
      <c r="H276" s="48" t="str">
        <f>IFERROR(__xludf.DUMMYFUNCTION("IFERROR(GOOGLEFINANCE(A276,""PRICE""),)"),"")</f>
        <v/>
      </c>
      <c r="I276" s="49" t="str">
        <f>IFERROR(__xludf.DUMMYFUNCTION("IFERROR(GOOGLEFINANCE(A276,""VOLUME""),)"),"")</f>
        <v/>
      </c>
      <c r="J276" s="48" t="str">
        <f>IFERROR(__xludf.DUMMYFUNCTION("IFERROR(INDEX(SPLIT(A276,"":""),1,2),)"),"CENTURYTEX")</f>
        <v>CENTURYTEX</v>
      </c>
      <c r="K276" s="48" t="str">
        <f t="shared" si="4"/>
        <v/>
      </c>
      <c r="L276" s="48" t="str">
        <f t="shared" si="5"/>
        <v/>
      </c>
      <c r="M276" s="48">
        <f t="shared" si="6"/>
        <v>1456</v>
      </c>
      <c r="N276" s="50" t="str">
        <f>IFERROR(__xludf.DUMMYFUNCTION("IFERROR(GOOGLEFINANCE(A276,""TRADETIME""),)"),"")</f>
        <v/>
      </c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</row>
    <row r="277" ht="15.75" customHeight="1">
      <c r="A277" s="51" t="s">
        <v>323</v>
      </c>
      <c r="B277" s="51" t="str">
        <f>IFERROR(__xludf.DUMMYFUNCTION("IFERROR(GOOGLEFINANCE(A277,""NAME""),)"),"Cera Sanitaryware Ltd")</f>
        <v>Cera Sanitaryware Ltd</v>
      </c>
      <c r="C277" s="51">
        <f>IFERROR(__xludf.DUMMYFUNCTION("IFERROR(GOOGLEFINANCE(A277,""CHANGE""),)"),106.5)</f>
        <v>106.5</v>
      </c>
      <c r="D277" s="51">
        <f>IFERROR(__xludf.DUMMYFUNCTION("IFERROR(GOOGLEFINANCE(A277,""CHANGEPCT""),)"),1.87)</f>
        <v>1.87</v>
      </c>
      <c r="E277" s="51" t="str">
        <f t="shared" si="1"/>
        <v>1.87%</v>
      </c>
      <c r="F277" s="51">
        <f t="shared" si="2"/>
        <v>1.87</v>
      </c>
      <c r="G277" s="51" t="str">
        <f t="shared" si="3"/>
        <v/>
      </c>
      <c r="H277" s="51">
        <f>IFERROR(__xludf.DUMMYFUNCTION("IFERROR(GOOGLEFINANCE(A277,""PRICE""),)"),5790.0)</f>
        <v>5790</v>
      </c>
      <c r="I277" s="52">
        <f>IFERROR(__xludf.DUMMYFUNCTION("IFERROR(GOOGLEFINANCE(A277,""VOLUME""),)"),19476.0)</f>
        <v>19476</v>
      </c>
      <c r="J277" s="51" t="str">
        <f>IFERROR(__xludf.DUMMYFUNCTION("IFERROR(INDEX(SPLIT(A277,"":""),1,2),)"),"CERA")</f>
        <v>CERA</v>
      </c>
      <c r="K277" s="51">
        <f t="shared" si="4"/>
        <v>282</v>
      </c>
      <c r="L277" s="51" t="str">
        <f t="shared" si="5"/>
        <v/>
      </c>
      <c r="M277" s="51">
        <f t="shared" si="6"/>
        <v>1127</v>
      </c>
      <c r="N277" s="53">
        <f>IFERROR(__xludf.DUMMYFUNCTION("IFERROR(GOOGLEFINANCE(A277,""TRADETIME""),)"),46269.64583333333)</f>
        <v>46269.64583</v>
      </c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</row>
    <row r="278" ht="15.75" customHeight="1">
      <c r="A278" s="48" t="s">
        <v>324</v>
      </c>
      <c r="B278" s="48" t="str">
        <f>IFERROR(__xludf.DUMMYFUNCTION("IFERROR(GOOGLEFINANCE(A278,""NAME""),)"),"Cerebra Integrated Technologies Ltd")</f>
        <v>Cerebra Integrated Technologies Ltd</v>
      </c>
      <c r="C278" s="48">
        <f>IFERROR(__xludf.DUMMYFUNCTION("IFERROR(GOOGLEFINANCE(A278,""CHANGE""),)"),0.1)</f>
        <v>0.1</v>
      </c>
      <c r="D278" s="48">
        <f>IFERROR(__xludf.DUMMYFUNCTION("IFERROR(GOOGLEFINANCE(A278,""CHANGEPCT""),)"),3.85)</f>
        <v>3.85</v>
      </c>
      <c r="E278" s="48" t="str">
        <f t="shared" si="1"/>
        <v>3.85%</v>
      </c>
      <c r="F278" s="48">
        <f t="shared" si="2"/>
        <v>3.85</v>
      </c>
      <c r="G278" s="48" t="str">
        <f t="shared" si="3"/>
        <v/>
      </c>
      <c r="H278" s="48">
        <f>IFERROR(__xludf.DUMMYFUNCTION("IFERROR(GOOGLEFINANCE(A278,""PRICE""),)"),2.7)</f>
        <v>2.7</v>
      </c>
      <c r="I278" s="49">
        <f>IFERROR(__xludf.DUMMYFUNCTION("IFERROR(GOOGLEFINANCE(A278,""VOLUME""),)"),60459.0)</f>
        <v>60459</v>
      </c>
      <c r="J278" s="48" t="str">
        <f>IFERROR(__xludf.DUMMYFUNCTION("IFERROR(INDEX(SPLIT(A278,"":""),1,2),)"),"CEREBRAINT")</f>
        <v>CEREBRAINT</v>
      </c>
      <c r="K278" s="48">
        <f t="shared" si="4"/>
        <v>123</v>
      </c>
      <c r="L278" s="48" t="str">
        <f t="shared" si="5"/>
        <v/>
      </c>
      <c r="M278" s="48">
        <f t="shared" si="6"/>
        <v>901</v>
      </c>
      <c r="N278" s="50">
        <f>IFERROR(__xludf.DUMMYFUNCTION("IFERROR(GOOGLEFINANCE(A278,""TRADETIME""),)"),46269.64583333333)</f>
        <v>46269.64583</v>
      </c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</row>
    <row r="279" ht="15.75" customHeight="1">
      <c r="A279" s="51" t="s">
        <v>325</v>
      </c>
      <c r="B279" s="51" t="str">
        <f>IFERROR(__xludf.DUMMYFUNCTION("IFERROR(GOOGLEFINANCE(A279,""NAME""),)"),"CESC Ltd")</f>
        <v>CESC Ltd</v>
      </c>
      <c r="C279" s="51">
        <f>IFERROR(__xludf.DUMMYFUNCTION("IFERROR(GOOGLEFINANCE(A279,""CHANGE""),)"),-1.96)</f>
        <v>-1.96</v>
      </c>
      <c r="D279" s="51">
        <f>IFERROR(__xludf.DUMMYFUNCTION("IFERROR(GOOGLEFINANCE(A279,""CHANGEPCT""),)"),-1.32)</f>
        <v>-1.32</v>
      </c>
      <c r="E279" s="51" t="str">
        <f t="shared" si="1"/>
        <v>-1.32%</v>
      </c>
      <c r="F279" s="51" t="str">
        <f t="shared" si="2"/>
        <v/>
      </c>
      <c r="G279" s="51">
        <f t="shared" si="3"/>
        <v>-1.32</v>
      </c>
      <c r="H279" s="51">
        <f>IFERROR(__xludf.DUMMYFUNCTION("IFERROR(GOOGLEFINANCE(A279,""PRICE""),)"),146.0)</f>
        <v>146</v>
      </c>
      <c r="I279" s="52">
        <f>IFERROR(__xludf.DUMMYFUNCTION("IFERROR(GOOGLEFINANCE(A279,""VOLUME""),)"),1448303.0)</f>
        <v>1448303</v>
      </c>
      <c r="J279" s="51" t="str">
        <f>IFERROR(__xludf.DUMMYFUNCTION("IFERROR(INDEX(SPLIT(A279,"":""),1,2),)"),"CESC")</f>
        <v>CESC</v>
      </c>
      <c r="K279" s="51" t="str">
        <f t="shared" si="4"/>
        <v/>
      </c>
      <c r="L279" s="51">
        <f t="shared" si="5"/>
        <v>408</v>
      </c>
      <c r="M279" s="51">
        <f t="shared" si="6"/>
        <v>212</v>
      </c>
      <c r="N279" s="53">
        <f>IFERROR(__xludf.DUMMYFUNCTION("IFERROR(GOOGLEFINANCE(A279,""TRADETIME""),)"),46269.64585648148)</f>
        <v>46269.64586</v>
      </c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</row>
    <row r="280" ht="15.75" customHeight="1">
      <c r="A280" s="48" t="s">
        <v>326</v>
      </c>
      <c r="B280" s="48" t="str">
        <f>IFERROR(__xludf.DUMMYFUNCTION("IFERROR(GOOGLEFINANCE(A280,""NAME""),)"),"Capri Global Capital Ltd")</f>
        <v>Capri Global Capital Ltd</v>
      </c>
      <c r="C280" s="48">
        <f>IFERROR(__xludf.DUMMYFUNCTION("IFERROR(GOOGLEFINANCE(A280,""CHANGE""),)"),10.2)</f>
        <v>10.2</v>
      </c>
      <c r="D280" s="48">
        <f>IFERROR(__xludf.DUMMYFUNCTION("IFERROR(GOOGLEFINANCE(A280,""CHANGEPCT""),)"),3.75)</f>
        <v>3.75</v>
      </c>
      <c r="E280" s="48" t="str">
        <f t="shared" si="1"/>
        <v>3.75%</v>
      </c>
      <c r="F280" s="48">
        <f t="shared" si="2"/>
        <v>3.75</v>
      </c>
      <c r="G280" s="48" t="str">
        <f t="shared" si="3"/>
        <v/>
      </c>
      <c r="H280" s="48">
        <f>IFERROR(__xludf.DUMMYFUNCTION("IFERROR(GOOGLEFINANCE(A280,""PRICE""),)"),281.9)</f>
        <v>281.9</v>
      </c>
      <c r="I280" s="49">
        <f>IFERROR(__xludf.DUMMYFUNCTION("IFERROR(GOOGLEFINANCE(A280,""VOLUME""),)"),7594713.0)</f>
        <v>7594713</v>
      </c>
      <c r="J280" s="48" t="str">
        <f>IFERROR(__xludf.DUMMYFUNCTION("IFERROR(INDEX(SPLIT(A280,"":""),1,2),)"),"CGCL")</f>
        <v>CGCL</v>
      </c>
      <c r="K280" s="48">
        <f t="shared" si="4"/>
        <v>126</v>
      </c>
      <c r="L280" s="48" t="str">
        <f t="shared" si="5"/>
        <v/>
      </c>
      <c r="M280" s="48">
        <f t="shared" si="6"/>
        <v>60</v>
      </c>
      <c r="N280" s="50">
        <f>IFERROR(__xludf.DUMMYFUNCTION("IFERROR(GOOGLEFINANCE(A280,""TRADETIME""),)"),46269.64583333333)</f>
        <v>46269.64583</v>
      </c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</row>
    <row r="281" ht="15.75" customHeight="1">
      <c r="A281" s="51" t="s">
        <v>327</v>
      </c>
      <c r="B281" s="51" t="str">
        <f>IFERROR(__xludf.DUMMYFUNCTION("IFERROR(GOOGLEFINANCE(A281,""NAME""),)"),"CG Power and Industrial Solutions Ltd")</f>
        <v>CG Power and Industrial Solutions Ltd</v>
      </c>
      <c r="C281" s="51">
        <f>IFERROR(__xludf.DUMMYFUNCTION("IFERROR(GOOGLEFINANCE(A281,""CHANGE""),)"),-0.75)</f>
        <v>-0.75</v>
      </c>
      <c r="D281" s="51">
        <f>IFERROR(__xludf.DUMMYFUNCTION("IFERROR(GOOGLEFINANCE(A281,""CHANGEPCT""),)"),-0.08)</f>
        <v>-0.08</v>
      </c>
      <c r="E281" s="51" t="str">
        <f t="shared" si="1"/>
        <v>-0.08%</v>
      </c>
      <c r="F281" s="51" t="str">
        <f t="shared" si="2"/>
        <v/>
      </c>
      <c r="G281" s="51">
        <f t="shared" si="3"/>
        <v>-0.08</v>
      </c>
      <c r="H281" s="51">
        <f>IFERROR(__xludf.DUMMYFUNCTION("IFERROR(GOOGLEFINANCE(A281,""PRICE""),)"),894.25)</f>
        <v>894.25</v>
      </c>
      <c r="I281" s="52">
        <f>IFERROR(__xludf.DUMMYFUNCTION("IFERROR(GOOGLEFINANCE(A281,""VOLUME""),)"),2159759.0)</f>
        <v>2159759</v>
      </c>
      <c r="J281" s="51" t="str">
        <f>IFERROR(__xludf.DUMMYFUNCTION("IFERROR(INDEX(SPLIT(A281,"":""),1,2),)"),"CGPOWER")</f>
        <v>CGPOWER</v>
      </c>
      <c r="K281" s="51" t="str">
        <f t="shared" si="4"/>
        <v/>
      </c>
      <c r="L281" s="51">
        <f t="shared" si="5"/>
        <v>20</v>
      </c>
      <c r="M281" s="51">
        <f t="shared" si="6"/>
        <v>167</v>
      </c>
      <c r="N281" s="53">
        <f>IFERROR(__xludf.DUMMYFUNCTION("IFERROR(GOOGLEFINANCE(A281,""TRADETIME""),)"),46269.64583333333)</f>
        <v>46269.64583</v>
      </c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</row>
    <row r="282" ht="15.75" customHeight="1">
      <c r="A282" s="48" t="s">
        <v>328</v>
      </c>
      <c r="B282" s="48" t="str">
        <f>IFERROR(__xludf.DUMMYFUNCTION("IFERROR(GOOGLEFINANCE(A282,""NAME""),)"),"Chalet Hotels Ltd")</f>
        <v>Chalet Hotels Ltd</v>
      </c>
      <c r="C282" s="48">
        <f>IFERROR(__xludf.DUMMYFUNCTION("IFERROR(GOOGLEFINANCE(A282,""CHANGE""),)"),9.25)</f>
        <v>9.25</v>
      </c>
      <c r="D282" s="48">
        <f>IFERROR(__xludf.DUMMYFUNCTION("IFERROR(GOOGLEFINANCE(A282,""CHANGEPCT""),)"),1.04)</f>
        <v>1.04</v>
      </c>
      <c r="E282" s="48" t="str">
        <f t="shared" si="1"/>
        <v>1.04%</v>
      </c>
      <c r="F282" s="48">
        <f t="shared" si="2"/>
        <v>1.04</v>
      </c>
      <c r="G282" s="48" t="str">
        <f t="shared" si="3"/>
        <v/>
      </c>
      <c r="H282" s="48">
        <f>IFERROR(__xludf.DUMMYFUNCTION("IFERROR(GOOGLEFINANCE(A282,""PRICE""),)"),900.0)</f>
        <v>900</v>
      </c>
      <c r="I282" s="49">
        <f>IFERROR(__xludf.DUMMYFUNCTION("IFERROR(GOOGLEFINANCE(A282,""VOLUME""),)"),87842.0)</f>
        <v>87842</v>
      </c>
      <c r="J282" s="48" t="str">
        <f>IFERROR(__xludf.DUMMYFUNCTION("IFERROR(INDEX(SPLIT(A282,"":""),1,2),)"),"CHALET")</f>
        <v>CHALET</v>
      </c>
      <c r="K282" s="48">
        <f t="shared" si="4"/>
        <v>442</v>
      </c>
      <c r="L282" s="48" t="str">
        <f t="shared" si="5"/>
        <v/>
      </c>
      <c r="M282" s="48">
        <f t="shared" si="6"/>
        <v>807</v>
      </c>
      <c r="N282" s="50">
        <f>IFERROR(__xludf.DUMMYFUNCTION("IFERROR(GOOGLEFINANCE(A282,""TRADETIME""),)"),46269.64583333333)</f>
        <v>46269.64583</v>
      </c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</row>
    <row r="283" ht="15.75" customHeight="1">
      <c r="A283" s="51" t="s">
        <v>329</v>
      </c>
      <c r="B283" s="51" t="str">
        <f>IFERROR(__xludf.DUMMYFUNCTION("IFERROR(GOOGLEFINANCE(A283,""NAME""),)"),"Chambal Fertilisers and Chemicals Ltd")</f>
        <v>Chambal Fertilisers and Chemicals Ltd</v>
      </c>
      <c r="C283" s="51">
        <f>IFERROR(__xludf.DUMMYFUNCTION("IFERROR(GOOGLEFINANCE(A283,""CHANGE""),)"),1.2)</f>
        <v>1.2</v>
      </c>
      <c r="D283" s="51">
        <f>IFERROR(__xludf.DUMMYFUNCTION("IFERROR(GOOGLEFINANCE(A283,""CHANGEPCT""),)"),0.29)</f>
        <v>0.29</v>
      </c>
      <c r="E283" s="51" t="str">
        <f t="shared" si="1"/>
        <v>0.29%</v>
      </c>
      <c r="F283" s="51">
        <f t="shared" si="2"/>
        <v>0.29</v>
      </c>
      <c r="G283" s="51" t="str">
        <f t="shared" si="3"/>
        <v/>
      </c>
      <c r="H283" s="51">
        <f>IFERROR(__xludf.DUMMYFUNCTION("IFERROR(GOOGLEFINANCE(A283,""PRICE""),)"),419.5)</f>
        <v>419.5</v>
      </c>
      <c r="I283" s="52">
        <f>IFERROR(__xludf.DUMMYFUNCTION("IFERROR(GOOGLEFINANCE(A283,""VOLUME""),)"),329143.0)</f>
        <v>329143</v>
      </c>
      <c r="J283" s="51" t="str">
        <f>IFERROR(__xludf.DUMMYFUNCTION("IFERROR(INDEX(SPLIT(A283,"":""),1,2),)"),"CHAMBLFERT")</f>
        <v>CHAMBLFERT</v>
      </c>
      <c r="K283" s="51">
        <f t="shared" si="4"/>
        <v>662</v>
      </c>
      <c r="L283" s="51" t="str">
        <f t="shared" si="5"/>
        <v/>
      </c>
      <c r="M283" s="51">
        <f t="shared" si="6"/>
        <v>487</v>
      </c>
      <c r="N283" s="53">
        <f>IFERROR(__xludf.DUMMYFUNCTION("IFERROR(GOOGLEFINANCE(A283,""TRADETIME""),)"),46269.64584490741)</f>
        <v>46269.64584</v>
      </c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</row>
    <row r="284" ht="15.75" customHeight="1">
      <c r="A284" s="48" t="s">
        <v>330</v>
      </c>
      <c r="B284" s="48" t="str">
        <f>IFERROR(__xludf.DUMMYFUNCTION("IFERROR(GOOGLEFINANCE(A284,""NAME""),)"),"Chembond Material Technologies Ltd")</f>
        <v>Chembond Material Technologies Ltd</v>
      </c>
      <c r="C284" s="48">
        <f>IFERROR(__xludf.DUMMYFUNCTION("IFERROR(GOOGLEFINANCE(A284,""CHANGE""),)"),-1.02)</f>
        <v>-1.02</v>
      </c>
      <c r="D284" s="48">
        <f>IFERROR(__xludf.DUMMYFUNCTION("IFERROR(GOOGLEFINANCE(A284,""CHANGEPCT""),)"),-0.59)</f>
        <v>-0.59</v>
      </c>
      <c r="E284" s="48" t="str">
        <f t="shared" si="1"/>
        <v>-0.59%</v>
      </c>
      <c r="F284" s="48" t="str">
        <f t="shared" si="2"/>
        <v/>
      </c>
      <c r="G284" s="48">
        <f t="shared" si="3"/>
        <v>-0.59</v>
      </c>
      <c r="H284" s="48">
        <f>IFERROR(__xludf.DUMMYFUNCTION("IFERROR(GOOGLEFINANCE(A284,""PRICE""),)"),172.0)</f>
        <v>172</v>
      </c>
      <c r="I284" s="49">
        <f>IFERROR(__xludf.DUMMYFUNCTION("IFERROR(GOOGLEFINANCE(A284,""VOLUME""),)"),6660.0)</f>
        <v>6660</v>
      </c>
      <c r="J284" s="48" t="str">
        <f>IFERROR(__xludf.DUMMYFUNCTION("IFERROR(INDEX(SPLIT(A284,"":""),1,2),)"),"CHEMBOND")</f>
        <v>CHEMBOND</v>
      </c>
      <c r="K284" s="48" t="str">
        <f t="shared" si="4"/>
        <v/>
      </c>
      <c r="L284" s="48">
        <f t="shared" si="5"/>
        <v>222</v>
      </c>
      <c r="M284" s="48">
        <f t="shared" si="6"/>
        <v>1295</v>
      </c>
      <c r="N284" s="50">
        <f>IFERROR(__xludf.DUMMYFUNCTION("IFERROR(GOOGLEFINANCE(A284,""TRADETIME""),)"),46269.64583333333)</f>
        <v>46269.64583</v>
      </c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</row>
    <row r="285" ht="15.75" customHeight="1">
      <c r="A285" s="51" t="s">
        <v>331</v>
      </c>
      <c r="B285" s="51" t="str">
        <f>IFERROR(__xludf.DUMMYFUNCTION("IFERROR(GOOGLEFINANCE(A285,""NAME""),)"),"Chemcon Speciality Chemicals Ltd")</f>
        <v>Chemcon Speciality Chemicals Ltd</v>
      </c>
      <c r="C285" s="51">
        <f>IFERROR(__xludf.DUMMYFUNCTION("IFERROR(GOOGLEFINANCE(A285,""CHANGE""),)"),-1.79)</f>
        <v>-1.79</v>
      </c>
      <c r="D285" s="51">
        <f>IFERROR(__xludf.DUMMYFUNCTION("IFERROR(GOOGLEFINANCE(A285,""CHANGEPCT""),)"),-0.89)</f>
        <v>-0.89</v>
      </c>
      <c r="E285" s="51" t="str">
        <f t="shared" si="1"/>
        <v>-0.89%</v>
      </c>
      <c r="F285" s="51" t="str">
        <f t="shared" si="2"/>
        <v/>
      </c>
      <c r="G285" s="51">
        <f t="shared" si="3"/>
        <v>-0.89</v>
      </c>
      <c r="H285" s="51">
        <f>IFERROR(__xludf.DUMMYFUNCTION("IFERROR(GOOGLEFINANCE(A285,""PRICE""),)"),199.5)</f>
        <v>199.5</v>
      </c>
      <c r="I285" s="52">
        <f>IFERROR(__xludf.DUMMYFUNCTION("IFERROR(GOOGLEFINANCE(A285,""VOLUME""),)"),14633.0)</f>
        <v>14633</v>
      </c>
      <c r="J285" s="51" t="str">
        <f>IFERROR(__xludf.DUMMYFUNCTION("IFERROR(INDEX(SPLIT(A285,"":""),1,2),)"),"CHEMCON")</f>
        <v>CHEMCON</v>
      </c>
      <c r="K285" s="51" t="str">
        <f t="shared" si="4"/>
        <v/>
      </c>
      <c r="L285" s="51">
        <f t="shared" si="5"/>
        <v>313</v>
      </c>
      <c r="M285" s="51">
        <f t="shared" si="6"/>
        <v>1184</v>
      </c>
      <c r="N285" s="53">
        <f>IFERROR(__xludf.DUMMYFUNCTION("IFERROR(GOOGLEFINANCE(A285,""TRADETIME""),)"),46269.64586805555)</f>
        <v>46269.64587</v>
      </c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</row>
    <row r="286" ht="15.75" customHeight="1">
      <c r="A286" s="48" t="s">
        <v>332</v>
      </c>
      <c r="B286" s="48" t="str">
        <f>IFERROR(__xludf.DUMMYFUNCTION("IFERROR(GOOGLEFINANCE(A286,""NAME""),)"),"Chemfab Alkalis Ltd")</f>
        <v>Chemfab Alkalis Ltd</v>
      </c>
      <c r="C286" s="48">
        <f>IFERROR(__xludf.DUMMYFUNCTION("IFERROR(GOOGLEFINANCE(A286,""CHANGE""),)"),2.05)</f>
        <v>2.05</v>
      </c>
      <c r="D286" s="48">
        <f>IFERROR(__xludf.DUMMYFUNCTION("IFERROR(GOOGLEFINANCE(A286,""CHANGEPCT""),)"),0.57)</f>
        <v>0.57</v>
      </c>
      <c r="E286" s="48" t="str">
        <f t="shared" si="1"/>
        <v>0.57%</v>
      </c>
      <c r="F286" s="48">
        <f t="shared" si="2"/>
        <v>0.57</v>
      </c>
      <c r="G286" s="48" t="str">
        <f t="shared" si="3"/>
        <v/>
      </c>
      <c r="H286" s="48">
        <f>IFERROR(__xludf.DUMMYFUNCTION("IFERROR(GOOGLEFINANCE(A286,""PRICE""),)"),360.05)</f>
        <v>360.05</v>
      </c>
      <c r="I286" s="49">
        <f>IFERROR(__xludf.DUMMYFUNCTION("IFERROR(GOOGLEFINANCE(A286,""VOLUME""),)"),4597.0)</f>
        <v>4597</v>
      </c>
      <c r="J286" s="48" t="str">
        <f>IFERROR(__xludf.DUMMYFUNCTION("IFERROR(INDEX(SPLIT(A286,"":""),1,2),)"),"CHEMFAB")</f>
        <v>CHEMFAB</v>
      </c>
      <c r="K286" s="48">
        <f t="shared" si="4"/>
        <v>565</v>
      </c>
      <c r="L286" s="48" t="str">
        <f t="shared" si="5"/>
        <v/>
      </c>
      <c r="M286" s="48">
        <f t="shared" si="6"/>
        <v>1334</v>
      </c>
      <c r="N286" s="50">
        <f>IFERROR(__xludf.DUMMYFUNCTION("IFERROR(GOOGLEFINANCE(A286,""TRADETIME""),)"),46269.64583333333)</f>
        <v>46269.64583</v>
      </c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</row>
    <row r="287" ht="15.75" customHeight="1">
      <c r="A287" s="51" t="s">
        <v>333</v>
      </c>
      <c r="B287" s="51" t="str">
        <f>IFERROR(__xludf.DUMMYFUNCTION("IFERROR(GOOGLEFINANCE(A287,""NAME""),)"),"Chennai Petroleum Corporation Ltd")</f>
        <v>Chennai Petroleum Corporation Ltd</v>
      </c>
      <c r="C287" s="51">
        <f>IFERROR(__xludf.DUMMYFUNCTION("IFERROR(GOOGLEFINANCE(A287,""CHANGE""),)"),10.0)</f>
        <v>10</v>
      </c>
      <c r="D287" s="51">
        <f>IFERROR(__xludf.DUMMYFUNCTION("IFERROR(GOOGLEFINANCE(A287,""CHANGEPCT""),)"),0.69)</f>
        <v>0.69</v>
      </c>
      <c r="E287" s="51" t="str">
        <f t="shared" si="1"/>
        <v>0.69%</v>
      </c>
      <c r="F287" s="51">
        <f t="shared" si="2"/>
        <v>0.69</v>
      </c>
      <c r="G287" s="51" t="str">
        <f t="shared" si="3"/>
        <v/>
      </c>
      <c r="H287" s="51">
        <f>IFERROR(__xludf.DUMMYFUNCTION("IFERROR(GOOGLEFINANCE(A287,""PRICE""),)"),1450.0)</f>
        <v>1450</v>
      </c>
      <c r="I287" s="52">
        <f>IFERROR(__xludf.DUMMYFUNCTION("IFERROR(GOOGLEFINANCE(A287,""VOLUME""),)"),934269.0)</f>
        <v>934269</v>
      </c>
      <c r="J287" s="51" t="str">
        <f>IFERROR(__xludf.DUMMYFUNCTION("IFERROR(INDEX(SPLIT(A287,"":""),1,2),)"),"CHENNPETRO")</f>
        <v>CHENNPETRO</v>
      </c>
      <c r="K287" s="51">
        <f t="shared" si="4"/>
        <v>532</v>
      </c>
      <c r="L287" s="51" t="str">
        <f t="shared" si="5"/>
        <v/>
      </c>
      <c r="M287" s="51">
        <f t="shared" si="6"/>
        <v>288</v>
      </c>
      <c r="N287" s="53">
        <f>IFERROR(__xludf.DUMMYFUNCTION("IFERROR(GOOGLEFINANCE(A287,""TRADETIME""),)"),46269.64583333333)</f>
        <v>46269.64583</v>
      </c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</row>
    <row r="288" ht="15.75" customHeight="1">
      <c r="A288" s="48" t="s">
        <v>334</v>
      </c>
      <c r="B288" s="48" t="str">
        <f>IFERROR(__xludf.DUMMYFUNCTION("IFERROR(GOOGLEFINANCE(A288,""NAME""),)"),"Cholamandalam Investment and Fin Co Ltd")</f>
        <v>Cholamandalam Investment and Fin Co Ltd</v>
      </c>
      <c r="C288" s="48">
        <f>IFERROR(__xludf.DUMMYFUNCTION("IFERROR(GOOGLEFINANCE(A288,""CHANGE""),)"),-19.3)</f>
        <v>-19.3</v>
      </c>
      <c r="D288" s="48">
        <f>IFERROR(__xludf.DUMMYFUNCTION("IFERROR(GOOGLEFINANCE(A288,""CHANGEPCT""),)"),-1.04)</f>
        <v>-1.04</v>
      </c>
      <c r="E288" s="48" t="str">
        <f t="shared" si="1"/>
        <v>-1.04%</v>
      </c>
      <c r="F288" s="48" t="str">
        <f t="shared" si="2"/>
        <v/>
      </c>
      <c r="G288" s="48">
        <f t="shared" si="3"/>
        <v>-1.04</v>
      </c>
      <c r="H288" s="48">
        <f>IFERROR(__xludf.DUMMYFUNCTION("IFERROR(GOOGLEFINANCE(A288,""PRICE""),)"),1830.0)</f>
        <v>1830</v>
      </c>
      <c r="I288" s="49">
        <f>IFERROR(__xludf.DUMMYFUNCTION("IFERROR(GOOGLEFINANCE(A288,""VOLUME""),)"),677118.0)</f>
        <v>677118</v>
      </c>
      <c r="J288" s="48" t="str">
        <f>IFERROR(__xludf.DUMMYFUNCTION("IFERROR(INDEX(SPLIT(A288,"":""),1,2),)"),"CHOLAFIN")</f>
        <v>CHOLAFIN</v>
      </c>
      <c r="K288" s="48" t="str">
        <f t="shared" si="4"/>
        <v/>
      </c>
      <c r="L288" s="48">
        <f t="shared" si="5"/>
        <v>348</v>
      </c>
      <c r="M288" s="48">
        <f t="shared" si="6"/>
        <v>337</v>
      </c>
      <c r="N288" s="50">
        <f>IFERROR(__xludf.DUMMYFUNCTION("IFERROR(GOOGLEFINANCE(A288,""TRADETIME""),)"),46269.64583333333)</f>
        <v>46269.64583</v>
      </c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</row>
    <row r="289" ht="15.75" customHeight="1">
      <c r="A289" s="51" t="s">
        <v>335</v>
      </c>
      <c r="B289" s="51" t="str">
        <f>IFERROR(__xludf.DUMMYFUNCTION("IFERROR(GOOGLEFINANCE(A289,""NAME""),)"),"Cholamandalam Financial Holdings Ltd")</f>
        <v>Cholamandalam Financial Holdings Ltd</v>
      </c>
      <c r="C289" s="51">
        <f>IFERROR(__xludf.DUMMYFUNCTION("IFERROR(GOOGLEFINANCE(A289,""CHANGE""),)"),22.2)</f>
        <v>22.2</v>
      </c>
      <c r="D289" s="51">
        <f>IFERROR(__xludf.DUMMYFUNCTION("IFERROR(GOOGLEFINANCE(A289,""CHANGEPCT""),)"),1.48)</f>
        <v>1.48</v>
      </c>
      <c r="E289" s="51" t="str">
        <f t="shared" si="1"/>
        <v>1.48%</v>
      </c>
      <c r="F289" s="51">
        <f t="shared" si="2"/>
        <v>1.48</v>
      </c>
      <c r="G289" s="51" t="str">
        <f t="shared" si="3"/>
        <v/>
      </c>
      <c r="H289" s="51">
        <f>IFERROR(__xludf.DUMMYFUNCTION("IFERROR(GOOGLEFINANCE(A289,""PRICE""),)"),1525.0)</f>
        <v>1525</v>
      </c>
      <c r="I289" s="52">
        <f>IFERROR(__xludf.DUMMYFUNCTION("IFERROR(GOOGLEFINANCE(A289,""VOLUME""),)"),77666.0)</f>
        <v>77666</v>
      </c>
      <c r="J289" s="51" t="str">
        <f>IFERROR(__xludf.DUMMYFUNCTION("IFERROR(INDEX(SPLIT(A289,"":""),1,2),)"),"CHOLAHLDNG")</f>
        <v>CHOLAHLDNG</v>
      </c>
      <c r="K289" s="51">
        <f t="shared" si="4"/>
        <v>352</v>
      </c>
      <c r="L289" s="51" t="str">
        <f t="shared" si="5"/>
        <v/>
      </c>
      <c r="M289" s="51">
        <f t="shared" si="6"/>
        <v>833</v>
      </c>
      <c r="N289" s="53">
        <f>IFERROR(__xludf.DUMMYFUNCTION("IFERROR(GOOGLEFINANCE(A289,""TRADETIME""),)"),46269.64583333333)</f>
        <v>46269.64583</v>
      </c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</row>
    <row r="290" ht="15.75" customHeight="1">
      <c r="A290" s="48" t="s">
        <v>336</v>
      </c>
      <c r="B290" s="48" t="str">
        <f>IFERROR(__xludf.DUMMYFUNCTION("IFERROR(GOOGLEFINANCE(A290,""NAME""),)"),"")</f>
        <v/>
      </c>
      <c r="C290" s="48" t="str">
        <f>IFERROR(__xludf.DUMMYFUNCTION("IFERROR(GOOGLEFINANCE(A290,""CHANGE""),)"),"")</f>
        <v/>
      </c>
      <c r="D290" s="48" t="str">
        <f>IFERROR(__xludf.DUMMYFUNCTION("IFERROR(GOOGLEFINANCE(A290,""CHANGEPCT""),)"),"")</f>
        <v/>
      </c>
      <c r="E290" s="48" t="str">
        <f t="shared" si="1"/>
        <v>%</v>
      </c>
      <c r="F290" s="48" t="str">
        <f t="shared" si="2"/>
        <v/>
      </c>
      <c r="G290" s="48" t="str">
        <f t="shared" si="3"/>
        <v/>
      </c>
      <c r="H290" s="48" t="str">
        <f>IFERROR(__xludf.DUMMYFUNCTION("IFERROR(GOOGLEFINANCE(A290,""PRICE""),)"),"")</f>
        <v/>
      </c>
      <c r="I290" s="49" t="str">
        <f>IFERROR(__xludf.DUMMYFUNCTION("IFERROR(GOOGLEFINANCE(A290,""VOLUME""),)"),"")</f>
        <v/>
      </c>
      <c r="J290" s="48" t="str">
        <f>IFERROR(__xludf.DUMMYFUNCTION("IFERROR(INDEX(SPLIT(A290,"":""),1,2),)"),"CIGNITITEC")</f>
        <v>CIGNITITEC</v>
      </c>
      <c r="K290" s="48" t="str">
        <f t="shared" si="4"/>
        <v/>
      </c>
      <c r="L290" s="48" t="str">
        <f t="shared" si="5"/>
        <v/>
      </c>
      <c r="M290" s="48">
        <f t="shared" si="6"/>
        <v>1456</v>
      </c>
      <c r="N290" s="50" t="str">
        <f>IFERROR(__xludf.DUMMYFUNCTION("IFERROR(GOOGLEFINANCE(A290,""TRADETIME""),)"),"")</f>
        <v/>
      </c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</row>
    <row r="291" ht="15.75" customHeight="1">
      <c r="A291" s="51" t="s">
        <v>337</v>
      </c>
      <c r="B291" s="51" t="str">
        <f>IFERROR(__xludf.DUMMYFUNCTION("IFERROR(GOOGLEFINANCE(A291,""NAME""),)"),"Cineline India Ltd")</f>
        <v>Cineline India Ltd</v>
      </c>
      <c r="C291" s="51">
        <f>IFERROR(__xludf.DUMMYFUNCTION("IFERROR(GOOGLEFINANCE(A291,""CHANGE""),)"),5.92)</f>
        <v>5.92</v>
      </c>
      <c r="D291" s="51">
        <f>IFERROR(__xludf.DUMMYFUNCTION("IFERROR(GOOGLEFINANCE(A291,""CHANGEPCT""),)"),6.59)</f>
        <v>6.59</v>
      </c>
      <c r="E291" s="51" t="str">
        <f t="shared" si="1"/>
        <v>6.59%</v>
      </c>
      <c r="F291" s="51">
        <f t="shared" si="2"/>
        <v>6.59</v>
      </c>
      <c r="G291" s="51" t="str">
        <f t="shared" si="3"/>
        <v/>
      </c>
      <c r="H291" s="51">
        <f>IFERROR(__xludf.DUMMYFUNCTION("IFERROR(GOOGLEFINANCE(A291,""PRICE""),)"),95.75)</f>
        <v>95.75</v>
      </c>
      <c r="I291" s="52">
        <f>IFERROR(__xludf.DUMMYFUNCTION("IFERROR(GOOGLEFINANCE(A291,""VOLUME""),)"),308404.0)</f>
        <v>308404</v>
      </c>
      <c r="J291" s="51" t="str">
        <f>IFERROR(__xludf.DUMMYFUNCTION("IFERROR(INDEX(SPLIT(A291,"":""),1,2),)"),"CINELINE")</f>
        <v>CINELINE</v>
      </c>
      <c r="K291" s="51">
        <f t="shared" si="4"/>
        <v>27</v>
      </c>
      <c r="L291" s="51" t="str">
        <f t="shared" si="5"/>
        <v/>
      </c>
      <c r="M291" s="51">
        <f t="shared" si="6"/>
        <v>507</v>
      </c>
      <c r="N291" s="53">
        <f>IFERROR(__xludf.DUMMYFUNCTION("IFERROR(GOOGLEFINANCE(A291,""TRADETIME""),)"),46269.64583333333)</f>
        <v>46269.64583</v>
      </c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</row>
    <row r="292" ht="15.75" customHeight="1">
      <c r="A292" s="48" t="s">
        <v>338</v>
      </c>
      <c r="B292" s="48" t="str">
        <f>IFERROR(__xludf.DUMMYFUNCTION("IFERROR(GOOGLEFINANCE(A292,""NAME""),)"),"Cinevista Ltd")</f>
        <v>Cinevista Ltd</v>
      </c>
      <c r="C292" s="48">
        <f>IFERROR(__xludf.DUMMYFUNCTION("IFERROR(GOOGLEFINANCE(A292,""CHANGE""),)"),0.31)</f>
        <v>0.31</v>
      </c>
      <c r="D292" s="48">
        <f>IFERROR(__xludf.DUMMYFUNCTION("IFERROR(GOOGLEFINANCE(A292,""CHANGEPCT""),)"),2.18)</f>
        <v>2.18</v>
      </c>
      <c r="E292" s="48" t="str">
        <f t="shared" si="1"/>
        <v>2.18%</v>
      </c>
      <c r="F292" s="48">
        <f t="shared" si="2"/>
        <v>2.18</v>
      </c>
      <c r="G292" s="48" t="str">
        <f t="shared" si="3"/>
        <v/>
      </c>
      <c r="H292" s="48">
        <f>IFERROR(__xludf.DUMMYFUNCTION("IFERROR(GOOGLEFINANCE(A292,""PRICE""),)"),14.5)</f>
        <v>14.5</v>
      </c>
      <c r="I292" s="49">
        <f>IFERROR(__xludf.DUMMYFUNCTION("IFERROR(GOOGLEFINANCE(A292,""VOLUME""),)"),2982.0)</f>
        <v>2982</v>
      </c>
      <c r="J292" s="48" t="str">
        <f>IFERROR(__xludf.DUMMYFUNCTION("IFERROR(INDEX(SPLIT(A292,"":""),1,2),)"),"CINEVISTA")</f>
        <v>CINEVISTA</v>
      </c>
      <c r="K292" s="48">
        <f t="shared" si="4"/>
        <v>235</v>
      </c>
      <c r="L292" s="48" t="str">
        <f t="shared" si="5"/>
        <v/>
      </c>
      <c r="M292" s="48">
        <f t="shared" si="6"/>
        <v>1364</v>
      </c>
      <c r="N292" s="50">
        <f>IFERROR(__xludf.DUMMYFUNCTION("IFERROR(GOOGLEFINANCE(A292,""TRADETIME""),)"),46269.64583333333)</f>
        <v>46269.64583</v>
      </c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</row>
    <row r="293" ht="15.75" customHeight="1">
      <c r="A293" s="51" t="s">
        <v>339</v>
      </c>
      <c r="B293" s="51" t="str">
        <f>IFERROR(__xludf.DUMMYFUNCTION("IFERROR(GOOGLEFINANCE(A293,""NAME""),)"),"Cipla Ltd")</f>
        <v>Cipla Ltd</v>
      </c>
      <c r="C293" s="51">
        <f>IFERROR(__xludf.DUMMYFUNCTION("IFERROR(GOOGLEFINANCE(A293,""CHANGE""),)"),-10.7)</f>
        <v>-10.7</v>
      </c>
      <c r="D293" s="51">
        <f>IFERROR(__xludf.DUMMYFUNCTION("IFERROR(GOOGLEFINANCE(A293,""CHANGEPCT""),)"),-0.77)</f>
        <v>-0.77</v>
      </c>
      <c r="E293" s="51" t="str">
        <f t="shared" si="1"/>
        <v>-0.77%</v>
      </c>
      <c r="F293" s="51" t="str">
        <f t="shared" si="2"/>
        <v/>
      </c>
      <c r="G293" s="51">
        <f t="shared" si="3"/>
        <v>-0.77</v>
      </c>
      <c r="H293" s="51">
        <f>IFERROR(__xludf.DUMMYFUNCTION("IFERROR(GOOGLEFINANCE(A293,""PRICE""),)"),1384.0)</f>
        <v>1384</v>
      </c>
      <c r="I293" s="52">
        <f>IFERROR(__xludf.DUMMYFUNCTION("IFERROR(GOOGLEFINANCE(A293,""VOLUME""),)"),1326180.0)</f>
        <v>1326180</v>
      </c>
      <c r="J293" s="51" t="str">
        <f>IFERROR(__xludf.DUMMYFUNCTION("IFERROR(INDEX(SPLIT(A293,"":""),1,2),)"),"CIPLA")</f>
        <v>CIPLA</v>
      </c>
      <c r="K293" s="51" t="str">
        <f t="shared" si="4"/>
        <v/>
      </c>
      <c r="L293" s="51">
        <f t="shared" si="5"/>
        <v>290</v>
      </c>
      <c r="M293" s="51">
        <f t="shared" si="6"/>
        <v>223</v>
      </c>
      <c r="N293" s="53">
        <f>IFERROR(__xludf.DUMMYFUNCTION("IFERROR(GOOGLEFINANCE(A293,""TRADETIME""),)"),46269.64583333333)</f>
        <v>46269.64583</v>
      </c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</row>
    <row r="294" ht="15.75" customHeight="1">
      <c r="A294" s="48" t="s">
        <v>340</v>
      </c>
      <c r="B294" s="48" t="str">
        <f>IFERROR(__xludf.DUMMYFUNCTION("IFERROR(GOOGLEFINANCE(A294,""NAME""),)"),"CL Educate Ltd")</f>
        <v>CL Educate Ltd</v>
      </c>
      <c r="C294" s="48">
        <f>IFERROR(__xludf.DUMMYFUNCTION("IFERROR(GOOGLEFINANCE(A294,""CHANGE""),)"),-2.88)</f>
        <v>-2.88</v>
      </c>
      <c r="D294" s="48">
        <f>IFERROR(__xludf.DUMMYFUNCTION("IFERROR(GOOGLEFINANCE(A294,""CHANGEPCT""),)"),-4.84)</f>
        <v>-4.84</v>
      </c>
      <c r="E294" s="48" t="str">
        <f t="shared" si="1"/>
        <v>-4.84%</v>
      </c>
      <c r="F294" s="48" t="str">
        <f t="shared" si="2"/>
        <v/>
      </c>
      <c r="G294" s="48">
        <f t="shared" si="3"/>
        <v>-4.84</v>
      </c>
      <c r="H294" s="48">
        <f>IFERROR(__xludf.DUMMYFUNCTION("IFERROR(GOOGLEFINANCE(A294,""PRICE""),)"),56.65)</f>
        <v>56.65</v>
      </c>
      <c r="I294" s="49">
        <f>IFERROR(__xludf.DUMMYFUNCTION("IFERROR(GOOGLEFINANCE(A294,""VOLUME""),)"),12818.0)</f>
        <v>12818</v>
      </c>
      <c r="J294" s="48" t="str">
        <f>IFERROR(__xludf.DUMMYFUNCTION("IFERROR(INDEX(SPLIT(A294,"":""),1,2),)"),"CLEDUCATE")</f>
        <v>CLEDUCATE</v>
      </c>
      <c r="K294" s="48" t="str">
        <f t="shared" si="4"/>
        <v/>
      </c>
      <c r="L294" s="48">
        <f t="shared" si="5"/>
        <v>637</v>
      </c>
      <c r="M294" s="48">
        <f t="shared" si="6"/>
        <v>1200</v>
      </c>
      <c r="N294" s="50">
        <f>IFERROR(__xludf.DUMMYFUNCTION("IFERROR(GOOGLEFINANCE(A294,""TRADETIME""),)"),46269.64583333333)</f>
        <v>46269.64583</v>
      </c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</row>
    <row r="295" ht="15.75" customHeight="1">
      <c r="A295" s="51" t="s">
        <v>341</v>
      </c>
      <c r="B295" s="51" t="str">
        <f>IFERROR(__xludf.DUMMYFUNCTION("IFERROR(GOOGLEFINANCE(A295,""NAME""),)"),"")</f>
        <v/>
      </c>
      <c r="C295" s="51" t="str">
        <f>IFERROR(__xludf.DUMMYFUNCTION("IFERROR(GOOGLEFINANCE(A295,""CHANGE""),)"),"")</f>
        <v/>
      </c>
      <c r="D295" s="51" t="str">
        <f>IFERROR(__xludf.DUMMYFUNCTION("IFERROR(GOOGLEFINANCE(A295,""CHANGEPCT""),)"),"")</f>
        <v/>
      </c>
      <c r="E295" s="51" t="str">
        <f t="shared" si="1"/>
        <v>%</v>
      </c>
      <c r="F295" s="51" t="str">
        <f t="shared" si="2"/>
        <v/>
      </c>
      <c r="G295" s="51" t="str">
        <f t="shared" si="3"/>
        <v/>
      </c>
      <c r="H295" s="51" t="str">
        <f>IFERROR(__xludf.DUMMYFUNCTION("IFERROR(GOOGLEFINANCE(A295,""PRICE""),)"),"")</f>
        <v/>
      </c>
      <c r="I295" s="52" t="str">
        <f>IFERROR(__xludf.DUMMYFUNCTION("IFERROR(GOOGLEFINANCE(A295,""VOLUME""),)"),"")</f>
        <v/>
      </c>
      <c r="J295" s="51" t="str">
        <f>IFERROR(__xludf.DUMMYFUNCTION("IFERROR(INDEX(SPLIT(A295,"":""),1,2),)"),"HEUBACHIND")</f>
        <v>HEUBACHIND</v>
      </c>
      <c r="K295" s="51" t="str">
        <f t="shared" si="4"/>
        <v/>
      </c>
      <c r="L295" s="51" t="str">
        <f t="shared" si="5"/>
        <v/>
      </c>
      <c r="M295" s="51">
        <f t="shared" si="6"/>
        <v>1456</v>
      </c>
      <c r="N295" s="53" t="str">
        <f>IFERROR(__xludf.DUMMYFUNCTION("IFERROR(GOOGLEFINANCE(A295,""TRADETIME""),)"),"")</f>
        <v/>
      </c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</row>
    <row r="296" ht="15.75" customHeight="1">
      <c r="A296" s="48" t="s">
        <v>342</v>
      </c>
      <c r="B296" s="48" t="str">
        <f>IFERROR(__xludf.DUMMYFUNCTION("IFERROR(GOOGLEFINANCE(A296,""NAME""),)"),"CMI Ltd")</f>
        <v>CMI Ltd</v>
      </c>
      <c r="C296" s="48">
        <f>IFERROR(__xludf.DUMMYFUNCTION("IFERROR(GOOGLEFINANCE(A296,""CHANGE""),)"),-0.12)</f>
        <v>-0.12</v>
      </c>
      <c r="D296" s="48">
        <f>IFERROR(__xludf.DUMMYFUNCTION("IFERROR(GOOGLEFINANCE(A296,""CHANGEPCT""),)"),-4.74)</f>
        <v>-4.74</v>
      </c>
      <c r="E296" s="48" t="str">
        <f t="shared" si="1"/>
        <v>-4.74%</v>
      </c>
      <c r="F296" s="48" t="str">
        <f t="shared" si="2"/>
        <v/>
      </c>
      <c r="G296" s="48">
        <f t="shared" si="3"/>
        <v>-4.74</v>
      </c>
      <c r="H296" s="48">
        <f>IFERROR(__xludf.DUMMYFUNCTION("IFERROR(GOOGLEFINANCE(A296,""PRICE""),)"),2.41)</f>
        <v>2.41</v>
      </c>
      <c r="I296" s="49">
        <f>IFERROR(__xludf.DUMMYFUNCTION("IFERROR(GOOGLEFINANCE(A296,""VOLUME""),)"),17713.0)</f>
        <v>17713</v>
      </c>
      <c r="J296" s="48" t="str">
        <f>IFERROR(__xludf.DUMMYFUNCTION("IFERROR(INDEX(SPLIT(A296,"":""),1,2),)"),"CMICABLES")</f>
        <v>CMICABLES</v>
      </c>
      <c r="K296" s="48" t="str">
        <f t="shared" si="4"/>
        <v/>
      </c>
      <c r="L296" s="48">
        <f t="shared" si="5"/>
        <v>634</v>
      </c>
      <c r="M296" s="48">
        <f t="shared" si="6"/>
        <v>1149</v>
      </c>
      <c r="N296" s="50">
        <f>IFERROR(__xludf.DUMMYFUNCTION("IFERROR(GOOGLEFINANCE(A296,""TRADETIME""),)"),46265.64583333333)</f>
        <v>46265.64583</v>
      </c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</row>
    <row r="297" ht="15.75" customHeight="1">
      <c r="A297" s="51" t="s">
        <v>343</v>
      </c>
      <c r="B297" s="51" t="str">
        <f>IFERROR(__xludf.DUMMYFUNCTION("IFERROR(GOOGLEFINANCE(A297,""NAME""),)"),"Coal India Limited")</f>
        <v>Coal India Limited</v>
      </c>
      <c r="C297" s="51">
        <f>IFERROR(__xludf.DUMMYFUNCTION("IFERROR(GOOGLEFINANCE(A297,""CHANGE""),)"),-6.05)</f>
        <v>-6.05</v>
      </c>
      <c r="D297" s="51">
        <f>IFERROR(__xludf.DUMMYFUNCTION("IFERROR(GOOGLEFINANCE(A297,""CHANGEPCT""),)"),-1.44)</f>
        <v>-1.44</v>
      </c>
      <c r="E297" s="51" t="str">
        <f t="shared" si="1"/>
        <v>-1.44%</v>
      </c>
      <c r="F297" s="51" t="str">
        <f t="shared" si="2"/>
        <v/>
      </c>
      <c r="G297" s="51">
        <f t="shared" si="3"/>
        <v>-1.44</v>
      </c>
      <c r="H297" s="51">
        <f>IFERROR(__xludf.DUMMYFUNCTION("IFERROR(GOOGLEFINANCE(A297,""PRICE""),)"),414.0)</f>
        <v>414</v>
      </c>
      <c r="I297" s="52">
        <f>IFERROR(__xludf.DUMMYFUNCTION("IFERROR(GOOGLEFINANCE(A297,""VOLUME""),)"),6126850.0)</f>
        <v>6126850</v>
      </c>
      <c r="J297" s="51" t="str">
        <f>IFERROR(__xludf.DUMMYFUNCTION("IFERROR(INDEX(SPLIT(A297,"":""),1,2),)"),"COALINDIA")</f>
        <v>COALINDIA</v>
      </c>
      <c r="K297" s="51" t="str">
        <f t="shared" si="4"/>
        <v/>
      </c>
      <c r="L297" s="51">
        <f t="shared" si="5"/>
        <v>437</v>
      </c>
      <c r="M297" s="51">
        <f t="shared" si="6"/>
        <v>71</v>
      </c>
      <c r="N297" s="53">
        <f>IFERROR(__xludf.DUMMYFUNCTION("IFERROR(GOOGLEFINANCE(A297,""TRADETIME""),)"),46269.64583333333)</f>
        <v>46269.64583</v>
      </c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</row>
    <row r="298" ht="15.75" customHeight="1">
      <c r="A298" s="48" t="s">
        <v>344</v>
      </c>
      <c r="B298" s="48" t="str">
        <f>IFERROR(__xludf.DUMMYFUNCTION("IFERROR(GOOGLEFINANCE(A298,""NAME""),)"),"Cochin Shipyard Ltd")</f>
        <v>Cochin Shipyard Ltd</v>
      </c>
      <c r="C298" s="48">
        <f>IFERROR(__xludf.DUMMYFUNCTION("IFERROR(GOOGLEFINANCE(A298,""CHANGE""),)"),15.3)</f>
        <v>15.3</v>
      </c>
      <c r="D298" s="48">
        <f>IFERROR(__xludf.DUMMYFUNCTION("IFERROR(GOOGLEFINANCE(A298,""CHANGEPCT""),)"),1.03)</f>
        <v>1.03</v>
      </c>
      <c r="E298" s="48" t="str">
        <f t="shared" si="1"/>
        <v>1.03%</v>
      </c>
      <c r="F298" s="48">
        <f t="shared" si="2"/>
        <v>1.03</v>
      </c>
      <c r="G298" s="48" t="str">
        <f t="shared" si="3"/>
        <v/>
      </c>
      <c r="H298" s="48">
        <f>IFERROR(__xludf.DUMMYFUNCTION("IFERROR(GOOGLEFINANCE(A298,""PRICE""),)"),1502.0)</f>
        <v>1502</v>
      </c>
      <c r="I298" s="49">
        <f>IFERROR(__xludf.DUMMYFUNCTION("IFERROR(GOOGLEFINANCE(A298,""VOLUME""),)"),630573.0)</f>
        <v>630573</v>
      </c>
      <c r="J298" s="48" t="str">
        <f>IFERROR(__xludf.DUMMYFUNCTION("IFERROR(INDEX(SPLIT(A298,"":""),1,2),)"),"COCHINSHIP")</f>
        <v>COCHINSHIP</v>
      </c>
      <c r="K298" s="48">
        <f t="shared" si="4"/>
        <v>444</v>
      </c>
      <c r="L298" s="48" t="str">
        <f t="shared" si="5"/>
        <v/>
      </c>
      <c r="M298" s="48">
        <f t="shared" si="6"/>
        <v>346</v>
      </c>
      <c r="N298" s="50">
        <f>IFERROR(__xludf.DUMMYFUNCTION("IFERROR(GOOGLEFINANCE(A298,""TRADETIME""),)"),46269.64583333333)</f>
        <v>46269.64583</v>
      </c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</row>
    <row r="299" ht="15.75" customHeight="1">
      <c r="A299" s="51" t="s">
        <v>345</v>
      </c>
      <c r="B299" s="51" t="str">
        <f>IFERROR(__xludf.DUMMYFUNCTION("IFERROR(GOOGLEFINANCE(A299,""NAME""),)"),"Coforge Ltd")</f>
        <v>Coforge Ltd</v>
      </c>
      <c r="C299" s="51">
        <f>IFERROR(__xludf.DUMMYFUNCTION("IFERROR(GOOGLEFINANCE(A299,""CHANGE""),)"),-6.8)</f>
        <v>-6.8</v>
      </c>
      <c r="D299" s="51">
        <f>IFERROR(__xludf.DUMMYFUNCTION("IFERROR(GOOGLEFINANCE(A299,""CHANGEPCT""),)"),-0.34)</f>
        <v>-0.34</v>
      </c>
      <c r="E299" s="51" t="str">
        <f t="shared" si="1"/>
        <v>-0.34%</v>
      </c>
      <c r="F299" s="51" t="str">
        <f t="shared" si="2"/>
        <v/>
      </c>
      <c r="G299" s="51">
        <f t="shared" si="3"/>
        <v>-0.34</v>
      </c>
      <c r="H299" s="51">
        <f>IFERROR(__xludf.DUMMYFUNCTION("IFERROR(GOOGLEFINANCE(A299,""PRICE""),)"),1965.0)</f>
        <v>1965</v>
      </c>
      <c r="I299" s="52">
        <f>IFERROR(__xludf.DUMMYFUNCTION("IFERROR(GOOGLEFINANCE(A299,""VOLUME""),)"),1108102.0)</f>
        <v>1108102</v>
      </c>
      <c r="J299" s="51" t="str">
        <f>IFERROR(__xludf.DUMMYFUNCTION("IFERROR(INDEX(SPLIT(A299,"":""),1,2),)"),"COFORGE")</f>
        <v>COFORGE</v>
      </c>
      <c r="K299" s="51" t="str">
        <f t="shared" si="4"/>
        <v/>
      </c>
      <c r="L299" s="51">
        <f t="shared" si="5"/>
        <v>131</v>
      </c>
      <c r="M299" s="51">
        <f t="shared" si="6"/>
        <v>255</v>
      </c>
      <c r="N299" s="53">
        <f>IFERROR(__xludf.DUMMYFUNCTION("IFERROR(GOOGLEFINANCE(A299,""TRADETIME""),)"),46269.64583333333)</f>
        <v>46269.64583</v>
      </c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</row>
    <row r="300" ht="15.75" customHeight="1">
      <c r="A300" s="48" t="s">
        <v>346</v>
      </c>
      <c r="B300" s="48" t="str">
        <f>IFERROR(__xludf.DUMMYFUNCTION("IFERROR(GOOGLEFINANCE(A300,""NAME""),)"),"Cyber Media India Ltd")</f>
        <v>Cyber Media India Ltd</v>
      </c>
      <c r="C300" s="48">
        <f>IFERROR(__xludf.DUMMYFUNCTION("IFERROR(GOOGLEFINANCE(A300,""CHANGE""),)"),2.87)</f>
        <v>2.87</v>
      </c>
      <c r="D300" s="48">
        <f>IFERROR(__xludf.DUMMYFUNCTION("IFERROR(GOOGLEFINANCE(A300,""CHANGEPCT""),)"),12.02)</f>
        <v>12.02</v>
      </c>
      <c r="E300" s="48" t="str">
        <f t="shared" si="1"/>
        <v>12.02%</v>
      </c>
      <c r="F300" s="48">
        <f t="shared" si="2"/>
        <v>12.02</v>
      </c>
      <c r="G300" s="48" t="str">
        <f t="shared" si="3"/>
        <v/>
      </c>
      <c r="H300" s="48">
        <f>IFERROR(__xludf.DUMMYFUNCTION("IFERROR(GOOGLEFINANCE(A300,""PRICE""),)"),26.75)</f>
        <v>26.75</v>
      </c>
      <c r="I300" s="49">
        <f>IFERROR(__xludf.DUMMYFUNCTION("IFERROR(GOOGLEFINANCE(A300,""VOLUME""),)"),2157521.0)</f>
        <v>2157521</v>
      </c>
      <c r="J300" s="48" t="str">
        <f>IFERROR(__xludf.DUMMYFUNCTION("IFERROR(INDEX(SPLIT(A300,"":""),1,2),)"),"CYBERMEDIA")</f>
        <v>CYBERMEDIA</v>
      </c>
      <c r="K300" s="48">
        <f t="shared" si="4"/>
        <v>7</v>
      </c>
      <c r="L300" s="48" t="str">
        <f t="shared" si="5"/>
        <v/>
      </c>
      <c r="M300" s="48">
        <f t="shared" si="6"/>
        <v>168</v>
      </c>
      <c r="N300" s="50">
        <f>IFERROR(__xludf.DUMMYFUNCTION("IFERROR(GOOGLEFINANCE(A300,""TRADETIME""),)"),46269.64584490741)</f>
        <v>46269.64584</v>
      </c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</row>
    <row r="301" ht="15.75" customHeight="1">
      <c r="A301" s="51" t="s">
        <v>347</v>
      </c>
      <c r="B301" s="51" t="str">
        <f>IFERROR(__xludf.DUMMYFUNCTION("IFERROR(GOOGLEFINANCE(A301,""NAME""),)"),"Compuage Infocom Ltd")</f>
        <v>Compuage Infocom Ltd</v>
      </c>
      <c r="C301" s="51">
        <f>IFERROR(__xludf.DUMMYFUNCTION("IFERROR(GOOGLEFINANCE(A301,""CHANGE""),)"),0.01)</f>
        <v>0.01</v>
      </c>
      <c r="D301" s="51">
        <f>IFERROR(__xludf.DUMMYFUNCTION("IFERROR(GOOGLEFINANCE(A301,""CHANGEPCT""),)"),0.93)</f>
        <v>0.93</v>
      </c>
      <c r="E301" s="51" t="str">
        <f t="shared" si="1"/>
        <v>0.93%</v>
      </c>
      <c r="F301" s="51">
        <f t="shared" si="2"/>
        <v>0.93</v>
      </c>
      <c r="G301" s="51" t="str">
        <f t="shared" si="3"/>
        <v/>
      </c>
      <c r="H301" s="51">
        <f>IFERROR(__xludf.DUMMYFUNCTION("IFERROR(GOOGLEFINANCE(A301,""PRICE""),)"),1.08)</f>
        <v>1.08</v>
      </c>
      <c r="I301" s="52">
        <f>IFERROR(__xludf.DUMMYFUNCTION("IFERROR(GOOGLEFINANCE(A301,""VOLUME""),)"),24498.0)</f>
        <v>24498</v>
      </c>
      <c r="J301" s="51" t="str">
        <f>IFERROR(__xludf.DUMMYFUNCTION("IFERROR(INDEX(SPLIT(A301,"":""),1,2),)"),"COMPINFO")</f>
        <v>COMPINFO</v>
      </c>
      <c r="K301" s="51">
        <f t="shared" si="4"/>
        <v>462</v>
      </c>
      <c r="L301" s="51" t="str">
        <f t="shared" si="5"/>
        <v/>
      </c>
      <c r="M301" s="51">
        <f t="shared" si="6"/>
        <v>1089</v>
      </c>
      <c r="N301" s="53">
        <f>IFERROR(__xludf.DUMMYFUNCTION("IFERROR(GOOGLEFINANCE(A301,""TRADETIME""),)"),46269.64583333333)</f>
        <v>46269.64583</v>
      </c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</row>
    <row r="302" ht="15.75" customHeight="1">
      <c r="A302" s="48" t="s">
        <v>348</v>
      </c>
      <c r="B302" s="48" t="str">
        <f>IFERROR(__xludf.DUMMYFUNCTION("IFERROR(GOOGLEFINANCE(A302,""NAME""),)"),"Compucom Software Ltd")</f>
        <v>Compucom Software Ltd</v>
      </c>
      <c r="C302" s="48">
        <f>IFERROR(__xludf.DUMMYFUNCTION("IFERROR(GOOGLEFINANCE(A302,""CHANGE""),)"),0.21)</f>
        <v>0.21</v>
      </c>
      <c r="D302" s="48">
        <f>IFERROR(__xludf.DUMMYFUNCTION("IFERROR(GOOGLEFINANCE(A302,""CHANGEPCT""),)"),1.63)</f>
        <v>1.63</v>
      </c>
      <c r="E302" s="48" t="str">
        <f t="shared" si="1"/>
        <v>1.63%</v>
      </c>
      <c r="F302" s="48">
        <f t="shared" si="2"/>
        <v>1.63</v>
      </c>
      <c r="G302" s="48" t="str">
        <f t="shared" si="3"/>
        <v/>
      </c>
      <c r="H302" s="48">
        <f>IFERROR(__xludf.DUMMYFUNCTION("IFERROR(GOOGLEFINANCE(A302,""PRICE""),)"),13.1)</f>
        <v>13.1</v>
      </c>
      <c r="I302" s="49">
        <f>IFERROR(__xludf.DUMMYFUNCTION("IFERROR(GOOGLEFINANCE(A302,""VOLUME""),)"),23203.0)</f>
        <v>23203</v>
      </c>
      <c r="J302" s="48" t="str">
        <f>IFERROR(__xludf.DUMMYFUNCTION("IFERROR(INDEX(SPLIT(A302,"":""),1,2),)"),"COMPUSOFT")</f>
        <v>COMPUSOFT</v>
      </c>
      <c r="K302" s="48">
        <f t="shared" si="4"/>
        <v>320</v>
      </c>
      <c r="L302" s="48" t="str">
        <f t="shared" si="5"/>
        <v/>
      </c>
      <c r="M302" s="48">
        <f t="shared" si="6"/>
        <v>1101</v>
      </c>
      <c r="N302" s="50">
        <f>IFERROR(__xludf.DUMMYFUNCTION("IFERROR(GOOGLEFINANCE(A302,""TRADETIME""),)"),46269.64583333333)</f>
        <v>46269.64583</v>
      </c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</row>
    <row r="303" ht="15.75" customHeight="1">
      <c r="A303" s="51" t="s">
        <v>349</v>
      </c>
      <c r="B303" s="51" t="str">
        <f>IFERROR(__xludf.DUMMYFUNCTION("IFERROR(GOOGLEFINANCE(A303,""NAME""),)"),"Container Corporation of India Ltd")</f>
        <v>Container Corporation of India Ltd</v>
      </c>
      <c r="C303" s="51">
        <f>IFERROR(__xludf.DUMMYFUNCTION("IFERROR(GOOGLEFINANCE(A303,""CHANGE""),)"),-2.15)</f>
        <v>-2.15</v>
      </c>
      <c r="D303" s="51">
        <f>IFERROR(__xludf.DUMMYFUNCTION("IFERROR(GOOGLEFINANCE(A303,""CHANGEPCT""),)"),-0.42)</f>
        <v>-0.42</v>
      </c>
      <c r="E303" s="51" t="str">
        <f t="shared" si="1"/>
        <v>-0.42%</v>
      </c>
      <c r="F303" s="51" t="str">
        <f t="shared" si="2"/>
        <v/>
      </c>
      <c r="G303" s="51">
        <f t="shared" si="3"/>
        <v>-0.42</v>
      </c>
      <c r="H303" s="51">
        <f>IFERROR(__xludf.DUMMYFUNCTION("IFERROR(GOOGLEFINANCE(A303,""PRICE""),)"),506.7)</f>
        <v>506.7</v>
      </c>
      <c r="I303" s="52">
        <f>IFERROR(__xludf.DUMMYFUNCTION("IFERROR(GOOGLEFINANCE(A303,""VOLUME""),)"),1107962.0)</f>
        <v>1107962</v>
      </c>
      <c r="J303" s="51" t="str">
        <f>IFERROR(__xludf.DUMMYFUNCTION("IFERROR(INDEX(SPLIT(A303,"":""),1,2),)"),"CONCOR")</f>
        <v>CONCOR</v>
      </c>
      <c r="K303" s="51" t="str">
        <f t="shared" si="4"/>
        <v/>
      </c>
      <c r="L303" s="51">
        <f t="shared" si="5"/>
        <v>160</v>
      </c>
      <c r="M303" s="51">
        <f t="shared" si="6"/>
        <v>256</v>
      </c>
      <c r="N303" s="53">
        <f>IFERROR(__xludf.DUMMYFUNCTION("IFERROR(GOOGLEFINANCE(A303,""TRADETIME""),)"),46269.64583333333)</f>
        <v>46269.64583</v>
      </c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</row>
    <row r="304" ht="15.75" customHeight="1">
      <c r="A304" s="48" t="s">
        <v>350</v>
      </c>
      <c r="B304" s="48" t="str">
        <f>IFERROR(__xludf.DUMMYFUNCTION("IFERROR(GOOGLEFINANCE(A304,""NAME""),)"),"Confidence Petroleum India Ltd")</f>
        <v>Confidence Petroleum India Ltd</v>
      </c>
      <c r="C304" s="48">
        <f>IFERROR(__xludf.DUMMYFUNCTION("IFERROR(GOOGLEFINANCE(A304,""CHANGE""),)"),-1.98)</f>
        <v>-1.98</v>
      </c>
      <c r="D304" s="48">
        <f>IFERROR(__xludf.DUMMYFUNCTION("IFERROR(GOOGLEFINANCE(A304,""CHANGEPCT""),)"),-2.35)</f>
        <v>-2.35</v>
      </c>
      <c r="E304" s="48" t="str">
        <f t="shared" si="1"/>
        <v>-2.35%</v>
      </c>
      <c r="F304" s="48" t="str">
        <f t="shared" si="2"/>
        <v/>
      </c>
      <c r="G304" s="48">
        <f t="shared" si="3"/>
        <v>-2.35</v>
      </c>
      <c r="H304" s="48">
        <f>IFERROR(__xludf.DUMMYFUNCTION("IFERROR(GOOGLEFINANCE(A304,""PRICE""),)"),82.3)</f>
        <v>82.3</v>
      </c>
      <c r="I304" s="49">
        <f>IFERROR(__xludf.DUMMYFUNCTION("IFERROR(GOOGLEFINANCE(A304,""VOLUME""),)"),2371168.0)</f>
        <v>2371168</v>
      </c>
      <c r="J304" s="48" t="str">
        <f>IFERROR(__xludf.DUMMYFUNCTION("IFERROR(INDEX(SPLIT(A304,"":""),1,2),)"),"CONFIPET")</f>
        <v>CONFIPET</v>
      </c>
      <c r="K304" s="48" t="str">
        <f t="shared" si="4"/>
        <v/>
      </c>
      <c r="L304" s="48">
        <f t="shared" si="5"/>
        <v>563</v>
      </c>
      <c r="M304" s="48">
        <f t="shared" si="6"/>
        <v>154</v>
      </c>
      <c r="N304" s="50">
        <f>IFERROR(__xludf.DUMMYFUNCTION("IFERROR(GOOGLEFINANCE(A304,""TRADETIME""),)"),46269.64584490741)</f>
        <v>46269.64584</v>
      </c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</row>
    <row r="305" ht="15.75" customHeight="1">
      <c r="A305" s="51" t="s">
        <v>351</v>
      </c>
      <c r="B305" s="51" t="str">
        <f>IFERROR(__xludf.DUMMYFUNCTION("IFERROR(GOOGLEFINANCE(A305,""NAME""),)"),"Consolidated Finvest &amp; Holdings Ltd")</f>
        <v>Consolidated Finvest &amp; Holdings Ltd</v>
      </c>
      <c r="C305" s="51">
        <f>IFERROR(__xludf.DUMMYFUNCTION("IFERROR(GOOGLEFINANCE(A305,""CHANGE""),)"),13.7)</f>
        <v>13.7</v>
      </c>
      <c r="D305" s="51">
        <f>IFERROR(__xludf.DUMMYFUNCTION("IFERROR(GOOGLEFINANCE(A305,""CHANGEPCT""),)"),4.99)</f>
        <v>4.99</v>
      </c>
      <c r="E305" s="51" t="str">
        <f t="shared" si="1"/>
        <v>4.99%</v>
      </c>
      <c r="F305" s="51">
        <f t="shared" si="2"/>
        <v>4.99</v>
      </c>
      <c r="G305" s="51" t="str">
        <f t="shared" si="3"/>
        <v/>
      </c>
      <c r="H305" s="51">
        <f>IFERROR(__xludf.DUMMYFUNCTION("IFERROR(GOOGLEFINANCE(A305,""PRICE""),)"),288.3)</f>
        <v>288.3</v>
      </c>
      <c r="I305" s="52">
        <f>IFERROR(__xludf.DUMMYFUNCTION("IFERROR(GOOGLEFINANCE(A305,""VOLUME""),)"),21811.0)</f>
        <v>21811</v>
      </c>
      <c r="J305" s="51" t="str">
        <f>IFERROR(__xludf.DUMMYFUNCTION("IFERROR(INDEX(SPLIT(A305,"":""),1,2),)"),"CONSOFINVT")</f>
        <v>CONSOFINVT</v>
      </c>
      <c r="K305" s="51">
        <f t="shared" si="4"/>
        <v>65</v>
      </c>
      <c r="L305" s="51" t="str">
        <f t="shared" si="5"/>
        <v/>
      </c>
      <c r="M305" s="51">
        <f t="shared" si="6"/>
        <v>1111</v>
      </c>
      <c r="N305" s="53">
        <f>IFERROR(__xludf.DUMMYFUNCTION("IFERROR(GOOGLEFINANCE(A305,""TRADETIME""),)"),46269.64583333333)</f>
        <v>46269.64583</v>
      </c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</row>
    <row r="306" ht="15.75" customHeight="1">
      <c r="A306" s="48" t="s">
        <v>352</v>
      </c>
      <c r="B306" s="48" t="str">
        <f>IFERROR(__xludf.DUMMYFUNCTION("IFERROR(GOOGLEFINANCE(A306,""NAME""),)"),"Control Print Ltd")</f>
        <v>Control Print Ltd</v>
      </c>
      <c r="C306" s="48">
        <f>IFERROR(__xludf.DUMMYFUNCTION("IFERROR(GOOGLEFINANCE(A306,""CHANGE""),)"),-7.3)</f>
        <v>-7.3</v>
      </c>
      <c r="D306" s="48">
        <f>IFERROR(__xludf.DUMMYFUNCTION("IFERROR(GOOGLEFINANCE(A306,""CHANGEPCT""),)"),-1.22)</f>
        <v>-1.22</v>
      </c>
      <c r="E306" s="48" t="str">
        <f t="shared" si="1"/>
        <v>-1.22%</v>
      </c>
      <c r="F306" s="48" t="str">
        <f t="shared" si="2"/>
        <v/>
      </c>
      <c r="G306" s="48">
        <f t="shared" si="3"/>
        <v>-1.22</v>
      </c>
      <c r="H306" s="48">
        <f>IFERROR(__xludf.DUMMYFUNCTION("IFERROR(GOOGLEFINANCE(A306,""PRICE""),)"),593.0)</f>
        <v>593</v>
      </c>
      <c r="I306" s="49">
        <f>IFERROR(__xludf.DUMMYFUNCTION("IFERROR(GOOGLEFINANCE(A306,""VOLUME""),)"),7641.0)</f>
        <v>7641</v>
      </c>
      <c r="J306" s="48" t="str">
        <f>IFERROR(__xludf.DUMMYFUNCTION("IFERROR(INDEX(SPLIT(A306,"":""),1,2),)"),"CONTROLPR")</f>
        <v>CONTROLPR</v>
      </c>
      <c r="K306" s="48" t="str">
        <f t="shared" si="4"/>
        <v/>
      </c>
      <c r="L306" s="48">
        <f t="shared" si="5"/>
        <v>377</v>
      </c>
      <c r="M306" s="48">
        <f t="shared" si="6"/>
        <v>1268</v>
      </c>
      <c r="N306" s="50">
        <f>IFERROR(__xludf.DUMMYFUNCTION("IFERROR(GOOGLEFINANCE(A306,""TRADETIME""),)"),46269.64585648148)</f>
        <v>46269.64586</v>
      </c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</row>
    <row r="307" ht="15.75" customHeight="1">
      <c r="A307" s="51" t="s">
        <v>353</v>
      </c>
      <c r="B307" s="51" t="str">
        <f>IFERROR(__xludf.DUMMYFUNCTION("IFERROR(GOOGLEFINANCE(A307,""NAME""),)"),"Coral India Finance and Housing Ltd")</f>
        <v>Coral India Finance and Housing Ltd</v>
      </c>
      <c r="C307" s="51">
        <f>IFERROR(__xludf.DUMMYFUNCTION("IFERROR(GOOGLEFINANCE(A307,""CHANGE""),)"),0.26)</f>
        <v>0.26</v>
      </c>
      <c r="D307" s="51">
        <f>IFERROR(__xludf.DUMMYFUNCTION("IFERROR(GOOGLEFINANCE(A307,""CHANGEPCT""),)"),0.79)</f>
        <v>0.79</v>
      </c>
      <c r="E307" s="51" t="str">
        <f t="shared" si="1"/>
        <v>0.79%</v>
      </c>
      <c r="F307" s="51">
        <f t="shared" si="2"/>
        <v>0.79</v>
      </c>
      <c r="G307" s="51" t="str">
        <f t="shared" si="3"/>
        <v/>
      </c>
      <c r="H307" s="51">
        <f>IFERROR(__xludf.DUMMYFUNCTION("IFERROR(GOOGLEFINANCE(A307,""PRICE""),)"),33.2)</f>
        <v>33.2</v>
      </c>
      <c r="I307" s="52">
        <f>IFERROR(__xludf.DUMMYFUNCTION("IFERROR(GOOGLEFINANCE(A307,""VOLUME""),)"),13197.0)</f>
        <v>13197</v>
      </c>
      <c r="J307" s="51" t="str">
        <f>IFERROR(__xludf.DUMMYFUNCTION("IFERROR(INDEX(SPLIT(A307,"":""),1,2),)"),"CORALFINAC")</f>
        <v>CORALFINAC</v>
      </c>
      <c r="K307" s="51">
        <f t="shared" si="4"/>
        <v>503</v>
      </c>
      <c r="L307" s="51" t="str">
        <f t="shared" si="5"/>
        <v/>
      </c>
      <c r="M307" s="51">
        <f t="shared" si="6"/>
        <v>1195</v>
      </c>
      <c r="N307" s="53">
        <f>IFERROR(__xludf.DUMMYFUNCTION("IFERROR(GOOGLEFINANCE(A307,""TRADETIME""),)"),46269.64583333333)</f>
        <v>46269.64583</v>
      </c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</row>
    <row r="308" ht="15.75" customHeight="1">
      <c r="A308" s="48" t="s">
        <v>354</v>
      </c>
      <c r="B308" s="48" t="str">
        <f>IFERROR(__xludf.DUMMYFUNCTION("IFERROR(GOOGLEFINANCE(A308,""NAME""),)"),"Cords Cable Industries Ltd.")</f>
        <v>Cords Cable Industries Ltd.</v>
      </c>
      <c r="C308" s="48">
        <f>IFERROR(__xludf.DUMMYFUNCTION("IFERROR(GOOGLEFINANCE(A308,""CHANGE""),)"),12.9)</f>
        <v>12.9</v>
      </c>
      <c r="D308" s="48">
        <f>IFERROR(__xludf.DUMMYFUNCTION("IFERROR(GOOGLEFINANCE(A308,""CHANGEPCT""),)"),4.26)</f>
        <v>4.26</v>
      </c>
      <c r="E308" s="48" t="str">
        <f t="shared" si="1"/>
        <v>4.26%</v>
      </c>
      <c r="F308" s="48">
        <f t="shared" si="2"/>
        <v>4.26</v>
      </c>
      <c r="G308" s="48" t="str">
        <f t="shared" si="3"/>
        <v/>
      </c>
      <c r="H308" s="48">
        <f>IFERROR(__xludf.DUMMYFUNCTION("IFERROR(GOOGLEFINANCE(A308,""PRICE""),)"),315.8)</f>
        <v>315.8</v>
      </c>
      <c r="I308" s="49">
        <f>IFERROR(__xludf.DUMMYFUNCTION("IFERROR(GOOGLEFINANCE(A308,""VOLUME""),)"),264160.0)</f>
        <v>264160</v>
      </c>
      <c r="J308" s="48" t="str">
        <f>IFERROR(__xludf.DUMMYFUNCTION("IFERROR(INDEX(SPLIT(A308,"":""),1,2),)"),"CORDSCABLE")</f>
        <v>CORDSCABLE</v>
      </c>
      <c r="K308" s="48">
        <f t="shared" si="4"/>
        <v>103</v>
      </c>
      <c r="L308" s="48" t="str">
        <f t="shared" si="5"/>
        <v/>
      </c>
      <c r="M308" s="48">
        <f t="shared" si="6"/>
        <v>553</v>
      </c>
      <c r="N308" s="50">
        <f>IFERROR(__xludf.DUMMYFUNCTION("IFERROR(GOOGLEFINANCE(A308,""TRADETIME""),)"),46269.64584490741)</f>
        <v>46269.64584</v>
      </c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</row>
    <row r="309" ht="15.75" customHeight="1">
      <c r="A309" s="51" t="s">
        <v>355</v>
      </c>
      <c r="B309" s="51" t="str">
        <f>IFERROR(__xludf.DUMMYFUNCTION("IFERROR(GOOGLEFINANCE(A309,""NAME""),)"),"Coromandel International Ltd")</f>
        <v>Coromandel International Ltd</v>
      </c>
      <c r="C309" s="51">
        <f>IFERROR(__xludf.DUMMYFUNCTION("IFERROR(GOOGLEFINANCE(A309,""CHANGE""),)"),8.8)</f>
        <v>8.8</v>
      </c>
      <c r="D309" s="51">
        <f>IFERROR(__xludf.DUMMYFUNCTION("IFERROR(GOOGLEFINANCE(A309,""CHANGEPCT""),)"),0.46)</f>
        <v>0.46</v>
      </c>
      <c r="E309" s="51" t="str">
        <f t="shared" si="1"/>
        <v>0.46%</v>
      </c>
      <c r="F309" s="51">
        <f t="shared" si="2"/>
        <v>0.46</v>
      </c>
      <c r="G309" s="51" t="str">
        <f t="shared" si="3"/>
        <v/>
      </c>
      <c r="H309" s="51">
        <f>IFERROR(__xludf.DUMMYFUNCTION("IFERROR(GOOGLEFINANCE(A309,""PRICE""),)"),1940.1)</f>
        <v>1940.1</v>
      </c>
      <c r="I309" s="52">
        <f>IFERROR(__xludf.DUMMYFUNCTION("IFERROR(GOOGLEFINANCE(A309,""VOLUME""),)"),143726.0)</f>
        <v>143726</v>
      </c>
      <c r="J309" s="51" t="str">
        <f>IFERROR(__xludf.DUMMYFUNCTION("IFERROR(INDEX(SPLIT(A309,"":""),1,2),)"),"COROMANDEL")</f>
        <v>COROMANDEL</v>
      </c>
      <c r="K309" s="51">
        <f t="shared" si="4"/>
        <v>605</v>
      </c>
      <c r="L309" s="51" t="str">
        <f t="shared" si="5"/>
        <v/>
      </c>
      <c r="M309" s="51">
        <f t="shared" si="6"/>
        <v>697</v>
      </c>
      <c r="N309" s="53">
        <f>IFERROR(__xludf.DUMMYFUNCTION("IFERROR(GOOGLEFINANCE(A309,""TRADETIME""),)"),46269.64585648148)</f>
        <v>46269.64586</v>
      </c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</row>
    <row r="310" ht="15.75" customHeight="1">
      <c r="A310" s="48" t="s">
        <v>356</v>
      </c>
      <c r="B310" s="48" t="str">
        <f>IFERROR(__xludf.DUMMYFUNCTION("IFERROR(GOOGLEFINANCE(A310,""NAME""),)"),"Cosmo First Ltd")</f>
        <v>Cosmo First Ltd</v>
      </c>
      <c r="C310" s="48">
        <f>IFERROR(__xludf.DUMMYFUNCTION("IFERROR(GOOGLEFINANCE(A310,""CHANGE""),)"),-20.15)</f>
        <v>-20.15</v>
      </c>
      <c r="D310" s="48">
        <f>IFERROR(__xludf.DUMMYFUNCTION("IFERROR(GOOGLEFINANCE(A310,""CHANGEPCT""),)"),-2.14)</f>
        <v>-2.14</v>
      </c>
      <c r="E310" s="48" t="str">
        <f t="shared" si="1"/>
        <v>-2.14%</v>
      </c>
      <c r="F310" s="48" t="str">
        <f t="shared" si="2"/>
        <v/>
      </c>
      <c r="G310" s="48">
        <f t="shared" si="3"/>
        <v>-2.14</v>
      </c>
      <c r="H310" s="48">
        <f>IFERROR(__xludf.DUMMYFUNCTION("IFERROR(GOOGLEFINANCE(A310,""PRICE""),)"),920.0)</f>
        <v>920</v>
      </c>
      <c r="I310" s="49">
        <f>IFERROR(__xludf.DUMMYFUNCTION("IFERROR(GOOGLEFINANCE(A310,""VOLUME""),)"),66169.0)</f>
        <v>66169</v>
      </c>
      <c r="J310" s="48" t="str">
        <f>IFERROR(__xludf.DUMMYFUNCTION("IFERROR(INDEX(SPLIT(A310,"":""),1,2),)"),"COSMOFIRST")</f>
        <v>COSMOFIRST</v>
      </c>
      <c r="K310" s="48" t="str">
        <f t="shared" si="4"/>
        <v/>
      </c>
      <c r="L310" s="48">
        <f t="shared" si="5"/>
        <v>543</v>
      </c>
      <c r="M310" s="48">
        <f t="shared" si="6"/>
        <v>872</v>
      </c>
      <c r="N310" s="50">
        <f>IFERROR(__xludf.DUMMYFUNCTION("IFERROR(GOOGLEFINANCE(A310,""TRADETIME""),)"),46269.64583333333)</f>
        <v>46269.64583</v>
      </c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</row>
    <row r="311" ht="15.75" customHeight="1">
      <c r="A311" s="51" t="s">
        <v>357</v>
      </c>
      <c r="B311" s="51" t="str">
        <f>IFERROR(__xludf.DUMMYFUNCTION("IFERROR(GOOGLEFINANCE(A311,""NAME""),)"),"Country Condo's Ltd")</f>
        <v>Country Condo's Ltd</v>
      </c>
      <c r="C311" s="51">
        <f>IFERROR(__xludf.DUMMYFUNCTION("IFERROR(GOOGLEFINANCE(A311,""CHANGE""),)"),-0.08)</f>
        <v>-0.08</v>
      </c>
      <c r="D311" s="51">
        <f>IFERROR(__xludf.DUMMYFUNCTION("IFERROR(GOOGLEFINANCE(A311,""CHANGEPCT""),)"),-1.23)</f>
        <v>-1.23</v>
      </c>
      <c r="E311" s="51" t="str">
        <f t="shared" si="1"/>
        <v>-1.23%</v>
      </c>
      <c r="F311" s="51" t="str">
        <f t="shared" si="2"/>
        <v/>
      </c>
      <c r="G311" s="51">
        <f t="shared" si="3"/>
        <v>-1.23</v>
      </c>
      <c r="H311" s="51">
        <f>IFERROR(__xludf.DUMMYFUNCTION("IFERROR(GOOGLEFINANCE(A311,""PRICE""),)"),6.44)</f>
        <v>6.44</v>
      </c>
      <c r="I311" s="52">
        <f>IFERROR(__xludf.DUMMYFUNCTION("IFERROR(GOOGLEFINANCE(A311,""VOLUME""),)"),11466.0)</f>
        <v>11466</v>
      </c>
      <c r="J311" s="51" t="str">
        <f>IFERROR(__xludf.DUMMYFUNCTION("IFERROR(INDEX(SPLIT(A311,"":""),1,2),)"),"COUNCODOS")</f>
        <v>COUNCODOS</v>
      </c>
      <c r="K311" s="51" t="str">
        <f t="shared" si="4"/>
        <v/>
      </c>
      <c r="L311" s="51">
        <f t="shared" si="5"/>
        <v>381</v>
      </c>
      <c r="M311" s="51">
        <f t="shared" si="6"/>
        <v>1213</v>
      </c>
      <c r="N311" s="53">
        <f>IFERROR(__xludf.DUMMYFUNCTION("IFERROR(GOOGLEFINANCE(A311,""TRADETIME""),)"),46269.64583333333)</f>
        <v>46269.64583</v>
      </c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</row>
    <row r="312" ht="15.75" customHeight="1">
      <c r="A312" s="48" t="s">
        <v>358</v>
      </c>
      <c r="B312" s="48" t="str">
        <f>IFERROR(__xludf.DUMMYFUNCTION("IFERROR(GOOGLEFINANCE(A312,""NAME""),)"),"")</f>
        <v/>
      </c>
      <c r="C312" s="48" t="str">
        <f>IFERROR(__xludf.DUMMYFUNCTION("IFERROR(GOOGLEFINANCE(A312,""CHANGE""),)"),"")</f>
        <v/>
      </c>
      <c r="D312" s="48" t="str">
        <f>IFERROR(__xludf.DUMMYFUNCTION("IFERROR(GOOGLEFINANCE(A312,""CHANGEPCT""),)"),"")</f>
        <v/>
      </c>
      <c r="E312" s="48" t="str">
        <f t="shared" si="1"/>
        <v>%</v>
      </c>
      <c r="F312" s="48" t="str">
        <f t="shared" si="2"/>
        <v/>
      </c>
      <c r="G312" s="48" t="str">
        <f t="shared" si="3"/>
        <v/>
      </c>
      <c r="H312" s="48" t="str">
        <f>IFERROR(__xludf.DUMMYFUNCTION("IFERROR(GOOGLEFINANCE(A312,""PRICE""),)"),"")</f>
        <v/>
      </c>
      <c r="I312" s="49" t="str">
        <f>IFERROR(__xludf.DUMMYFUNCTION("IFERROR(GOOGLEFINANCE(A312,""VOLUME""),)"),"")</f>
        <v/>
      </c>
      <c r="J312" s="48" t="str">
        <f>IFERROR(__xludf.DUMMYFUNCTION("IFERROR(INDEX(SPLIT(A312,"":""),1,2),)"),"CREATIVE")</f>
        <v>CREATIVE</v>
      </c>
      <c r="K312" s="48" t="str">
        <f t="shared" si="4"/>
        <v/>
      </c>
      <c r="L312" s="48" t="str">
        <f t="shared" si="5"/>
        <v/>
      </c>
      <c r="M312" s="48">
        <f t="shared" si="6"/>
        <v>1456</v>
      </c>
      <c r="N312" s="50" t="str">
        <f>IFERROR(__xludf.DUMMYFUNCTION("IFERROR(GOOGLEFINANCE(A312,""TRADETIME""),)"),"")</f>
        <v/>
      </c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</row>
    <row r="313" ht="15.75" customHeight="1">
      <c r="A313" s="51" t="s">
        <v>359</v>
      </c>
      <c r="B313" s="51" t="str">
        <f>IFERROR(__xludf.DUMMYFUNCTION("IFERROR(GOOGLEFINANCE(A313,""NAME""),)"),"Creative Eye Ltd")</f>
        <v>Creative Eye Ltd</v>
      </c>
      <c r="C313" s="51">
        <f>IFERROR(__xludf.DUMMYFUNCTION("IFERROR(GOOGLEFINANCE(A313,""CHANGE""),)"),0.06)</f>
        <v>0.06</v>
      </c>
      <c r="D313" s="51">
        <f>IFERROR(__xludf.DUMMYFUNCTION("IFERROR(GOOGLEFINANCE(A313,""CHANGEPCT""),)"),0.98)</f>
        <v>0.98</v>
      </c>
      <c r="E313" s="51" t="str">
        <f t="shared" si="1"/>
        <v>0.98%</v>
      </c>
      <c r="F313" s="51">
        <f t="shared" si="2"/>
        <v>0.98</v>
      </c>
      <c r="G313" s="51" t="str">
        <f t="shared" si="3"/>
        <v/>
      </c>
      <c r="H313" s="51">
        <f>IFERROR(__xludf.DUMMYFUNCTION("IFERROR(GOOGLEFINANCE(A313,""PRICE""),)"),6.19)</f>
        <v>6.19</v>
      </c>
      <c r="I313" s="52">
        <f>IFERROR(__xludf.DUMMYFUNCTION("IFERROR(GOOGLEFINANCE(A313,""VOLUME""),)"),16063.0)</f>
        <v>16063</v>
      </c>
      <c r="J313" s="51" t="str">
        <f>IFERROR(__xludf.DUMMYFUNCTION("IFERROR(INDEX(SPLIT(A313,"":""),1,2),)"),"CREATIVEYE")</f>
        <v>CREATIVEYE</v>
      </c>
      <c r="K313" s="51">
        <f t="shared" si="4"/>
        <v>453</v>
      </c>
      <c r="L313" s="51" t="str">
        <f t="shared" si="5"/>
        <v/>
      </c>
      <c r="M313" s="51">
        <f t="shared" si="6"/>
        <v>1163</v>
      </c>
      <c r="N313" s="53">
        <f>IFERROR(__xludf.DUMMYFUNCTION("IFERROR(GOOGLEFINANCE(A313,""TRADETIME""),)"),46269.64583333333)</f>
        <v>46269.64583</v>
      </c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</row>
    <row r="314" ht="15.75" customHeight="1">
      <c r="A314" s="48" t="s">
        <v>360</v>
      </c>
      <c r="B314" s="48" t="str">
        <f>IFERROR(__xludf.DUMMYFUNCTION("IFERROR(GOOGLEFINANCE(A314,""NAME""),)"),"CreditAccess Grameen Ltd")</f>
        <v>CreditAccess Grameen Ltd</v>
      </c>
      <c r="C314" s="48">
        <f>IFERROR(__xludf.DUMMYFUNCTION("IFERROR(GOOGLEFINANCE(A314,""CHANGE""),)"),2.6)</f>
        <v>2.6</v>
      </c>
      <c r="D314" s="48">
        <f>IFERROR(__xludf.DUMMYFUNCTION("IFERROR(GOOGLEFINANCE(A314,""CHANGEPCT""),)"),0.18)</f>
        <v>0.18</v>
      </c>
      <c r="E314" s="48" t="str">
        <f t="shared" si="1"/>
        <v>0.18%</v>
      </c>
      <c r="F314" s="48">
        <f t="shared" si="2"/>
        <v>0.18</v>
      </c>
      <c r="G314" s="48" t="str">
        <f t="shared" si="3"/>
        <v/>
      </c>
      <c r="H314" s="48">
        <f>IFERROR(__xludf.DUMMYFUNCTION("IFERROR(GOOGLEFINANCE(A314,""PRICE""),)"),1440.0)</f>
        <v>1440</v>
      </c>
      <c r="I314" s="49">
        <f>IFERROR(__xludf.DUMMYFUNCTION("IFERROR(GOOGLEFINANCE(A314,""VOLUME""),)"),217925.0)</f>
        <v>217925</v>
      </c>
      <c r="J314" s="48" t="str">
        <f>IFERROR(__xludf.DUMMYFUNCTION("IFERROR(INDEX(SPLIT(A314,"":""),1,2),)"),"CREDITACC")</f>
        <v>CREDITACC</v>
      </c>
      <c r="K314" s="48">
        <f t="shared" si="4"/>
        <v>708</v>
      </c>
      <c r="L314" s="48" t="str">
        <f t="shared" si="5"/>
        <v/>
      </c>
      <c r="M314" s="48">
        <f t="shared" si="6"/>
        <v>602</v>
      </c>
      <c r="N314" s="50">
        <f>IFERROR(__xludf.DUMMYFUNCTION("IFERROR(GOOGLEFINANCE(A314,""TRADETIME""),)"),46269.64585648148)</f>
        <v>46269.64586</v>
      </c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</row>
    <row r="315" ht="15.75" customHeight="1">
      <c r="A315" s="51" t="s">
        <v>361</v>
      </c>
      <c r="B315" s="51" t="str">
        <f>IFERROR(__xludf.DUMMYFUNCTION("IFERROR(GOOGLEFINANCE(A315,""NAME""),)"),"Crest Ventures Ltd")</f>
        <v>Crest Ventures Ltd</v>
      </c>
      <c r="C315" s="51">
        <f>IFERROR(__xludf.DUMMYFUNCTION("IFERROR(GOOGLEFINANCE(A315,""CHANGE""),)"),-8.2)</f>
        <v>-8.2</v>
      </c>
      <c r="D315" s="51">
        <f>IFERROR(__xludf.DUMMYFUNCTION("IFERROR(GOOGLEFINANCE(A315,""CHANGEPCT""),)"),-2.24)</f>
        <v>-2.24</v>
      </c>
      <c r="E315" s="51" t="str">
        <f t="shared" si="1"/>
        <v>-2.24%</v>
      </c>
      <c r="F315" s="51" t="str">
        <f t="shared" si="2"/>
        <v/>
      </c>
      <c r="G315" s="51">
        <f t="shared" si="3"/>
        <v>-2.24</v>
      </c>
      <c r="H315" s="51">
        <f>IFERROR(__xludf.DUMMYFUNCTION("IFERROR(GOOGLEFINANCE(A315,""PRICE""),)"),357.1)</f>
        <v>357.1</v>
      </c>
      <c r="I315" s="52">
        <f>IFERROR(__xludf.DUMMYFUNCTION("IFERROR(GOOGLEFINANCE(A315,""VOLUME""),)"),1505.0)</f>
        <v>1505</v>
      </c>
      <c r="J315" s="51" t="str">
        <f>IFERROR(__xludf.DUMMYFUNCTION("IFERROR(INDEX(SPLIT(A315,"":""),1,2),)"),"CREST")</f>
        <v>CREST</v>
      </c>
      <c r="K315" s="51" t="str">
        <f t="shared" si="4"/>
        <v/>
      </c>
      <c r="L315" s="51">
        <f t="shared" si="5"/>
        <v>554</v>
      </c>
      <c r="M315" s="51">
        <f t="shared" si="6"/>
        <v>1405</v>
      </c>
      <c r="N315" s="53">
        <f>IFERROR(__xludf.DUMMYFUNCTION("IFERROR(GOOGLEFINANCE(A315,""TRADETIME""),)"),46269.64583333333)</f>
        <v>46269.64583</v>
      </c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</row>
    <row r="316" ht="15.75" customHeight="1">
      <c r="A316" s="48" t="s">
        <v>362</v>
      </c>
      <c r="B316" s="48" t="str">
        <f>IFERROR(__xludf.DUMMYFUNCTION("IFERROR(GOOGLEFINANCE(A316,""NAME""),)"),"Crisil Ltd")</f>
        <v>Crisil Ltd</v>
      </c>
      <c r="C316" s="48">
        <f>IFERROR(__xludf.DUMMYFUNCTION("IFERROR(GOOGLEFINANCE(A316,""CHANGE""),)"),30.3)</f>
        <v>30.3</v>
      </c>
      <c r="D316" s="48">
        <f>IFERROR(__xludf.DUMMYFUNCTION("IFERROR(GOOGLEFINANCE(A316,""CHANGEPCT""),)"),0.64)</f>
        <v>0.64</v>
      </c>
      <c r="E316" s="48" t="str">
        <f t="shared" si="1"/>
        <v>0.64%</v>
      </c>
      <c r="F316" s="48">
        <f t="shared" si="2"/>
        <v>0.64</v>
      </c>
      <c r="G316" s="48" t="str">
        <f t="shared" si="3"/>
        <v/>
      </c>
      <c r="H316" s="48">
        <f>IFERROR(__xludf.DUMMYFUNCTION("IFERROR(GOOGLEFINANCE(A316,""PRICE""),)"),4790.0)</f>
        <v>4790</v>
      </c>
      <c r="I316" s="49">
        <f>IFERROR(__xludf.DUMMYFUNCTION("IFERROR(GOOGLEFINANCE(A316,""VOLUME""),)"),184833.0)</f>
        <v>184833</v>
      </c>
      <c r="J316" s="48" t="str">
        <f>IFERROR(__xludf.DUMMYFUNCTION("IFERROR(INDEX(SPLIT(A316,"":""),1,2),)"),"CRISIL")</f>
        <v>CRISIL</v>
      </c>
      <c r="K316" s="48">
        <f t="shared" si="4"/>
        <v>546</v>
      </c>
      <c r="L316" s="48" t="str">
        <f t="shared" si="5"/>
        <v/>
      </c>
      <c r="M316" s="48">
        <f t="shared" si="6"/>
        <v>647</v>
      </c>
      <c r="N316" s="50">
        <f>IFERROR(__xludf.DUMMYFUNCTION("IFERROR(GOOGLEFINANCE(A316,""TRADETIME""),)"),46269.64583333333)</f>
        <v>46269.64583</v>
      </c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</row>
    <row r="317" ht="15.75" customHeight="1">
      <c r="A317" s="51" t="s">
        <v>363</v>
      </c>
      <c r="B317" s="51" t="str">
        <f>IFERROR(__xludf.DUMMYFUNCTION("IFERROR(GOOGLEFINANCE(A317,""NAME""),)"),"Crompton Greaves Consumer Electricls Ltd")</f>
        <v>Crompton Greaves Consumer Electricls Ltd</v>
      </c>
      <c r="C317" s="51">
        <f>IFERROR(__xludf.DUMMYFUNCTION("IFERROR(GOOGLEFINANCE(A317,""CHANGE""),)"),6.75)</f>
        <v>6.75</v>
      </c>
      <c r="D317" s="51">
        <f>IFERROR(__xludf.DUMMYFUNCTION("IFERROR(GOOGLEFINANCE(A317,""CHANGEPCT""),)"),2.98)</f>
        <v>2.98</v>
      </c>
      <c r="E317" s="51" t="str">
        <f t="shared" si="1"/>
        <v>2.98%</v>
      </c>
      <c r="F317" s="51">
        <f t="shared" si="2"/>
        <v>2.98</v>
      </c>
      <c r="G317" s="51" t="str">
        <f t="shared" si="3"/>
        <v/>
      </c>
      <c r="H317" s="51">
        <f>IFERROR(__xludf.DUMMYFUNCTION("IFERROR(GOOGLEFINANCE(A317,""PRICE""),)"),233.26)</f>
        <v>233.26</v>
      </c>
      <c r="I317" s="52">
        <f>IFERROR(__xludf.DUMMYFUNCTION("IFERROR(GOOGLEFINANCE(A317,""VOLUME""),)"),4443658.0)</f>
        <v>4443658</v>
      </c>
      <c r="J317" s="51" t="str">
        <f>IFERROR(__xludf.DUMMYFUNCTION("IFERROR(INDEX(SPLIT(A317,"":""),1,2),)"),"CROMPTON")</f>
        <v>CROMPTON</v>
      </c>
      <c r="K317" s="51">
        <f t="shared" si="4"/>
        <v>166</v>
      </c>
      <c r="L317" s="51" t="str">
        <f t="shared" si="5"/>
        <v/>
      </c>
      <c r="M317" s="51">
        <f t="shared" si="6"/>
        <v>93</v>
      </c>
      <c r="N317" s="53">
        <f>IFERROR(__xludf.DUMMYFUNCTION("IFERROR(GOOGLEFINANCE(A317,""TRADETIME""),)"),46269.64583333333)</f>
        <v>46269.64583</v>
      </c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</row>
    <row r="318" ht="15.75" customHeight="1">
      <c r="A318" s="48" t="s">
        <v>364</v>
      </c>
      <c r="B318" s="48" t="str">
        <f>IFERROR(__xludf.DUMMYFUNCTION("IFERROR(GOOGLEFINANCE(A318,""NAME""),)"),"CSB Bank Ltd")</f>
        <v>CSB Bank Ltd</v>
      </c>
      <c r="C318" s="48">
        <f>IFERROR(__xludf.DUMMYFUNCTION("IFERROR(GOOGLEFINANCE(A318,""CHANGE""),)"),4.05)</f>
        <v>4.05</v>
      </c>
      <c r="D318" s="48">
        <f>IFERROR(__xludf.DUMMYFUNCTION("IFERROR(GOOGLEFINANCE(A318,""CHANGEPCT""),)"),1.25)</f>
        <v>1.25</v>
      </c>
      <c r="E318" s="48" t="str">
        <f t="shared" si="1"/>
        <v>1.25%</v>
      </c>
      <c r="F318" s="48">
        <f t="shared" si="2"/>
        <v>1.25</v>
      </c>
      <c r="G318" s="48" t="str">
        <f t="shared" si="3"/>
        <v/>
      </c>
      <c r="H318" s="48">
        <f>IFERROR(__xludf.DUMMYFUNCTION("IFERROR(GOOGLEFINANCE(A318,""PRICE""),)"),329.0)</f>
        <v>329</v>
      </c>
      <c r="I318" s="49">
        <f>IFERROR(__xludf.DUMMYFUNCTION("IFERROR(GOOGLEFINANCE(A318,""VOLUME""),)"),658990.0)</f>
        <v>658990</v>
      </c>
      <c r="J318" s="48" t="str">
        <f>IFERROR(__xludf.DUMMYFUNCTION("IFERROR(INDEX(SPLIT(A318,"":""),1,2),)"),"CSBBANK")</f>
        <v>CSBBANK</v>
      </c>
      <c r="K318" s="48">
        <f t="shared" si="4"/>
        <v>392</v>
      </c>
      <c r="L318" s="48" t="str">
        <f t="shared" si="5"/>
        <v/>
      </c>
      <c r="M318" s="48">
        <f t="shared" si="6"/>
        <v>341</v>
      </c>
      <c r="N318" s="50">
        <f>IFERROR(__xludf.DUMMYFUNCTION("IFERROR(GOOGLEFINANCE(A318,""TRADETIME""),)"),46269.64585648148)</f>
        <v>46269.64586</v>
      </c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</row>
    <row r="319" ht="15.75" customHeight="1">
      <c r="A319" s="51" t="s">
        <v>365</v>
      </c>
      <c r="B319" s="51" t="str">
        <f>IFERROR(__xludf.DUMMYFUNCTION("IFERROR(GOOGLEFINANCE(A319,""NAME""),)"),"Cambridge Technology Enterprises Limited")</f>
        <v>Cambridge Technology Enterprises Limited</v>
      </c>
      <c r="C319" s="51">
        <f>IFERROR(__xludf.DUMMYFUNCTION("IFERROR(GOOGLEFINANCE(A319,""CHANGE""),)"),1.31)</f>
        <v>1.31</v>
      </c>
      <c r="D319" s="51">
        <f>IFERROR(__xludf.DUMMYFUNCTION("IFERROR(GOOGLEFINANCE(A319,""CHANGEPCT""),)"),3.19)</f>
        <v>3.19</v>
      </c>
      <c r="E319" s="51" t="str">
        <f t="shared" si="1"/>
        <v>3.19%</v>
      </c>
      <c r="F319" s="51">
        <f t="shared" si="2"/>
        <v>3.19</v>
      </c>
      <c r="G319" s="51" t="str">
        <f t="shared" si="3"/>
        <v/>
      </c>
      <c r="H319" s="51">
        <f>IFERROR(__xludf.DUMMYFUNCTION("IFERROR(GOOGLEFINANCE(A319,""PRICE""),)"),42.34)</f>
        <v>42.34</v>
      </c>
      <c r="I319" s="52">
        <f>IFERROR(__xludf.DUMMYFUNCTION("IFERROR(GOOGLEFINANCE(A319,""VOLUME""),)"),11345.0)</f>
        <v>11345</v>
      </c>
      <c r="J319" s="51" t="str">
        <f>IFERROR(__xludf.DUMMYFUNCTION("IFERROR(INDEX(SPLIT(A319,"":""),1,2),)"),"CTE")</f>
        <v>CTE</v>
      </c>
      <c r="K319" s="51">
        <f t="shared" si="4"/>
        <v>150</v>
      </c>
      <c r="L319" s="51" t="str">
        <f t="shared" si="5"/>
        <v/>
      </c>
      <c r="M319" s="51">
        <f t="shared" si="6"/>
        <v>1216</v>
      </c>
      <c r="N319" s="53">
        <f>IFERROR(__xludf.DUMMYFUNCTION("IFERROR(GOOGLEFINANCE(A319,""TRADETIME""),)"),46269.64583333333)</f>
        <v>46269.64583</v>
      </c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</row>
    <row r="320" ht="15.75" customHeight="1">
      <c r="A320" s="48" t="s">
        <v>366</v>
      </c>
      <c r="B320" s="48" t="str">
        <f>IFERROR(__xludf.DUMMYFUNCTION("IFERROR(GOOGLEFINANCE(A320,""NAME""),)"),"City Union Bank Ltd")</f>
        <v>City Union Bank Ltd</v>
      </c>
      <c r="C320" s="48">
        <f>IFERROR(__xludf.DUMMYFUNCTION("IFERROR(GOOGLEFINANCE(A320,""CHANGE""),)"),0.88)</f>
        <v>0.88</v>
      </c>
      <c r="D320" s="48">
        <f>IFERROR(__xludf.DUMMYFUNCTION("IFERROR(GOOGLEFINANCE(A320,""CHANGEPCT""),)"),0.38)</f>
        <v>0.38</v>
      </c>
      <c r="E320" s="48" t="str">
        <f t="shared" si="1"/>
        <v>0.38%</v>
      </c>
      <c r="F320" s="48">
        <f t="shared" si="2"/>
        <v>0.38</v>
      </c>
      <c r="G320" s="48" t="str">
        <f t="shared" si="3"/>
        <v/>
      </c>
      <c r="H320" s="48">
        <f>IFERROR(__xludf.DUMMYFUNCTION("IFERROR(GOOGLEFINANCE(A320,""PRICE""),)"),235.24)</f>
        <v>235.24</v>
      </c>
      <c r="I320" s="49">
        <f>IFERROR(__xludf.DUMMYFUNCTION("IFERROR(GOOGLEFINANCE(A320,""VOLUME""),)"),2621193.0)</f>
        <v>2621193</v>
      </c>
      <c r="J320" s="48" t="str">
        <f>IFERROR(__xludf.DUMMYFUNCTION("IFERROR(INDEX(SPLIT(A320,"":""),1,2),)"),"CUB")</f>
        <v>CUB</v>
      </c>
      <c r="K320" s="48">
        <f t="shared" si="4"/>
        <v>628</v>
      </c>
      <c r="L320" s="48" t="str">
        <f t="shared" si="5"/>
        <v/>
      </c>
      <c r="M320" s="48">
        <f t="shared" si="6"/>
        <v>138</v>
      </c>
      <c r="N320" s="50">
        <f>IFERROR(__xludf.DUMMYFUNCTION("IFERROR(GOOGLEFINANCE(A320,""TRADETIME""),)"),46269.64583333333)</f>
        <v>46269.64583</v>
      </c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</row>
    <row r="321" ht="15.75" customHeight="1">
      <c r="A321" s="51" t="s">
        <v>367</v>
      </c>
      <c r="B321" s="51" t="str">
        <f>IFERROR(__xludf.DUMMYFUNCTION("IFERROR(GOOGLEFINANCE(A321,""NAME""),)"),"Cubex Tubings Ltd")</f>
        <v>Cubex Tubings Ltd</v>
      </c>
      <c r="C321" s="51">
        <f>IFERROR(__xludf.DUMMYFUNCTION("IFERROR(GOOGLEFINANCE(A321,""CHANGE""),)"),0.29)</f>
        <v>0.29</v>
      </c>
      <c r="D321" s="51">
        <f>IFERROR(__xludf.DUMMYFUNCTION("IFERROR(GOOGLEFINANCE(A321,""CHANGEPCT""),)"),0.38)</f>
        <v>0.38</v>
      </c>
      <c r="E321" s="51" t="str">
        <f t="shared" si="1"/>
        <v>0.38%</v>
      </c>
      <c r="F321" s="51">
        <f t="shared" si="2"/>
        <v>0.38</v>
      </c>
      <c r="G321" s="51" t="str">
        <f t="shared" si="3"/>
        <v/>
      </c>
      <c r="H321" s="51">
        <f>IFERROR(__xludf.DUMMYFUNCTION("IFERROR(GOOGLEFINANCE(A321,""PRICE""),)"),76.7)</f>
        <v>76.7</v>
      </c>
      <c r="I321" s="52">
        <f>IFERROR(__xludf.DUMMYFUNCTION("IFERROR(GOOGLEFINANCE(A321,""VOLUME""),)"),48940.0)</f>
        <v>48940</v>
      </c>
      <c r="J321" s="51" t="str">
        <f>IFERROR(__xludf.DUMMYFUNCTION("IFERROR(INDEX(SPLIT(A321,"":""),1,2),)"),"CUBEXTUB")</f>
        <v>CUBEXTUB</v>
      </c>
      <c r="K321" s="51">
        <f t="shared" si="4"/>
        <v>629</v>
      </c>
      <c r="L321" s="51" t="str">
        <f t="shared" si="5"/>
        <v/>
      </c>
      <c r="M321" s="51">
        <f t="shared" si="6"/>
        <v>951</v>
      </c>
      <c r="N321" s="53">
        <f>IFERROR(__xludf.DUMMYFUNCTION("IFERROR(GOOGLEFINANCE(A321,""TRADETIME""),)"),46269.64583333333)</f>
        <v>46269.64583</v>
      </c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</row>
    <row r="322" ht="15.75" customHeight="1">
      <c r="A322" s="48" t="s">
        <v>368</v>
      </c>
      <c r="B322" s="48" t="str">
        <f>IFERROR(__xludf.DUMMYFUNCTION("IFERROR(GOOGLEFINANCE(A322,""NAME""),)"),"Cummins India Ltd")</f>
        <v>Cummins India Ltd</v>
      </c>
      <c r="C322" s="48">
        <f>IFERROR(__xludf.DUMMYFUNCTION("IFERROR(GOOGLEFINANCE(A322,""CHANGE""),)"),-27.0)</f>
        <v>-27</v>
      </c>
      <c r="D322" s="48">
        <f>IFERROR(__xludf.DUMMYFUNCTION("IFERROR(GOOGLEFINANCE(A322,""CHANGEPCT""),)"),-0.53)</f>
        <v>-0.53</v>
      </c>
      <c r="E322" s="48" t="str">
        <f t="shared" si="1"/>
        <v>-0.53%</v>
      </c>
      <c r="F322" s="48" t="str">
        <f t="shared" si="2"/>
        <v/>
      </c>
      <c r="G322" s="48">
        <f t="shared" si="3"/>
        <v>-0.53</v>
      </c>
      <c r="H322" s="48">
        <f>IFERROR(__xludf.DUMMYFUNCTION("IFERROR(GOOGLEFINANCE(A322,""PRICE""),)"),5044.0)</f>
        <v>5044</v>
      </c>
      <c r="I322" s="49">
        <f>IFERROR(__xludf.DUMMYFUNCTION("IFERROR(GOOGLEFINANCE(A322,""VOLUME""),)"),483825.0)</f>
        <v>483825</v>
      </c>
      <c r="J322" s="48" t="str">
        <f>IFERROR(__xludf.DUMMYFUNCTION("IFERROR(INDEX(SPLIT(A322,"":""),1,2),)"),"CUMMINSIND")</f>
        <v>CUMMINSIND</v>
      </c>
      <c r="K322" s="48" t="str">
        <f t="shared" si="4"/>
        <v/>
      </c>
      <c r="L322" s="48">
        <f t="shared" si="5"/>
        <v>203</v>
      </c>
      <c r="M322" s="48">
        <f t="shared" si="6"/>
        <v>401</v>
      </c>
      <c r="N322" s="50">
        <f>IFERROR(__xludf.DUMMYFUNCTION("IFERROR(GOOGLEFINANCE(A322,""TRADETIME""),)"),46269.64583333333)</f>
        <v>46269.64583</v>
      </c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</row>
    <row r="323" ht="15.75" customHeight="1">
      <c r="A323" s="51" t="s">
        <v>369</v>
      </c>
      <c r="B323" s="51" t="str">
        <f>IFERROR(__xludf.DUMMYFUNCTION("IFERROR(GOOGLEFINANCE(A323,""NAME""),)"),"Cupid Ltd")</f>
        <v>Cupid Ltd</v>
      </c>
      <c r="C323" s="51">
        <f>IFERROR(__xludf.DUMMYFUNCTION("IFERROR(GOOGLEFINANCE(A323,""CHANGE""),)"),3.65)</f>
        <v>3.65</v>
      </c>
      <c r="D323" s="51">
        <f>IFERROR(__xludf.DUMMYFUNCTION("IFERROR(GOOGLEFINANCE(A323,""CHANGEPCT""),)"),1.3)</f>
        <v>1.3</v>
      </c>
      <c r="E323" s="51" t="str">
        <f t="shared" si="1"/>
        <v>1.3%</v>
      </c>
      <c r="F323" s="51">
        <f t="shared" si="2"/>
        <v>1.3</v>
      </c>
      <c r="G323" s="51" t="str">
        <f t="shared" si="3"/>
        <v/>
      </c>
      <c r="H323" s="51">
        <f>IFERROR(__xludf.DUMMYFUNCTION("IFERROR(GOOGLEFINANCE(A323,""PRICE""),)"),283.6)</f>
        <v>283.6</v>
      </c>
      <c r="I323" s="52">
        <f>IFERROR(__xludf.DUMMYFUNCTION("IFERROR(GOOGLEFINANCE(A323,""VOLUME""),)"),8434946.0)</f>
        <v>8434946</v>
      </c>
      <c r="J323" s="51" t="str">
        <f>IFERROR(__xludf.DUMMYFUNCTION("IFERROR(INDEX(SPLIT(A323,"":""),1,2),)"),"CUPID")</f>
        <v>CUPID</v>
      </c>
      <c r="K323" s="51">
        <f t="shared" si="4"/>
        <v>381</v>
      </c>
      <c r="L323" s="51" t="str">
        <f t="shared" si="5"/>
        <v/>
      </c>
      <c r="M323" s="51">
        <f t="shared" si="6"/>
        <v>50</v>
      </c>
      <c r="N323" s="53">
        <f>IFERROR(__xludf.DUMMYFUNCTION("IFERROR(GOOGLEFINANCE(A323,""TRADETIME""),)"),46269.64584490741)</f>
        <v>46269.64584</v>
      </c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</row>
    <row r="324" ht="15.75" customHeight="1">
      <c r="A324" s="48" t="s">
        <v>370</v>
      </c>
      <c r="B324" s="48" t="str">
        <f>IFERROR(__xludf.DUMMYFUNCTION("IFERROR(GOOGLEFINANCE(A324,""NAME""),)"),"Dixon Technologies (India) Ltd")</f>
        <v>Dixon Technologies (India) Ltd</v>
      </c>
      <c r="C324" s="48">
        <f>IFERROR(__xludf.DUMMYFUNCTION("IFERROR(GOOGLEFINANCE(A324,""CHANGE""),)"),-285.0)</f>
        <v>-285</v>
      </c>
      <c r="D324" s="48">
        <f>IFERROR(__xludf.DUMMYFUNCTION("IFERROR(GOOGLEFINANCE(A324,""CHANGEPCT""),)"),-1.97)</f>
        <v>-1.97</v>
      </c>
      <c r="E324" s="48" t="str">
        <f t="shared" si="1"/>
        <v>-1.97%</v>
      </c>
      <c r="F324" s="48" t="str">
        <f t="shared" si="2"/>
        <v/>
      </c>
      <c r="G324" s="48">
        <f t="shared" si="3"/>
        <v>-1.97</v>
      </c>
      <c r="H324" s="48">
        <f>IFERROR(__xludf.DUMMYFUNCTION("IFERROR(GOOGLEFINANCE(A324,""PRICE""),)"),14160.0)</f>
        <v>14160</v>
      </c>
      <c r="I324" s="49">
        <f>IFERROR(__xludf.DUMMYFUNCTION("IFERROR(GOOGLEFINANCE(A324,""VOLUME""),)"),350720.0)</f>
        <v>350720</v>
      </c>
      <c r="J324" s="48" t="str">
        <f>IFERROR(__xludf.DUMMYFUNCTION("IFERROR(INDEX(SPLIT(A324,"":""),1,2),)"),"DIXON")</f>
        <v>DIXON</v>
      </c>
      <c r="K324" s="48" t="str">
        <f t="shared" si="4"/>
        <v/>
      </c>
      <c r="L324" s="48">
        <f t="shared" si="5"/>
        <v>525</v>
      </c>
      <c r="M324" s="48">
        <f t="shared" si="6"/>
        <v>471</v>
      </c>
      <c r="N324" s="50">
        <f>IFERROR(__xludf.DUMMYFUNCTION("IFERROR(GOOGLEFINANCE(A324,""TRADETIME""),)"),46269.64583333333)</f>
        <v>46269.64583</v>
      </c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</row>
    <row r="325" ht="15.75" customHeight="1">
      <c r="A325" s="51" t="s">
        <v>371</v>
      </c>
      <c r="B325" s="51" t="str">
        <f>IFERROR(__xludf.DUMMYFUNCTION("IFERROR(GOOGLEFINANCE(A325,""NAME""),)"),"Cybertech Systems and Software Ltd")</f>
        <v>Cybertech Systems and Software Ltd</v>
      </c>
      <c r="C325" s="51">
        <f>IFERROR(__xludf.DUMMYFUNCTION("IFERROR(GOOGLEFINANCE(A325,""CHANGE""),)"),1.23)</f>
        <v>1.23</v>
      </c>
      <c r="D325" s="51">
        <f>IFERROR(__xludf.DUMMYFUNCTION("IFERROR(GOOGLEFINANCE(A325,""CHANGEPCT""),)"),0.93)</f>
        <v>0.93</v>
      </c>
      <c r="E325" s="51" t="str">
        <f t="shared" si="1"/>
        <v>0.93%</v>
      </c>
      <c r="F325" s="51">
        <f t="shared" si="2"/>
        <v>0.93</v>
      </c>
      <c r="G325" s="51" t="str">
        <f t="shared" si="3"/>
        <v/>
      </c>
      <c r="H325" s="51">
        <f>IFERROR(__xludf.DUMMYFUNCTION("IFERROR(GOOGLEFINANCE(A325,""PRICE""),)"),133.5)</f>
        <v>133.5</v>
      </c>
      <c r="I325" s="52">
        <f>IFERROR(__xludf.DUMMYFUNCTION("IFERROR(GOOGLEFINANCE(A325,""VOLUME""),)"),6933.0)</f>
        <v>6933</v>
      </c>
      <c r="J325" s="51" t="str">
        <f>IFERROR(__xludf.DUMMYFUNCTION("IFERROR(INDEX(SPLIT(A325,"":""),1,2),)"),"CYBERTECH")</f>
        <v>CYBERTECH</v>
      </c>
      <c r="K325" s="51">
        <f t="shared" si="4"/>
        <v>463</v>
      </c>
      <c r="L325" s="51" t="str">
        <f t="shared" si="5"/>
        <v/>
      </c>
      <c r="M325" s="51">
        <f t="shared" si="6"/>
        <v>1290</v>
      </c>
      <c r="N325" s="53">
        <f>IFERROR(__xludf.DUMMYFUNCTION("IFERROR(GOOGLEFINANCE(A325,""TRADETIME""),)"),46269.64583333333)</f>
        <v>46269.64583</v>
      </c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</row>
    <row r="326" ht="15.75" customHeight="1">
      <c r="A326" s="48" t="s">
        <v>372</v>
      </c>
      <c r="B326" s="48" t="str">
        <f>IFERROR(__xludf.DUMMYFUNCTION("IFERROR(GOOGLEFINANCE(A326,""NAME""),)"),"Cyient Ltd")</f>
        <v>Cyient Ltd</v>
      </c>
      <c r="C326" s="48">
        <f>IFERROR(__xludf.DUMMYFUNCTION("IFERROR(GOOGLEFINANCE(A326,""CHANGE""),)"),-10.5)</f>
        <v>-10.5</v>
      </c>
      <c r="D326" s="48">
        <f>IFERROR(__xludf.DUMMYFUNCTION("IFERROR(GOOGLEFINANCE(A326,""CHANGEPCT""),)"),-0.94)</f>
        <v>-0.94</v>
      </c>
      <c r="E326" s="48" t="str">
        <f t="shared" si="1"/>
        <v>-0.94%</v>
      </c>
      <c r="F326" s="48" t="str">
        <f t="shared" si="2"/>
        <v/>
      </c>
      <c r="G326" s="48">
        <f t="shared" si="3"/>
        <v>-0.94</v>
      </c>
      <c r="H326" s="48">
        <f>IFERROR(__xludf.DUMMYFUNCTION("IFERROR(GOOGLEFINANCE(A326,""PRICE""),)"),1100.8)</f>
        <v>1100.8</v>
      </c>
      <c r="I326" s="49">
        <f>IFERROR(__xludf.DUMMYFUNCTION("IFERROR(GOOGLEFINANCE(A326,""VOLUME""),)"),327209.0)</f>
        <v>327209</v>
      </c>
      <c r="J326" s="48" t="str">
        <f>IFERROR(__xludf.DUMMYFUNCTION("IFERROR(INDEX(SPLIT(A326,"":""),1,2),)"),"CYIENT")</f>
        <v>CYIENT</v>
      </c>
      <c r="K326" s="48" t="str">
        <f t="shared" si="4"/>
        <v/>
      </c>
      <c r="L326" s="48">
        <f t="shared" si="5"/>
        <v>323</v>
      </c>
      <c r="M326" s="48">
        <f t="shared" si="6"/>
        <v>488</v>
      </c>
      <c r="N326" s="50">
        <f>IFERROR(__xludf.DUMMYFUNCTION("IFERROR(GOOGLEFINANCE(A326,""TRADETIME""),)"),46269.64584490741)</f>
        <v>46269.64584</v>
      </c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</row>
    <row r="327" ht="15.75" customHeight="1">
      <c r="A327" s="51" t="s">
        <v>373</v>
      </c>
      <c r="B327" s="51" t="str">
        <f>IFERROR(__xludf.DUMMYFUNCTION("IFERROR(GOOGLEFINANCE(A327,""NAME""),)"),"")</f>
        <v/>
      </c>
      <c r="C327" s="51" t="str">
        <f>IFERROR(__xludf.DUMMYFUNCTION("IFERROR(GOOGLEFINANCE(A327,""CHANGE""),)"),"")</f>
        <v/>
      </c>
      <c r="D327" s="51" t="str">
        <f>IFERROR(__xludf.DUMMYFUNCTION("IFERROR(GOOGLEFINANCE(A327,""CHANGEPCT""),)"),"")</f>
        <v/>
      </c>
      <c r="E327" s="51" t="str">
        <f t="shared" si="1"/>
        <v>%</v>
      </c>
      <c r="F327" s="51" t="str">
        <f t="shared" si="2"/>
        <v/>
      </c>
      <c r="G327" s="51" t="str">
        <f t="shared" si="3"/>
        <v/>
      </c>
      <c r="H327" s="51" t="str">
        <f>IFERROR(__xludf.DUMMYFUNCTION("IFERROR(GOOGLEFINANCE(A327,""PRICE""),)"),"")</f>
        <v/>
      </c>
      <c r="I327" s="52" t="str">
        <f>IFERROR(__xludf.DUMMYFUNCTION("IFERROR(GOOGLEFINANCE(A327,""VOLUME""),)"),"")</f>
        <v/>
      </c>
      <c r="J327" s="51" t="str">
        <f>IFERROR(__xludf.DUMMYFUNCTION("IFERROR(INDEX(SPLIT(A327,"":""),1,2),)"),"DAAWAT")</f>
        <v>DAAWAT</v>
      </c>
      <c r="K327" s="51" t="str">
        <f t="shared" si="4"/>
        <v/>
      </c>
      <c r="L327" s="51" t="str">
        <f t="shared" si="5"/>
        <v/>
      </c>
      <c r="M327" s="51">
        <f t="shared" si="6"/>
        <v>1456</v>
      </c>
      <c r="N327" s="53" t="str">
        <f>IFERROR(__xludf.DUMMYFUNCTION("IFERROR(GOOGLEFINANCE(A327,""TRADETIME""),)"),"")</f>
        <v/>
      </c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</row>
    <row r="328" ht="15.75" customHeight="1">
      <c r="A328" s="48" t="s">
        <v>374</v>
      </c>
      <c r="B328" s="48" t="str">
        <f>IFERROR(__xludf.DUMMYFUNCTION("IFERROR(GOOGLEFINANCE(A328,""NAME""),)"),"Dabur India Ltd")</f>
        <v>Dabur India Ltd</v>
      </c>
      <c r="C328" s="48">
        <f>IFERROR(__xludf.DUMMYFUNCTION("IFERROR(GOOGLEFINANCE(A328,""CHANGE""),)"),0.15)</f>
        <v>0.15</v>
      </c>
      <c r="D328" s="48">
        <f>IFERROR(__xludf.DUMMYFUNCTION("IFERROR(GOOGLEFINANCE(A328,""CHANGEPCT""),)"),0.04)</f>
        <v>0.04</v>
      </c>
      <c r="E328" s="48" t="str">
        <f t="shared" si="1"/>
        <v>0.04%</v>
      </c>
      <c r="F328" s="48">
        <f t="shared" si="2"/>
        <v>0.04</v>
      </c>
      <c r="G328" s="48" t="str">
        <f t="shared" si="3"/>
        <v/>
      </c>
      <c r="H328" s="48">
        <f>IFERROR(__xludf.DUMMYFUNCTION("IFERROR(GOOGLEFINANCE(A328,""PRICE""),)"),380.85)</f>
        <v>380.85</v>
      </c>
      <c r="I328" s="49">
        <f>IFERROR(__xludf.DUMMYFUNCTION("IFERROR(GOOGLEFINANCE(A328,""VOLUME""),)"),1702061.0)</f>
        <v>1702061</v>
      </c>
      <c r="J328" s="48" t="str">
        <f>IFERROR(__xludf.DUMMYFUNCTION("IFERROR(INDEX(SPLIT(A328,"":""),1,2),)"),"DABUR")</f>
        <v>DABUR</v>
      </c>
      <c r="K328" s="48">
        <f t="shared" si="4"/>
        <v>760</v>
      </c>
      <c r="L328" s="48" t="str">
        <f t="shared" si="5"/>
        <v/>
      </c>
      <c r="M328" s="48">
        <f t="shared" si="6"/>
        <v>196</v>
      </c>
      <c r="N328" s="50">
        <f>IFERROR(__xludf.DUMMYFUNCTION("IFERROR(GOOGLEFINANCE(A328,""TRADETIME""),)"),46269.64583333333)</f>
        <v>46269.64583</v>
      </c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</row>
    <row r="329" ht="15.75" customHeight="1">
      <c r="A329" s="51" t="s">
        <v>375</v>
      </c>
      <c r="B329" s="51" t="str">
        <f>IFERROR(__xludf.DUMMYFUNCTION("IFERROR(GOOGLEFINANCE(A329,""NAME""),)"),"Dalmia Bharat Ltd")</f>
        <v>Dalmia Bharat Ltd</v>
      </c>
      <c r="C329" s="51">
        <f>IFERROR(__xludf.DUMMYFUNCTION("IFERROR(GOOGLEFINANCE(A329,""CHANGE""),)"),-19.2)</f>
        <v>-19.2</v>
      </c>
      <c r="D329" s="51">
        <f>IFERROR(__xludf.DUMMYFUNCTION("IFERROR(GOOGLEFINANCE(A329,""CHANGEPCT""),)"),-1.08)</f>
        <v>-1.08</v>
      </c>
      <c r="E329" s="51" t="str">
        <f t="shared" si="1"/>
        <v>-1.08%</v>
      </c>
      <c r="F329" s="51" t="str">
        <f t="shared" si="2"/>
        <v/>
      </c>
      <c r="G329" s="51">
        <f t="shared" si="3"/>
        <v>-1.08</v>
      </c>
      <c r="H329" s="51">
        <f>IFERROR(__xludf.DUMMYFUNCTION("IFERROR(GOOGLEFINANCE(A329,""PRICE""),)"),1752.0)</f>
        <v>1752</v>
      </c>
      <c r="I329" s="52">
        <f>IFERROR(__xludf.DUMMYFUNCTION("IFERROR(GOOGLEFINANCE(A329,""VOLUME""),)"),73496.0)</f>
        <v>73496</v>
      </c>
      <c r="J329" s="51" t="str">
        <f>IFERROR(__xludf.DUMMYFUNCTION("IFERROR(INDEX(SPLIT(A329,"":""),1,2),)"),"DALBHARAT")</f>
        <v>DALBHARAT</v>
      </c>
      <c r="K329" s="51" t="str">
        <f t="shared" si="4"/>
        <v/>
      </c>
      <c r="L329" s="51">
        <f t="shared" si="5"/>
        <v>357</v>
      </c>
      <c r="M329" s="51">
        <f t="shared" si="6"/>
        <v>850</v>
      </c>
      <c r="N329" s="53">
        <f>IFERROR(__xludf.DUMMYFUNCTION("IFERROR(GOOGLEFINANCE(A329,""TRADETIME""),)"),46269.64583333333)</f>
        <v>46269.64583</v>
      </c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</row>
    <row r="330" ht="15.75" customHeight="1">
      <c r="A330" s="48" t="s">
        <v>376</v>
      </c>
      <c r="B330" s="48" t="str">
        <f>IFERROR(__xludf.DUMMYFUNCTION("IFERROR(GOOGLEFINANCE(A330,""NAME""),)"),"Dalmia Bharat Sugar and Industries Ltd")</f>
        <v>Dalmia Bharat Sugar and Industries Ltd</v>
      </c>
      <c r="C330" s="48">
        <f>IFERROR(__xludf.DUMMYFUNCTION("IFERROR(GOOGLEFINANCE(A330,""CHANGE""),)"),-22.05)</f>
        <v>-22.05</v>
      </c>
      <c r="D330" s="48">
        <f>IFERROR(__xludf.DUMMYFUNCTION("IFERROR(GOOGLEFINANCE(A330,""CHANGEPCT""),)"),-4.78)</f>
        <v>-4.78</v>
      </c>
      <c r="E330" s="48" t="str">
        <f t="shared" si="1"/>
        <v>-4.78%</v>
      </c>
      <c r="F330" s="48" t="str">
        <f t="shared" si="2"/>
        <v/>
      </c>
      <c r="G330" s="48">
        <f t="shared" si="3"/>
        <v>-4.78</v>
      </c>
      <c r="H330" s="48">
        <f>IFERROR(__xludf.DUMMYFUNCTION("IFERROR(GOOGLEFINANCE(A330,""PRICE""),)"),439.0)</f>
        <v>439</v>
      </c>
      <c r="I330" s="49">
        <f>IFERROR(__xludf.DUMMYFUNCTION("IFERROR(GOOGLEFINANCE(A330,""VOLUME""),)"),342704.0)</f>
        <v>342704</v>
      </c>
      <c r="J330" s="48" t="str">
        <f>IFERROR(__xludf.DUMMYFUNCTION("IFERROR(INDEX(SPLIT(A330,"":""),1,2),)"),"DALMIASUG")</f>
        <v>DALMIASUG</v>
      </c>
      <c r="K330" s="48" t="str">
        <f t="shared" si="4"/>
        <v/>
      </c>
      <c r="L330" s="48">
        <f t="shared" si="5"/>
        <v>635</v>
      </c>
      <c r="M330" s="48">
        <f t="shared" si="6"/>
        <v>477</v>
      </c>
      <c r="N330" s="50">
        <f>IFERROR(__xludf.DUMMYFUNCTION("IFERROR(GOOGLEFINANCE(A330,""TRADETIME""),)"),46269.64583333333)</f>
        <v>46269.64583</v>
      </c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</row>
    <row r="331" ht="15.75" customHeight="1">
      <c r="A331" s="51" t="s">
        <v>377</v>
      </c>
      <c r="B331" s="51" t="str">
        <f>IFERROR(__xludf.DUMMYFUNCTION("IFERROR(GOOGLEFINANCE(A331,""NAME""),)"),"Damodar Industries Ltd")</f>
        <v>Damodar Industries Ltd</v>
      </c>
      <c r="C331" s="51">
        <f>IFERROR(__xludf.DUMMYFUNCTION("IFERROR(GOOGLEFINANCE(A331,""CHANGE""),)"),-0.53)</f>
        <v>-0.53</v>
      </c>
      <c r="D331" s="51">
        <f>IFERROR(__xludf.DUMMYFUNCTION("IFERROR(GOOGLEFINANCE(A331,""CHANGEPCT""),)"),-1.83)</f>
        <v>-1.83</v>
      </c>
      <c r="E331" s="51" t="str">
        <f t="shared" si="1"/>
        <v>-1.83%</v>
      </c>
      <c r="F331" s="51" t="str">
        <f t="shared" si="2"/>
        <v/>
      </c>
      <c r="G331" s="51">
        <f t="shared" si="3"/>
        <v>-1.83</v>
      </c>
      <c r="H331" s="51">
        <f>IFERROR(__xludf.DUMMYFUNCTION("IFERROR(GOOGLEFINANCE(A331,""PRICE""),)"),28.45)</f>
        <v>28.45</v>
      </c>
      <c r="I331" s="52">
        <f>IFERROR(__xludf.DUMMYFUNCTION("IFERROR(GOOGLEFINANCE(A331,""VOLUME""),)"),1493.0)</f>
        <v>1493</v>
      </c>
      <c r="J331" s="51" t="str">
        <f>IFERROR(__xludf.DUMMYFUNCTION("IFERROR(INDEX(SPLIT(A331,"":""),1,2),)"),"DAMODARIND")</f>
        <v>DAMODARIND</v>
      </c>
      <c r="K331" s="51" t="str">
        <f t="shared" si="4"/>
        <v/>
      </c>
      <c r="L331" s="51">
        <f t="shared" si="5"/>
        <v>497</v>
      </c>
      <c r="M331" s="51">
        <f t="shared" si="6"/>
        <v>1407</v>
      </c>
      <c r="N331" s="53">
        <f>IFERROR(__xludf.DUMMYFUNCTION("IFERROR(GOOGLEFINANCE(A331,""TRADETIME""),)"),46269.64583333333)</f>
        <v>46269.64583</v>
      </c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</row>
    <row r="332" ht="15.75" customHeight="1">
      <c r="A332" s="48" t="s">
        <v>378</v>
      </c>
      <c r="B332" s="48" t="str">
        <f>IFERROR(__xludf.DUMMYFUNCTION("IFERROR(GOOGLEFINANCE(A332,""NAME""),)"),"Dangee Dums Ltd")</f>
        <v>Dangee Dums Ltd</v>
      </c>
      <c r="C332" s="48">
        <f>IFERROR(__xludf.DUMMYFUNCTION("IFERROR(GOOGLEFINANCE(A332,""CHANGE""),)"),0.01)</f>
        <v>0.01</v>
      </c>
      <c r="D332" s="48">
        <f>IFERROR(__xludf.DUMMYFUNCTION("IFERROR(GOOGLEFINANCE(A332,""CHANGEPCT""),)"),0.34)</f>
        <v>0.34</v>
      </c>
      <c r="E332" s="48" t="str">
        <f t="shared" si="1"/>
        <v>0.34%</v>
      </c>
      <c r="F332" s="48">
        <f t="shared" si="2"/>
        <v>0.34</v>
      </c>
      <c r="G332" s="48" t="str">
        <f t="shared" si="3"/>
        <v/>
      </c>
      <c r="H332" s="48">
        <f>IFERROR(__xludf.DUMMYFUNCTION("IFERROR(GOOGLEFINANCE(A332,""PRICE""),)"),2.95)</f>
        <v>2.95</v>
      </c>
      <c r="I332" s="49">
        <f>IFERROR(__xludf.DUMMYFUNCTION("IFERROR(GOOGLEFINANCE(A332,""VOLUME""),)"),40836.0)</f>
        <v>40836</v>
      </c>
      <c r="J332" s="48" t="str">
        <f>IFERROR(__xludf.DUMMYFUNCTION("IFERROR(INDEX(SPLIT(A332,"":""),1,2),)"),"DANGEE")</f>
        <v>DANGEE</v>
      </c>
      <c r="K332" s="48">
        <f t="shared" si="4"/>
        <v>646</v>
      </c>
      <c r="L332" s="48" t="str">
        <f t="shared" si="5"/>
        <v/>
      </c>
      <c r="M332" s="48">
        <f t="shared" si="6"/>
        <v>1000</v>
      </c>
      <c r="N332" s="50">
        <f>IFERROR(__xludf.DUMMYFUNCTION("IFERROR(GOOGLEFINANCE(A332,""TRADETIME""),)"),46269.64583333333)</f>
        <v>46269.64583</v>
      </c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</row>
    <row r="333" ht="15.75" customHeight="1">
      <c r="A333" s="51" t="s">
        <v>379</v>
      </c>
      <c r="B333" s="51" t="str">
        <f>IFERROR(__xludf.DUMMYFUNCTION("IFERROR(GOOGLEFINANCE(A333,""NAME""),)"),"Datamatics Global Services Ltd")</f>
        <v>Datamatics Global Services Ltd</v>
      </c>
      <c r="C333" s="51">
        <f>IFERROR(__xludf.DUMMYFUNCTION("IFERROR(GOOGLEFINANCE(A333,""CHANGE""),)"),-8.85)</f>
        <v>-8.85</v>
      </c>
      <c r="D333" s="51">
        <f>IFERROR(__xludf.DUMMYFUNCTION("IFERROR(GOOGLEFINANCE(A333,""CHANGEPCT""),)"),-1.14)</f>
        <v>-1.14</v>
      </c>
      <c r="E333" s="51" t="str">
        <f t="shared" si="1"/>
        <v>-1.14%</v>
      </c>
      <c r="F333" s="51" t="str">
        <f t="shared" si="2"/>
        <v/>
      </c>
      <c r="G333" s="51">
        <f t="shared" si="3"/>
        <v>-1.14</v>
      </c>
      <c r="H333" s="51">
        <f>IFERROR(__xludf.DUMMYFUNCTION("IFERROR(GOOGLEFINANCE(A333,""PRICE""),)"),766.0)</f>
        <v>766</v>
      </c>
      <c r="I333" s="52">
        <f>IFERROR(__xludf.DUMMYFUNCTION("IFERROR(GOOGLEFINANCE(A333,""VOLUME""),)"),55826.0)</f>
        <v>55826</v>
      </c>
      <c r="J333" s="51" t="str">
        <f>IFERROR(__xludf.DUMMYFUNCTION("IFERROR(INDEX(SPLIT(A333,"":""),1,2),)"),"DATAMATICS")</f>
        <v>DATAMATICS</v>
      </c>
      <c r="K333" s="51" t="str">
        <f t="shared" si="4"/>
        <v/>
      </c>
      <c r="L333" s="51">
        <f t="shared" si="5"/>
        <v>366</v>
      </c>
      <c r="M333" s="51">
        <f t="shared" si="6"/>
        <v>920</v>
      </c>
      <c r="N333" s="53">
        <f>IFERROR(__xludf.DUMMYFUNCTION("IFERROR(GOOGLEFINANCE(A333,""TRADETIME""),)"),46269.64583333333)</f>
        <v>46269.64583</v>
      </c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</row>
    <row r="334" ht="15.75" customHeight="1">
      <c r="A334" s="48" t="s">
        <v>380</v>
      </c>
      <c r="B334" s="48" t="str">
        <f>IFERROR(__xludf.DUMMYFUNCTION("IFERROR(GOOGLEFINANCE(A334,""NAME""),)"),"DB Corp Ltd")</f>
        <v>DB Corp Ltd</v>
      </c>
      <c r="C334" s="48">
        <f>IFERROR(__xludf.DUMMYFUNCTION("IFERROR(GOOGLEFINANCE(A334,""CHANGE""),)"),1.02)</f>
        <v>1.02</v>
      </c>
      <c r="D334" s="48">
        <f>IFERROR(__xludf.DUMMYFUNCTION("IFERROR(GOOGLEFINANCE(A334,""CHANGEPCT""),)"),0.53)</f>
        <v>0.53</v>
      </c>
      <c r="E334" s="48" t="str">
        <f t="shared" si="1"/>
        <v>0.53%</v>
      </c>
      <c r="F334" s="48">
        <f t="shared" si="2"/>
        <v>0.53</v>
      </c>
      <c r="G334" s="48" t="str">
        <f t="shared" si="3"/>
        <v/>
      </c>
      <c r="H334" s="48">
        <f>IFERROR(__xludf.DUMMYFUNCTION("IFERROR(GOOGLEFINANCE(A334,""PRICE""),)"),194.8)</f>
        <v>194.8</v>
      </c>
      <c r="I334" s="49">
        <f>IFERROR(__xludf.DUMMYFUNCTION("IFERROR(GOOGLEFINANCE(A334,""VOLUME""),)"),43972.0)</f>
        <v>43972</v>
      </c>
      <c r="J334" s="48" t="str">
        <f>IFERROR(__xludf.DUMMYFUNCTION("IFERROR(INDEX(SPLIT(A334,"":""),1,2),)"),"DBCORP")</f>
        <v>DBCORP</v>
      </c>
      <c r="K334" s="48">
        <f t="shared" si="4"/>
        <v>584</v>
      </c>
      <c r="L334" s="48" t="str">
        <f t="shared" si="5"/>
        <v/>
      </c>
      <c r="M334" s="48">
        <f t="shared" si="6"/>
        <v>977</v>
      </c>
      <c r="N334" s="50">
        <f>IFERROR(__xludf.DUMMYFUNCTION("IFERROR(GOOGLEFINANCE(A334,""TRADETIME""),)"),46269.64583333333)</f>
        <v>46269.64583</v>
      </c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</row>
    <row r="335" ht="15.75" customHeight="1">
      <c r="A335" s="51" t="s">
        <v>381</v>
      </c>
      <c r="B335" s="51" t="str">
        <f>IFERROR(__xludf.DUMMYFUNCTION("IFERROR(GOOGLEFINANCE(A335,""NAME""),)"),"Dilip Buildcon Ltd")</f>
        <v>Dilip Buildcon Ltd</v>
      </c>
      <c r="C335" s="51">
        <f>IFERROR(__xludf.DUMMYFUNCTION("IFERROR(GOOGLEFINANCE(A335,""CHANGE""),)"),2.7)</f>
        <v>2.7</v>
      </c>
      <c r="D335" s="51">
        <f>IFERROR(__xludf.DUMMYFUNCTION("IFERROR(GOOGLEFINANCE(A335,""CHANGEPCT""),)"),0.68)</f>
        <v>0.68</v>
      </c>
      <c r="E335" s="51" t="str">
        <f t="shared" si="1"/>
        <v>0.68%</v>
      </c>
      <c r="F335" s="51">
        <f t="shared" si="2"/>
        <v>0.68</v>
      </c>
      <c r="G335" s="51" t="str">
        <f t="shared" si="3"/>
        <v/>
      </c>
      <c r="H335" s="51">
        <f>IFERROR(__xludf.DUMMYFUNCTION("IFERROR(GOOGLEFINANCE(A335,""PRICE""),)"),401.25)</f>
        <v>401.25</v>
      </c>
      <c r="I335" s="52">
        <f>IFERROR(__xludf.DUMMYFUNCTION("IFERROR(GOOGLEFINANCE(A335,""VOLUME""),)"),58236.0)</f>
        <v>58236</v>
      </c>
      <c r="J335" s="51" t="str">
        <f>IFERROR(__xludf.DUMMYFUNCTION("IFERROR(INDEX(SPLIT(A335,"":""),1,2),)"),"DBL")</f>
        <v>DBL</v>
      </c>
      <c r="K335" s="51">
        <f t="shared" si="4"/>
        <v>533</v>
      </c>
      <c r="L335" s="51" t="str">
        <f t="shared" si="5"/>
        <v/>
      </c>
      <c r="M335" s="51">
        <f t="shared" si="6"/>
        <v>907</v>
      </c>
      <c r="N335" s="53">
        <f>IFERROR(__xludf.DUMMYFUNCTION("IFERROR(GOOGLEFINANCE(A335,""TRADETIME""),)"),46269.64583333333)</f>
        <v>46269.64583</v>
      </c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</row>
    <row r="336" ht="15.75" customHeight="1">
      <c r="A336" s="48" t="s">
        <v>382</v>
      </c>
      <c r="B336" s="48" t="str">
        <f>IFERROR(__xludf.DUMMYFUNCTION("IFERROR(GOOGLEFINANCE(A336,""NAME""),)"),"Valor Estate Ltd")</f>
        <v>Valor Estate Ltd</v>
      </c>
      <c r="C336" s="48">
        <f>IFERROR(__xludf.DUMMYFUNCTION("IFERROR(GOOGLEFINANCE(A336,""CHANGE""),)"),-0.16)</f>
        <v>-0.16</v>
      </c>
      <c r="D336" s="48">
        <f>IFERROR(__xludf.DUMMYFUNCTION("IFERROR(GOOGLEFINANCE(A336,""CHANGEPCT""),)"),-0.16)</f>
        <v>-0.16</v>
      </c>
      <c r="E336" s="48" t="str">
        <f t="shared" si="1"/>
        <v>-0.16%</v>
      </c>
      <c r="F336" s="48" t="str">
        <f t="shared" si="2"/>
        <v/>
      </c>
      <c r="G336" s="48">
        <f t="shared" si="3"/>
        <v>-0.16</v>
      </c>
      <c r="H336" s="48">
        <f>IFERROR(__xludf.DUMMYFUNCTION("IFERROR(GOOGLEFINANCE(A336,""PRICE""),)"),102.89)</f>
        <v>102.89</v>
      </c>
      <c r="I336" s="49">
        <f>IFERROR(__xludf.DUMMYFUNCTION("IFERROR(GOOGLEFINANCE(A336,""VOLUME""),)"),1439328.0)</f>
        <v>1439328</v>
      </c>
      <c r="J336" s="48" t="str">
        <f>IFERROR(__xludf.DUMMYFUNCTION("IFERROR(INDEX(SPLIT(A336,"":""),1,2),)"),"DBREALTY")</f>
        <v>DBREALTY</v>
      </c>
      <c r="K336" s="48" t="str">
        <f t="shared" si="4"/>
        <v/>
      </c>
      <c r="L336" s="48">
        <f t="shared" si="5"/>
        <v>59</v>
      </c>
      <c r="M336" s="48">
        <f t="shared" si="6"/>
        <v>214</v>
      </c>
      <c r="N336" s="50">
        <f>IFERROR(__xludf.DUMMYFUNCTION("IFERROR(GOOGLEFINANCE(A336,""TRADETIME""),)"),46269.64583333333)</f>
        <v>46269.64583</v>
      </c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</row>
    <row r="337" ht="15.75" customHeight="1">
      <c r="A337" s="51" t="s">
        <v>383</v>
      </c>
      <c r="B337" s="51" t="str">
        <f>IFERROR(__xludf.DUMMYFUNCTION("IFERROR(GOOGLEFINANCE(A337,""NAME""),)"),"DB (International) Stock Brokers Ltd")</f>
        <v>DB (International) Stock Brokers Ltd</v>
      </c>
      <c r="C337" s="51">
        <f>IFERROR(__xludf.DUMMYFUNCTION("IFERROR(GOOGLEFINANCE(A337,""CHANGE""),)"),-0.12)</f>
        <v>-0.12</v>
      </c>
      <c r="D337" s="51">
        <f>IFERROR(__xludf.DUMMYFUNCTION("IFERROR(GOOGLEFINANCE(A337,""CHANGEPCT""),)"),-0.41)</f>
        <v>-0.41</v>
      </c>
      <c r="E337" s="51" t="str">
        <f t="shared" si="1"/>
        <v>-0.41%</v>
      </c>
      <c r="F337" s="51" t="str">
        <f t="shared" si="2"/>
        <v/>
      </c>
      <c r="G337" s="51">
        <f t="shared" si="3"/>
        <v>-0.41</v>
      </c>
      <c r="H337" s="51">
        <f>IFERROR(__xludf.DUMMYFUNCTION("IFERROR(GOOGLEFINANCE(A337,""PRICE""),)"),28.95)</f>
        <v>28.95</v>
      </c>
      <c r="I337" s="52">
        <f>IFERROR(__xludf.DUMMYFUNCTION("IFERROR(GOOGLEFINANCE(A337,""VOLUME""),)"),4158.0)</f>
        <v>4158</v>
      </c>
      <c r="J337" s="51" t="str">
        <f>IFERROR(__xludf.DUMMYFUNCTION("IFERROR(INDEX(SPLIT(A337,"":""),1,2),)"),"DBSTOCKBRO")</f>
        <v>DBSTOCKBRO</v>
      </c>
      <c r="K337" s="51" t="str">
        <f t="shared" si="4"/>
        <v/>
      </c>
      <c r="L337" s="51">
        <f t="shared" si="5"/>
        <v>157</v>
      </c>
      <c r="M337" s="51">
        <f t="shared" si="6"/>
        <v>1345</v>
      </c>
      <c r="N337" s="53">
        <f>IFERROR(__xludf.DUMMYFUNCTION("IFERROR(GOOGLEFINANCE(A337,""TRADETIME""),)"),46269.64583333333)</f>
        <v>46269.64583</v>
      </c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</row>
    <row r="338" ht="15.75" customHeight="1">
      <c r="A338" s="48" t="s">
        <v>384</v>
      </c>
      <c r="B338" s="48" t="str">
        <f>IFERROR(__xludf.DUMMYFUNCTION("IFERROR(GOOGLEFINANCE(A338,""NAME""),)"),"Dishman Carbogen Amcis Ltd")</f>
        <v>Dishman Carbogen Amcis Ltd</v>
      </c>
      <c r="C338" s="48">
        <f>IFERROR(__xludf.DUMMYFUNCTION("IFERROR(GOOGLEFINANCE(A338,""CHANGE""),)"),-2.79)</f>
        <v>-2.79</v>
      </c>
      <c r="D338" s="48">
        <f>IFERROR(__xludf.DUMMYFUNCTION("IFERROR(GOOGLEFINANCE(A338,""CHANGEPCT""),)"),-1.58)</f>
        <v>-1.58</v>
      </c>
      <c r="E338" s="48" t="str">
        <f t="shared" si="1"/>
        <v>-1.58%</v>
      </c>
      <c r="F338" s="48" t="str">
        <f t="shared" si="2"/>
        <v/>
      </c>
      <c r="G338" s="48">
        <f t="shared" si="3"/>
        <v>-1.58</v>
      </c>
      <c r="H338" s="48">
        <f>IFERROR(__xludf.DUMMYFUNCTION("IFERROR(GOOGLEFINANCE(A338,""PRICE""),)"),174.2)</f>
        <v>174.2</v>
      </c>
      <c r="I338" s="49">
        <f>IFERROR(__xludf.DUMMYFUNCTION("IFERROR(GOOGLEFINANCE(A338,""VOLUME""),)"),122894.0)</f>
        <v>122894</v>
      </c>
      <c r="J338" s="48" t="str">
        <f>IFERROR(__xludf.DUMMYFUNCTION("IFERROR(INDEX(SPLIT(A338,"":""),1,2),)"),"DCAL")</f>
        <v>DCAL</v>
      </c>
      <c r="K338" s="48" t="str">
        <f t="shared" si="4"/>
        <v/>
      </c>
      <c r="L338" s="48">
        <f t="shared" si="5"/>
        <v>465</v>
      </c>
      <c r="M338" s="48">
        <f t="shared" si="6"/>
        <v>733</v>
      </c>
      <c r="N338" s="50">
        <f>IFERROR(__xludf.DUMMYFUNCTION("IFERROR(GOOGLEFINANCE(A338,""TRADETIME""),)"),46269.64586805555)</f>
        <v>46269.64587</v>
      </c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</row>
    <row r="339" ht="15.75" customHeight="1">
      <c r="A339" s="51" t="s">
        <v>385</v>
      </c>
      <c r="B339" s="51" t="str">
        <f>IFERROR(__xludf.DUMMYFUNCTION("IFERROR(GOOGLEFINANCE(A339,""NAME""),)"),"DCB Bank Ltd")</f>
        <v>DCB Bank Ltd</v>
      </c>
      <c r="C339" s="51">
        <f>IFERROR(__xludf.DUMMYFUNCTION("IFERROR(GOOGLEFINANCE(A339,""CHANGE""),)"),-1.2)</f>
        <v>-1.2</v>
      </c>
      <c r="D339" s="51">
        <f>IFERROR(__xludf.DUMMYFUNCTION("IFERROR(GOOGLEFINANCE(A339,""CHANGEPCT""),)"),-0.54)</f>
        <v>-0.54</v>
      </c>
      <c r="E339" s="51" t="str">
        <f t="shared" si="1"/>
        <v>-0.54%</v>
      </c>
      <c r="F339" s="51" t="str">
        <f t="shared" si="2"/>
        <v/>
      </c>
      <c r="G339" s="51">
        <f t="shared" si="3"/>
        <v>-0.54</v>
      </c>
      <c r="H339" s="51">
        <f>IFERROR(__xludf.DUMMYFUNCTION("IFERROR(GOOGLEFINANCE(A339,""PRICE""),)"),221.0)</f>
        <v>221</v>
      </c>
      <c r="I339" s="52">
        <f>IFERROR(__xludf.DUMMYFUNCTION("IFERROR(GOOGLEFINANCE(A339,""VOLUME""),)"),539992.0)</f>
        <v>539992</v>
      </c>
      <c r="J339" s="51" t="str">
        <f>IFERROR(__xludf.DUMMYFUNCTION("IFERROR(INDEX(SPLIT(A339,"":""),1,2),)"),"DCBBANK")</f>
        <v>DCBBANK</v>
      </c>
      <c r="K339" s="51" t="str">
        <f t="shared" si="4"/>
        <v/>
      </c>
      <c r="L339" s="51">
        <f t="shared" si="5"/>
        <v>208</v>
      </c>
      <c r="M339" s="51">
        <f t="shared" si="6"/>
        <v>379</v>
      </c>
      <c r="N339" s="53">
        <f>IFERROR(__xludf.DUMMYFUNCTION("IFERROR(GOOGLEFINANCE(A339,""TRADETIME""),)"),46269.64583333333)</f>
        <v>46269.64583</v>
      </c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</row>
    <row r="340" ht="15.75" customHeight="1">
      <c r="A340" s="48" t="s">
        <v>386</v>
      </c>
      <c r="B340" s="48" t="str">
        <f>IFERROR(__xludf.DUMMYFUNCTION("IFERROR(GOOGLEFINANCE(A340,""NAME""),)"),"DCM Ltd")</f>
        <v>DCM Ltd</v>
      </c>
      <c r="C340" s="48">
        <f>IFERROR(__xludf.DUMMYFUNCTION("IFERROR(GOOGLEFINANCE(A340,""CHANGE""),)"),-0.02)</f>
        <v>-0.02</v>
      </c>
      <c r="D340" s="48">
        <f>IFERROR(__xludf.DUMMYFUNCTION("IFERROR(GOOGLEFINANCE(A340,""CHANGEPCT""),)"),-0.03)</f>
        <v>-0.03</v>
      </c>
      <c r="E340" s="48" t="str">
        <f t="shared" si="1"/>
        <v>-0.03%</v>
      </c>
      <c r="F340" s="48" t="str">
        <f t="shared" si="2"/>
        <v/>
      </c>
      <c r="G340" s="48">
        <f t="shared" si="3"/>
        <v>-0.03</v>
      </c>
      <c r="H340" s="48">
        <f>IFERROR(__xludf.DUMMYFUNCTION("IFERROR(GOOGLEFINANCE(A340,""PRICE""),)"),76.95)</f>
        <v>76.95</v>
      </c>
      <c r="I340" s="49">
        <f>IFERROR(__xludf.DUMMYFUNCTION("IFERROR(GOOGLEFINANCE(A340,""VOLUME""),)"),16163.0)</f>
        <v>16163</v>
      </c>
      <c r="J340" s="48" t="str">
        <f>IFERROR(__xludf.DUMMYFUNCTION("IFERROR(INDEX(SPLIT(A340,"":""),1,2),)"),"DCM")</f>
        <v>DCM</v>
      </c>
      <c r="K340" s="48" t="str">
        <f t="shared" si="4"/>
        <v/>
      </c>
      <c r="L340" s="48">
        <f t="shared" si="5"/>
        <v>7</v>
      </c>
      <c r="M340" s="48">
        <f t="shared" si="6"/>
        <v>1162</v>
      </c>
      <c r="N340" s="50">
        <f>IFERROR(__xludf.DUMMYFUNCTION("IFERROR(GOOGLEFINANCE(A340,""TRADETIME""),)"),46269.64583333333)</f>
        <v>46269.64583</v>
      </c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</row>
    <row r="341" ht="15.75" customHeight="1">
      <c r="A341" s="51" t="s">
        <v>387</v>
      </c>
      <c r="B341" s="51" t="str">
        <f>IFERROR(__xludf.DUMMYFUNCTION("IFERROR(GOOGLEFINANCE(A341,""NAME""),)"),"DCM Financial Services Ltd")</f>
        <v>DCM Financial Services Ltd</v>
      </c>
      <c r="C341" s="51">
        <f>IFERROR(__xludf.DUMMYFUNCTION("IFERROR(GOOGLEFINANCE(A341,""CHANGE""),)"),0.16)</f>
        <v>0.16</v>
      </c>
      <c r="D341" s="51">
        <f>IFERROR(__xludf.DUMMYFUNCTION("IFERROR(GOOGLEFINANCE(A341,""CHANGEPCT""),)"),3.14)</f>
        <v>3.14</v>
      </c>
      <c r="E341" s="51" t="str">
        <f t="shared" si="1"/>
        <v>3.14%</v>
      </c>
      <c r="F341" s="51">
        <f t="shared" si="2"/>
        <v>3.14</v>
      </c>
      <c r="G341" s="51" t="str">
        <f t="shared" si="3"/>
        <v/>
      </c>
      <c r="H341" s="51">
        <f>IFERROR(__xludf.DUMMYFUNCTION("IFERROR(GOOGLEFINANCE(A341,""PRICE""),)"),5.25)</f>
        <v>5.25</v>
      </c>
      <c r="I341" s="52">
        <f>IFERROR(__xludf.DUMMYFUNCTION("IFERROR(GOOGLEFINANCE(A341,""VOLUME""),)"),5995.0)</f>
        <v>5995</v>
      </c>
      <c r="J341" s="51" t="str">
        <f>IFERROR(__xludf.DUMMYFUNCTION("IFERROR(INDEX(SPLIT(A341,"":""),1,2),)"),"DCMFINSERV")</f>
        <v>DCMFINSERV</v>
      </c>
      <c r="K341" s="51">
        <f t="shared" si="4"/>
        <v>155</v>
      </c>
      <c r="L341" s="51" t="str">
        <f t="shared" si="5"/>
        <v/>
      </c>
      <c r="M341" s="51">
        <f t="shared" si="6"/>
        <v>1306</v>
      </c>
      <c r="N341" s="53">
        <f>IFERROR(__xludf.DUMMYFUNCTION("IFERROR(GOOGLEFINANCE(A341,""TRADETIME""),)"),46269.64583333333)</f>
        <v>46269.64583</v>
      </c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</row>
    <row r="342" ht="15.75" customHeight="1">
      <c r="A342" s="48" t="s">
        <v>388</v>
      </c>
      <c r="B342" s="48" t="str">
        <f>IFERROR(__xludf.DUMMYFUNCTION("IFERROR(GOOGLEFINANCE(A342,""NAME""),)"),"DCM Nouvelle Ltd")</f>
        <v>DCM Nouvelle Ltd</v>
      </c>
      <c r="C342" s="48">
        <f>IFERROR(__xludf.DUMMYFUNCTION("IFERROR(GOOGLEFINANCE(A342,""CHANGE""),)"),3.74)</f>
        <v>3.74</v>
      </c>
      <c r="D342" s="48">
        <f>IFERROR(__xludf.DUMMYFUNCTION("IFERROR(GOOGLEFINANCE(A342,""CHANGEPCT""),)"),2.05)</f>
        <v>2.05</v>
      </c>
      <c r="E342" s="48" t="str">
        <f t="shared" si="1"/>
        <v>2.05%</v>
      </c>
      <c r="F342" s="48">
        <f t="shared" si="2"/>
        <v>2.05</v>
      </c>
      <c r="G342" s="48" t="str">
        <f t="shared" si="3"/>
        <v/>
      </c>
      <c r="H342" s="48">
        <f>IFERROR(__xludf.DUMMYFUNCTION("IFERROR(GOOGLEFINANCE(A342,""PRICE""),)"),185.78)</f>
        <v>185.78</v>
      </c>
      <c r="I342" s="49">
        <f>IFERROR(__xludf.DUMMYFUNCTION("IFERROR(GOOGLEFINANCE(A342,""VOLUME""),)"),16490.0)</f>
        <v>16490</v>
      </c>
      <c r="J342" s="48" t="str">
        <f>IFERROR(__xludf.DUMMYFUNCTION("IFERROR(INDEX(SPLIT(A342,"":""),1,2),)"),"DCMNVL")</f>
        <v>DCMNVL</v>
      </c>
      <c r="K342" s="48">
        <f t="shared" si="4"/>
        <v>248</v>
      </c>
      <c r="L342" s="48" t="str">
        <f t="shared" si="5"/>
        <v/>
      </c>
      <c r="M342" s="48">
        <f t="shared" si="6"/>
        <v>1160</v>
      </c>
      <c r="N342" s="50">
        <f>IFERROR(__xludf.DUMMYFUNCTION("IFERROR(GOOGLEFINANCE(A342,""TRADETIME""),)"),46269.64583333333)</f>
        <v>46269.64583</v>
      </c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</row>
    <row r="343" ht="15.75" customHeight="1">
      <c r="A343" s="51" t="s">
        <v>389</v>
      </c>
      <c r="B343" s="51" t="str">
        <f>IFERROR(__xludf.DUMMYFUNCTION("IFERROR(GOOGLEFINANCE(A343,""NAME""),)"),"DCM Shriram Ltd")</f>
        <v>DCM Shriram Ltd</v>
      </c>
      <c r="C343" s="51">
        <f>IFERROR(__xludf.DUMMYFUNCTION("IFERROR(GOOGLEFINANCE(A343,""CHANGE""),)"),0.8)</f>
        <v>0.8</v>
      </c>
      <c r="D343" s="51">
        <f>IFERROR(__xludf.DUMMYFUNCTION("IFERROR(GOOGLEFINANCE(A343,""CHANGEPCT""),)"),0.08)</f>
        <v>0.08</v>
      </c>
      <c r="E343" s="51" t="str">
        <f t="shared" si="1"/>
        <v>0.08%</v>
      </c>
      <c r="F343" s="51">
        <f t="shared" si="2"/>
        <v>0.08</v>
      </c>
      <c r="G343" s="51" t="str">
        <f t="shared" si="3"/>
        <v/>
      </c>
      <c r="H343" s="51">
        <f>IFERROR(__xludf.DUMMYFUNCTION("IFERROR(GOOGLEFINANCE(A343,""PRICE""),)"),1020.0)</f>
        <v>1020</v>
      </c>
      <c r="I343" s="52">
        <f>IFERROR(__xludf.DUMMYFUNCTION("IFERROR(GOOGLEFINANCE(A343,""VOLUME""),)"),85914.0)</f>
        <v>85914</v>
      </c>
      <c r="J343" s="51" t="str">
        <f>IFERROR(__xludf.DUMMYFUNCTION("IFERROR(INDEX(SPLIT(A343,"":""),1,2),)"),"DCMSHRIRAM")</f>
        <v>DCMSHRIRAM</v>
      </c>
      <c r="K343" s="51">
        <f t="shared" si="4"/>
        <v>745</v>
      </c>
      <c r="L343" s="51" t="str">
        <f t="shared" si="5"/>
        <v/>
      </c>
      <c r="M343" s="51">
        <f t="shared" si="6"/>
        <v>811</v>
      </c>
      <c r="N343" s="53">
        <f>IFERROR(__xludf.DUMMYFUNCTION("IFERROR(GOOGLEFINANCE(A343,""TRADETIME""),)"),46269.64583333333)</f>
        <v>46269.64583</v>
      </c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</row>
    <row r="344" ht="15.75" customHeight="1">
      <c r="A344" s="48" t="s">
        <v>390</v>
      </c>
      <c r="B344" s="48" t="str">
        <f>IFERROR(__xludf.DUMMYFUNCTION("IFERROR(GOOGLEFINANCE(A344,""NAME""),)"),"DCW Ltd")</f>
        <v>DCW Ltd</v>
      </c>
      <c r="C344" s="48">
        <f>IFERROR(__xludf.DUMMYFUNCTION("IFERROR(GOOGLEFINANCE(A344,""CHANGE""),)"),-0.1)</f>
        <v>-0.1</v>
      </c>
      <c r="D344" s="48">
        <f>IFERROR(__xludf.DUMMYFUNCTION("IFERROR(GOOGLEFINANCE(A344,""CHANGEPCT""),)"),-0.22)</f>
        <v>-0.22</v>
      </c>
      <c r="E344" s="48" t="str">
        <f t="shared" si="1"/>
        <v>-0.22%</v>
      </c>
      <c r="F344" s="48" t="str">
        <f t="shared" si="2"/>
        <v/>
      </c>
      <c r="G344" s="48">
        <f t="shared" si="3"/>
        <v>-0.22</v>
      </c>
      <c r="H344" s="48">
        <f>IFERROR(__xludf.DUMMYFUNCTION("IFERROR(GOOGLEFINANCE(A344,""PRICE""),)"),46.2)</f>
        <v>46.2</v>
      </c>
      <c r="I344" s="49">
        <f>IFERROR(__xludf.DUMMYFUNCTION("IFERROR(GOOGLEFINANCE(A344,""VOLUME""),)"),912734.0)</f>
        <v>912734</v>
      </c>
      <c r="J344" s="48" t="str">
        <f>IFERROR(__xludf.DUMMYFUNCTION("IFERROR(INDEX(SPLIT(A344,"":""),1,2),)"),"DCW")</f>
        <v>DCW</v>
      </c>
      <c r="K344" s="48" t="str">
        <f t="shared" si="4"/>
        <v/>
      </c>
      <c r="L344" s="48">
        <f t="shared" si="5"/>
        <v>78</v>
      </c>
      <c r="M344" s="48">
        <f t="shared" si="6"/>
        <v>292</v>
      </c>
      <c r="N344" s="50">
        <f>IFERROR(__xludf.DUMMYFUNCTION("IFERROR(GOOGLEFINANCE(A344,""TRADETIME""),)"),46269.64583333333)</f>
        <v>46269.64583</v>
      </c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</row>
    <row r="345" ht="15.75" customHeight="1">
      <c r="A345" s="51" t="s">
        <v>391</v>
      </c>
      <c r="B345" s="51" t="str">
        <f>IFERROR(__xludf.DUMMYFUNCTION("IFERROR(GOOGLEFINANCE(A345,""NAME""),)"),"Deccan Cements Ltd")</f>
        <v>Deccan Cements Ltd</v>
      </c>
      <c r="C345" s="51">
        <f>IFERROR(__xludf.DUMMYFUNCTION("IFERROR(GOOGLEFINANCE(A345,""CHANGE""),)"),3.7)</f>
        <v>3.7</v>
      </c>
      <c r="D345" s="51">
        <f>IFERROR(__xludf.DUMMYFUNCTION("IFERROR(GOOGLEFINANCE(A345,""CHANGEPCT""),)"),0.65)</f>
        <v>0.65</v>
      </c>
      <c r="E345" s="51" t="str">
        <f t="shared" si="1"/>
        <v>0.65%</v>
      </c>
      <c r="F345" s="51">
        <f t="shared" si="2"/>
        <v>0.65</v>
      </c>
      <c r="G345" s="51" t="str">
        <f t="shared" si="3"/>
        <v/>
      </c>
      <c r="H345" s="51">
        <f>IFERROR(__xludf.DUMMYFUNCTION("IFERROR(GOOGLEFINANCE(A345,""PRICE""),)"),568.85)</f>
        <v>568.85</v>
      </c>
      <c r="I345" s="52">
        <f>IFERROR(__xludf.DUMMYFUNCTION("IFERROR(GOOGLEFINANCE(A345,""VOLUME""),)"),29858.0)</f>
        <v>29858</v>
      </c>
      <c r="J345" s="51" t="str">
        <f>IFERROR(__xludf.DUMMYFUNCTION("IFERROR(INDEX(SPLIT(A345,"":""),1,2),)"),"DECCANCE")</f>
        <v>DECCANCE</v>
      </c>
      <c r="K345" s="51">
        <f t="shared" si="4"/>
        <v>542</v>
      </c>
      <c r="L345" s="51" t="str">
        <f t="shared" si="5"/>
        <v/>
      </c>
      <c r="M345" s="51">
        <f t="shared" si="6"/>
        <v>1055</v>
      </c>
      <c r="N345" s="53">
        <f>IFERROR(__xludf.DUMMYFUNCTION("IFERROR(GOOGLEFINANCE(A345,""TRADETIME""),)"),46269.64583333333)</f>
        <v>46269.64583</v>
      </c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</row>
    <row r="346" ht="15.75" customHeight="1">
      <c r="A346" s="48" t="s">
        <v>392</v>
      </c>
      <c r="B346" s="48" t="str">
        <f>IFERROR(__xludf.DUMMYFUNCTION("IFERROR(GOOGLEFINANCE(A346,""NAME""),)"),"Deepak Frtlsrs and Ptrchmcls Corp Ltd")</f>
        <v>Deepak Frtlsrs and Ptrchmcls Corp Ltd</v>
      </c>
      <c r="C346" s="48">
        <f>IFERROR(__xludf.DUMMYFUNCTION("IFERROR(GOOGLEFINANCE(A346,""CHANGE""),)"),8.9)</f>
        <v>8.9</v>
      </c>
      <c r="D346" s="48">
        <f>IFERROR(__xludf.DUMMYFUNCTION("IFERROR(GOOGLEFINANCE(A346,""CHANGEPCT""),)"),0.66)</f>
        <v>0.66</v>
      </c>
      <c r="E346" s="48" t="str">
        <f t="shared" si="1"/>
        <v>0.66%</v>
      </c>
      <c r="F346" s="48">
        <f t="shared" si="2"/>
        <v>0.66</v>
      </c>
      <c r="G346" s="48" t="str">
        <f t="shared" si="3"/>
        <v/>
      </c>
      <c r="H346" s="48">
        <f>IFERROR(__xludf.DUMMYFUNCTION("IFERROR(GOOGLEFINANCE(A346,""PRICE""),)"),1364.8)</f>
        <v>1364.8</v>
      </c>
      <c r="I346" s="49">
        <f>IFERROR(__xludf.DUMMYFUNCTION("IFERROR(GOOGLEFINANCE(A346,""VOLUME""),)"),229112.0)</f>
        <v>229112</v>
      </c>
      <c r="J346" s="48" t="str">
        <f>IFERROR(__xludf.DUMMYFUNCTION("IFERROR(INDEX(SPLIT(A346,"":""),1,2),)"),"DEEPAKFERT")</f>
        <v>DEEPAKFERT</v>
      </c>
      <c r="K346" s="48">
        <f t="shared" si="4"/>
        <v>539</v>
      </c>
      <c r="L346" s="48" t="str">
        <f t="shared" si="5"/>
        <v/>
      </c>
      <c r="M346" s="48">
        <f t="shared" si="6"/>
        <v>588</v>
      </c>
      <c r="N346" s="50">
        <f>IFERROR(__xludf.DUMMYFUNCTION("IFERROR(GOOGLEFINANCE(A346,""TRADETIME""),)"),46269.64583333333)</f>
        <v>46269.64583</v>
      </c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</row>
    <row r="347" ht="15.75" customHeight="1">
      <c r="A347" s="51" t="s">
        <v>393</v>
      </c>
      <c r="B347" s="51" t="str">
        <f>IFERROR(__xludf.DUMMYFUNCTION("IFERROR(GOOGLEFINANCE(A347,""NAME""),)"),"Deepak Nitrite Ltd")</f>
        <v>Deepak Nitrite Ltd</v>
      </c>
      <c r="C347" s="51">
        <f>IFERROR(__xludf.DUMMYFUNCTION("IFERROR(GOOGLEFINANCE(A347,""CHANGE""),)"),-10.2)</f>
        <v>-10.2</v>
      </c>
      <c r="D347" s="51">
        <f>IFERROR(__xludf.DUMMYFUNCTION("IFERROR(GOOGLEFINANCE(A347,""CHANGEPCT""),)"),-0.59)</f>
        <v>-0.59</v>
      </c>
      <c r="E347" s="51" t="str">
        <f t="shared" si="1"/>
        <v>-0.59%</v>
      </c>
      <c r="F347" s="51" t="str">
        <f t="shared" si="2"/>
        <v/>
      </c>
      <c r="G347" s="51">
        <f t="shared" si="3"/>
        <v>-0.59</v>
      </c>
      <c r="H347" s="51">
        <f>IFERROR(__xludf.DUMMYFUNCTION("IFERROR(GOOGLEFINANCE(A347,""PRICE""),)"),1715.1)</f>
        <v>1715.1</v>
      </c>
      <c r="I347" s="52">
        <f>IFERROR(__xludf.DUMMYFUNCTION("IFERROR(GOOGLEFINANCE(A347,""VOLUME""),)"),196070.0)</f>
        <v>196070</v>
      </c>
      <c r="J347" s="51" t="str">
        <f>IFERROR(__xludf.DUMMYFUNCTION("IFERROR(INDEX(SPLIT(A347,"":""),1,2),)"),"DEEPAKNTR")</f>
        <v>DEEPAKNTR</v>
      </c>
      <c r="K347" s="51" t="str">
        <f t="shared" si="4"/>
        <v/>
      </c>
      <c r="L347" s="51">
        <f t="shared" si="5"/>
        <v>223</v>
      </c>
      <c r="M347" s="51">
        <f t="shared" si="6"/>
        <v>633</v>
      </c>
      <c r="N347" s="53">
        <f>IFERROR(__xludf.DUMMYFUNCTION("IFERROR(GOOGLEFINANCE(A347,""TRADETIME""),)"),46269.64586805555)</f>
        <v>46269.64587</v>
      </c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</row>
    <row r="348" ht="15.75" customHeight="1">
      <c r="A348" s="48" t="s">
        <v>394</v>
      </c>
      <c r="B348" s="48" t="str">
        <f>IFERROR(__xludf.DUMMYFUNCTION("IFERROR(GOOGLEFINANCE(A348,""NAME""),)"),"")</f>
        <v/>
      </c>
      <c r="C348" s="48" t="str">
        <f>IFERROR(__xludf.DUMMYFUNCTION("IFERROR(GOOGLEFINANCE(A348,""CHANGE""),)"),"")</f>
        <v/>
      </c>
      <c r="D348" s="48" t="str">
        <f>IFERROR(__xludf.DUMMYFUNCTION("IFERROR(GOOGLEFINANCE(A348,""CHANGEPCT""),)"),"")</f>
        <v/>
      </c>
      <c r="E348" s="48" t="str">
        <f t="shared" si="1"/>
        <v>%</v>
      </c>
      <c r="F348" s="48" t="str">
        <f t="shared" si="2"/>
        <v/>
      </c>
      <c r="G348" s="48" t="str">
        <f t="shared" si="3"/>
        <v/>
      </c>
      <c r="H348" s="48" t="str">
        <f>IFERROR(__xludf.DUMMYFUNCTION("IFERROR(GOOGLEFINANCE(A348,""PRICE""),)"),"")</f>
        <v/>
      </c>
      <c r="I348" s="49" t="str">
        <f>IFERROR(__xludf.DUMMYFUNCTION("IFERROR(GOOGLEFINANCE(A348,""VOLUME""),)"),"")</f>
        <v/>
      </c>
      <c r="J348" s="48" t="str">
        <f>IFERROR(__xludf.DUMMYFUNCTION("IFERROR(INDEX(SPLIT(A348,"":""),1,2),)"),"DEEPENR")</f>
        <v>DEEPENR</v>
      </c>
      <c r="K348" s="48" t="str">
        <f t="shared" si="4"/>
        <v/>
      </c>
      <c r="L348" s="48" t="str">
        <f t="shared" si="5"/>
        <v/>
      </c>
      <c r="M348" s="48">
        <f t="shared" si="6"/>
        <v>1456</v>
      </c>
      <c r="N348" s="50" t="str">
        <f>IFERROR(__xludf.DUMMYFUNCTION("IFERROR(GOOGLEFINANCE(A348,""TRADETIME""),)"),"")</f>
        <v/>
      </c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</row>
    <row r="349" ht="15.75" customHeight="1">
      <c r="A349" s="51" t="s">
        <v>395</v>
      </c>
      <c r="B349" s="51" t="str">
        <f>IFERROR(__xludf.DUMMYFUNCTION("IFERROR(GOOGLEFINANCE(A349,""NAME""),)"),"Delta Corp Ltd")</f>
        <v>Delta Corp Ltd</v>
      </c>
      <c r="C349" s="51">
        <f>IFERROR(__xludf.DUMMYFUNCTION("IFERROR(GOOGLEFINANCE(A349,""CHANGE""),)"),0.01)</f>
        <v>0.01</v>
      </c>
      <c r="D349" s="51">
        <f>IFERROR(__xludf.DUMMYFUNCTION("IFERROR(GOOGLEFINANCE(A349,""CHANGEPCT""),)"),0.02)</f>
        <v>0.02</v>
      </c>
      <c r="E349" s="51" t="str">
        <f t="shared" si="1"/>
        <v>0.02%</v>
      </c>
      <c r="F349" s="51">
        <f t="shared" si="2"/>
        <v>0.02</v>
      </c>
      <c r="G349" s="51" t="str">
        <f t="shared" si="3"/>
        <v/>
      </c>
      <c r="H349" s="51">
        <f>IFERROR(__xludf.DUMMYFUNCTION("IFERROR(GOOGLEFINANCE(A349,""PRICE""),)"),56.26)</f>
        <v>56.26</v>
      </c>
      <c r="I349" s="52">
        <f>IFERROR(__xludf.DUMMYFUNCTION("IFERROR(GOOGLEFINANCE(A349,""VOLUME""),)"),1070574.0)</f>
        <v>1070574</v>
      </c>
      <c r="J349" s="51" t="str">
        <f>IFERROR(__xludf.DUMMYFUNCTION("IFERROR(INDEX(SPLIT(A349,"":""),1,2),)"),"DELTACORP")</f>
        <v>DELTACORP</v>
      </c>
      <c r="K349" s="51">
        <f t="shared" si="4"/>
        <v>771</v>
      </c>
      <c r="L349" s="51" t="str">
        <f t="shared" si="5"/>
        <v/>
      </c>
      <c r="M349" s="51">
        <f t="shared" si="6"/>
        <v>261</v>
      </c>
      <c r="N349" s="53">
        <f>IFERROR(__xludf.DUMMYFUNCTION("IFERROR(GOOGLEFINANCE(A349,""TRADETIME""),)"),46269.64583333333)</f>
        <v>46269.64583</v>
      </c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</row>
    <row r="350" ht="15.75" customHeight="1">
      <c r="A350" s="48" t="s">
        <v>396</v>
      </c>
      <c r="B350" s="48" t="str">
        <f>IFERROR(__xludf.DUMMYFUNCTION("IFERROR(GOOGLEFINANCE(A350,""NAME""),)"),"Delta Manufacturing Ltd")</f>
        <v>Delta Manufacturing Ltd</v>
      </c>
      <c r="C350" s="48">
        <f>IFERROR(__xludf.DUMMYFUNCTION("IFERROR(GOOGLEFINANCE(A350,""CHANGE""),)"),1.71)</f>
        <v>1.71</v>
      </c>
      <c r="D350" s="48">
        <f>IFERROR(__xludf.DUMMYFUNCTION("IFERROR(GOOGLEFINANCE(A350,""CHANGEPCT""),)"),2.99)</f>
        <v>2.99</v>
      </c>
      <c r="E350" s="48" t="str">
        <f t="shared" si="1"/>
        <v>2.99%</v>
      </c>
      <c r="F350" s="48">
        <f t="shared" si="2"/>
        <v>2.99</v>
      </c>
      <c r="G350" s="48" t="str">
        <f t="shared" si="3"/>
        <v/>
      </c>
      <c r="H350" s="48">
        <f>IFERROR(__xludf.DUMMYFUNCTION("IFERROR(GOOGLEFINANCE(A350,""PRICE""),)"),58.94)</f>
        <v>58.94</v>
      </c>
      <c r="I350" s="49">
        <f>IFERROR(__xludf.DUMMYFUNCTION("IFERROR(GOOGLEFINANCE(A350,""VOLUME""),)"),4124.0)</f>
        <v>4124</v>
      </c>
      <c r="J350" s="48" t="str">
        <f>IFERROR(__xludf.DUMMYFUNCTION("IFERROR(INDEX(SPLIT(A350,"":""),1,2),)"),"DELTAMAGNT")</f>
        <v>DELTAMAGNT</v>
      </c>
      <c r="K350" s="48">
        <f t="shared" si="4"/>
        <v>165</v>
      </c>
      <c r="L350" s="48" t="str">
        <f t="shared" si="5"/>
        <v/>
      </c>
      <c r="M350" s="48">
        <f t="shared" si="6"/>
        <v>1347</v>
      </c>
      <c r="N350" s="50">
        <f>IFERROR(__xludf.DUMMYFUNCTION("IFERROR(GOOGLEFINANCE(A350,""TRADETIME""),)"),46269.64583333333)</f>
        <v>46269.64583</v>
      </c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</row>
    <row r="351" ht="15.75" customHeight="1">
      <c r="A351" s="51" t="s">
        <v>397</v>
      </c>
      <c r="B351" s="51" t="str">
        <f>IFERROR(__xludf.DUMMYFUNCTION("IFERROR(GOOGLEFINANCE(A351,""NAME""),)"),"DEN Networks Ltd")</f>
        <v>DEN Networks Ltd</v>
      </c>
      <c r="C351" s="51">
        <f>IFERROR(__xludf.DUMMYFUNCTION("IFERROR(GOOGLEFINANCE(A351,""CHANGE""),)"),0.08)</f>
        <v>0.08</v>
      </c>
      <c r="D351" s="51">
        <f>IFERROR(__xludf.DUMMYFUNCTION("IFERROR(GOOGLEFINANCE(A351,""CHANGEPCT""),)"),0.29)</f>
        <v>0.29</v>
      </c>
      <c r="E351" s="51" t="str">
        <f t="shared" si="1"/>
        <v>0.29%</v>
      </c>
      <c r="F351" s="51">
        <f t="shared" si="2"/>
        <v>0.29</v>
      </c>
      <c r="G351" s="51" t="str">
        <f t="shared" si="3"/>
        <v/>
      </c>
      <c r="H351" s="51">
        <f>IFERROR(__xludf.DUMMYFUNCTION("IFERROR(GOOGLEFINANCE(A351,""PRICE""),)"),27.95)</f>
        <v>27.95</v>
      </c>
      <c r="I351" s="52">
        <f>IFERROR(__xludf.DUMMYFUNCTION("IFERROR(GOOGLEFINANCE(A351,""VOLUME""),)"),211531.0)</f>
        <v>211531</v>
      </c>
      <c r="J351" s="51" t="str">
        <f>IFERROR(__xludf.DUMMYFUNCTION("IFERROR(INDEX(SPLIT(A351,"":""),1,2),)"),"DEN")</f>
        <v>DEN</v>
      </c>
      <c r="K351" s="51">
        <f t="shared" si="4"/>
        <v>663</v>
      </c>
      <c r="L351" s="51" t="str">
        <f t="shared" si="5"/>
        <v/>
      </c>
      <c r="M351" s="51">
        <f t="shared" si="6"/>
        <v>607</v>
      </c>
      <c r="N351" s="53">
        <f>IFERROR(__xludf.DUMMYFUNCTION("IFERROR(GOOGLEFINANCE(A351,""TRADETIME""),)"),46269.64583333333)</f>
        <v>46269.64583</v>
      </c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</row>
    <row r="352" ht="15.75" customHeight="1">
      <c r="A352" s="48" t="s">
        <v>398</v>
      </c>
      <c r="B352" s="48" t="str">
        <f>IFERROR(__xludf.DUMMYFUNCTION("IFERROR(GOOGLEFINANCE(A352,""NAME""),)"),"De Nora India Ltd")</f>
        <v>De Nora India Ltd</v>
      </c>
      <c r="C352" s="48">
        <f>IFERROR(__xludf.DUMMYFUNCTION("IFERROR(GOOGLEFINANCE(A352,""CHANGE""),)"),-12.55)</f>
        <v>-12.55</v>
      </c>
      <c r="D352" s="48">
        <f>IFERROR(__xludf.DUMMYFUNCTION("IFERROR(GOOGLEFINANCE(A352,""CHANGEPCT""),)"),-1.52)</f>
        <v>-1.52</v>
      </c>
      <c r="E352" s="48" t="str">
        <f t="shared" si="1"/>
        <v>-1.52%</v>
      </c>
      <c r="F352" s="48" t="str">
        <f t="shared" si="2"/>
        <v/>
      </c>
      <c r="G352" s="48">
        <f t="shared" si="3"/>
        <v>-1.52</v>
      </c>
      <c r="H352" s="48">
        <f>IFERROR(__xludf.DUMMYFUNCTION("IFERROR(GOOGLEFINANCE(A352,""PRICE""),)"),812.0)</f>
        <v>812</v>
      </c>
      <c r="I352" s="49">
        <f>IFERROR(__xludf.DUMMYFUNCTION("IFERROR(GOOGLEFINANCE(A352,""VOLUME""),)"),2711.0)</f>
        <v>2711</v>
      </c>
      <c r="J352" s="48" t="str">
        <f>IFERROR(__xludf.DUMMYFUNCTION("IFERROR(INDEX(SPLIT(A352,"":""),1,2),)"),"DENORA")</f>
        <v>DENORA</v>
      </c>
      <c r="K352" s="48" t="str">
        <f t="shared" si="4"/>
        <v/>
      </c>
      <c r="L352" s="48">
        <f t="shared" si="5"/>
        <v>452</v>
      </c>
      <c r="M352" s="48">
        <f t="shared" si="6"/>
        <v>1375</v>
      </c>
      <c r="N352" s="50">
        <f>IFERROR(__xludf.DUMMYFUNCTION("IFERROR(GOOGLEFINANCE(A352,""TRADETIME""),)"),46269.64583333333)</f>
        <v>46269.64583</v>
      </c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</row>
    <row r="353" ht="15.75" customHeight="1">
      <c r="A353" s="51" t="s">
        <v>399</v>
      </c>
      <c r="B353" s="51" t="str">
        <f>IFERROR(__xludf.DUMMYFUNCTION("IFERROR(GOOGLEFINANCE(A353,""NAME""),)"),"")</f>
        <v/>
      </c>
      <c r="C353" s="51" t="str">
        <f>IFERROR(__xludf.DUMMYFUNCTION("IFERROR(GOOGLEFINANCE(A353,""CHANGE""),)"),"")</f>
        <v/>
      </c>
      <c r="D353" s="51" t="str">
        <f>IFERROR(__xludf.DUMMYFUNCTION("IFERROR(GOOGLEFINANCE(A353,""CHANGEPCT""),)"),"")</f>
        <v/>
      </c>
      <c r="E353" s="51" t="str">
        <f t="shared" si="1"/>
        <v>%</v>
      </c>
      <c r="F353" s="51" t="str">
        <f t="shared" si="2"/>
        <v/>
      </c>
      <c r="G353" s="51" t="str">
        <f t="shared" si="3"/>
        <v/>
      </c>
      <c r="H353" s="51" t="str">
        <f>IFERROR(__xludf.DUMMYFUNCTION("IFERROR(GOOGLEFINANCE(A353,""PRICE""),)"),"")</f>
        <v/>
      </c>
      <c r="I353" s="52" t="str">
        <f>IFERROR(__xludf.DUMMYFUNCTION("IFERROR(GOOGLEFINANCE(A353,""VOLUME""),)"),"")</f>
        <v/>
      </c>
      <c r="J353" s="51" t="str">
        <f>IFERROR(__xludf.DUMMYFUNCTION("IFERROR(INDEX(SPLIT(A353,"":""),1,2),)"),"DFMFOODS")</f>
        <v>DFMFOODS</v>
      </c>
      <c r="K353" s="51" t="str">
        <f t="shared" si="4"/>
        <v/>
      </c>
      <c r="L353" s="51" t="str">
        <f t="shared" si="5"/>
        <v/>
      </c>
      <c r="M353" s="51">
        <f t="shared" si="6"/>
        <v>1456</v>
      </c>
      <c r="N353" s="53" t="str">
        <f>IFERROR(__xludf.DUMMYFUNCTION("IFERROR(GOOGLEFINANCE(A353,""TRADETIME""),)"),"")</f>
        <v/>
      </c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</row>
    <row r="354" ht="15.75" customHeight="1">
      <c r="A354" s="48" t="s">
        <v>400</v>
      </c>
      <c r="B354" s="48" t="str">
        <f>IFERROR(__xludf.DUMMYFUNCTION("IFERROR(GOOGLEFINANCE(A354,""NAME""),)"),"Digicontent Ltd")</f>
        <v>Digicontent Ltd</v>
      </c>
      <c r="C354" s="48">
        <f>IFERROR(__xludf.DUMMYFUNCTION("IFERROR(GOOGLEFINANCE(A354,""CHANGE""),)"),0.12)</f>
        <v>0.12</v>
      </c>
      <c r="D354" s="48">
        <f>IFERROR(__xludf.DUMMYFUNCTION("IFERROR(GOOGLEFINANCE(A354,""CHANGEPCT""),)"),0.49)</f>
        <v>0.49</v>
      </c>
      <c r="E354" s="48" t="str">
        <f t="shared" si="1"/>
        <v>0.49%</v>
      </c>
      <c r="F354" s="48">
        <f t="shared" si="2"/>
        <v>0.49</v>
      </c>
      <c r="G354" s="48" t="str">
        <f t="shared" si="3"/>
        <v/>
      </c>
      <c r="H354" s="48">
        <f>IFERROR(__xludf.DUMMYFUNCTION("IFERROR(GOOGLEFINANCE(A354,""PRICE""),)"),24.55)</f>
        <v>24.55</v>
      </c>
      <c r="I354" s="49">
        <f>IFERROR(__xludf.DUMMYFUNCTION("IFERROR(GOOGLEFINANCE(A354,""VOLUME""),)"),1564.0)</f>
        <v>1564</v>
      </c>
      <c r="J354" s="48" t="str">
        <f>IFERROR(__xludf.DUMMYFUNCTION("IFERROR(INDEX(SPLIT(A354,"":""),1,2),)"),"DGCONTENT")</f>
        <v>DGCONTENT</v>
      </c>
      <c r="K354" s="48">
        <f t="shared" si="4"/>
        <v>596</v>
      </c>
      <c r="L354" s="48" t="str">
        <f t="shared" si="5"/>
        <v/>
      </c>
      <c r="M354" s="48">
        <f t="shared" si="6"/>
        <v>1404</v>
      </c>
      <c r="N354" s="50">
        <f>IFERROR(__xludf.DUMMYFUNCTION("IFERROR(GOOGLEFINANCE(A354,""TRADETIME""),)"),46269.64583333333)</f>
        <v>46269.64583</v>
      </c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</row>
    <row r="355" ht="15.75" customHeight="1">
      <c r="A355" s="51" t="s">
        <v>401</v>
      </c>
      <c r="B355" s="51" t="str">
        <f>IFERROR(__xludf.DUMMYFUNCTION("IFERROR(GOOGLEFINANCE(A355,""NAME""),)"),"Dhampur Sugar Mills Ltd")</f>
        <v>Dhampur Sugar Mills Ltd</v>
      </c>
      <c r="C355" s="51">
        <f>IFERROR(__xludf.DUMMYFUNCTION("IFERROR(GOOGLEFINANCE(A355,""CHANGE""),)"),-9.65)</f>
        <v>-9.65</v>
      </c>
      <c r="D355" s="51">
        <f>IFERROR(__xludf.DUMMYFUNCTION("IFERROR(GOOGLEFINANCE(A355,""CHANGEPCT""),)"),-5.45)</f>
        <v>-5.45</v>
      </c>
      <c r="E355" s="51" t="str">
        <f t="shared" si="1"/>
        <v>-5.45%</v>
      </c>
      <c r="F355" s="51" t="str">
        <f t="shared" si="2"/>
        <v/>
      </c>
      <c r="G355" s="51">
        <f t="shared" si="3"/>
        <v>-5.45</v>
      </c>
      <c r="H355" s="51">
        <f>IFERROR(__xludf.DUMMYFUNCTION("IFERROR(GOOGLEFINANCE(A355,""PRICE""),)"),167.4)</f>
        <v>167.4</v>
      </c>
      <c r="I355" s="52">
        <f>IFERROR(__xludf.DUMMYFUNCTION("IFERROR(GOOGLEFINANCE(A355,""VOLUME""),)"),832821.0)</f>
        <v>832821</v>
      </c>
      <c r="J355" s="51" t="str">
        <f>IFERROR(__xludf.DUMMYFUNCTION("IFERROR(INDEX(SPLIT(A355,"":""),1,2),)"),"DHAMPURSUG")</f>
        <v>DHAMPURSUG</v>
      </c>
      <c r="K355" s="51" t="str">
        <f t="shared" si="4"/>
        <v/>
      </c>
      <c r="L355" s="51">
        <f t="shared" si="5"/>
        <v>644</v>
      </c>
      <c r="M355" s="51">
        <f t="shared" si="6"/>
        <v>303</v>
      </c>
      <c r="N355" s="53">
        <f>IFERROR(__xludf.DUMMYFUNCTION("IFERROR(GOOGLEFINANCE(A355,""TRADETIME""),)"),46269.64583333333)</f>
        <v>46269.64583</v>
      </c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</row>
    <row r="356" ht="15.75" customHeight="1">
      <c r="A356" s="48" t="s">
        <v>402</v>
      </c>
      <c r="B356" s="48" t="str">
        <f>IFERROR(__xludf.DUMMYFUNCTION("IFERROR(GOOGLEFINANCE(A356,""NAME""),)"),"Dhanlaxmi Bank Ltd")</f>
        <v>Dhanlaxmi Bank Ltd</v>
      </c>
      <c r="C356" s="48">
        <f>IFERROR(__xludf.DUMMYFUNCTION("IFERROR(GOOGLEFINANCE(A356,""CHANGE""),)"),0.23)</f>
        <v>0.23</v>
      </c>
      <c r="D356" s="48">
        <f>IFERROR(__xludf.DUMMYFUNCTION("IFERROR(GOOGLEFINANCE(A356,""CHANGEPCT""),)"),0.73)</f>
        <v>0.73</v>
      </c>
      <c r="E356" s="48" t="str">
        <f t="shared" si="1"/>
        <v>0.73%</v>
      </c>
      <c r="F356" s="48">
        <f t="shared" si="2"/>
        <v>0.73</v>
      </c>
      <c r="G356" s="48" t="str">
        <f t="shared" si="3"/>
        <v/>
      </c>
      <c r="H356" s="48">
        <f>IFERROR(__xludf.DUMMYFUNCTION("IFERROR(GOOGLEFINANCE(A356,""PRICE""),)"),31.95)</f>
        <v>31.95</v>
      </c>
      <c r="I356" s="49">
        <f>IFERROR(__xludf.DUMMYFUNCTION("IFERROR(GOOGLEFINANCE(A356,""VOLUME""),)"),349043.0)</f>
        <v>349043</v>
      </c>
      <c r="J356" s="48" t="str">
        <f>IFERROR(__xludf.DUMMYFUNCTION("IFERROR(INDEX(SPLIT(A356,"":""),1,2),)"),"DHANBANK")</f>
        <v>DHANBANK</v>
      </c>
      <c r="K356" s="48">
        <f t="shared" si="4"/>
        <v>521</v>
      </c>
      <c r="L356" s="48" t="str">
        <f t="shared" si="5"/>
        <v/>
      </c>
      <c r="M356" s="48">
        <f t="shared" si="6"/>
        <v>473</v>
      </c>
      <c r="N356" s="50">
        <f>IFERROR(__xludf.DUMMYFUNCTION("IFERROR(GOOGLEFINANCE(A356,""TRADETIME""),)"),46269.64583333333)</f>
        <v>46269.64583</v>
      </c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</row>
    <row r="357" ht="15.75" customHeight="1">
      <c r="A357" s="51" t="s">
        <v>403</v>
      </c>
      <c r="B357" s="51" t="str">
        <f>IFERROR(__xludf.DUMMYFUNCTION("IFERROR(GOOGLEFINANCE(A357,""NAME""),)"),"")</f>
        <v/>
      </c>
      <c r="C357" s="51" t="str">
        <f>IFERROR(__xludf.DUMMYFUNCTION("IFERROR(GOOGLEFINANCE(A357,""CHANGE""),)"),"")</f>
        <v/>
      </c>
      <c r="D357" s="51" t="str">
        <f>IFERROR(__xludf.DUMMYFUNCTION("IFERROR(GOOGLEFINANCE(A357,""CHANGEPCT""),)"),"")</f>
        <v/>
      </c>
      <c r="E357" s="51" t="str">
        <f t="shared" si="1"/>
        <v>%</v>
      </c>
      <c r="F357" s="51" t="str">
        <f t="shared" si="2"/>
        <v/>
      </c>
      <c r="G357" s="51" t="str">
        <f t="shared" si="3"/>
        <v/>
      </c>
      <c r="H357" s="51" t="str">
        <f>IFERROR(__xludf.DUMMYFUNCTION("IFERROR(GOOGLEFINANCE(A357,""PRICE""),)"),"")</f>
        <v/>
      </c>
      <c r="I357" s="52" t="str">
        <f>IFERROR(__xludf.DUMMYFUNCTION("IFERROR(GOOGLEFINANCE(A357,""VOLUME""),)"),"")</f>
        <v/>
      </c>
      <c r="J357" s="51" t="str">
        <f>IFERROR(__xludf.DUMMYFUNCTION("IFERROR(INDEX(SPLIT(A357,"":""),1,2),)"),"DHANI")</f>
        <v>DHANI</v>
      </c>
      <c r="K357" s="51" t="str">
        <f t="shared" si="4"/>
        <v/>
      </c>
      <c r="L357" s="51" t="str">
        <f t="shared" si="5"/>
        <v/>
      </c>
      <c r="M357" s="51">
        <f t="shared" si="6"/>
        <v>1456</v>
      </c>
      <c r="N357" s="53" t="str">
        <f>IFERROR(__xludf.DUMMYFUNCTION("IFERROR(GOOGLEFINANCE(A357,""TRADETIME""),)"),"")</f>
        <v/>
      </c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</row>
    <row r="358" ht="15.75" customHeight="1">
      <c r="A358" s="48" t="s">
        <v>404</v>
      </c>
      <c r="B358" s="48" t="str">
        <f>IFERROR(__xludf.DUMMYFUNCTION("IFERROR(GOOGLEFINANCE(A358,""NAME""),)"),"Dhanuka Agritech Ltd")</f>
        <v>Dhanuka Agritech Ltd</v>
      </c>
      <c r="C358" s="48">
        <f>IFERROR(__xludf.DUMMYFUNCTION("IFERROR(GOOGLEFINANCE(A358,""CHANGE""),)"),3.85)</f>
        <v>3.85</v>
      </c>
      <c r="D358" s="48">
        <f>IFERROR(__xludf.DUMMYFUNCTION("IFERROR(GOOGLEFINANCE(A358,""CHANGEPCT""),)"),0.38)</f>
        <v>0.38</v>
      </c>
      <c r="E358" s="48" t="str">
        <f t="shared" si="1"/>
        <v>0.38%</v>
      </c>
      <c r="F358" s="48">
        <f t="shared" si="2"/>
        <v>0.38</v>
      </c>
      <c r="G358" s="48" t="str">
        <f t="shared" si="3"/>
        <v/>
      </c>
      <c r="H358" s="48">
        <f>IFERROR(__xludf.DUMMYFUNCTION("IFERROR(GOOGLEFINANCE(A358,""PRICE""),)"),1014.0)</f>
        <v>1014</v>
      </c>
      <c r="I358" s="49">
        <f>IFERROR(__xludf.DUMMYFUNCTION("IFERROR(GOOGLEFINANCE(A358,""VOLUME""),)"),17124.0)</f>
        <v>17124</v>
      </c>
      <c r="J358" s="48" t="str">
        <f>IFERROR(__xludf.DUMMYFUNCTION("IFERROR(INDEX(SPLIT(A358,"":""),1,2),)"),"DHANUKA")</f>
        <v>DHANUKA</v>
      </c>
      <c r="K358" s="48">
        <f t="shared" si="4"/>
        <v>630</v>
      </c>
      <c r="L358" s="48" t="str">
        <f t="shared" si="5"/>
        <v/>
      </c>
      <c r="M358" s="48">
        <f t="shared" si="6"/>
        <v>1156</v>
      </c>
      <c r="N358" s="50">
        <f>IFERROR(__xludf.DUMMYFUNCTION("IFERROR(GOOGLEFINANCE(A358,""TRADETIME""),)"),46269.64583333333)</f>
        <v>46269.64583</v>
      </c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</row>
    <row r="359" ht="15.75" customHeight="1">
      <c r="A359" s="51" t="s">
        <v>405</v>
      </c>
      <c r="B359" s="51" t="str">
        <f>IFERROR(__xludf.DUMMYFUNCTION("IFERROR(GOOGLEFINANCE(A359,""NAME""),)"),"")</f>
        <v/>
      </c>
      <c r="C359" s="51" t="str">
        <f>IFERROR(__xludf.DUMMYFUNCTION("IFERROR(GOOGLEFINANCE(A359,""CHANGE""),)"),"")</f>
        <v/>
      </c>
      <c r="D359" s="51" t="str">
        <f>IFERROR(__xludf.DUMMYFUNCTION("IFERROR(GOOGLEFINANCE(A359,""CHANGEPCT""),)"),"")</f>
        <v/>
      </c>
      <c r="E359" s="51" t="str">
        <f t="shared" si="1"/>
        <v>%</v>
      </c>
      <c r="F359" s="51" t="str">
        <f t="shared" si="2"/>
        <v/>
      </c>
      <c r="G359" s="51" t="str">
        <f t="shared" si="3"/>
        <v/>
      </c>
      <c r="H359" s="51" t="str">
        <f>IFERROR(__xludf.DUMMYFUNCTION("IFERROR(GOOGLEFINANCE(A359,""PRICE""),)"),"")</f>
        <v/>
      </c>
      <c r="I359" s="52" t="str">
        <f>IFERROR(__xludf.DUMMYFUNCTION("IFERROR(GOOGLEFINANCE(A359,""VOLUME""),)"),"")</f>
        <v/>
      </c>
      <c r="J359" s="51" t="str">
        <f>IFERROR(__xludf.DUMMYFUNCTION("IFERROR(INDEX(SPLIT(A359,"":""),1,2),)"),"DHARSUGAR")</f>
        <v>DHARSUGAR</v>
      </c>
      <c r="K359" s="51" t="str">
        <f t="shared" si="4"/>
        <v/>
      </c>
      <c r="L359" s="51" t="str">
        <f t="shared" si="5"/>
        <v/>
      </c>
      <c r="M359" s="51">
        <f t="shared" si="6"/>
        <v>1456</v>
      </c>
      <c r="N359" s="53" t="str">
        <f>IFERROR(__xludf.DUMMYFUNCTION("IFERROR(GOOGLEFINANCE(A359,""TRADETIME""),)"),"")</f>
        <v/>
      </c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</row>
    <row r="360" ht="15.75" customHeight="1">
      <c r="A360" s="48" t="s">
        <v>406</v>
      </c>
      <c r="B360" s="48" t="str">
        <f>IFERROR(__xludf.DUMMYFUNCTION("IFERROR(GOOGLEFINANCE(A360,""NAME""),)"),"Dhunseri Investments Ltd")</f>
        <v>Dhunseri Investments Ltd</v>
      </c>
      <c r="C360" s="48">
        <f>IFERROR(__xludf.DUMMYFUNCTION("IFERROR(GOOGLEFINANCE(A360,""CHANGE""),)"),-31.25)</f>
        <v>-31.25</v>
      </c>
      <c r="D360" s="48">
        <f>IFERROR(__xludf.DUMMYFUNCTION("IFERROR(GOOGLEFINANCE(A360,""CHANGEPCT""),)"),-2.99)</f>
        <v>-2.99</v>
      </c>
      <c r="E360" s="48" t="str">
        <f t="shared" si="1"/>
        <v>-2.99%</v>
      </c>
      <c r="F360" s="48" t="str">
        <f t="shared" si="2"/>
        <v/>
      </c>
      <c r="G360" s="48">
        <f t="shared" si="3"/>
        <v>-2.99</v>
      </c>
      <c r="H360" s="48">
        <f>IFERROR(__xludf.DUMMYFUNCTION("IFERROR(GOOGLEFINANCE(A360,""PRICE""),)"),1015.0)</f>
        <v>1015</v>
      </c>
      <c r="I360" s="49">
        <f>IFERROR(__xludf.DUMMYFUNCTION("IFERROR(GOOGLEFINANCE(A360,""VOLUME""),)"),1224.0)</f>
        <v>1224</v>
      </c>
      <c r="J360" s="48" t="str">
        <f>IFERROR(__xludf.DUMMYFUNCTION("IFERROR(INDEX(SPLIT(A360,"":""),1,2),)"),"DHUNINV")</f>
        <v>DHUNINV</v>
      </c>
      <c r="K360" s="48" t="str">
        <f t="shared" si="4"/>
        <v/>
      </c>
      <c r="L360" s="48">
        <f t="shared" si="5"/>
        <v>590</v>
      </c>
      <c r="M360" s="48">
        <f t="shared" si="6"/>
        <v>1416</v>
      </c>
      <c r="N360" s="50">
        <f>IFERROR(__xludf.DUMMYFUNCTION("IFERROR(GOOGLEFINANCE(A360,""TRADETIME""),)"),46269.64583333333)</f>
        <v>46269.64583</v>
      </c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</row>
    <row r="361" ht="15.75" customHeight="1">
      <c r="A361" s="51" t="s">
        <v>407</v>
      </c>
      <c r="B361" s="51" t="str">
        <f>IFERROR(__xludf.DUMMYFUNCTION("IFERROR(GOOGLEFINANCE(A361,""NAME""),)"),"Prataap Snacks Ltd")</f>
        <v>Prataap Snacks Ltd</v>
      </c>
      <c r="C361" s="51">
        <f>IFERROR(__xludf.DUMMYFUNCTION("IFERROR(GOOGLEFINANCE(A361,""CHANGE""),)"),1.2)</f>
        <v>1.2</v>
      </c>
      <c r="D361" s="51">
        <f>IFERROR(__xludf.DUMMYFUNCTION("IFERROR(GOOGLEFINANCE(A361,""CHANGEPCT""),)"),0.1)</f>
        <v>0.1</v>
      </c>
      <c r="E361" s="51" t="str">
        <f t="shared" si="1"/>
        <v>0.1%</v>
      </c>
      <c r="F361" s="51">
        <f t="shared" si="2"/>
        <v>0.1</v>
      </c>
      <c r="G361" s="51" t="str">
        <f t="shared" si="3"/>
        <v/>
      </c>
      <c r="H361" s="51">
        <f>IFERROR(__xludf.DUMMYFUNCTION("IFERROR(GOOGLEFINANCE(A361,""PRICE""),)"),1161.0)</f>
        <v>1161</v>
      </c>
      <c r="I361" s="52">
        <f>IFERROR(__xludf.DUMMYFUNCTION("IFERROR(GOOGLEFINANCE(A361,""VOLUME""),)"),5787.0)</f>
        <v>5787</v>
      </c>
      <c r="J361" s="51" t="str">
        <f>IFERROR(__xludf.DUMMYFUNCTION("IFERROR(INDEX(SPLIT(A361,"":""),1,2),)"),"DIAMONDYD")</f>
        <v>DIAMONDYD</v>
      </c>
      <c r="K361" s="51">
        <f t="shared" si="4"/>
        <v>741</v>
      </c>
      <c r="L361" s="51" t="str">
        <f t="shared" si="5"/>
        <v/>
      </c>
      <c r="M361" s="51">
        <f t="shared" si="6"/>
        <v>1312</v>
      </c>
      <c r="N361" s="53">
        <f>IFERROR(__xludf.DUMMYFUNCTION("IFERROR(GOOGLEFINANCE(A361,""TRADETIME""),)"),46269.64583333333)</f>
        <v>46269.64583</v>
      </c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</row>
    <row r="362" ht="15.75" customHeight="1">
      <c r="A362" s="48" t="s">
        <v>408</v>
      </c>
      <c r="B362" s="48" t="str">
        <f>IFERROR(__xludf.DUMMYFUNCTION("IFERROR(GOOGLEFINANCE(A362,""NAME""),)"),"DIC India Ltd")</f>
        <v>DIC India Ltd</v>
      </c>
      <c r="C362" s="48">
        <f>IFERROR(__xludf.DUMMYFUNCTION("IFERROR(GOOGLEFINANCE(A362,""CHANGE""),)"),29.1)</f>
        <v>29.1</v>
      </c>
      <c r="D362" s="48">
        <f>IFERROR(__xludf.DUMMYFUNCTION("IFERROR(GOOGLEFINANCE(A362,""CHANGEPCT""),)"),4.98)</f>
        <v>4.98</v>
      </c>
      <c r="E362" s="48" t="str">
        <f t="shared" si="1"/>
        <v>4.98%</v>
      </c>
      <c r="F362" s="48">
        <f t="shared" si="2"/>
        <v>4.98</v>
      </c>
      <c r="G362" s="48" t="str">
        <f t="shared" si="3"/>
        <v/>
      </c>
      <c r="H362" s="48">
        <f>IFERROR(__xludf.DUMMYFUNCTION("IFERROR(GOOGLEFINANCE(A362,""PRICE""),)"),613.1)</f>
        <v>613.1</v>
      </c>
      <c r="I362" s="49">
        <f>IFERROR(__xludf.DUMMYFUNCTION("IFERROR(GOOGLEFINANCE(A362,""VOLUME""),)"),45846.0)</f>
        <v>45846</v>
      </c>
      <c r="J362" s="48" t="str">
        <f>IFERROR(__xludf.DUMMYFUNCTION("IFERROR(INDEX(SPLIT(A362,"":""),1,2),)"),"DICIND")</f>
        <v>DICIND</v>
      </c>
      <c r="K362" s="48">
        <f t="shared" si="4"/>
        <v>70</v>
      </c>
      <c r="L362" s="48" t="str">
        <f t="shared" si="5"/>
        <v/>
      </c>
      <c r="M362" s="48">
        <f t="shared" si="6"/>
        <v>967</v>
      </c>
      <c r="N362" s="50">
        <f>IFERROR(__xludf.DUMMYFUNCTION("IFERROR(GOOGLEFINANCE(A362,""TRADETIME""),)"),46269.64583333333)</f>
        <v>46269.64583</v>
      </c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</row>
    <row r="363" ht="15.75" customHeight="1">
      <c r="A363" s="51" t="s">
        <v>409</v>
      </c>
      <c r="B363" s="51" t="str">
        <f>IFERROR(__xludf.DUMMYFUNCTION("IFERROR(GOOGLEFINANCE(A363,""NAME""),)"),"Digispice Technologies Ltd")</f>
        <v>Digispice Technologies Ltd</v>
      </c>
      <c r="C363" s="51">
        <f>IFERROR(__xludf.DUMMYFUNCTION("IFERROR(GOOGLEFINANCE(A363,""CHANGE""),)"),0.03)</f>
        <v>0.03</v>
      </c>
      <c r="D363" s="51">
        <f>IFERROR(__xludf.DUMMYFUNCTION("IFERROR(GOOGLEFINANCE(A363,""CHANGEPCT""),)"),0.18)</f>
        <v>0.18</v>
      </c>
      <c r="E363" s="51" t="str">
        <f t="shared" si="1"/>
        <v>0.18%</v>
      </c>
      <c r="F363" s="51">
        <f t="shared" si="2"/>
        <v>0.18</v>
      </c>
      <c r="G363" s="51" t="str">
        <f t="shared" si="3"/>
        <v/>
      </c>
      <c r="H363" s="51">
        <f>IFERROR(__xludf.DUMMYFUNCTION("IFERROR(GOOGLEFINANCE(A363,""PRICE""),)"),16.99)</f>
        <v>16.99</v>
      </c>
      <c r="I363" s="52">
        <f>IFERROR(__xludf.DUMMYFUNCTION("IFERROR(GOOGLEFINANCE(A363,""VOLUME""),)"),73604.0)</f>
        <v>73604</v>
      </c>
      <c r="J363" s="51" t="str">
        <f>IFERROR(__xludf.DUMMYFUNCTION("IFERROR(INDEX(SPLIT(A363,"":""),1,2),)"),"DIGISPICE")</f>
        <v>DIGISPICE</v>
      </c>
      <c r="K363" s="51">
        <f t="shared" si="4"/>
        <v>709</v>
      </c>
      <c r="L363" s="51" t="str">
        <f t="shared" si="5"/>
        <v/>
      </c>
      <c r="M363" s="51">
        <f t="shared" si="6"/>
        <v>848</v>
      </c>
      <c r="N363" s="53">
        <f>IFERROR(__xludf.DUMMYFUNCTION("IFERROR(GOOGLEFINANCE(A363,""TRADETIME""),)"),46269.64583333333)</f>
        <v>46269.64583</v>
      </c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</row>
    <row r="364" ht="15.75" customHeight="1">
      <c r="A364" s="48" t="s">
        <v>410</v>
      </c>
      <c r="B364" s="48" t="str">
        <f>IFERROR(__xludf.DUMMYFUNCTION("IFERROR(GOOGLEFINANCE(A364,""NAME""),)"),"Dish TV India Ltd")</f>
        <v>Dish TV India Ltd</v>
      </c>
      <c r="C364" s="48">
        <f>IFERROR(__xludf.DUMMYFUNCTION("IFERROR(GOOGLEFINANCE(A364,""CHANGE""),)"),-0.02)</f>
        <v>-0.02</v>
      </c>
      <c r="D364" s="48">
        <f>IFERROR(__xludf.DUMMYFUNCTION("IFERROR(GOOGLEFINANCE(A364,""CHANGEPCT""),)"),-0.77)</f>
        <v>-0.77</v>
      </c>
      <c r="E364" s="48" t="str">
        <f t="shared" si="1"/>
        <v>-0.77%</v>
      </c>
      <c r="F364" s="48" t="str">
        <f t="shared" si="2"/>
        <v/>
      </c>
      <c r="G364" s="48">
        <f t="shared" si="3"/>
        <v>-0.77</v>
      </c>
      <c r="H364" s="48">
        <f>IFERROR(__xludf.DUMMYFUNCTION("IFERROR(GOOGLEFINANCE(A364,""PRICE""),)"),2.59)</f>
        <v>2.59</v>
      </c>
      <c r="I364" s="49">
        <f>IFERROR(__xludf.DUMMYFUNCTION("IFERROR(GOOGLEFINANCE(A364,""VOLUME""),)"),1807676.0)</f>
        <v>1807676</v>
      </c>
      <c r="J364" s="48" t="str">
        <f>IFERROR(__xludf.DUMMYFUNCTION("IFERROR(INDEX(SPLIT(A364,"":""),1,2),)"),"DISHTV")</f>
        <v>DISHTV</v>
      </c>
      <c r="K364" s="48" t="str">
        <f t="shared" si="4"/>
        <v/>
      </c>
      <c r="L364" s="48">
        <f t="shared" si="5"/>
        <v>291</v>
      </c>
      <c r="M364" s="48">
        <f t="shared" si="6"/>
        <v>183</v>
      </c>
      <c r="N364" s="50">
        <f>IFERROR(__xludf.DUMMYFUNCTION("IFERROR(GOOGLEFINANCE(A364,""TRADETIME""),)"),46269.64583333333)</f>
        <v>46269.64583</v>
      </c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</row>
    <row r="365" ht="15.75" customHeight="1">
      <c r="A365" s="51" t="s">
        <v>411</v>
      </c>
      <c r="B365" s="51" t="str">
        <f>IFERROR(__xludf.DUMMYFUNCTION("IFERROR(GOOGLEFINANCE(A365,""NAME""),)"),"Divi's Laboratories Ltd")</f>
        <v>Divi's Laboratories Ltd</v>
      </c>
      <c r="C365" s="51">
        <f>IFERROR(__xludf.DUMMYFUNCTION("IFERROR(GOOGLEFINANCE(A365,""CHANGE""),)"),-129.0)</f>
        <v>-129</v>
      </c>
      <c r="D365" s="51">
        <f>IFERROR(__xludf.DUMMYFUNCTION("IFERROR(GOOGLEFINANCE(A365,""CHANGEPCT""),)"),-1.39)</f>
        <v>-1.39</v>
      </c>
      <c r="E365" s="51" t="str">
        <f t="shared" si="1"/>
        <v>-1.39%</v>
      </c>
      <c r="F365" s="51" t="str">
        <f t="shared" si="2"/>
        <v/>
      </c>
      <c r="G365" s="51">
        <f t="shared" si="3"/>
        <v>-1.39</v>
      </c>
      <c r="H365" s="51">
        <f>IFERROR(__xludf.DUMMYFUNCTION("IFERROR(GOOGLEFINANCE(A365,""PRICE""),)"),9121.0)</f>
        <v>9121</v>
      </c>
      <c r="I365" s="52">
        <f>IFERROR(__xludf.DUMMYFUNCTION("IFERROR(GOOGLEFINANCE(A365,""VOLUME""),)"),250202.0)</f>
        <v>250202</v>
      </c>
      <c r="J365" s="51" t="str">
        <f>IFERROR(__xludf.DUMMYFUNCTION("IFERROR(INDEX(SPLIT(A365,"":""),1,2),)"),"DIVISLAB")</f>
        <v>DIVISLAB</v>
      </c>
      <c r="K365" s="51" t="str">
        <f t="shared" si="4"/>
        <v/>
      </c>
      <c r="L365" s="51">
        <f t="shared" si="5"/>
        <v>424</v>
      </c>
      <c r="M365" s="51">
        <f t="shared" si="6"/>
        <v>567</v>
      </c>
      <c r="N365" s="53">
        <f>IFERROR(__xludf.DUMMYFUNCTION("IFERROR(GOOGLEFINANCE(A365,""TRADETIME""),)"),46269.64583333333)</f>
        <v>46269.64583</v>
      </c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</row>
    <row r="366" ht="15.75" customHeight="1">
      <c r="A366" s="48" t="s">
        <v>412</v>
      </c>
      <c r="B366" s="48" t="str">
        <f>IFERROR(__xludf.DUMMYFUNCTION("IFERROR(GOOGLEFINANCE(A366,""NAME""),)"),"D-link (India) Ltd")</f>
        <v>D-link (India) Ltd</v>
      </c>
      <c r="C366" s="48">
        <f>IFERROR(__xludf.DUMMYFUNCTION("IFERROR(GOOGLEFINANCE(A366,""CHANGE""),)"),-0.65)</f>
        <v>-0.65</v>
      </c>
      <c r="D366" s="48">
        <f>IFERROR(__xludf.DUMMYFUNCTION("IFERROR(GOOGLEFINANCE(A366,""CHANGEPCT""),)"),-0.14)</f>
        <v>-0.14</v>
      </c>
      <c r="E366" s="48" t="str">
        <f t="shared" si="1"/>
        <v>-0.14%</v>
      </c>
      <c r="F366" s="48" t="str">
        <f t="shared" si="2"/>
        <v/>
      </c>
      <c r="G366" s="48">
        <f t="shared" si="3"/>
        <v>-0.14</v>
      </c>
      <c r="H366" s="48">
        <f>IFERROR(__xludf.DUMMYFUNCTION("IFERROR(GOOGLEFINANCE(A366,""PRICE""),)"),451.7)</f>
        <v>451.7</v>
      </c>
      <c r="I366" s="49">
        <f>IFERROR(__xludf.DUMMYFUNCTION("IFERROR(GOOGLEFINANCE(A366,""VOLUME""),)"),67520.0)</f>
        <v>67520</v>
      </c>
      <c r="J366" s="48" t="str">
        <f>IFERROR(__xludf.DUMMYFUNCTION("IFERROR(INDEX(SPLIT(A366,"":""),1,2),)"),"DLINKINDIA")</f>
        <v>DLINKINDIA</v>
      </c>
      <c r="K366" s="48" t="str">
        <f t="shared" si="4"/>
        <v/>
      </c>
      <c r="L366" s="48">
        <f t="shared" si="5"/>
        <v>49</v>
      </c>
      <c r="M366" s="48">
        <f t="shared" si="6"/>
        <v>870</v>
      </c>
      <c r="N366" s="50">
        <f>IFERROR(__xludf.DUMMYFUNCTION("IFERROR(GOOGLEFINANCE(A366,""TRADETIME""),)"),46269.64583333333)</f>
        <v>46269.64583</v>
      </c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</row>
    <row r="367" ht="15.75" customHeight="1">
      <c r="A367" s="51" t="s">
        <v>413</v>
      </c>
      <c r="B367" s="51" t="str">
        <f>IFERROR(__xludf.DUMMYFUNCTION("IFERROR(GOOGLEFINANCE(A367,""NAME""),)"),"DLF Ltd")</f>
        <v>DLF Ltd</v>
      </c>
      <c r="C367" s="51">
        <f>IFERROR(__xludf.DUMMYFUNCTION("IFERROR(GOOGLEFINANCE(A367,""CHANGE""),)"),-0.55)</f>
        <v>-0.55</v>
      </c>
      <c r="D367" s="51">
        <f>IFERROR(__xludf.DUMMYFUNCTION("IFERROR(GOOGLEFINANCE(A367,""CHANGEPCT""),)"),-0.08)</f>
        <v>-0.08</v>
      </c>
      <c r="E367" s="51" t="str">
        <f t="shared" si="1"/>
        <v>-0.08%</v>
      </c>
      <c r="F367" s="51" t="str">
        <f t="shared" si="2"/>
        <v/>
      </c>
      <c r="G367" s="51">
        <f t="shared" si="3"/>
        <v>-0.08</v>
      </c>
      <c r="H367" s="51">
        <f>IFERROR(__xludf.DUMMYFUNCTION("IFERROR(GOOGLEFINANCE(A367,""PRICE""),)"),681.1)</f>
        <v>681.1</v>
      </c>
      <c r="I367" s="52">
        <f>IFERROR(__xludf.DUMMYFUNCTION("IFERROR(GOOGLEFINANCE(A367,""VOLUME""),)"),1911967.0)</f>
        <v>1911967</v>
      </c>
      <c r="J367" s="51" t="str">
        <f>IFERROR(__xludf.DUMMYFUNCTION("IFERROR(INDEX(SPLIT(A367,"":""),1,2),)"),"DLF")</f>
        <v>DLF</v>
      </c>
      <c r="K367" s="51" t="str">
        <f t="shared" si="4"/>
        <v/>
      </c>
      <c r="L367" s="51">
        <f t="shared" si="5"/>
        <v>21</v>
      </c>
      <c r="M367" s="51">
        <f t="shared" si="6"/>
        <v>177</v>
      </c>
      <c r="N367" s="53">
        <f>IFERROR(__xludf.DUMMYFUNCTION("IFERROR(GOOGLEFINANCE(A367,""TRADETIME""),)"),46269.64583333333)</f>
        <v>46269.64583</v>
      </c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</row>
    <row r="368" ht="15.75" customHeight="1">
      <c r="A368" s="48" t="s">
        <v>414</v>
      </c>
      <c r="B368" s="48" t="str">
        <f>IFERROR(__xludf.DUMMYFUNCTION("IFERROR(GOOGLEFINANCE(A368,""NAME""),)"),"E I D-Parry (India) Ltd")</f>
        <v>E I D-Parry (India) Ltd</v>
      </c>
      <c r="C368" s="48">
        <f>IFERROR(__xludf.DUMMYFUNCTION("IFERROR(GOOGLEFINANCE(A368,""CHANGE""),)"),3.75)</f>
        <v>3.75</v>
      </c>
      <c r="D368" s="48">
        <f>IFERROR(__xludf.DUMMYFUNCTION("IFERROR(GOOGLEFINANCE(A368,""CHANGEPCT""),)"),0.48)</f>
        <v>0.48</v>
      </c>
      <c r="E368" s="48" t="str">
        <f t="shared" si="1"/>
        <v>0.48%</v>
      </c>
      <c r="F368" s="48">
        <f t="shared" si="2"/>
        <v>0.48</v>
      </c>
      <c r="G368" s="48" t="str">
        <f t="shared" si="3"/>
        <v/>
      </c>
      <c r="H368" s="48">
        <f>IFERROR(__xludf.DUMMYFUNCTION("IFERROR(GOOGLEFINANCE(A368,""PRICE""),)"),782.0)</f>
        <v>782</v>
      </c>
      <c r="I368" s="49">
        <f>IFERROR(__xludf.DUMMYFUNCTION("IFERROR(GOOGLEFINANCE(A368,""VOLUME""),)"),270760.0)</f>
        <v>270760</v>
      </c>
      <c r="J368" s="48" t="str">
        <f>IFERROR(__xludf.DUMMYFUNCTION("IFERROR(INDEX(SPLIT(A368,"":""),1,2),)"),"EIDPARRY")</f>
        <v>EIDPARRY</v>
      </c>
      <c r="K368" s="48">
        <f t="shared" si="4"/>
        <v>599</v>
      </c>
      <c r="L368" s="48" t="str">
        <f t="shared" si="5"/>
        <v/>
      </c>
      <c r="M368" s="48">
        <f t="shared" si="6"/>
        <v>548</v>
      </c>
      <c r="N368" s="50">
        <f>IFERROR(__xludf.DUMMYFUNCTION("IFERROR(GOOGLEFINANCE(A368,""TRADETIME""),)"),46269.64583333333)</f>
        <v>46269.64583</v>
      </c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</row>
    <row r="369" ht="15.75" customHeight="1">
      <c r="A369" s="51" t="s">
        <v>415</v>
      </c>
      <c r="B369" s="51" t="str">
        <f>IFERROR(__xludf.DUMMYFUNCTION("IFERROR(GOOGLEFINANCE(A369,""NAME""),)"),"Avenue Supermarts Ltd")</f>
        <v>Avenue Supermarts Ltd</v>
      </c>
      <c r="C369" s="51">
        <f>IFERROR(__xludf.DUMMYFUNCTION("IFERROR(GOOGLEFINANCE(A369,""CHANGE""),)"),3.0)</f>
        <v>3</v>
      </c>
      <c r="D369" s="51">
        <f>IFERROR(__xludf.DUMMYFUNCTION("IFERROR(GOOGLEFINANCE(A369,""CHANGEPCT""),)"),0.08)</f>
        <v>0.08</v>
      </c>
      <c r="E369" s="51" t="str">
        <f t="shared" si="1"/>
        <v>0.08%</v>
      </c>
      <c r="F369" s="51">
        <f t="shared" si="2"/>
        <v>0.08</v>
      </c>
      <c r="G369" s="51" t="str">
        <f t="shared" si="3"/>
        <v/>
      </c>
      <c r="H369" s="51">
        <f>IFERROR(__xludf.DUMMYFUNCTION("IFERROR(GOOGLEFINANCE(A369,""PRICE""),)"),3766.0)</f>
        <v>3766</v>
      </c>
      <c r="I369" s="52">
        <f>IFERROR(__xludf.DUMMYFUNCTION("IFERROR(GOOGLEFINANCE(A369,""VOLUME""),)"),288600.0)</f>
        <v>288600</v>
      </c>
      <c r="J369" s="51" t="str">
        <f>IFERROR(__xludf.DUMMYFUNCTION("IFERROR(INDEX(SPLIT(A369,"":""),1,2),)"),"DMART")</f>
        <v>DMART</v>
      </c>
      <c r="K369" s="51">
        <f t="shared" si="4"/>
        <v>746</v>
      </c>
      <c r="L369" s="51" t="str">
        <f t="shared" si="5"/>
        <v/>
      </c>
      <c r="M369" s="51">
        <f t="shared" si="6"/>
        <v>529</v>
      </c>
      <c r="N369" s="53">
        <f>IFERROR(__xludf.DUMMYFUNCTION("IFERROR(GOOGLEFINANCE(A369,""TRADETIME""),)"),46269.64583333333)</f>
        <v>46269.64583</v>
      </c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</row>
    <row r="370" ht="15.75" customHeight="1">
      <c r="A370" s="48" t="s">
        <v>416</v>
      </c>
      <c r="B370" s="48" t="str">
        <f>IFERROR(__xludf.DUMMYFUNCTION("IFERROR(GOOGLEFINANCE(A370,""NAME""),)"),"Dolat Algotech Ltd")</f>
        <v>Dolat Algotech Ltd</v>
      </c>
      <c r="C370" s="48">
        <f>IFERROR(__xludf.DUMMYFUNCTION("IFERROR(GOOGLEFINANCE(A370,""CHANGE""),)"),0.35)</f>
        <v>0.35</v>
      </c>
      <c r="D370" s="48">
        <f>IFERROR(__xludf.DUMMYFUNCTION("IFERROR(GOOGLEFINANCE(A370,""CHANGEPCT""),)"),0.5)</f>
        <v>0.5</v>
      </c>
      <c r="E370" s="48" t="str">
        <f t="shared" si="1"/>
        <v>0.5%</v>
      </c>
      <c r="F370" s="48">
        <f t="shared" si="2"/>
        <v>0.5</v>
      </c>
      <c r="G370" s="48" t="str">
        <f t="shared" si="3"/>
        <v/>
      </c>
      <c r="H370" s="48">
        <f>IFERROR(__xludf.DUMMYFUNCTION("IFERROR(GOOGLEFINANCE(A370,""PRICE""),)"),70.4)</f>
        <v>70.4</v>
      </c>
      <c r="I370" s="49">
        <f>IFERROR(__xludf.DUMMYFUNCTION("IFERROR(GOOGLEFINANCE(A370,""VOLUME""),)"),187699.0)</f>
        <v>187699</v>
      </c>
      <c r="J370" s="48" t="str">
        <f>IFERROR(__xludf.DUMMYFUNCTION("IFERROR(INDEX(SPLIT(A370,"":""),1,2),)"),"DOLATALGO")</f>
        <v>DOLATALGO</v>
      </c>
      <c r="K370" s="48">
        <f t="shared" si="4"/>
        <v>591</v>
      </c>
      <c r="L370" s="48" t="str">
        <f t="shared" si="5"/>
        <v/>
      </c>
      <c r="M370" s="48">
        <f t="shared" si="6"/>
        <v>643</v>
      </c>
      <c r="N370" s="50">
        <f>IFERROR(__xludf.DUMMYFUNCTION("IFERROR(GOOGLEFINANCE(A370,""TRADETIME""),)"),46269.64583333333)</f>
        <v>46269.64583</v>
      </c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</row>
    <row r="371" ht="15.75" customHeight="1">
      <c r="A371" s="51" t="s">
        <v>417</v>
      </c>
      <c r="B371" s="51" t="str">
        <f>IFERROR(__xludf.DUMMYFUNCTION("IFERROR(GOOGLEFINANCE(A371,""NAME""),)"),"Dollar Industries Ltd")</f>
        <v>Dollar Industries Ltd</v>
      </c>
      <c r="C371" s="51">
        <f>IFERROR(__xludf.DUMMYFUNCTION("IFERROR(GOOGLEFINANCE(A371,""CHANGE""),)"),-1.5)</f>
        <v>-1.5</v>
      </c>
      <c r="D371" s="51">
        <f>IFERROR(__xludf.DUMMYFUNCTION("IFERROR(GOOGLEFINANCE(A371,""CHANGEPCT""),)"),-0.57)</f>
        <v>-0.57</v>
      </c>
      <c r="E371" s="51" t="str">
        <f t="shared" si="1"/>
        <v>-0.57%</v>
      </c>
      <c r="F371" s="51" t="str">
        <f t="shared" si="2"/>
        <v/>
      </c>
      <c r="G371" s="51">
        <f t="shared" si="3"/>
        <v>-0.57</v>
      </c>
      <c r="H371" s="51">
        <f>IFERROR(__xludf.DUMMYFUNCTION("IFERROR(GOOGLEFINANCE(A371,""PRICE""),)"),263.5)</f>
        <v>263.5</v>
      </c>
      <c r="I371" s="52">
        <f>IFERROR(__xludf.DUMMYFUNCTION("IFERROR(GOOGLEFINANCE(A371,""VOLUME""),)"),36786.0)</f>
        <v>36786</v>
      </c>
      <c r="J371" s="51" t="str">
        <f>IFERROR(__xludf.DUMMYFUNCTION("IFERROR(INDEX(SPLIT(A371,"":""),1,2),)"),"DOLLAR")</f>
        <v>DOLLAR</v>
      </c>
      <c r="K371" s="51" t="str">
        <f t="shared" si="4"/>
        <v/>
      </c>
      <c r="L371" s="51">
        <f t="shared" si="5"/>
        <v>218</v>
      </c>
      <c r="M371" s="51">
        <f t="shared" si="6"/>
        <v>1021</v>
      </c>
      <c r="N371" s="53">
        <f>IFERROR(__xludf.DUMMYFUNCTION("IFERROR(GOOGLEFINANCE(A371,""TRADETIME""),)"),46269.64583333333)</f>
        <v>46269.64583</v>
      </c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</row>
    <row r="372" ht="15.75" customHeight="1">
      <c r="A372" s="48" t="s">
        <v>418</v>
      </c>
      <c r="B372" s="48" t="str">
        <f>IFERROR(__xludf.DUMMYFUNCTION("IFERROR(GOOGLEFINANCE(A372,""NAME""),)"),"Donear Industries Ltd")</f>
        <v>Donear Industries Ltd</v>
      </c>
      <c r="C372" s="48">
        <f>IFERROR(__xludf.DUMMYFUNCTION("IFERROR(GOOGLEFINANCE(A372,""CHANGE""),)"),3.46)</f>
        <v>3.46</v>
      </c>
      <c r="D372" s="48">
        <f>IFERROR(__xludf.DUMMYFUNCTION("IFERROR(GOOGLEFINANCE(A372,""CHANGEPCT""),)"),3.91)</f>
        <v>3.91</v>
      </c>
      <c r="E372" s="48" t="str">
        <f t="shared" si="1"/>
        <v>3.91%</v>
      </c>
      <c r="F372" s="48">
        <f t="shared" si="2"/>
        <v>3.91</v>
      </c>
      <c r="G372" s="48" t="str">
        <f t="shared" si="3"/>
        <v/>
      </c>
      <c r="H372" s="48">
        <f>IFERROR(__xludf.DUMMYFUNCTION("IFERROR(GOOGLEFINANCE(A372,""PRICE""),)"),92.02)</f>
        <v>92.02</v>
      </c>
      <c r="I372" s="49">
        <f>IFERROR(__xludf.DUMMYFUNCTION("IFERROR(GOOGLEFINANCE(A372,""VOLUME""),)"),106790.0)</f>
        <v>106790</v>
      </c>
      <c r="J372" s="48" t="str">
        <f>IFERROR(__xludf.DUMMYFUNCTION("IFERROR(INDEX(SPLIT(A372,"":""),1,2),)"),"DONEAR")</f>
        <v>DONEAR</v>
      </c>
      <c r="K372" s="48">
        <f t="shared" si="4"/>
        <v>122</v>
      </c>
      <c r="L372" s="48" t="str">
        <f t="shared" si="5"/>
        <v/>
      </c>
      <c r="M372" s="48">
        <f t="shared" si="6"/>
        <v>756</v>
      </c>
      <c r="N372" s="50">
        <f>IFERROR(__xludf.DUMMYFUNCTION("IFERROR(GOOGLEFINANCE(A372,""TRADETIME""),)"),46269.64583333333)</f>
        <v>46269.64583</v>
      </c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</row>
    <row r="373" ht="15.75" customHeight="1">
      <c r="A373" s="51" t="s">
        <v>419</v>
      </c>
      <c r="B373" s="51" t="str">
        <f>IFERROR(__xludf.DUMMYFUNCTION("IFERROR(GOOGLEFINANCE(A373,""NAME""),)"),"D P Abhushan Ltd")</f>
        <v>D P Abhushan Ltd</v>
      </c>
      <c r="C373" s="51">
        <f>IFERROR(__xludf.DUMMYFUNCTION("IFERROR(GOOGLEFINANCE(A373,""CHANGE""),)"),54.8)</f>
        <v>54.8</v>
      </c>
      <c r="D373" s="51">
        <f>IFERROR(__xludf.DUMMYFUNCTION("IFERROR(GOOGLEFINANCE(A373,""CHANGEPCT""),)"),4.03)</f>
        <v>4.03</v>
      </c>
      <c r="E373" s="51" t="str">
        <f t="shared" si="1"/>
        <v>4.03%</v>
      </c>
      <c r="F373" s="51">
        <f t="shared" si="2"/>
        <v>4.03</v>
      </c>
      <c r="G373" s="51" t="str">
        <f t="shared" si="3"/>
        <v/>
      </c>
      <c r="H373" s="51">
        <f>IFERROR(__xludf.DUMMYFUNCTION("IFERROR(GOOGLEFINANCE(A373,""PRICE""),)"),1414.2)</f>
        <v>1414.2</v>
      </c>
      <c r="I373" s="52">
        <f>IFERROR(__xludf.DUMMYFUNCTION("IFERROR(GOOGLEFINANCE(A373,""VOLUME""),)"),36359.0)</f>
        <v>36359</v>
      </c>
      <c r="J373" s="51" t="str">
        <f>IFERROR(__xludf.DUMMYFUNCTION("IFERROR(INDEX(SPLIT(A373,"":""),1,2),)"),"DPABHUSHAN")</f>
        <v>DPABHUSHAN</v>
      </c>
      <c r="K373" s="51">
        <f t="shared" si="4"/>
        <v>116</v>
      </c>
      <c r="L373" s="51" t="str">
        <f t="shared" si="5"/>
        <v/>
      </c>
      <c r="M373" s="51">
        <f t="shared" si="6"/>
        <v>1023</v>
      </c>
      <c r="N373" s="53">
        <f>IFERROR(__xludf.DUMMYFUNCTION("IFERROR(GOOGLEFINANCE(A373,""TRADETIME""),)"),46269.64586805555)</f>
        <v>46269.64587</v>
      </c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</row>
    <row r="374" ht="15.75" customHeight="1">
      <c r="A374" s="48" t="s">
        <v>420</v>
      </c>
      <c r="B374" s="48" t="str">
        <f>IFERROR(__xludf.DUMMYFUNCTION("IFERROR(GOOGLEFINANCE(A374,""NAME""),)"),"India Power Corporation Ltd")</f>
        <v>India Power Corporation Ltd</v>
      </c>
      <c r="C374" s="48">
        <f>IFERROR(__xludf.DUMMYFUNCTION("IFERROR(GOOGLEFINANCE(A374,""CHANGE""),)"),0.01)</f>
        <v>0.01</v>
      </c>
      <c r="D374" s="48">
        <f>IFERROR(__xludf.DUMMYFUNCTION("IFERROR(GOOGLEFINANCE(A374,""CHANGEPCT""),)"),0.14)</f>
        <v>0.14</v>
      </c>
      <c r="E374" s="48" t="str">
        <f t="shared" si="1"/>
        <v>0.14%</v>
      </c>
      <c r="F374" s="48">
        <f t="shared" si="2"/>
        <v>0.14</v>
      </c>
      <c r="G374" s="48" t="str">
        <f t="shared" si="3"/>
        <v/>
      </c>
      <c r="H374" s="48">
        <f>IFERROR(__xludf.DUMMYFUNCTION("IFERROR(GOOGLEFINANCE(A374,""PRICE""),)"),7.28)</f>
        <v>7.28</v>
      </c>
      <c r="I374" s="49">
        <f>IFERROR(__xludf.DUMMYFUNCTION("IFERROR(GOOGLEFINANCE(A374,""VOLUME""),)"),147130.0)</f>
        <v>147130</v>
      </c>
      <c r="J374" s="48" t="str">
        <f>IFERROR(__xludf.DUMMYFUNCTION("IFERROR(INDEX(SPLIT(A374,"":""),1,2),)"),"DPSCLTD")</f>
        <v>DPSCLTD</v>
      </c>
      <c r="K374" s="48">
        <f t="shared" si="4"/>
        <v>727</v>
      </c>
      <c r="L374" s="48" t="str">
        <f t="shared" si="5"/>
        <v/>
      </c>
      <c r="M374" s="48">
        <f t="shared" si="6"/>
        <v>690</v>
      </c>
      <c r="N374" s="50">
        <f>IFERROR(__xludf.DUMMYFUNCTION("IFERROR(GOOGLEFINANCE(A374,""TRADETIME""),)"),46269.64583333333)</f>
        <v>46269.64583</v>
      </c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</row>
    <row r="375" ht="15.75" customHeight="1">
      <c r="A375" s="51" t="s">
        <v>421</v>
      </c>
      <c r="B375" s="51" t="str">
        <f>IFERROR(__xludf.DUMMYFUNCTION("IFERROR(GOOGLEFINANCE(A375,""NAME""),)"),"D P Wires Ltd")</f>
        <v>D P Wires Ltd</v>
      </c>
      <c r="C375" s="51">
        <f>IFERROR(__xludf.DUMMYFUNCTION("IFERROR(GOOGLEFINANCE(A375,""CHANGE""),)"),0.56)</f>
        <v>0.56</v>
      </c>
      <c r="D375" s="51">
        <f>IFERROR(__xludf.DUMMYFUNCTION("IFERROR(GOOGLEFINANCE(A375,""CHANGEPCT""),)"),0.36)</f>
        <v>0.36</v>
      </c>
      <c r="E375" s="51" t="str">
        <f t="shared" si="1"/>
        <v>0.36%</v>
      </c>
      <c r="F375" s="51">
        <f t="shared" si="2"/>
        <v>0.36</v>
      </c>
      <c r="G375" s="51" t="str">
        <f t="shared" si="3"/>
        <v/>
      </c>
      <c r="H375" s="51">
        <f>IFERROR(__xludf.DUMMYFUNCTION("IFERROR(GOOGLEFINANCE(A375,""PRICE""),)"),154.55)</f>
        <v>154.55</v>
      </c>
      <c r="I375" s="52">
        <f>IFERROR(__xludf.DUMMYFUNCTION("IFERROR(GOOGLEFINANCE(A375,""VOLUME""),)"),2489.0)</f>
        <v>2489</v>
      </c>
      <c r="J375" s="51" t="str">
        <f>IFERROR(__xludf.DUMMYFUNCTION("IFERROR(INDEX(SPLIT(A375,"":""),1,2),)"),"DPWIRES")</f>
        <v>DPWIRES</v>
      </c>
      <c r="K375" s="51">
        <f t="shared" si="4"/>
        <v>637</v>
      </c>
      <c r="L375" s="51" t="str">
        <f t="shared" si="5"/>
        <v/>
      </c>
      <c r="M375" s="51">
        <f t="shared" si="6"/>
        <v>1379</v>
      </c>
      <c r="N375" s="53">
        <f>IFERROR(__xludf.DUMMYFUNCTION("IFERROR(GOOGLEFINANCE(A375,""TRADETIME""),)"),46269.64583333333)</f>
        <v>46269.64583</v>
      </c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</row>
    <row r="376" ht="15.75" customHeight="1">
      <c r="A376" s="48" t="s">
        <v>422</v>
      </c>
      <c r="B376" s="48" t="str">
        <f>IFERROR(__xludf.DUMMYFUNCTION("IFERROR(GOOGLEFINANCE(A376,""NAME""),)"),"Dredging Corporation of India Ltd")</f>
        <v>Dredging Corporation of India Ltd</v>
      </c>
      <c r="C376" s="48">
        <f>IFERROR(__xludf.DUMMYFUNCTION("IFERROR(GOOGLEFINANCE(A376,""CHANGE""),)"),9.9)</f>
        <v>9.9</v>
      </c>
      <c r="D376" s="48">
        <f>IFERROR(__xludf.DUMMYFUNCTION("IFERROR(GOOGLEFINANCE(A376,""CHANGEPCT""),)"),0.92)</f>
        <v>0.92</v>
      </c>
      <c r="E376" s="48" t="str">
        <f t="shared" si="1"/>
        <v>0.92%</v>
      </c>
      <c r="F376" s="48">
        <f t="shared" si="2"/>
        <v>0.92</v>
      </c>
      <c r="G376" s="48" t="str">
        <f t="shared" si="3"/>
        <v/>
      </c>
      <c r="H376" s="48">
        <f>IFERROR(__xludf.DUMMYFUNCTION("IFERROR(GOOGLEFINANCE(A376,""PRICE""),)"),1084.6)</f>
        <v>1084.6</v>
      </c>
      <c r="I376" s="49">
        <f>IFERROR(__xludf.DUMMYFUNCTION("IFERROR(GOOGLEFINANCE(A376,""VOLUME""),)"),128213.0)</f>
        <v>128213</v>
      </c>
      <c r="J376" s="48" t="str">
        <f>IFERROR(__xludf.DUMMYFUNCTION("IFERROR(INDEX(SPLIT(A376,"":""),1,2),)"),"DREDGECORP")</f>
        <v>DREDGECORP</v>
      </c>
      <c r="K376" s="48">
        <f t="shared" si="4"/>
        <v>467</v>
      </c>
      <c r="L376" s="48" t="str">
        <f t="shared" si="5"/>
        <v/>
      </c>
      <c r="M376" s="48">
        <f t="shared" si="6"/>
        <v>725</v>
      </c>
      <c r="N376" s="50">
        <f>IFERROR(__xludf.DUMMYFUNCTION("IFERROR(GOOGLEFINANCE(A376,""TRADETIME""),)"),46269.64583333333)</f>
        <v>46269.64583</v>
      </c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</row>
    <row r="377" ht="15.75" customHeight="1">
      <c r="A377" s="51" t="s">
        <v>423</v>
      </c>
      <c r="B377" s="51" t="str">
        <f>IFERROR(__xludf.DUMMYFUNCTION("IFERROR(GOOGLEFINANCE(A377,""NAME""),)"),"Dr Reddy's Laboratories Ltd")</f>
        <v>Dr Reddy's Laboratories Ltd</v>
      </c>
      <c r="C377" s="51">
        <f>IFERROR(__xludf.DUMMYFUNCTION("IFERROR(GOOGLEFINANCE(A377,""CHANGE""),)"),0.7)</f>
        <v>0.7</v>
      </c>
      <c r="D377" s="51">
        <f>IFERROR(__xludf.DUMMYFUNCTION("IFERROR(GOOGLEFINANCE(A377,""CHANGEPCT""),)"),0.06)</f>
        <v>0.06</v>
      </c>
      <c r="E377" s="51" t="str">
        <f t="shared" si="1"/>
        <v>0.06%</v>
      </c>
      <c r="F377" s="51">
        <f t="shared" si="2"/>
        <v>0.06</v>
      </c>
      <c r="G377" s="51" t="str">
        <f t="shared" si="3"/>
        <v/>
      </c>
      <c r="H377" s="51">
        <f>IFERROR(__xludf.DUMMYFUNCTION("IFERROR(GOOGLEFINANCE(A377,""PRICE""),)"),1155.7)</f>
        <v>1155.7</v>
      </c>
      <c r="I377" s="52">
        <f>IFERROR(__xludf.DUMMYFUNCTION("IFERROR(GOOGLEFINANCE(A377,""VOLUME""),)"),568461.0)</f>
        <v>568461</v>
      </c>
      <c r="J377" s="51" t="str">
        <f>IFERROR(__xludf.DUMMYFUNCTION("IFERROR(INDEX(SPLIT(A377,"":""),1,2),)"),"DRREDDY")</f>
        <v>DRREDDY</v>
      </c>
      <c r="K377" s="51">
        <f t="shared" si="4"/>
        <v>753</v>
      </c>
      <c r="L377" s="51" t="str">
        <f t="shared" si="5"/>
        <v/>
      </c>
      <c r="M377" s="51">
        <f t="shared" si="6"/>
        <v>372</v>
      </c>
      <c r="N377" s="53">
        <f>IFERROR(__xludf.DUMMYFUNCTION("IFERROR(GOOGLEFINANCE(A377,""TRADETIME""),)"),46269.64583333333)</f>
        <v>46269.64583</v>
      </c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</row>
    <row r="378" ht="15.75" customHeight="1">
      <c r="A378" s="48" t="s">
        <v>424</v>
      </c>
      <c r="B378" s="48" t="str">
        <f>IFERROR(__xludf.DUMMYFUNCTION("IFERROR(GOOGLEFINANCE(A378,""NAME""),)"),"Dynacons Systems and Solutions Ltd")</f>
        <v>Dynacons Systems and Solutions Ltd</v>
      </c>
      <c r="C378" s="48">
        <f>IFERROR(__xludf.DUMMYFUNCTION("IFERROR(GOOGLEFINANCE(A378,""CHANGE""),)"),50.1)</f>
        <v>50.1</v>
      </c>
      <c r="D378" s="48">
        <f>IFERROR(__xludf.DUMMYFUNCTION("IFERROR(GOOGLEFINANCE(A378,""CHANGEPCT""),)"),5.0)</f>
        <v>5</v>
      </c>
      <c r="E378" s="48" t="str">
        <f t="shared" si="1"/>
        <v>5%</v>
      </c>
      <c r="F378" s="48">
        <f t="shared" si="2"/>
        <v>5</v>
      </c>
      <c r="G378" s="48" t="str">
        <f t="shared" si="3"/>
        <v/>
      </c>
      <c r="H378" s="48">
        <f>IFERROR(__xludf.DUMMYFUNCTION("IFERROR(GOOGLEFINANCE(A378,""PRICE""),)"),1053.1)</f>
        <v>1053.1</v>
      </c>
      <c r="I378" s="49">
        <f>IFERROR(__xludf.DUMMYFUNCTION("IFERROR(GOOGLEFINANCE(A378,""VOLUME""),)"),34708.0)</f>
        <v>34708</v>
      </c>
      <c r="J378" s="48" t="str">
        <f>IFERROR(__xludf.DUMMYFUNCTION("IFERROR(INDEX(SPLIT(A378,"":""),1,2),)"),"DSSL")</f>
        <v>DSSL</v>
      </c>
      <c r="K378" s="48">
        <f t="shared" si="4"/>
        <v>55</v>
      </c>
      <c r="L378" s="48" t="str">
        <f t="shared" si="5"/>
        <v/>
      </c>
      <c r="M378" s="48">
        <f t="shared" si="6"/>
        <v>1027</v>
      </c>
      <c r="N378" s="50">
        <f>IFERROR(__xludf.DUMMYFUNCTION("IFERROR(GOOGLEFINANCE(A378,""TRADETIME""),)"),46269.64583333333)</f>
        <v>46269.64583</v>
      </c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</row>
    <row r="379" ht="15.75" customHeight="1">
      <c r="A379" s="51" t="s">
        <v>425</v>
      </c>
      <c r="B379" s="51" t="str">
        <f>IFERROR(__xludf.DUMMYFUNCTION("IFERROR(GOOGLEFINANCE(A379,""NAME""),)"),"Dhunseri Tea &amp; Industries Ltd")</f>
        <v>Dhunseri Tea &amp; Industries Ltd</v>
      </c>
      <c r="C379" s="51">
        <f>IFERROR(__xludf.DUMMYFUNCTION("IFERROR(GOOGLEFINANCE(A379,""CHANGE""),)"),-2.87)</f>
        <v>-2.87</v>
      </c>
      <c r="D379" s="51">
        <f>IFERROR(__xludf.DUMMYFUNCTION("IFERROR(GOOGLEFINANCE(A379,""CHANGEPCT""),)"),-1.88)</f>
        <v>-1.88</v>
      </c>
      <c r="E379" s="51" t="str">
        <f t="shared" si="1"/>
        <v>-1.88%</v>
      </c>
      <c r="F379" s="51" t="str">
        <f t="shared" si="2"/>
        <v/>
      </c>
      <c r="G379" s="51">
        <f t="shared" si="3"/>
        <v>-1.88</v>
      </c>
      <c r="H379" s="51">
        <f>IFERROR(__xludf.DUMMYFUNCTION("IFERROR(GOOGLEFINANCE(A379,""PRICE""),)"),150.0)</f>
        <v>150</v>
      </c>
      <c r="I379" s="52">
        <f>IFERROR(__xludf.DUMMYFUNCTION("IFERROR(GOOGLEFINANCE(A379,""VOLUME""),)"),6245.0)</f>
        <v>6245</v>
      </c>
      <c r="J379" s="51" t="str">
        <f>IFERROR(__xludf.DUMMYFUNCTION("IFERROR(INDEX(SPLIT(A379,"":""),1,2),)"),"DTIL")</f>
        <v>DTIL</v>
      </c>
      <c r="K379" s="51" t="str">
        <f t="shared" si="4"/>
        <v/>
      </c>
      <c r="L379" s="51">
        <f t="shared" si="5"/>
        <v>502</v>
      </c>
      <c r="M379" s="51">
        <f t="shared" si="6"/>
        <v>1303</v>
      </c>
      <c r="N379" s="53">
        <f>IFERROR(__xludf.DUMMYFUNCTION("IFERROR(GOOGLEFINANCE(A379,""TRADETIME""),)"),46269.64583333333)</f>
        <v>46269.64583</v>
      </c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</row>
    <row r="380" ht="15.75" customHeight="1">
      <c r="A380" s="48" t="s">
        <v>426</v>
      </c>
      <c r="B380" s="48" t="str">
        <f>IFERROR(__xludf.DUMMYFUNCTION("IFERROR(GOOGLEFINANCE(A380,""NAME""),)"),"Ducon Infratechnologies Ltd")</f>
        <v>Ducon Infratechnologies Ltd</v>
      </c>
      <c r="C380" s="48">
        <f>IFERROR(__xludf.DUMMYFUNCTION("IFERROR(GOOGLEFINANCE(A380,""CHANGE""),)"),-0.01)</f>
        <v>-0.01</v>
      </c>
      <c r="D380" s="48">
        <f>IFERROR(__xludf.DUMMYFUNCTION("IFERROR(GOOGLEFINANCE(A380,""CHANGEPCT""),)"),-0.52)</f>
        <v>-0.52</v>
      </c>
      <c r="E380" s="48" t="str">
        <f t="shared" si="1"/>
        <v>-0.52%</v>
      </c>
      <c r="F380" s="48" t="str">
        <f t="shared" si="2"/>
        <v/>
      </c>
      <c r="G380" s="48">
        <f t="shared" si="3"/>
        <v>-0.52</v>
      </c>
      <c r="H380" s="48">
        <f>IFERROR(__xludf.DUMMYFUNCTION("IFERROR(GOOGLEFINANCE(A380,""PRICE""),)"),1.92)</f>
        <v>1.92</v>
      </c>
      <c r="I380" s="49">
        <f>IFERROR(__xludf.DUMMYFUNCTION("IFERROR(GOOGLEFINANCE(A380,""VOLUME""),)"),1709236.0)</f>
        <v>1709236</v>
      </c>
      <c r="J380" s="48" t="str">
        <f>IFERROR(__xludf.DUMMYFUNCTION("IFERROR(INDEX(SPLIT(A380,"":""),1,2),)"),"DUCON")</f>
        <v>DUCON</v>
      </c>
      <c r="K380" s="48" t="str">
        <f t="shared" si="4"/>
        <v/>
      </c>
      <c r="L380" s="48">
        <f t="shared" si="5"/>
        <v>201</v>
      </c>
      <c r="M380" s="48">
        <f t="shared" si="6"/>
        <v>195</v>
      </c>
      <c r="N380" s="50">
        <f>IFERROR(__xludf.DUMMYFUNCTION("IFERROR(GOOGLEFINANCE(A380,""TRADETIME""),)"),46269.64583333333)</f>
        <v>46269.64583</v>
      </c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</row>
    <row r="381" ht="15.75" customHeight="1">
      <c r="A381" s="51" t="s">
        <v>427</v>
      </c>
      <c r="B381" s="51" t="str">
        <f>IFERROR(__xludf.DUMMYFUNCTION("IFERROR(GOOGLEFINANCE(A381,""NAME""),)"),"Dhunseri Ventures Ltd")</f>
        <v>Dhunseri Ventures Ltd</v>
      </c>
      <c r="C381" s="51">
        <f>IFERROR(__xludf.DUMMYFUNCTION("IFERROR(GOOGLEFINANCE(A381,""CHANGE""),)"),6.2)</f>
        <v>6.2</v>
      </c>
      <c r="D381" s="51">
        <f>IFERROR(__xludf.DUMMYFUNCTION("IFERROR(GOOGLEFINANCE(A381,""CHANGEPCT""),)"),2.17)</f>
        <v>2.17</v>
      </c>
      <c r="E381" s="51" t="str">
        <f t="shared" si="1"/>
        <v>2.17%</v>
      </c>
      <c r="F381" s="51">
        <f t="shared" si="2"/>
        <v>2.17</v>
      </c>
      <c r="G381" s="51" t="str">
        <f t="shared" si="3"/>
        <v/>
      </c>
      <c r="H381" s="51">
        <f>IFERROR(__xludf.DUMMYFUNCTION("IFERROR(GOOGLEFINANCE(A381,""PRICE""),)"),292.0)</f>
        <v>292</v>
      </c>
      <c r="I381" s="52">
        <f>IFERROR(__xludf.DUMMYFUNCTION("IFERROR(GOOGLEFINANCE(A381,""VOLUME""),)"),15605.0)</f>
        <v>15605</v>
      </c>
      <c r="J381" s="51" t="str">
        <f>IFERROR(__xludf.DUMMYFUNCTION("IFERROR(INDEX(SPLIT(A381,"":""),1,2),)"),"DVL")</f>
        <v>DVL</v>
      </c>
      <c r="K381" s="51">
        <f t="shared" si="4"/>
        <v>237</v>
      </c>
      <c r="L381" s="51" t="str">
        <f t="shared" si="5"/>
        <v/>
      </c>
      <c r="M381" s="51">
        <f t="shared" si="6"/>
        <v>1168</v>
      </c>
      <c r="N381" s="53">
        <f>IFERROR(__xludf.DUMMYFUNCTION("IFERROR(GOOGLEFINANCE(A381,""TRADETIME""),)"),46269.64583333333)</f>
        <v>46269.64583</v>
      </c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</row>
    <row r="382" ht="15.75" customHeight="1">
      <c r="A382" s="48" t="s">
        <v>428</v>
      </c>
      <c r="B382" s="48" t="str">
        <f>IFERROR(__xludf.DUMMYFUNCTION("IFERROR(GOOGLEFINANCE(A382,""NAME""),)"),"Dwarikesh Sugar Industries Ltd")</f>
        <v>Dwarikesh Sugar Industries Ltd</v>
      </c>
      <c r="C382" s="48">
        <f>IFERROR(__xludf.DUMMYFUNCTION("IFERROR(GOOGLEFINANCE(A382,""CHANGE""),)"),-1.85)</f>
        <v>-1.85</v>
      </c>
      <c r="D382" s="48">
        <f>IFERROR(__xludf.DUMMYFUNCTION("IFERROR(GOOGLEFINANCE(A382,""CHANGEPCT""),)"),-3.75)</f>
        <v>-3.75</v>
      </c>
      <c r="E382" s="48" t="str">
        <f t="shared" si="1"/>
        <v>-3.75%</v>
      </c>
      <c r="F382" s="48" t="str">
        <f t="shared" si="2"/>
        <v/>
      </c>
      <c r="G382" s="48">
        <f t="shared" si="3"/>
        <v>-3.75</v>
      </c>
      <c r="H382" s="48">
        <f>IFERROR(__xludf.DUMMYFUNCTION("IFERROR(GOOGLEFINANCE(A382,""PRICE""),)"),47.47)</f>
        <v>47.47</v>
      </c>
      <c r="I382" s="49">
        <f>IFERROR(__xludf.DUMMYFUNCTION("IFERROR(GOOGLEFINANCE(A382,""VOLUME""),)"),2333510.0)</f>
        <v>2333510</v>
      </c>
      <c r="J382" s="48" t="str">
        <f>IFERROR(__xludf.DUMMYFUNCTION("IFERROR(INDEX(SPLIT(A382,"":""),1,2),)"),"DWARKESH")</f>
        <v>DWARKESH</v>
      </c>
      <c r="K382" s="48" t="str">
        <f t="shared" si="4"/>
        <v/>
      </c>
      <c r="L382" s="48">
        <f t="shared" si="5"/>
        <v>617</v>
      </c>
      <c r="M382" s="48">
        <f t="shared" si="6"/>
        <v>155</v>
      </c>
      <c r="N382" s="50">
        <f>IFERROR(__xludf.DUMMYFUNCTION("IFERROR(GOOGLEFINANCE(A382,""TRADETIME""),)"),46269.64583333333)</f>
        <v>46269.64583</v>
      </c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</row>
    <row r="383" ht="15.75" customHeight="1">
      <c r="A383" s="51" t="s">
        <v>429</v>
      </c>
      <c r="B383" s="51" t="str">
        <f>IFERROR(__xludf.DUMMYFUNCTION("IFERROR(GOOGLEFINANCE(A383,""NAME""),)"),"Dynamatic Technologies Ltd")</f>
        <v>Dynamatic Technologies Ltd</v>
      </c>
      <c r="C383" s="51">
        <f>IFERROR(__xludf.DUMMYFUNCTION("IFERROR(GOOGLEFINANCE(A383,""CHANGE""),)"),140.0)</f>
        <v>140</v>
      </c>
      <c r="D383" s="51">
        <f>IFERROR(__xludf.DUMMYFUNCTION("IFERROR(GOOGLEFINANCE(A383,""CHANGEPCT""),)"),1.21)</f>
        <v>1.21</v>
      </c>
      <c r="E383" s="51" t="str">
        <f t="shared" si="1"/>
        <v>1.21%</v>
      </c>
      <c r="F383" s="51">
        <f t="shared" si="2"/>
        <v>1.21</v>
      </c>
      <c r="G383" s="51" t="str">
        <f t="shared" si="3"/>
        <v/>
      </c>
      <c r="H383" s="51">
        <f>IFERROR(__xludf.DUMMYFUNCTION("IFERROR(GOOGLEFINANCE(A383,""PRICE""),)"),11672.0)</f>
        <v>11672</v>
      </c>
      <c r="I383" s="52">
        <f>IFERROR(__xludf.DUMMYFUNCTION("IFERROR(GOOGLEFINANCE(A383,""VOLUME""),)"),8608.0)</f>
        <v>8608</v>
      </c>
      <c r="J383" s="51" t="str">
        <f>IFERROR(__xludf.DUMMYFUNCTION("IFERROR(INDEX(SPLIT(A383,"":""),1,2),)"),"DYNAMATECH")</f>
        <v>DYNAMATECH</v>
      </c>
      <c r="K383" s="51">
        <f t="shared" si="4"/>
        <v>403</v>
      </c>
      <c r="L383" s="51" t="str">
        <f t="shared" si="5"/>
        <v/>
      </c>
      <c r="M383" s="51">
        <f t="shared" si="6"/>
        <v>1251</v>
      </c>
      <c r="N383" s="53">
        <f>IFERROR(__xludf.DUMMYFUNCTION("IFERROR(GOOGLEFINANCE(A383,""TRADETIME""),)"),46269.64583333333)</f>
        <v>46269.64583</v>
      </c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</row>
    <row r="384" ht="15.75" customHeight="1">
      <c r="A384" s="48" t="s">
        <v>430</v>
      </c>
      <c r="B384" s="48" t="str">
        <f>IFERROR(__xludf.DUMMYFUNCTION("IFERROR(GOOGLEFINANCE(A384,""NAME""),)"),"Dynemic Products Ltd")</f>
        <v>Dynemic Products Ltd</v>
      </c>
      <c r="C384" s="48">
        <f>IFERROR(__xludf.DUMMYFUNCTION("IFERROR(GOOGLEFINANCE(A384,""CHANGE""),)"),-0.92)</f>
        <v>-0.92</v>
      </c>
      <c r="D384" s="48">
        <f>IFERROR(__xludf.DUMMYFUNCTION("IFERROR(GOOGLEFINANCE(A384,""CHANGEPCT""),)"),-0.39)</f>
        <v>-0.39</v>
      </c>
      <c r="E384" s="48" t="str">
        <f t="shared" si="1"/>
        <v>-0.39%</v>
      </c>
      <c r="F384" s="48" t="str">
        <f t="shared" si="2"/>
        <v/>
      </c>
      <c r="G384" s="48">
        <f t="shared" si="3"/>
        <v>-0.39</v>
      </c>
      <c r="H384" s="48">
        <f>IFERROR(__xludf.DUMMYFUNCTION("IFERROR(GOOGLEFINANCE(A384,""PRICE""),)"),236.89)</f>
        <v>236.89</v>
      </c>
      <c r="I384" s="49">
        <f>IFERROR(__xludf.DUMMYFUNCTION("IFERROR(GOOGLEFINANCE(A384,""VOLUME""),)"),37117.0)</f>
        <v>37117</v>
      </c>
      <c r="J384" s="48" t="str">
        <f>IFERROR(__xludf.DUMMYFUNCTION("IFERROR(INDEX(SPLIT(A384,"":""),1,2),)"),"DYNPRO")</f>
        <v>DYNPRO</v>
      </c>
      <c r="K384" s="48" t="str">
        <f t="shared" si="4"/>
        <v/>
      </c>
      <c r="L384" s="48">
        <f t="shared" si="5"/>
        <v>148</v>
      </c>
      <c r="M384" s="48">
        <f t="shared" si="6"/>
        <v>1016</v>
      </c>
      <c r="N384" s="50">
        <f>IFERROR(__xludf.DUMMYFUNCTION("IFERROR(GOOGLEFINANCE(A384,""TRADETIME""),)"),46269.64583333333)</f>
        <v>46269.64583</v>
      </c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</row>
    <row r="385" ht="15.75" customHeight="1">
      <c r="A385" s="51" t="s">
        <v>431</v>
      </c>
      <c r="B385" s="51" t="str">
        <f>IFERROR(__xludf.DUMMYFUNCTION("IFERROR(GOOGLEFINANCE(A385,""NAME""),)"),"Delphi World Money Ltd")</f>
        <v>Delphi World Money Ltd</v>
      </c>
      <c r="C385" s="51">
        <f>IFERROR(__xludf.DUMMYFUNCTION("IFERROR(GOOGLEFINANCE(A385,""CHANGE""),)"),0.13)</f>
        <v>0.13</v>
      </c>
      <c r="D385" s="51">
        <f>IFERROR(__xludf.DUMMYFUNCTION("IFERROR(GOOGLEFINANCE(A385,""CHANGEPCT""),)"),2.19)</f>
        <v>2.19</v>
      </c>
      <c r="E385" s="51" t="str">
        <f t="shared" si="1"/>
        <v>2.19%</v>
      </c>
      <c r="F385" s="51">
        <f t="shared" si="2"/>
        <v>2.19</v>
      </c>
      <c r="G385" s="51" t="str">
        <f t="shared" si="3"/>
        <v/>
      </c>
      <c r="H385" s="51">
        <f>IFERROR(__xludf.DUMMYFUNCTION("IFERROR(GOOGLEFINANCE(A385,""PRICE""),)"),6.07)</f>
        <v>6.07</v>
      </c>
      <c r="I385" s="52">
        <f>IFERROR(__xludf.DUMMYFUNCTION("IFERROR(GOOGLEFINANCE(A385,""VOLUME""),)"),117604.0)</f>
        <v>117604</v>
      </c>
      <c r="J385" s="51" t="str">
        <f>IFERROR(__xludf.DUMMYFUNCTION("IFERROR(INDEX(SPLIT(A385,"":""),1,2),)"),"DELPHIFX")</f>
        <v>DELPHIFX</v>
      </c>
      <c r="K385" s="51">
        <f t="shared" si="4"/>
        <v>233</v>
      </c>
      <c r="L385" s="51" t="str">
        <f t="shared" si="5"/>
        <v/>
      </c>
      <c r="M385" s="51">
        <f t="shared" si="6"/>
        <v>742</v>
      </c>
      <c r="N385" s="53">
        <f>IFERROR(__xludf.DUMMYFUNCTION("IFERROR(GOOGLEFINANCE(A385,""TRADETIME""),)"),46269.64583333333)</f>
        <v>46269.64583</v>
      </c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</row>
    <row r="386" ht="15.75" customHeight="1">
      <c r="A386" s="48" t="s">
        <v>432</v>
      </c>
      <c r="B386" s="48" t="str">
        <f>IFERROR(__xludf.DUMMYFUNCTION("IFERROR(GOOGLEFINANCE(A386,""NAME""),)"),"eClerx Services Ltd")</f>
        <v>eClerx Services Ltd</v>
      </c>
      <c r="C386" s="48">
        <f>IFERROR(__xludf.DUMMYFUNCTION("IFERROR(GOOGLEFINANCE(A386,""CHANGE""),)"),-70.7)</f>
        <v>-70.7</v>
      </c>
      <c r="D386" s="48">
        <f>IFERROR(__xludf.DUMMYFUNCTION("IFERROR(GOOGLEFINANCE(A386,""CHANGEPCT""),)"),-3.59)</f>
        <v>-3.59</v>
      </c>
      <c r="E386" s="48" t="str">
        <f t="shared" si="1"/>
        <v>-3.59%</v>
      </c>
      <c r="F386" s="48" t="str">
        <f t="shared" si="2"/>
        <v/>
      </c>
      <c r="G386" s="48">
        <f t="shared" si="3"/>
        <v>-3.59</v>
      </c>
      <c r="H386" s="48">
        <f>IFERROR(__xludf.DUMMYFUNCTION("IFERROR(GOOGLEFINANCE(A386,""PRICE""),)"),1901.0)</f>
        <v>1901</v>
      </c>
      <c r="I386" s="49">
        <f>IFERROR(__xludf.DUMMYFUNCTION("IFERROR(GOOGLEFINANCE(A386,""VOLUME""),)"),163141.0)</f>
        <v>163141</v>
      </c>
      <c r="J386" s="48" t="str">
        <f>IFERROR(__xludf.DUMMYFUNCTION("IFERROR(INDEX(SPLIT(A386,"":""),1,2),)"),"ECLERX")</f>
        <v>ECLERX</v>
      </c>
      <c r="K386" s="48" t="str">
        <f t="shared" si="4"/>
        <v/>
      </c>
      <c r="L386" s="48">
        <f t="shared" si="5"/>
        <v>613</v>
      </c>
      <c r="M386" s="48">
        <f t="shared" si="6"/>
        <v>670</v>
      </c>
      <c r="N386" s="50">
        <f>IFERROR(__xludf.DUMMYFUNCTION("IFERROR(GOOGLEFINANCE(A386,""TRADETIME""),)"),46269.64583333333)</f>
        <v>46269.64583</v>
      </c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</row>
    <row r="387" ht="15.75" customHeight="1">
      <c r="A387" s="51" t="s">
        <v>433</v>
      </c>
      <c r="B387" s="51" t="str">
        <f>IFERROR(__xludf.DUMMYFUNCTION("IFERROR(GOOGLEFINANCE(A387,""NAME""),)"),"Edelweiss Financial Services Ltd")</f>
        <v>Edelweiss Financial Services Ltd</v>
      </c>
      <c r="C387" s="51">
        <f>IFERROR(__xludf.DUMMYFUNCTION("IFERROR(GOOGLEFINANCE(A387,""CHANGE""),)"),1.14)</f>
        <v>1.14</v>
      </c>
      <c r="D387" s="51">
        <f>IFERROR(__xludf.DUMMYFUNCTION("IFERROR(GOOGLEFINANCE(A387,""CHANGEPCT""),)"),0.85)</f>
        <v>0.85</v>
      </c>
      <c r="E387" s="51" t="str">
        <f t="shared" si="1"/>
        <v>0.85%</v>
      </c>
      <c r="F387" s="51">
        <f t="shared" si="2"/>
        <v>0.85</v>
      </c>
      <c r="G387" s="51" t="str">
        <f t="shared" si="3"/>
        <v/>
      </c>
      <c r="H387" s="51">
        <f>IFERROR(__xludf.DUMMYFUNCTION("IFERROR(GOOGLEFINANCE(A387,""PRICE""),)"),135.9)</f>
        <v>135.9</v>
      </c>
      <c r="I387" s="52">
        <f>IFERROR(__xludf.DUMMYFUNCTION("IFERROR(GOOGLEFINANCE(A387,""VOLUME""),)"),1.1273587E7)</f>
        <v>11273587</v>
      </c>
      <c r="J387" s="51" t="str">
        <f>IFERROR(__xludf.DUMMYFUNCTION("IFERROR(INDEX(SPLIT(A387,"":""),1,2),)"),"EDELWEISS")</f>
        <v>EDELWEISS</v>
      </c>
      <c r="K387" s="51">
        <f t="shared" si="4"/>
        <v>484</v>
      </c>
      <c r="L387" s="51" t="str">
        <f t="shared" si="5"/>
        <v/>
      </c>
      <c r="M387" s="51">
        <f t="shared" si="6"/>
        <v>42</v>
      </c>
      <c r="N387" s="53">
        <f>IFERROR(__xludf.DUMMYFUNCTION("IFERROR(GOOGLEFINANCE(A387,""TRADETIME""),)"),46269.64583333333)</f>
        <v>46269.64583</v>
      </c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</row>
    <row r="388" ht="15.75" customHeight="1">
      <c r="A388" s="48" t="s">
        <v>434</v>
      </c>
      <c r="B388" s="48" t="str">
        <f>IFERROR(__xludf.DUMMYFUNCTION("IFERROR(GOOGLEFINANCE(A388,""NAME""),)"),"Educomp Solutions Ltd")</f>
        <v>Educomp Solutions Ltd</v>
      </c>
      <c r="C388" s="48">
        <f>IFERROR(__xludf.DUMMYFUNCTION("IFERROR(GOOGLEFINANCE(A388,""CHANGE""),)"),-0.01)</f>
        <v>-0.01</v>
      </c>
      <c r="D388" s="48">
        <f>IFERROR(__xludf.DUMMYFUNCTION("IFERROR(GOOGLEFINANCE(A388,""CHANGEPCT""),)"),-1.14)</f>
        <v>-1.14</v>
      </c>
      <c r="E388" s="48" t="str">
        <f t="shared" si="1"/>
        <v>-1.14%</v>
      </c>
      <c r="F388" s="48" t="str">
        <f t="shared" si="2"/>
        <v/>
      </c>
      <c r="G388" s="48">
        <f t="shared" si="3"/>
        <v>-1.14</v>
      </c>
      <c r="H388" s="48">
        <f>IFERROR(__xludf.DUMMYFUNCTION("IFERROR(GOOGLEFINANCE(A388,""PRICE""),)"),0.87)</f>
        <v>0.87</v>
      </c>
      <c r="I388" s="49">
        <f>IFERROR(__xludf.DUMMYFUNCTION("IFERROR(GOOGLEFINANCE(A388,""VOLUME""),)"),51387.0)</f>
        <v>51387</v>
      </c>
      <c r="J388" s="48" t="str">
        <f>IFERROR(__xludf.DUMMYFUNCTION("IFERROR(INDEX(SPLIT(A388,"":""),1,2),)"),"EDUCOMP")</f>
        <v>EDUCOMP</v>
      </c>
      <c r="K388" s="48" t="str">
        <f t="shared" si="4"/>
        <v/>
      </c>
      <c r="L388" s="48">
        <f t="shared" si="5"/>
        <v>367</v>
      </c>
      <c r="M388" s="48">
        <f t="shared" si="6"/>
        <v>937</v>
      </c>
      <c r="N388" s="50">
        <f>IFERROR(__xludf.DUMMYFUNCTION("IFERROR(GOOGLEFINANCE(A388,""TRADETIME""),)"),46265.64583333333)</f>
        <v>46265.64583</v>
      </c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</row>
    <row r="389" ht="15.75" customHeight="1">
      <c r="A389" s="51" t="s">
        <v>435</v>
      </c>
      <c r="B389" s="51" t="str">
        <f>IFERROR(__xludf.DUMMYFUNCTION("IFERROR(GOOGLEFINANCE(A389,""NAME""),)"),"Eicher Motors Ltd")</f>
        <v>Eicher Motors Ltd</v>
      </c>
      <c r="C389" s="51">
        <f>IFERROR(__xludf.DUMMYFUNCTION("IFERROR(GOOGLEFINANCE(A389,""CHANGE""),)"),-35.5)</f>
        <v>-35.5</v>
      </c>
      <c r="D389" s="51">
        <f>IFERROR(__xludf.DUMMYFUNCTION("IFERROR(GOOGLEFINANCE(A389,""CHANGEPCT""),)"),-0.46)</f>
        <v>-0.46</v>
      </c>
      <c r="E389" s="51" t="str">
        <f t="shared" si="1"/>
        <v>-0.46%</v>
      </c>
      <c r="F389" s="51" t="str">
        <f t="shared" si="2"/>
        <v/>
      </c>
      <c r="G389" s="51">
        <f t="shared" si="3"/>
        <v>-0.46</v>
      </c>
      <c r="H389" s="51">
        <f>IFERROR(__xludf.DUMMYFUNCTION("IFERROR(GOOGLEFINANCE(A389,""PRICE""),)"),7654.5)</f>
        <v>7654.5</v>
      </c>
      <c r="I389" s="52">
        <f>IFERROR(__xludf.DUMMYFUNCTION("IFERROR(GOOGLEFINANCE(A389,""VOLUME""),)"),492954.0)</f>
        <v>492954</v>
      </c>
      <c r="J389" s="51" t="str">
        <f>IFERROR(__xludf.DUMMYFUNCTION("IFERROR(INDEX(SPLIT(A389,"":""),1,2),)"),"EICHERMOT")</f>
        <v>EICHERMOT</v>
      </c>
      <c r="K389" s="51" t="str">
        <f t="shared" si="4"/>
        <v/>
      </c>
      <c r="L389" s="51">
        <f t="shared" si="5"/>
        <v>175</v>
      </c>
      <c r="M389" s="51">
        <f t="shared" si="6"/>
        <v>399</v>
      </c>
      <c r="N389" s="53">
        <f>IFERROR(__xludf.DUMMYFUNCTION("IFERROR(GOOGLEFINANCE(A389,""TRADETIME""),)"),46269.64583333333)</f>
        <v>46269.64583</v>
      </c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</row>
    <row r="390" ht="15.75" customHeight="1">
      <c r="A390" s="48" t="s">
        <v>436</v>
      </c>
      <c r="B390" s="48" t="str">
        <f>IFERROR(__xludf.DUMMYFUNCTION("IFERROR(GOOGLEFINANCE(A390,""NAME""),)"),"Electrotherm (India) Ltd")</f>
        <v>Electrotherm (India) Ltd</v>
      </c>
      <c r="C390" s="48">
        <f>IFERROR(__xludf.DUMMYFUNCTION("IFERROR(GOOGLEFINANCE(A390,""CHANGE""),)"),0.1)</f>
        <v>0.1</v>
      </c>
      <c r="D390" s="48">
        <f>IFERROR(__xludf.DUMMYFUNCTION("IFERROR(GOOGLEFINANCE(A390,""CHANGEPCT""),)"),0.01)</f>
        <v>0.01</v>
      </c>
      <c r="E390" s="48" t="str">
        <f t="shared" si="1"/>
        <v>0.01%</v>
      </c>
      <c r="F390" s="48">
        <f t="shared" si="2"/>
        <v>0.01</v>
      </c>
      <c r="G390" s="48" t="str">
        <f t="shared" si="3"/>
        <v/>
      </c>
      <c r="H390" s="48">
        <f>IFERROR(__xludf.DUMMYFUNCTION("IFERROR(GOOGLEFINANCE(A390,""PRICE""),)"),980.0)</f>
        <v>980</v>
      </c>
      <c r="I390" s="49">
        <f>IFERROR(__xludf.DUMMYFUNCTION("IFERROR(GOOGLEFINANCE(A390,""VOLUME""),)"),7385.0)</f>
        <v>7385</v>
      </c>
      <c r="J390" s="48" t="str">
        <f>IFERROR(__xludf.DUMMYFUNCTION("IFERROR(INDEX(SPLIT(A390,"":""),1,2),)"),"ELECTHERM")</f>
        <v>ELECTHERM</v>
      </c>
      <c r="K390" s="48">
        <f t="shared" si="4"/>
        <v>778</v>
      </c>
      <c r="L390" s="48" t="str">
        <f t="shared" si="5"/>
        <v/>
      </c>
      <c r="M390" s="48">
        <f t="shared" si="6"/>
        <v>1278</v>
      </c>
      <c r="N390" s="50">
        <f>IFERROR(__xludf.DUMMYFUNCTION("IFERROR(GOOGLEFINANCE(A390,""TRADETIME""),)"),46269.64583333333)</f>
        <v>46269.64583</v>
      </c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</row>
    <row r="391" ht="15.75" customHeight="1">
      <c r="A391" s="51" t="s">
        <v>437</v>
      </c>
      <c r="B391" s="51" t="str">
        <f>IFERROR(__xludf.DUMMYFUNCTION("IFERROR(GOOGLEFINANCE(A391,""NAME""),)"),"EIH Associated Hotels Ltd")</f>
        <v>EIH Associated Hotels Ltd</v>
      </c>
      <c r="C391" s="51">
        <f>IFERROR(__xludf.DUMMYFUNCTION("IFERROR(GOOGLEFINANCE(A391,""CHANGE""),)"),-4.3)</f>
        <v>-4.3</v>
      </c>
      <c r="D391" s="51">
        <f>IFERROR(__xludf.DUMMYFUNCTION("IFERROR(GOOGLEFINANCE(A391,""CHANGEPCT""),)"),-1.42)</f>
        <v>-1.42</v>
      </c>
      <c r="E391" s="51" t="str">
        <f t="shared" si="1"/>
        <v>-1.42%</v>
      </c>
      <c r="F391" s="51" t="str">
        <f t="shared" si="2"/>
        <v/>
      </c>
      <c r="G391" s="51">
        <f t="shared" si="3"/>
        <v>-1.42</v>
      </c>
      <c r="H391" s="51">
        <f>IFERROR(__xludf.DUMMYFUNCTION("IFERROR(GOOGLEFINANCE(A391,""PRICE""),)"),299.55)</f>
        <v>299.55</v>
      </c>
      <c r="I391" s="52">
        <f>IFERROR(__xludf.DUMMYFUNCTION("IFERROR(GOOGLEFINANCE(A391,""VOLUME""),)"),11705.0)</f>
        <v>11705</v>
      </c>
      <c r="J391" s="51" t="str">
        <f>IFERROR(__xludf.DUMMYFUNCTION("IFERROR(INDEX(SPLIT(A391,"":""),1,2),)"),"EIHAHOTELS")</f>
        <v>EIHAHOTELS</v>
      </c>
      <c r="K391" s="51" t="str">
        <f t="shared" si="4"/>
        <v/>
      </c>
      <c r="L391" s="51">
        <f t="shared" si="5"/>
        <v>434</v>
      </c>
      <c r="M391" s="51">
        <f t="shared" si="6"/>
        <v>1209</v>
      </c>
      <c r="N391" s="53">
        <f>IFERROR(__xludf.DUMMYFUNCTION("IFERROR(GOOGLEFINANCE(A391,""TRADETIME""),)"),46269.64583333333)</f>
        <v>46269.64583</v>
      </c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</row>
    <row r="392" ht="15.75" customHeight="1">
      <c r="A392" s="48" t="s">
        <v>438</v>
      </c>
      <c r="B392" s="48" t="str">
        <f>IFERROR(__xludf.DUMMYFUNCTION("IFERROR(GOOGLEFINANCE(A392,""NAME""),)"),"EIH Ltd")</f>
        <v>EIH Ltd</v>
      </c>
      <c r="C392" s="48">
        <f>IFERROR(__xludf.DUMMYFUNCTION("IFERROR(GOOGLEFINANCE(A392,""CHANGE""),)"),1.05)</f>
        <v>1.05</v>
      </c>
      <c r="D392" s="48">
        <f>IFERROR(__xludf.DUMMYFUNCTION("IFERROR(GOOGLEFINANCE(A392,""CHANGEPCT""),)"),0.36)</f>
        <v>0.36</v>
      </c>
      <c r="E392" s="48" t="str">
        <f t="shared" si="1"/>
        <v>0.36%</v>
      </c>
      <c r="F392" s="48">
        <f t="shared" si="2"/>
        <v>0.36</v>
      </c>
      <c r="G392" s="48" t="str">
        <f t="shared" si="3"/>
        <v/>
      </c>
      <c r="H392" s="48">
        <f>IFERROR(__xludf.DUMMYFUNCTION("IFERROR(GOOGLEFINANCE(A392,""PRICE""),)"),291.8)</f>
        <v>291.8</v>
      </c>
      <c r="I392" s="49">
        <f>IFERROR(__xludf.DUMMYFUNCTION("IFERROR(GOOGLEFINANCE(A392,""VOLUME""),)"),154906.0)</f>
        <v>154906</v>
      </c>
      <c r="J392" s="48" t="str">
        <f>IFERROR(__xludf.DUMMYFUNCTION("IFERROR(INDEX(SPLIT(A392,"":""),1,2),)"),"EIHOTEL")</f>
        <v>EIHOTEL</v>
      </c>
      <c r="K392" s="48">
        <f t="shared" si="4"/>
        <v>638</v>
      </c>
      <c r="L392" s="48" t="str">
        <f t="shared" si="5"/>
        <v/>
      </c>
      <c r="M392" s="48">
        <f t="shared" si="6"/>
        <v>684</v>
      </c>
      <c r="N392" s="50">
        <f>IFERROR(__xludf.DUMMYFUNCTION("IFERROR(GOOGLEFINANCE(A392,""TRADETIME""),)"),46269.64583333333)</f>
        <v>46269.64583</v>
      </c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</row>
    <row r="393" ht="15.75" customHeight="1">
      <c r="A393" s="51" t="s">
        <v>439</v>
      </c>
      <c r="B393" s="51" t="str">
        <f>IFERROR(__xludf.DUMMYFUNCTION("IFERROR(GOOGLEFINANCE(A393,""NAME""),)"),"Entertainment Network (India) Ltd")</f>
        <v>Entertainment Network (India) Ltd</v>
      </c>
      <c r="C393" s="51">
        <f>IFERROR(__xludf.DUMMYFUNCTION("IFERROR(GOOGLEFINANCE(A393,""CHANGE""),)"),3.39)</f>
        <v>3.39</v>
      </c>
      <c r="D393" s="51">
        <f>IFERROR(__xludf.DUMMYFUNCTION("IFERROR(GOOGLEFINANCE(A393,""CHANGEPCT""),)"),3.4)</f>
        <v>3.4</v>
      </c>
      <c r="E393" s="51" t="str">
        <f t="shared" si="1"/>
        <v>3.4%</v>
      </c>
      <c r="F393" s="51">
        <f t="shared" si="2"/>
        <v>3.4</v>
      </c>
      <c r="G393" s="51" t="str">
        <f t="shared" si="3"/>
        <v/>
      </c>
      <c r="H393" s="51">
        <f>IFERROR(__xludf.DUMMYFUNCTION("IFERROR(GOOGLEFINANCE(A393,""PRICE""),)"),103.0)</f>
        <v>103</v>
      </c>
      <c r="I393" s="52">
        <f>IFERROR(__xludf.DUMMYFUNCTION("IFERROR(GOOGLEFINANCE(A393,""VOLUME""),)"),27341.0)</f>
        <v>27341</v>
      </c>
      <c r="J393" s="51" t="str">
        <f>IFERROR(__xludf.DUMMYFUNCTION("IFERROR(INDEX(SPLIT(A393,"":""),1,2),)"),"ENIL")</f>
        <v>ENIL</v>
      </c>
      <c r="K393" s="51">
        <f t="shared" si="4"/>
        <v>142</v>
      </c>
      <c r="L393" s="51" t="str">
        <f t="shared" si="5"/>
        <v/>
      </c>
      <c r="M393" s="51">
        <f t="shared" si="6"/>
        <v>1070</v>
      </c>
      <c r="N393" s="53">
        <f>IFERROR(__xludf.DUMMYFUNCTION("IFERROR(GOOGLEFINANCE(A393,""TRADETIME""),)"),46269.64583333333)</f>
        <v>46269.64583</v>
      </c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</row>
    <row r="394" ht="15.75" customHeight="1">
      <c r="A394" s="48" t="s">
        <v>440</v>
      </c>
      <c r="B394" s="48" t="str">
        <f>IFERROR(__xludf.DUMMYFUNCTION("IFERROR(GOOGLEFINANCE(A394,""NAME""),)"),"Everest Kanto Cylinder Ltd")</f>
        <v>Everest Kanto Cylinder Ltd</v>
      </c>
      <c r="C394" s="48">
        <f>IFERROR(__xludf.DUMMYFUNCTION("IFERROR(GOOGLEFINANCE(A394,""CHANGE""),)"),-0.5)</f>
        <v>-0.5</v>
      </c>
      <c r="D394" s="48">
        <f>IFERROR(__xludf.DUMMYFUNCTION("IFERROR(GOOGLEFINANCE(A394,""CHANGEPCT""),)"),-0.47)</f>
        <v>-0.47</v>
      </c>
      <c r="E394" s="48" t="str">
        <f t="shared" si="1"/>
        <v>-0.47%</v>
      </c>
      <c r="F394" s="48" t="str">
        <f t="shared" si="2"/>
        <v/>
      </c>
      <c r="G394" s="48">
        <f t="shared" si="3"/>
        <v>-0.47</v>
      </c>
      <c r="H394" s="48">
        <f>IFERROR(__xludf.DUMMYFUNCTION("IFERROR(GOOGLEFINANCE(A394,""PRICE""),)"),106.5)</f>
        <v>106.5</v>
      </c>
      <c r="I394" s="49">
        <f>IFERROR(__xludf.DUMMYFUNCTION("IFERROR(GOOGLEFINANCE(A394,""VOLUME""),)"),150735.0)</f>
        <v>150735</v>
      </c>
      <c r="J394" s="48" t="str">
        <f>IFERROR(__xludf.DUMMYFUNCTION("IFERROR(INDEX(SPLIT(A394,"":""),1,2),)"),"EKC")</f>
        <v>EKC</v>
      </c>
      <c r="K394" s="48" t="str">
        <f t="shared" si="4"/>
        <v/>
      </c>
      <c r="L394" s="48">
        <f t="shared" si="5"/>
        <v>179</v>
      </c>
      <c r="M394" s="48">
        <f t="shared" si="6"/>
        <v>687</v>
      </c>
      <c r="N394" s="50">
        <f>IFERROR(__xludf.DUMMYFUNCTION("IFERROR(GOOGLEFINANCE(A394,""TRADETIME""),)"),46269.64583333333)</f>
        <v>46269.64583</v>
      </c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</row>
    <row r="395" ht="15.75" customHeight="1">
      <c r="A395" s="51" t="s">
        <v>441</v>
      </c>
      <c r="B395" s="51" t="str">
        <f>IFERROR(__xludf.DUMMYFUNCTION("IFERROR(GOOGLEFINANCE(A395,""NAME""),)"),"Elecon Engineering Company Ltd")</f>
        <v>Elecon Engineering Company Ltd</v>
      </c>
      <c r="C395" s="51">
        <f>IFERROR(__xludf.DUMMYFUNCTION("IFERROR(GOOGLEFINANCE(A395,""CHANGE""),)"),-2.95)</f>
        <v>-2.95</v>
      </c>
      <c r="D395" s="51">
        <f>IFERROR(__xludf.DUMMYFUNCTION("IFERROR(GOOGLEFINANCE(A395,""CHANGEPCT""),)"),-0.68)</f>
        <v>-0.68</v>
      </c>
      <c r="E395" s="51" t="str">
        <f t="shared" si="1"/>
        <v>-0.68%</v>
      </c>
      <c r="F395" s="51" t="str">
        <f t="shared" si="2"/>
        <v/>
      </c>
      <c r="G395" s="51">
        <f t="shared" si="3"/>
        <v>-0.68</v>
      </c>
      <c r="H395" s="51">
        <f>IFERROR(__xludf.DUMMYFUNCTION("IFERROR(GOOGLEFINANCE(A395,""PRICE""),)"),433.0)</f>
        <v>433</v>
      </c>
      <c r="I395" s="52">
        <f>IFERROR(__xludf.DUMMYFUNCTION("IFERROR(GOOGLEFINANCE(A395,""VOLUME""),)"),535067.0)</f>
        <v>535067</v>
      </c>
      <c r="J395" s="51" t="str">
        <f>IFERROR(__xludf.DUMMYFUNCTION("IFERROR(INDEX(SPLIT(A395,"":""),1,2),)"),"ELECON")</f>
        <v>ELECON</v>
      </c>
      <c r="K395" s="51" t="str">
        <f t="shared" si="4"/>
        <v/>
      </c>
      <c r="L395" s="51">
        <f t="shared" si="5"/>
        <v>254</v>
      </c>
      <c r="M395" s="51">
        <f t="shared" si="6"/>
        <v>380</v>
      </c>
      <c r="N395" s="53">
        <f>IFERROR(__xludf.DUMMYFUNCTION("IFERROR(GOOGLEFINANCE(A395,""TRADETIME""),)"),46269.64586805555)</f>
        <v>46269.64587</v>
      </c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</row>
    <row r="396" ht="15.75" customHeight="1">
      <c r="A396" s="48" t="s">
        <v>442</v>
      </c>
      <c r="B396" s="48" t="str">
        <f>IFERROR(__xludf.DUMMYFUNCTION("IFERROR(GOOGLEFINANCE(A396,""NAME""),)"),"Electrosteel Castings Ltd")</f>
        <v>Electrosteel Castings Ltd</v>
      </c>
      <c r="C396" s="48">
        <f>IFERROR(__xludf.DUMMYFUNCTION("IFERROR(GOOGLEFINANCE(A396,""CHANGE""),)"),-0.7)</f>
        <v>-0.7</v>
      </c>
      <c r="D396" s="48">
        <f>IFERROR(__xludf.DUMMYFUNCTION("IFERROR(GOOGLEFINANCE(A396,""CHANGEPCT""),)"),-0.83)</f>
        <v>-0.83</v>
      </c>
      <c r="E396" s="48" t="str">
        <f t="shared" si="1"/>
        <v>-0.83%</v>
      </c>
      <c r="F396" s="48" t="str">
        <f t="shared" si="2"/>
        <v/>
      </c>
      <c r="G396" s="48">
        <f t="shared" si="3"/>
        <v>-0.83</v>
      </c>
      <c r="H396" s="48">
        <f>IFERROR(__xludf.DUMMYFUNCTION("IFERROR(GOOGLEFINANCE(A396,""PRICE""),)"),83.15)</f>
        <v>83.15</v>
      </c>
      <c r="I396" s="49">
        <f>IFERROR(__xludf.DUMMYFUNCTION("IFERROR(GOOGLEFINANCE(A396,""VOLUME""),)"),1762760.0)</f>
        <v>1762760</v>
      </c>
      <c r="J396" s="48" t="str">
        <f>IFERROR(__xludf.DUMMYFUNCTION("IFERROR(INDEX(SPLIT(A396,"":""),1,2),)"),"ELECTCAST")</f>
        <v>ELECTCAST</v>
      </c>
      <c r="K396" s="48" t="str">
        <f t="shared" si="4"/>
        <v/>
      </c>
      <c r="L396" s="48">
        <f t="shared" si="5"/>
        <v>304</v>
      </c>
      <c r="M396" s="48">
        <f t="shared" si="6"/>
        <v>186</v>
      </c>
      <c r="N396" s="50">
        <f>IFERROR(__xludf.DUMMYFUNCTION("IFERROR(GOOGLEFINANCE(A396,""TRADETIME""),)"),46269.64583333333)</f>
        <v>46269.64583</v>
      </c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</row>
    <row r="397" ht="15.75" customHeight="1">
      <c r="A397" s="51" t="s">
        <v>443</v>
      </c>
      <c r="B397" s="51" t="str">
        <f>IFERROR(__xludf.DUMMYFUNCTION("IFERROR(GOOGLEFINANCE(A397,""NAME""),)"),"Federal-Mogul Goetze (India) Ltd")</f>
        <v>Federal-Mogul Goetze (India) Ltd</v>
      </c>
      <c r="C397" s="51">
        <f>IFERROR(__xludf.DUMMYFUNCTION("IFERROR(GOOGLEFINANCE(A397,""CHANGE""),)"),-110.7)</f>
        <v>-110.7</v>
      </c>
      <c r="D397" s="51">
        <f>IFERROR(__xludf.DUMMYFUNCTION("IFERROR(GOOGLEFINANCE(A397,""CHANGEPCT""),)"),-18.04)</f>
        <v>-18.04</v>
      </c>
      <c r="E397" s="51" t="str">
        <f t="shared" si="1"/>
        <v>-18.04%</v>
      </c>
      <c r="F397" s="51" t="str">
        <f t="shared" si="2"/>
        <v/>
      </c>
      <c r="G397" s="51">
        <f t="shared" si="3"/>
        <v>-18.04</v>
      </c>
      <c r="H397" s="51">
        <f>IFERROR(__xludf.DUMMYFUNCTION("IFERROR(GOOGLEFINANCE(A397,""PRICE""),)"),503.0)</f>
        <v>503</v>
      </c>
      <c r="I397" s="52">
        <f>IFERROR(__xludf.DUMMYFUNCTION("IFERROR(GOOGLEFINANCE(A397,""VOLUME""),)"),1030188.0)</f>
        <v>1030188</v>
      </c>
      <c r="J397" s="51" t="str">
        <f>IFERROR(__xludf.DUMMYFUNCTION("IFERROR(INDEX(SPLIT(A397,"":""),1,2),)"),"FMGOETZE")</f>
        <v>FMGOETZE</v>
      </c>
      <c r="K397" s="51" t="str">
        <f t="shared" si="4"/>
        <v/>
      </c>
      <c r="L397" s="51">
        <f t="shared" si="5"/>
        <v>654</v>
      </c>
      <c r="M397" s="51">
        <f t="shared" si="6"/>
        <v>271</v>
      </c>
      <c r="N397" s="53">
        <f>IFERROR(__xludf.DUMMYFUNCTION("IFERROR(GOOGLEFINANCE(A397,""TRADETIME""),)"),46269.64583333333)</f>
        <v>46269.64583</v>
      </c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</row>
    <row r="398" ht="15.75" customHeight="1">
      <c r="A398" s="48" t="s">
        <v>444</v>
      </c>
      <c r="B398" s="48" t="str">
        <f>IFERROR(__xludf.DUMMYFUNCTION("IFERROR(GOOGLEFINANCE(A398,""NAME""),)"),"ELGI Equipments Ltd")</f>
        <v>ELGI Equipments Ltd</v>
      </c>
      <c r="C398" s="48">
        <f>IFERROR(__xludf.DUMMYFUNCTION("IFERROR(GOOGLEFINANCE(A398,""CHANGE""),)"),13.1)</f>
        <v>13.1</v>
      </c>
      <c r="D398" s="48">
        <f>IFERROR(__xludf.DUMMYFUNCTION("IFERROR(GOOGLEFINANCE(A398,""CHANGEPCT""),)"),2.08)</f>
        <v>2.08</v>
      </c>
      <c r="E398" s="48" t="str">
        <f t="shared" si="1"/>
        <v>2.08%</v>
      </c>
      <c r="F398" s="48">
        <f t="shared" si="2"/>
        <v>2.08</v>
      </c>
      <c r="G398" s="48" t="str">
        <f t="shared" si="3"/>
        <v/>
      </c>
      <c r="H398" s="48">
        <f>IFERROR(__xludf.DUMMYFUNCTION("IFERROR(GOOGLEFINANCE(A398,""PRICE""),)"),643.45)</f>
        <v>643.45</v>
      </c>
      <c r="I398" s="49">
        <f>IFERROR(__xludf.DUMMYFUNCTION("IFERROR(GOOGLEFINANCE(A398,""VOLUME""),)"),691967.0)</f>
        <v>691967</v>
      </c>
      <c r="J398" s="48" t="str">
        <f>IFERROR(__xludf.DUMMYFUNCTION("IFERROR(INDEX(SPLIT(A398,"":""),1,2),)"),"ELGIEQUIP")</f>
        <v>ELGIEQUIP</v>
      </c>
      <c r="K398" s="48">
        <f t="shared" si="4"/>
        <v>246</v>
      </c>
      <c r="L398" s="48" t="str">
        <f t="shared" si="5"/>
        <v/>
      </c>
      <c r="M398" s="48">
        <f t="shared" si="6"/>
        <v>331</v>
      </c>
      <c r="N398" s="50">
        <f>IFERROR(__xludf.DUMMYFUNCTION("IFERROR(GOOGLEFINANCE(A398,""TRADETIME""),)"),46269.64586805555)</f>
        <v>46269.64587</v>
      </c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</row>
    <row r="399" ht="15.75" customHeight="1">
      <c r="A399" s="51" t="s">
        <v>445</v>
      </c>
      <c r="B399" s="51" t="str">
        <f>IFERROR(__xludf.DUMMYFUNCTION("IFERROR(GOOGLEFINANCE(A399,""NAME""),)"),"ELGI Rubber Co Ltd")</f>
        <v>ELGI Rubber Co Ltd</v>
      </c>
      <c r="C399" s="51">
        <f>IFERROR(__xludf.DUMMYFUNCTION("IFERROR(GOOGLEFINANCE(A399,""CHANGE""),)"),-0.49)</f>
        <v>-0.49</v>
      </c>
      <c r="D399" s="51">
        <f>IFERROR(__xludf.DUMMYFUNCTION("IFERROR(GOOGLEFINANCE(A399,""CHANGEPCT""),)"),-0.83)</f>
        <v>-0.83</v>
      </c>
      <c r="E399" s="51" t="str">
        <f t="shared" si="1"/>
        <v>-0.83%</v>
      </c>
      <c r="F399" s="51" t="str">
        <f t="shared" si="2"/>
        <v/>
      </c>
      <c r="G399" s="51">
        <f t="shared" si="3"/>
        <v>-0.83</v>
      </c>
      <c r="H399" s="51">
        <f>IFERROR(__xludf.DUMMYFUNCTION("IFERROR(GOOGLEFINANCE(A399,""PRICE""),)"),58.59)</f>
        <v>58.59</v>
      </c>
      <c r="I399" s="52">
        <f>IFERROR(__xludf.DUMMYFUNCTION("IFERROR(GOOGLEFINANCE(A399,""VOLUME""),)"),44079.0)</f>
        <v>44079</v>
      </c>
      <c r="J399" s="51" t="str">
        <f>IFERROR(__xludf.DUMMYFUNCTION("IFERROR(INDEX(SPLIT(A399,"":""),1,2),)"),"ELGIRUBCO")</f>
        <v>ELGIRUBCO</v>
      </c>
      <c r="K399" s="51" t="str">
        <f t="shared" si="4"/>
        <v/>
      </c>
      <c r="L399" s="51">
        <f t="shared" si="5"/>
        <v>305</v>
      </c>
      <c r="M399" s="51">
        <f t="shared" si="6"/>
        <v>975</v>
      </c>
      <c r="N399" s="53">
        <f>IFERROR(__xludf.DUMMYFUNCTION("IFERROR(GOOGLEFINANCE(A399,""TRADETIME""),)"),46269.64583333333)</f>
        <v>46269.64583</v>
      </c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</row>
    <row r="400" ht="15.75" customHeight="1">
      <c r="A400" s="48" t="s">
        <v>446</v>
      </c>
      <c r="B400" s="48" t="str">
        <f>IFERROR(__xludf.DUMMYFUNCTION("IFERROR(GOOGLEFINANCE(A400,""NAME""),)"),"Emami Ltd")</f>
        <v>Emami Ltd</v>
      </c>
      <c r="C400" s="48">
        <f>IFERROR(__xludf.DUMMYFUNCTION("IFERROR(GOOGLEFINANCE(A400,""CHANGE""),)"),-1.2)</f>
        <v>-1.2</v>
      </c>
      <c r="D400" s="48">
        <f>IFERROR(__xludf.DUMMYFUNCTION("IFERROR(GOOGLEFINANCE(A400,""CHANGEPCT""),)"),-0.33)</f>
        <v>-0.33</v>
      </c>
      <c r="E400" s="48" t="str">
        <f t="shared" si="1"/>
        <v>-0.33%</v>
      </c>
      <c r="F400" s="48" t="str">
        <f t="shared" si="2"/>
        <v/>
      </c>
      <c r="G400" s="48">
        <f t="shared" si="3"/>
        <v>-0.33</v>
      </c>
      <c r="H400" s="48">
        <f>IFERROR(__xludf.DUMMYFUNCTION("IFERROR(GOOGLEFINANCE(A400,""PRICE""),)"),367.0)</f>
        <v>367</v>
      </c>
      <c r="I400" s="49">
        <f>IFERROR(__xludf.DUMMYFUNCTION("IFERROR(GOOGLEFINANCE(A400,""VOLUME""),)"),1293997.0)</f>
        <v>1293997</v>
      </c>
      <c r="J400" s="48" t="str">
        <f>IFERROR(__xludf.DUMMYFUNCTION("IFERROR(INDEX(SPLIT(A400,"":""),1,2),)"),"EMAMILTD")</f>
        <v>EMAMILTD</v>
      </c>
      <c r="K400" s="48" t="str">
        <f t="shared" si="4"/>
        <v/>
      </c>
      <c r="L400" s="48">
        <f t="shared" si="5"/>
        <v>126</v>
      </c>
      <c r="M400" s="48">
        <f t="shared" si="6"/>
        <v>229</v>
      </c>
      <c r="N400" s="50">
        <f>IFERROR(__xludf.DUMMYFUNCTION("IFERROR(GOOGLEFINANCE(A400,""TRADETIME""),)"),46269.64583333333)</f>
        <v>46269.64583</v>
      </c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</row>
    <row r="401" ht="15.75" customHeight="1">
      <c r="A401" s="51" t="s">
        <v>447</v>
      </c>
      <c r="B401" s="51" t="str">
        <f>IFERROR(__xludf.DUMMYFUNCTION("IFERROR(GOOGLEFINANCE(A401,""NAME""),)"),"Emami Paper Mills Ltd")</f>
        <v>Emami Paper Mills Ltd</v>
      </c>
      <c r="C401" s="51">
        <f>IFERROR(__xludf.DUMMYFUNCTION("IFERROR(GOOGLEFINANCE(A401,""CHANGE""),)"),5.52)</f>
        <v>5.52</v>
      </c>
      <c r="D401" s="51">
        <f>IFERROR(__xludf.DUMMYFUNCTION("IFERROR(GOOGLEFINANCE(A401,""CHANGEPCT""),)"),5.0)</f>
        <v>5</v>
      </c>
      <c r="E401" s="51" t="str">
        <f t="shared" si="1"/>
        <v>5%</v>
      </c>
      <c r="F401" s="51">
        <f t="shared" si="2"/>
        <v>5</v>
      </c>
      <c r="G401" s="51" t="str">
        <f t="shared" si="3"/>
        <v/>
      </c>
      <c r="H401" s="51">
        <f>IFERROR(__xludf.DUMMYFUNCTION("IFERROR(GOOGLEFINANCE(A401,""PRICE""),)"),115.92)</f>
        <v>115.92</v>
      </c>
      <c r="I401" s="52">
        <f>IFERROR(__xludf.DUMMYFUNCTION("IFERROR(GOOGLEFINANCE(A401,""VOLUME""),)"),35403.0)</f>
        <v>35403</v>
      </c>
      <c r="J401" s="51" t="str">
        <f>IFERROR(__xludf.DUMMYFUNCTION("IFERROR(INDEX(SPLIT(A401,"":""),1,2),)"),"EMAMIPAP")</f>
        <v>EMAMIPAP</v>
      </c>
      <c r="K401" s="51">
        <f t="shared" si="4"/>
        <v>56</v>
      </c>
      <c r="L401" s="51" t="str">
        <f t="shared" si="5"/>
        <v/>
      </c>
      <c r="M401" s="51">
        <f t="shared" si="6"/>
        <v>1025</v>
      </c>
      <c r="N401" s="53">
        <f>IFERROR(__xludf.DUMMYFUNCTION("IFERROR(GOOGLEFINANCE(A401,""TRADETIME""),)"),46269.64583333333)</f>
        <v>46269.64583</v>
      </c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</row>
    <row r="402" ht="15.75" customHeight="1">
      <c r="A402" s="48" t="s">
        <v>448</v>
      </c>
      <c r="B402" s="48" t="str">
        <f>IFERROR(__xludf.DUMMYFUNCTION("IFERROR(GOOGLEFINANCE(A402,""NAME""),)"),"Emami Realty Ltd")</f>
        <v>Emami Realty Ltd</v>
      </c>
      <c r="C402" s="48">
        <f>IFERROR(__xludf.DUMMYFUNCTION("IFERROR(GOOGLEFINANCE(A402,""CHANGE""),)"),-2.25)</f>
        <v>-2.25</v>
      </c>
      <c r="D402" s="48">
        <f>IFERROR(__xludf.DUMMYFUNCTION("IFERROR(GOOGLEFINANCE(A402,""CHANGEPCT""),)"),-3.28)</f>
        <v>-3.28</v>
      </c>
      <c r="E402" s="48" t="str">
        <f t="shared" si="1"/>
        <v>-3.28%</v>
      </c>
      <c r="F402" s="48" t="str">
        <f t="shared" si="2"/>
        <v/>
      </c>
      <c r="G402" s="48">
        <f t="shared" si="3"/>
        <v>-3.28</v>
      </c>
      <c r="H402" s="48">
        <f>IFERROR(__xludf.DUMMYFUNCTION("IFERROR(GOOGLEFINANCE(A402,""PRICE""),)"),66.45)</f>
        <v>66.45</v>
      </c>
      <c r="I402" s="49">
        <f>IFERROR(__xludf.DUMMYFUNCTION("IFERROR(GOOGLEFINANCE(A402,""VOLUME""),)"),24880.0)</f>
        <v>24880</v>
      </c>
      <c r="J402" s="48" t="str">
        <f>IFERROR(__xludf.DUMMYFUNCTION("IFERROR(INDEX(SPLIT(A402,"":""),1,2),)"),"EMAMIREAL")</f>
        <v>EMAMIREAL</v>
      </c>
      <c r="K402" s="48" t="str">
        <f t="shared" si="4"/>
        <v/>
      </c>
      <c r="L402" s="48">
        <f t="shared" si="5"/>
        <v>599</v>
      </c>
      <c r="M402" s="48">
        <f t="shared" si="6"/>
        <v>1083</v>
      </c>
      <c r="N402" s="50">
        <f>IFERROR(__xludf.DUMMYFUNCTION("IFERROR(GOOGLEFINANCE(A402,""TRADETIME""),)"),46269.64583333333)</f>
        <v>46269.64583</v>
      </c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</row>
    <row r="403" ht="15.75" customHeight="1">
      <c r="A403" s="51" t="s">
        <v>449</v>
      </c>
      <c r="B403" s="51" t="str">
        <f>IFERROR(__xludf.DUMMYFUNCTION("IFERROR(GOOGLEFINANCE(A403,""NAME""),)"),"Emkay Global Financial Services Ltd")</f>
        <v>Emkay Global Financial Services Ltd</v>
      </c>
      <c r="C403" s="51">
        <f>IFERROR(__xludf.DUMMYFUNCTION("IFERROR(GOOGLEFINANCE(A403,""CHANGE""),)"),9.25)</f>
        <v>9.25</v>
      </c>
      <c r="D403" s="51">
        <f>IFERROR(__xludf.DUMMYFUNCTION("IFERROR(GOOGLEFINANCE(A403,""CHANGEPCT""),)"),3.59)</f>
        <v>3.59</v>
      </c>
      <c r="E403" s="51" t="str">
        <f t="shared" si="1"/>
        <v>3.59%</v>
      </c>
      <c r="F403" s="51">
        <f t="shared" si="2"/>
        <v>3.59</v>
      </c>
      <c r="G403" s="51" t="str">
        <f t="shared" si="3"/>
        <v/>
      </c>
      <c r="H403" s="51">
        <f>IFERROR(__xludf.DUMMYFUNCTION("IFERROR(GOOGLEFINANCE(A403,""PRICE""),)"),267.0)</f>
        <v>267</v>
      </c>
      <c r="I403" s="52">
        <f>IFERROR(__xludf.DUMMYFUNCTION("IFERROR(GOOGLEFINANCE(A403,""VOLUME""),)"),54753.0)</f>
        <v>54753</v>
      </c>
      <c r="J403" s="51" t="str">
        <f>IFERROR(__xludf.DUMMYFUNCTION("IFERROR(INDEX(SPLIT(A403,"":""),1,2),)"),"EMKAY")</f>
        <v>EMKAY</v>
      </c>
      <c r="K403" s="51">
        <f t="shared" si="4"/>
        <v>135</v>
      </c>
      <c r="L403" s="51" t="str">
        <f t="shared" si="5"/>
        <v/>
      </c>
      <c r="M403" s="51">
        <f t="shared" si="6"/>
        <v>925</v>
      </c>
      <c r="N403" s="53">
        <f>IFERROR(__xludf.DUMMYFUNCTION("IFERROR(GOOGLEFINANCE(A403,""TRADETIME""),)"),46269.64583333333)</f>
        <v>46269.64583</v>
      </c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</row>
    <row r="404" ht="15.75" customHeight="1">
      <c r="A404" s="48" t="s">
        <v>450</v>
      </c>
      <c r="B404" s="48" t="str">
        <f>IFERROR(__xludf.DUMMYFUNCTION("IFERROR(GOOGLEFINANCE(A404,""NAME""),)"),"Emmbi Industries Ltd")</f>
        <v>Emmbi Industries Ltd</v>
      </c>
      <c r="C404" s="48">
        <f>IFERROR(__xludf.DUMMYFUNCTION("IFERROR(GOOGLEFINANCE(A404,""CHANGE""),)"),0.58)</f>
        <v>0.58</v>
      </c>
      <c r="D404" s="48">
        <f>IFERROR(__xludf.DUMMYFUNCTION("IFERROR(GOOGLEFINANCE(A404,""CHANGEPCT""),)"),0.64)</f>
        <v>0.64</v>
      </c>
      <c r="E404" s="48" t="str">
        <f t="shared" si="1"/>
        <v>0.64%</v>
      </c>
      <c r="F404" s="48">
        <f t="shared" si="2"/>
        <v>0.64</v>
      </c>
      <c r="G404" s="48" t="str">
        <f t="shared" si="3"/>
        <v/>
      </c>
      <c r="H404" s="48">
        <f>IFERROR(__xludf.DUMMYFUNCTION("IFERROR(GOOGLEFINANCE(A404,""PRICE""),)"),90.75)</f>
        <v>90.75</v>
      </c>
      <c r="I404" s="49">
        <f>IFERROR(__xludf.DUMMYFUNCTION("IFERROR(GOOGLEFINANCE(A404,""VOLUME""),)"),5830.0)</f>
        <v>5830</v>
      </c>
      <c r="J404" s="48" t="str">
        <f>IFERROR(__xludf.DUMMYFUNCTION("IFERROR(INDEX(SPLIT(A404,"":""),1,2),)"),"EMMBI")</f>
        <v>EMMBI</v>
      </c>
      <c r="K404" s="48">
        <f t="shared" si="4"/>
        <v>547</v>
      </c>
      <c r="L404" s="48" t="str">
        <f t="shared" si="5"/>
        <v/>
      </c>
      <c r="M404" s="48">
        <f t="shared" si="6"/>
        <v>1310</v>
      </c>
      <c r="N404" s="50">
        <f>IFERROR(__xludf.DUMMYFUNCTION("IFERROR(GOOGLEFINANCE(A404,""TRADETIME""),)"),46269.64583333333)</f>
        <v>46269.64583</v>
      </c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</row>
    <row r="405" ht="15.75" customHeight="1">
      <c r="A405" s="51" t="s">
        <v>451</v>
      </c>
      <c r="B405" s="51" t="str">
        <f>IFERROR(__xludf.DUMMYFUNCTION("IFERROR(GOOGLEFINANCE(A405,""NAME""),)"),"Endurance Technologies Ltd")</f>
        <v>Endurance Technologies Ltd</v>
      </c>
      <c r="C405" s="51">
        <f>IFERROR(__xludf.DUMMYFUNCTION("IFERROR(GOOGLEFINANCE(A405,""CHANGE""),)"),17.6)</f>
        <v>17.6</v>
      </c>
      <c r="D405" s="51">
        <f>IFERROR(__xludf.DUMMYFUNCTION("IFERROR(GOOGLEFINANCE(A405,""CHANGEPCT""),)"),0.64)</f>
        <v>0.64</v>
      </c>
      <c r="E405" s="51" t="str">
        <f t="shared" si="1"/>
        <v>0.64%</v>
      </c>
      <c r="F405" s="51">
        <f t="shared" si="2"/>
        <v>0.64</v>
      </c>
      <c r="G405" s="51" t="str">
        <f t="shared" si="3"/>
        <v/>
      </c>
      <c r="H405" s="51">
        <f>IFERROR(__xludf.DUMMYFUNCTION("IFERROR(GOOGLEFINANCE(A405,""PRICE""),)"),2772.3)</f>
        <v>2772.3</v>
      </c>
      <c r="I405" s="52">
        <f>IFERROR(__xludf.DUMMYFUNCTION("IFERROR(GOOGLEFINANCE(A405,""VOLUME""),)"),50285.0)</f>
        <v>50285</v>
      </c>
      <c r="J405" s="51" t="str">
        <f>IFERROR(__xludf.DUMMYFUNCTION("IFERROR(INDEX(SPLIT(A405,"":""),1,2),)"),"ENDURANCE")</f>
        <v>ENDURANCE</v>
      </c>
      <c r="K405" s="51">
        <f t="shared" si="4"/>
        <v>548</v>
      </c>
      <c r="L405" s="51" t="str">
        <f t="shared" si="5"/>
        <v/>
      </c>
      <c r="M405" s="51">
        <f t="shared" si="6"/>
        <v>946</v>
      </c>
      <c r="N405" s="53">
        <f>IFERROR(__xludf.DUMMYFUNCTION("IFERROR(GOOGLEFINANCE(A405,""TRADETIME""),)"),46269.64583333333)</f>
        <v>46269.64583</v>
      </c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</row>
    <row r="406" ht="15.75" customHeight="1">
      <c r="A406" s="48" t="s">
        <v>452</v>
      </c>
      <c r="B406" s="48" t="str">
        <f>IFERROR(__xludf.DUMMYFUNCTION("IFERROR(GOOGLEFINANCE(A406,""NAME""),)"),"Energy Development Company Ltd")</f>
        <v>Energy Development Company Ltd</v>
      </c>
      <c r="C406" s="48">
        <f>IFERROR(__xludf.DUMMYFUNCTION("IFERROR(GOOGLEFINANCE(A406,""CHANGE""),)"),0.0)</f>
        <v>0</v>
      </c>
      <c r="D406" s="48">
        <f>IFERROR(__xludf.DUMMYFUNCTION("IFERROR(GOOGLEFINANCE(A406,""CHANGEPCT""),)"),0.0)</f>
        <v>0</v>
      </c>
      <c r="E406" s="48" t="str">
        <f t="shared" si="1"/>
        <v>0%</v>
      </c>
      <c r="F406" s="48" t="str">
        <f t="shared" si="2"/>
        <v/>
      </c>
      <c r="G406" s="48" t="str">
        <f t="shared" si="3"/>
        <v/>
      </c>
      <c r="H406" s="48">
        <f>IFERROR(__xludf.DUMMYFUNCTION("IFERROR(GOOGLEFINANCE(A406,""PRICE""),)"),15.5)</f>
        <v>15.5</v>
      </c>
      <c r="I406" s="49">
        <f>IFERROR(__xludf.DUMMYFUNCTION("IFERROR(GOOGLEFINANCE(A406,""VOLUME""),)"),11133.0)</f>
        <v>11133</v>
      </c>
      <c r="J406" s="48" t="str">
        <f>IFERROR(__xludf.DUMMYFUNCTION("IFERROR(INDEX(SPLIT(A406,"":""),1,2),)"),"ENERGYDEV")</f>
        <v>ENERGYDEV</v>
      </c>
      <c r="K406" s="48" t="str">
        <f t="shared" si="4"/>
        <v/>
      </c>
      <c r="L406" s="48" t="str">
        <f t="shared" si="5"/>
        <v/>
      </c>
      <c r="M406" s="48">
        <f t="shared" si="6"/>
        <v>1219</v>
      </c>
      <c r="N406" s="50">
        <f>IFERROR(__xludf.DUMMYFUNCTION("IFERROR(GOOGLEFINANCE(A406,""TRADETIME""),)"),46269.64583333333)</f>
        <v>46269.64583</v>
      </c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</row>
    <row r="407" ht="15.75" customHeight="1">
      <c r="A407" s="51" t="s">
        <v>453</v>
      </c>
      <c r="B407" s="51" t="str">
        <f>IFERROR(__xludf.DUMMYFUNCTION("IFERROR(GOOGLEFINANCE(A407,""NAME""),)"),"Engineers India Ltd")</f>
        <v>Engineers India Ltd</v>
      </c>
      <c r="C407" s="51">
        <f>IFERROR(__xludf.DUMMYFUNCTION("IFERROR(GOOGLEFINANCE(A407,""CHANGE""),)"),-1.95)</f>
        <v>-1.95</v>
      </c>
      <c r="D407" s="51">
        <f>IFERROR(__xludf.DUMMYFUNCTION("IFERROR(GOOGLEFINANCE(A407,""CHANGEPCT""),)"),-0.69)</f>
        <v>-0.69</v>
      </c>
      <c r="E407" s="51" t="str">
        <f t="shared" si="1"/>
        <v>-0.69%</v>
      </c>
      <c r="F407" s="51" t="str">
        <f t="shared" si="2"/>
        <v/>
      </c>
      <c r="G407" s="51">
        <f t="shared" si="3"/>
        <v>-0.69</v>
      </c>
      <c r="H407" s="51">
        <f>IFERROR(__xludf.DUMMYFUNCTION("IFERROR(GOOGLEFINANCE(A407,""PRICE""),)"),280.0)</f>
        <v>280</v>
      </c>
      <c r="I407" s="52">
        <f>IFERROR(__xludf.DUMMYFUNCTION("IFERROR(GOOGLEFINANCE(A407,""VOLUME""),)"),3490446.0)</f>
        <v>3490446</v>
      </c>
      <c r="J407" s="51" t="str">
        <f>IFERROR(__xludf.DUMMYFUNCTION("IFERROR(INDEX(SPLIT(A407,"":""),1,2),)"),"ENGINERSIN")</f>
        <v>ENGINERSIN</v>
      </c>
      <c r="K407" s="51" t="str">
        <f t="shared" si="4"/>
        <v/>
      </c>
      <c r="L407" s="51">
        <f t="shared" si="5"/>
        <v>257</v>
      </c>
      <c r="M407" s="51">
        <f t="shared" si="6"/>
        <v>116</v>
      </c>
      <c r="N407" s="53">
        <f>IFERROR(__xludf.DUMMYFUNCTION("IFERROR(GOOGLEFINANCE(A407,""TRADETIME""),)"),46269.64586805555)</f>
        <v>46269.64587</v>
      </c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</row>
    <row r="408" ht="15.75" customHeight="1">
      <c r="A408" s="48" t="s">
        <v>454</v>
      </c>
      <c r="B408" s="48" t="str">
        <f>IFERROR(__xludf.DUMMYFUNCTION("IFERROR(GOOGLEFINANCE(A408,""NAME""),)"),"Gail (India) Ltd")</f>
        <v>Gail (India) Ltd</v>
      </c>
      <c r="C408" s="48">
        <f>IFERROR(__xludf.DUMMYFUNCTION("IFERROR(GOOGLEFINANCE(A408,""CHANGE""),)"),-1.23)</f>
        <v>-1.23</v>
      </c>
      <c r="D408" s="48">
        <f>IFERROR(__xludf.DUMMYFUNCTION("IFERROR(GOOGLEFINANCE(A408,""CHANGEPCT""),)"),-0.7)</f>
        <v>-0.7</v>
      </c>
      <c r="E408" s="48" t="str">
        <f t="shared" si="1"/>
        <v>-0.7%</v>
      </c>
      <c r="F408" s="48" t="str">
        <f t="shared" si="2"/>
        <v/>
      </c>
      <c r="G408" s="48">
        <f t="shared" si="3"/>
        <v>-0.7</v>
      </c>
      <c r="H408" s="48">
        <f>IFERROR(__xludf.DUMMYFUNCTION("IFERROR(GOOGLEFINANCE(A408,""PRICE""),)"),173.44)</f>
        <v>173.44</v>
      </c>
      <c r="I408" s="49">
        <f>IFERROR(__xludf.DUMMYFUNCTION("IFERROR(GOOGLEFINANCE(A408,""VOLUME""),)"),3878219.0)</f>
        <v>3878219</v>
      </c>
      <c r="J408" s="48" t="str">
        <f>IFERROR(__xludf.DUMMYFUNCTION("IFERROR(INDEX(SPLIT(A408,"":""),1,2),)"),"GAIL")</f>
        <v>GAIL</v>
      </c>
      <c r="K408" s="48" t="str">
        <f t="shared" si="4"/>
        <v/>
      </c>
      <c r="L408" s="48">
        <f t="shared" si="5"/>
        <v>262</v>
      </c>
      <c r="M408" s="48">
        <f t="shared" si="6"/>
        <v>104</v>
      </c>
      <c r="N408" s="50">
        <f>IFERROR(__xludf.DUMMYFUNCTION("IFERROR(GOOGLEFINANCE(A408,""TRADETIME""),)"),46269.64583333333)</f>
        <v>46269.64583</v>
      </c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</row>
    <row r="409" ht="15.75" customHeight="1">
      <c r="A409" s="51" t="s">
        <v>455</v>
      </c>
      <c r="B409" s="51" t="str">
        <f>IFERROR(__xludf.DUMMYFUNCTION("IFERROR(GOOGLEFINANCE(A409,""NAME""),)"),"EPL Ltd")</f>
        <v>EPL Ltd</v>
      </c>
      <c r="C409" s="51">
        <f>IFERROR(__xludf.DUMMYFUNCTION("IFERROR(GOOGLEFINANCE(A409,""CHANGE""),)"),0.7)</f>
        <v>0.7</v>
      </c>
      <c r="D409" s="51">
        <f>IFERROR(__xludf.DUMMYFUNCTION("IFERROR(GOOGLEFINANCE(A409,""CHANGEPCT""),)"),0.28)</f>
        <v>0.28</v>
      </c>
      <c r="E409" s="51" t="str">
        <f t="shared" si="1"/>
        <v>0.28%</v>
      </c>
      <c r="F409" s="51">
        <f t="shared" si="2"/>
        <v>0.28</v>
      </c>
      <c r="G409" s="51" t="str">
        <f t="shared" si="3"/>
        <v/>
      </c>
      <c r="H409" s="51">
        <f>IFERROR(__xludf.DUMMYFUNCTION("IFERROR(GOOGLEFINANCE(A409,""PRICE""),)"),247.25)</f>
        <v>247.25</v>
      </c>
      <c r="I409" s="52">
        <f>IFERROR(__xludf.DUMMYFUNCTION("IFERROR(GOOGLEFINANCE(A409,""VOLUME""),)"),3718253.0)</f>
        <v>3718253</v>
      </c>
      <c r="J409" s="51" t="str">
        <f>IFERROR(__xludf.DUMMYFUNCTION("IFERROR(INDEX(SPLIT(A409,"":""),1,2),)"),"EPL")</f>
        <v>EPL</v>
      </c>
      <c r="K409" s="51">
        <f t="shared" si="4"/>
        <v>668</v>
      </c>
      <c r="L409" s="51" t="str">
        <f t="shared" si="5"/>
        <v/>
      </c>
      <c r="M409" s="51">
        <f t="shared" si="6"/>
        <v>110</v>
      </c>
      <c r="N409" s="53">
        <f>IFERROR(__xludf.DUMMYFUNCTION("IFERROR(GOOGLEFINANCE(A409,""TRADETIME""),)"),46269.64586805555)</f>
        <v>46269.64587</v>
      </c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</row>
    <row r="410" ht="15.75" customHeight="1">
      <c r="A410" s="48" t="s">
        <v>456</v>
      </c>
      <c r="B410" s="48" t="str">
        <f>IFERROR(__xludf.DUMMYFUNCTION("IFERROR(GOOGLEFINANCE(A410,""NAME""),)"),"Equitas Small Finance Bank Ltd")</f>
        <v>Equitas Small Finance Bank Ltd</v>
      </c>
      <c r="C410" s="48">
        <f>IFERROR(__xludf.DUMMYFUNCTION("IFERROR(GOOGLEFINANCE(A410,""CHANGE""),)"),0.56)</f>
        <v>0.56</v>
      </c>
      <c r="D410" s="48">
        <f>IFERROR(__xludf.DUMMYFUNCTION("IFERROR(GOOGLEFINANCE(A410,""CHANGEPCT""),)"),0.77)</f>
        <v>0.77</v>
      </c>
      <c r="E410" s="48" t="str">
        <f t="shared" si="1"/>
        <v>0.77%</v>
      </c>
      <c r="F410" s="48">
        <f t="shared" si="2"/>
        <v>0.77</v>
      </c>
      <c r="G410" s="48" t="str">
        <f t="shared" si="3"/>
        <v/>
      </c>
      <c r="H410" s="48">
        <f>IFERROR(__xludf.DUMMYFUNCTION("IFERROR(GOOGLEFINANCE(A410,""PRICE""),)"),73.6)</f>
        <v>73.6</v>
      </c>
      <c r="I410" s="49">
        <f>IFERROR(__xludf.DUMMYFUNCTION("IFERROR(GOOGLEFINANCE(A410,""VOLUME""),)"),534782.0)</f>
        <v>534782</v>
      </c>
      <c r="J410" s="48" t="str">
        <f>IFERROR(__xludf.DUMMYFUNCTION("IFERROR(INDEX(SPLIT(A410,"":""),1,2),)"),"EQUITASBNK")</f>
        <v>EQUITASBNK</v>
      </c>
      <c r="K410" s="48">
        <f t="shared" si="4"/>
        <v>510</v>
      </c>
      <c r="L410" s="48" t="str">
        <f t="shared" si="5"/>
        <v/>
      </c>
      <c r="M410" s="48">
        <f t="shared" si="6"/>
        <v>381</v>
      </c>
      <c r="N410" s="50">
        <f>IFERROR(__xludf.DUMMYFUNCTION("IFERROR(GOOGLEFINANCE(A410,""TRADETIME""),)"),46269.64583333333)</f>
        <v>46269.64583</v>
      </c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</row>
    <row r="411" ht="15.75" customHeight="1">
      <c r="A411" s="51" t="s">
        <v>457</v>
      </c>
      <c r="B411" s="51" t="str">
        <f>IFERROR(__xludf.DUMMYFUNCTION("IFERROR(GOOGLEFINANCE(A411,""NAME""),)"),"Eris Lifesciences Ltd")</f>
        <v>Eris Lifesciences Ltd</v>
      </c>
      <c r="C411" s="51">
        <f>IFERROR(__xludf.DUMMYFUNCTION("IFERROR(GOOGLEFINANCE(A411,""CHANGE""),)"),15.5)</f>
        <v>15.5</v>
      </c>
      <c r="D411" s="51">
        <f>IFERROR(__xludf.DUMMYFUNCTION("IFERROR(GOOGLEFINANCE(A411,""CHANGEPCT""),)"),1.19)</f>
        <v>1.19</v>
      </c>
      <c r="E411" s="51" t="str">
        <f t="shared" si="1"/>
        <v>1.19%</v>
      </c>
      <c r="F411" s="51">
        <f t="shared" si="2"/>
        <v>1.19</v>
      </c>
      <c r="G411" s="51" t="str">
        <f t="shared" si="3"/>
        <v/>
      </c>
      <c r="H411" s="51">
        <f>IFERROR(__xludf.DUMMYFUNCTION("IFERROR(GOOGLEFINANCE(A411,""PRICE""),)"),1319.0)</f>
        <v>1319</v>
      </c>
      <c r="I411" s="52">
        <f>IFERROR(__xludf.DUMMYFUNCTION("IFERROR(GOOGLEFINANCE(A411,""VOLUME""),)"),69111.0)</f>
        <v>69111</v>
      </c>
      <c r="J411" s="51" t="str">
        <f>IFERROR(__xludf.DUMMYFUNCTION("IFERROR(INDEX(SPLIT(A411,"":""),1,2),)"),"ERIS")</f>
        <v>ERIS</v>
      </c>
      <c r="K411" s="51">
        <f t="shared" si="4"/>
        <v>410</v>
      </c>
      <c r="L411" s="51" t="str">
        <f t="shared" si="5"/>
        <v/>
      </c>
      <c r="M411" s="51">
        <f t="shared" si="6"/>
        <v>863</v>
      </c>
      <c r="N411" s="53">
        <f>IFERROR(__xludf.DUMMYFUNCTION("IFERROR(GOOGLEFINANCE(A411,""TRADETIME""),)"),46269.64583333333)</f>
        <v>46269.64583</v>
      </c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</row>
    <row r="412" ht="15.75" customHeight="1">
      <c r="A412" s="48" t="s">
        <v>458</v>
      </c>
      <c r="B412" s="48" t="str">
        <f>IFERROR(__xludf.DUMMYFUNCTION("IFERROR(GOOGLEFINANCE(A412,""NAME""),)"),"")</f>
        <v/>
      </c>
      <c r="C412" s="48" t="str">
        <f>IFERROR(__xludf.DUMMYFUNCTION("IFERROR(GOOGLEFINANCE(A412,""CHANGE""),)"),"")</f>
        <v/>
      </c>
      <c r="D412" s="48" t="str">
        <f>IFERROR(__xludf.DUMMYFUNCTION("IFERROR(GOOGLEFINANCE(A412,""CHANGEPCT""),)"),"")</f>
        <v/>
      </c>
      <c r="E412" s="48" t="str">
        <f t="shared" si="1"/>
        <v>%</v>
      </c>
      <c r="F412" s="48" t="str">
        <f t="shared" si="2"/>
        <v/>
      </c>
      <c r="G412" s="48" t="str">
        <f t="shared" si="3"/>
        <v/>
      </c>
      <c r="H412" s="48" t="str">
        <f>IFERROR(__xludf.DUMMYFUNCTION("IFERROR(GOOGLEFINANCE(A412,""PRICE""),)"),"")</f>
        <v/>
      </c>
      <c r="I412" s="49" t="str">
        <f>IFERROR(__xludf.DUMMYFUNCTION("IFERROR(GOOGLEFINANCE(A412,""VOLUME""),)"),"")</f>
        <v/>
      </c>
      <c r="J412" s="48" t="str">
        <f>IFERROR(__xludf.DUMMYFUNCTION("IFERROR(INDEX(SPLIT(A412,"":""),1,2),)"),"EROSMEDIA")</f>
        <v>EROSMEDIA</v>
      </c>
      <c r="K412" s="48" t="str">
        <f t="shared" si="4"/>
        <v/>
      </c>
      <c r="L412" s="48" t="str">
        <f t="shared" si="5"/>
        <v/>
      </c>
      <c r="M412" s="48">
        <f t="shared" si="6"/>
        <v>1456</v>
      </c>
      <c r="N412" s="50" t="str">
        <f>IFERROR(__xludf.DUMMYFUNCTION("IFERROR(GOOGLEFINANCE(A412,""TRADETIME""),)"),"")</f>
        <v/>
      </c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</row>
    <row r="413" ht="15.75" customHeight="1">
      <c r="A413" s="51" t="s">
        <v>459</v>
      </c>
      <c r="B413" s="51" t="str">
        <f>IFERROR(__xludf.DUMMYFUNCTION("IFERROR(GOOGLEFINANCE(A413,""NAME""),)"),"ESAB India Ltd")</f>
        <v>ESAB India Ltd</v>
      </c>
      <c r="C413" s="51">
        <f>IFERROR(__xludf.DUMMYFUNCTION("IFERROR(GOOGLEFINANCE(A413,""CHANGE""),)"),-17.5)</f>
        <v>-17.5</v>
      </c>
      <c r="D413" s="51">
        <f>IFERROR(__xludf.DUMMYFUNCTION("IFERROR(GOOGLEFINANCE(A413,""CHANGEPCT""),)"),-0.29)</f>
        <v>-0.29</v>
      </c>
      <c r="E413" s="51" t="str">
        <f t="shared" si="1"/>
        <v>-0.29%</v>
      </c>
      <c r="F413" s="51" t="str">
        <f t="shared" si="2"/>
        <v/>
      </c>
      <c r="G413" s="51">
        <f t="shared" si="3"/>
        <v>-0.29</v>
      </c>
      <c r="H413" s="51">
        <f>IFERROR(__xludf.DUMMYFUNCTION("IFERROR(GOOGLEFINANCE(A413,""PRICE""),)"),6060.0)</f>
        <v>6060</v>
      </c>
      <c r="I413" s="52">
        <f>IFERROR(__xludf.DUMMYFUNCTION("IFERROR(GOOGLEFINANCE(A413,""VOLUME""),)"),2820.0)</f>
        <v>2820</v>
      </c>
      <c r="J413" s="51" t="str">
        <f>IFERROR(__xludf.DUMMYFUNCTION("IFERROR(INDEX(SPLIT(A413,"":""),1,2),)"),"ESABINDIA")</f>
        <v>ESABINDIA</v>
      </c>
      <c r="K413" s="51" t="str">
        <f t="shared" si="4"/>
        <v/>
      </c>
      <c r="L413" s="51">
        <f t="shared" si="5"/>
        <v>105</v>
      </c>
      <c r="M413" s="51">
        <f t="shared" si="6"/>
        <v>1372</v>
      </c>
      <c r="N413" s="53">
        <f>IFERROR(__xludf.DUMMYFUNCTION("IFERROR(GOOGLEFINANCE(A413,""TRADETIME""),)"),46269.64583333333)</f>
        <v>46269.64583</v>
      </c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</row>
    <row r="414" ht="15.75" customHeight="1">
      <c r="A414" s="48" t="s">
        <v>460</v>
      </c>
      <c r="B414" s="48" t="str">
        <f>IFERROR(__xludf.DUMMYFUNCTION("IFERROR(GOOGLEFINANCE(A414,""NAME""),)"),"Escorts Kubota Ltd")</f>
        <v>Escorts Kubota Ltd</v>
      </c>
      <c r="C414" s="48">
        <f>IFERROR(__xludf.DUMMYFUNCTION("IFERROR(GOOGLEFINANCE(A414,""CHANGE""),)"),-9.9)</f>
        <v>-9.9</v>
      </c>
      <c r="D414" s="48">
        <f>IFERROR(__xludf.DUMMYFUNCTION("IFERROR(GOOGLEFINANCE(A414,""CHANGEPCT""),)"),-0.33)</f>
        <v>-0.33</v>
      </c>
      <c r="E414" s="48" t="str">
        <f t="shared" si="1"/>
        <v>-0.33%</v>
      </c>
      <c r="F414" s="48" t="str">
        <f t="shared" si="2"/>
        <v/>
      </c>
      <c r="G414" s="48">
        <f t="shared" si="3"/>
        <v>-0.33</v>
      </c>
      <c r="H414" s="48">
        <f>IFERROR(__xludf.DUMMYFUNCTION("IFERROR(GOOGLEFINANCE(A414,""PRICE""),)"),2968.3)</f>
        <v>2968.3</v>
      </c>
      <c r="I414" s="49">
        <f>IFERROR(__xludf.DUMMYFUNCTION("IFERROR(GOOGLEFINANCE(A414,""VOLUME""),)"),62925.0)</f>
        <v>62925</v>
      </c>
      <c r="J414" s="48" t="str">
        <f>IFERROR(__xludf.DUMMYFUNCTION("IFERROR(INDEX(SPLIT(A414,"":""),1,2),)"),"ESCORTS")</f>
        <v>ESCORTS</v>
      </c>
      <c r="K414" s="48" t="str">
        <f t="shared" si="4"/>
        <v/>
      </c>
      <c r="L414" s="48">
        <f t="shared" si="5"/>
        <v>127</v>
      </c>
      <c r="M414" s="48">
        <f t="shared" si="6"/>
        <v>891</v>
      </c>
      <c r="N414" s="50">
        <f>IFERROR(__xludf.DUMMYFUNCTION("IFERROR(GOOGLEFINANCE(A414,""TRADETIME""),)"),46269.64583333333)</f>
        <v>46269.64583</v>
      </c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</row>
    <row r="415" ht="15.75" customHeight="1">
      <c r="A415" s="51" t="s">
        <v>461</v>
      </c>
      <c r="B415" s="51" t="str">
        <f>IFERROR(__xludf.DUMMYFUNCTION("IFERROR(GOOGLEFINANCE(A415,""NAME""),)"),"Essar Shipping Ltd")</f>
        <v>Essar Shipping Ltd</v>
      </c>
      <c r="C415" s="51">
        <f>IFERROR(__xludf.DUMMYFUNCTION("IFERROR(GOOGLEFINANCE(A415,""CHANGE""),)"),0.13)</f>
        <v>0.13</v>
      </c>
      <c r="D415" s="51">
        <f>IFERROR(__xludf.DUMMYFUNCTION("IFERROR(GOOGLEFINANCE(A415,""CHANGEPCT""),)"),0.77)</f>
        <v>0.77</v>
      </c>
      <c r="E415" s="51" t="str">
        <f t="shared" si="1"/>
        <v>0.77%</v>
      </c>
      <c r="F415" s="51">
        <f t="shared" si="2"/>
        <v>0.77</v>
      </c>
      <c r="G415" s="51" t="str">
        <f t="shared" si="3"/>
        <v/>
      </c>
      <c r="H415" s="51">
        <f>IFERROR(__xludf.DUMMYFUNCTION("IFERROR(GOOGLEFINANCE(A415,""PRICE""),)"),17.0)</f>
        <v>17</v>
      </c>
      <c r="I415" s="52">
        <f>IFERROR(__xludf.DUMMYFUNCTION("IFERROR(GOOGLEFINANCE(A415,""VOLUME""),)"),325102.0)</f>
        <v>325102</v>
      </c>
      <c r="J415" s="51" t="str">
        <f>IFERROR(__xludf.DUMMYFUNCTION("IFERROR(INDEX(SPLIT(A415,"":""),1,2),)"),"ESSARSHPNG")</f>
        <v>ESSARSHPNG</v>
      </c>
      <c r="K415" s="51">
        <f t="shared" si="4"/>
        <v>511</v>
      </c>
      <c r="L415" s="51" t="str">
        <f t="shared" si="5"/>
        <v/>
      </c>
      <c r="M415" s="51">
        <f t="shared" si="6"/>
        <v>489</v>
      </c>
      <c r="N415" s="53">
        <f>IFERROR(__xludf.DUMMYFUNCTION("IFERROR(GOOGLEFINANCE(A415,""TRADETIME""),)"),46269.64583333333)</f>
        <v>46269.64583</v>
      </c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</row>
    <row r="416" ht="15.75" customHeight="1">
      <c r="A416" s="48" t="s">
        <v>462</v>
      </c>
      <c r="B416" s="48" t="str">
        <f>IFERROR(__xludf.DUMMYFUNCTION("IFERROR(GOOGLEFINANCE(A416,""NAME""),)"),"Ester Industries Ltd")</f>
        <v>Ester Industries Ltd</v>
      </c>
      <c r="C416" s="48">
        <f>IFERROR(__xludf.DUMMYFUNCTION("IFERROR(GOOGLEFINANCE(A416,""CHANGE""),)"),-0.18)</f>
        <v>-0.18</v>
      </c>
      <c r="D416" s="48">
        <f>IFERROR(__xludf.DUMMYFUNCTION("IFERROR(GOOGLEFINANCE(A416,""CHANGEPCT""),)"),-0.19)</f>
        <v>-0.19</v>
      </c>
      <c r="E416" s="48" t="str">
        <f t="shared" si="1"/>
        <v>-0.19%</v>
      </c>
      <c r="F416" s="48" t="str">
        <f t="shared" si="2"/>
        <v/>
      </c>
      <c r="G416" s="48">
        <f t="shared" si="3"/>
        <v>-0.19</v>
      </c>
      <c r="H416" s="48">
        <f>IFERROR(__xludf.DUMMYFUNCTION("IFERROR(GOOGLEFINANCE(A416,""PRICE""),)"),93.85)</f>
        <v>93.85</v>
      </c>
      <c r="I416" s="49">
        <f>IFERROR(__xludf.DUMMYFUNCTION("IFERROR(GOOGLEFINANCE(A416,""VOLUME""),)"),41294.0)</f>
        <v>41294</v>
      </c>
      <c r="J416" s="48" t="str">
        <f>IFERROR(__xludf.DUMMYFUNCTION("IFERROR(INDEX(SPLIT(A416,"":""),1,2),)"),"ESTER")</f>
        <v>ESTER</v>
      </c>
      <c r="K416" s="48" t="str">
        <f t="shared" si="4"/>
        <v/>
      </c>
      <c r="L416" s="48">
        <f t="shared" si="5"/>
        <v>72</v>
      </c>
      <c r="M416" s="48">
        <f t="shared" si="6"/>
        <v>997</v>
      </c>
      <c r="N416" s="50">
        <f>IFERROR(__xludf.DUMMYFUNCTION("IFERROR(GOOGLEFINANCE(A416,""TRADETIME""),)"),46269.64583333333)</f>
        <v>46269.64583</v>
      </c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</row>
    <row r="417" ht="15.75" customHeight="1">
      <c r="A417" s="51" t="s">
        <v>463</v>
      </c>
      <c r="B417" s="51" t="str">
        <f>IFERROR(__xludf.DUMMYFUNCTION("IFERROR(GOOGLEFINANCE(A417,""NAME""),)"),"Eurotex Industries And Exports Ltd")</f>
        <v>Eurotex Industries And Exports Ltd</v>
      </c>
      <c r="C417" s="51">
        <f>IFERROR(__xludf.DUMMYFUNCTION("IFERROR(GOOGLEFINANCE(A417,""CHANGE""),)"),-0.26)</f>
        <v>-0.26</v>
      </c>
      <c r="D417" s="51">
        <f>IFERROR(__xludf.DUMMYFUNCTION("IFERROR(GOOGLEFINANCE(A417,""CHANGEPCT""),)"),-1.86)</f>
        <v>-1.86</v>
      </c>
      <c r="E417" s="51" t="str">
        <f t="shared" si="1"/>
        <v>-1.86%</v>
      </c>
      <c r="F417" s="51" t="str">
        <f t="shared" si="2"/>
        <v/>
      </c>
      <c r="G417" s="51">
        <f t="shared" si="3"/>
        <v>-1.86</v>
      </c>
      <c r="H417" s="51">
        <f>IFERROR(__xludf.DUMMYFUNCTION("IFERROR(GOOGLEFINANCE(A417,""PRICE""),)"),13.73)</f>
        <v>13.73</v>
      </c>
      <c r="I417" s="52">
        <f>IFERROR(__xludf.DUMMYFUNCTION("IFERROR(GOOGLEFINANCE(A417,""VOLUME""),)"),300.0)</f>
        <v>300</v>
      </c>
      <c r="J417" s="51" t="str">
        <f>IFERROR(__xludf.DUMMYFUNCTION("IFERROR(INDEX(SPLIT(A417,"":""),1,2),)"),"EUROTEXIND")</f>
        <v>EUROTEXIND</v>
      </c>
      <c r="K417" s="51" t="str">
        <f t="shared" si="4"/>
        <v/>
      </c>
      <c r="L417" s="51">
        <f t="shared" si="5"/>
        <v>500</v>
      </c>
      <c r="M417" s="51">
        <f t="shared" si="6"/>
        <v>1446</v>
      </c>
      <c r="N417" s="53">
        <f>IFERROR(__xludf.DUMMYFUNCTION("IFERROR(GOOGLEFINANCE(A417,""TRADETIME""),)"),46269.64583333333)</f>
        <v>46269.64583</v>
      </c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</row>
    <row r="418" ht="15.75" customHeight="1">
      <c r="A418" s="48" t="s">
        <v>464</v>
      </c>
      <c r="B418" s="48" t="str">
        <f>IFERROR(__xludf.DUMMYFUNCTION("IFERROR(GOOGLEFINANCE(A418,""NAME""),)"),"Eveready Industries India Ltd")</f>
        <v>Eveready Industries India Ltd</v>
      </c>
      <c r="C418" s="48">
        <f>IFERROR(__xludf.DUMMYFUNCTION("IFERROR(GOOGLEFINANCE(A418,""CHANGE""),)"),-3.25)</f>
        <v>-3.25</v>
      </c>
      <c r="D418" s="48">
        <f>IFERROR(__xludf.DUMMYFUNCTION("IFERROR(GOOGLEFINANCE(A418,""CHANGEPCT""),)"),-1.02)</f>
        <v>-1.02</v>
      </c>
      <c r="E418" s="48" t="str">
        <f t="shared" si="1"/>
        <v>-1.02%</v>
      </c>
      <c r="F418" s="48" t="str">
        <f t="shared" si="2"/>
        <v/>
      </c>
      <c r="G418" s="48">
        <f t="shared" si="3"/>
        <v>-1.02</v>
      </c>
      <c r="H418" s="48">
        <f>IFERROR(__xludf.DUMMYFUNCTION("IFERROR(GOOGLEFINANCE(A418,""PRICE""),)"),316.2)</f>
        <v>316.2</v>
      </c>
      <c r="I418" s="49">
        <f>IFERROR(__xludf.DUMMYFUNCTION("IFERROR(GOOGLEFINANCE(A418,""VOLUME""),)"),57194.0)</f>
        <v>57194</v>
      </c>
      <c r="J418" s="48" t="str">
        <f>IFERROR(__xludf.DUMMYFUNCTION("IFERROR(INDEX(SPLIT(A418,"":""),1,2),)"),"EVEREADY")</f>
        <v>EVEREADY</v>
      </c>
      <c r="K418" s="48" t="str">
        <f t="shared" si="4"/>
        <v/>
      </c>
      <c r="L418" s="48">
        <f t="shared" si="5"/>
        <v>344</v>
      </c>
      <c r="M418" s="48">
        <f t="shared" si="6"/>
        <v>910</v>
      </c>
      <c r="N418" s="50">
        <f>IFERROR(__xludf.DUMMYFUNCTION("IFERROR(GOOGLEFINANCE(A418,""TRADETIME""),)"),46269.64583333333)</f>
        <v>46269.64583</v>
      </c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</row>
    <row r="419" ht="15.75" customHeight="1">
      <c r="A419" s="51" t="s">
        <v>465</v>
      </c>
      <c r="B419" s="51" t="str">
        <f>IFERROR(__xludf.DUMMYFUNCTION("IFERROR(GOOGLEFINANCE(A419,""NAME""),)"),"Everest Industries Ltd")</f>
        <v>Everest Industries Ltd</v>
      </c>
      <c r="C419" s="51">
        <f>IFERROR(__xludf.DUMMYFUNCTION("IFERROR(GOOGLEFINANCE(A419,""CHANGE""),)"),-0.4)</f>
        <v>-0.4</v>
      </c>
      <c r="D419" s="51">
        <f>IFERROR(__xludf.DUMMYFUNCTION("IFERROR(GOOGLEFINANCE(A419,""CHANGEPCT""),)"),-0.09)</f>
        <v>-0.09</v>
      </c>
      <c r="E419" s="51" t="str">
        <f t="shared" si="1"/>
        <v>-0.09%</v>
      </c>
      <c r="F419" s="51" t="str">
        <f t="shared" si="2"/>
        <v/>
      </c>
      <c r="G419" s="51">
        <f t="shared" si="3"/>
        <v>-0.09</v>
      </c>
      <c r="H419" s="51">
        <f>IFERROR(__xludf.DUMMYFUNCTION("IFERROR(GOOGLEFINANCE(A419,""PRICE""),)"),424.85)</f>
        <v>424.85</v>
      </c>
      <c r="I419" s="52">
        <f>IFERROR(__xludf.DUMMYFUNCTION("IFERROR(GOOGLEFINANCE(A419,""VOLUME""),)"),12743.0)</f>
        <v>12743</v>
      </c>
      <c r="J419" s="51" t="str">
        <f>IFERROR(__xludf.DUMMYFUNCTION("IFERROR(INDEX(SPLIT(A419,"":""),1,2),)"),"EVERESTIND")</f>
        <v>EVERESTIND</v>
      </c>
      <c r="K419" s="51" t="str">
        <f t="shared" si="4"/>
        <v/>
      </c>
      <c r="L419" s="51">
        <f t="shared" si="5"/>
        <v>28</v>
      </c>
      <c r="M419" s="51">
        <f t="shared" si="6"/>
        <v>1202</v>
      </c>
      <c r="N419" s="53">
        <f>IFERROR(__xludf.DUMMYFUNCTION("IFERROR(GOOGLEFINANCE(A419,""TRADETIME""),)"),46269.64583333333)</f>
        <v>46269.64583</v>
      </c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</row>
    <row r="420" ht="15.75" customHeight="1">
      <c r="A420" s="48" t="s">
        <v>466</v>
      </c>
      <c r="B420" s="48" t="str">
        <f>IFERROR(__xludf.DUMMYFUNCTION("IFERROR(GOOGLEFINANCE(A420,""NAME""),)"),"")</f>
        <v/>
      </c>
      <c r="C420" s="48" t="str">
        <f>IFERROR(__xludf.DUMMYFUNCTION("IFERROR(GOOGLEFINANCE(A420,""CHANGE""),)"),"")</f>
        <v/>
      </c>
      <c r="D420" s="48" t="str">
        <f>IFERROR(__xludf.DUMMYFUNCTION("IFERROR(GOOGLEFINANCE(A420,""CHANGEPCT""),)"),"")</f>
        <v/>
      </c>
      <c r="E420" s="48" t="str">
        <f t="shared" si="1"/>
        <v>%</v>
      </c>
      <c r="F420" s="48" t="str">
        <f t="shared" si="2"/>
        <v/>
      </c>
      <c r="G420" s="48" t="str">
        <f t="shared" si="3"/>
        <v/>
      </c>
      <c r="H420" s="48" t="str">
        <f>IFERROR(__xludf.DUMMYFUNCTION("IFERROR(GOOGLEFINANCE(A420,""PRICE""),)"),"")</f>
        <v/>
      </c>
      <c r="I420" s="49" t="str">
        <f>IFERROR(__xludf.DUMMYFUNCTION("IFERROR(GOOGLEFINANCE(A420,""VOLUME""),)"),"")</f>
        <v/>
      </c>
      <c r="J420" s="48" t="str">
        <f>IFERROR(__xludf.DUMMYFUNCTION("IFERROR(INDEX(SPLIT(A420,"":""),1,2),)"),"EXCEL")</f>
        <v>EXCEL</v>
      </c>
      <c r="K420" s="48" t="str">
        <f t="shared" si="4"/>
        <v/>
      </c>
      <c r="L420" s="48" t="str">
        <f t="shared" si="5"/>
        <v/>
      </c>
      <c r="M420" s="48">
        <f t="shared" si="6"/>
        <v>1456</v>
      </c>
      <c r="N420" s="50" t="str">
        <f>IFERROR(__xludf.DUMMYFUNCTION("IFERROR(GOOGLEFINANCE(A420,""TRADETIME""),)"),"")</f>
        <v/>
      </c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</row>
    <row r="421" ht="15.75" customHeight="1">
      <c r="A421" s="51" t="s">
        <v>467</v>
      </c>
      <c r="B421" s="51" t="str">
        <f>IFERROR(__xludf.DUMMYFUNCTION("IFERROR(GOOGLEFINANCE(A421,""NAME""),)"),"Excel Industries Ltd")</f>
        <v>Excel Industries Ltd</v>
      </c>
      <c r="C421" s="51">
        <f>IFERROR(__xludf.DUMMYFUNCTION("IFERROR(GOOGLEFINANCE(A421,""CHANGE""),)"),10.1)</f>
        <v>10.1</v>
      </c>
      <c r="D421" s="51">
        <f>IFERROR(__xludf.DUMMYFUNCTION("IFERROR(GOOGLEFINANCE(A421,""CHANGEPCT""),)"),0.98)</f>
        <v>0.98</v>
      </c>
      <c r="E421" s="51" t="str">
        <f t="shared" si="1"/>
        <v>0.98%</v>
      </c>
      <c r="F421" s="51">
        <f t="shared" si="2"/>
        <v>0.98</v>
      </c>
      <c r="G421" s="51" t="str">
        <f t="shared" si="3"/>
        <v/>
      </c>
      <c r="H421" s="51">
        <f>IFERROR(__xludf.DUMMYFUNCTION("IFERROR(GOOGLEFINANCE(A421,""PRICE""),)"),1045.0)</f>
        <v>1045</v>
      </c>
      <c r="I421" s="52">
        <f>IFERROR(__xludf.DUMMYFUNCTION("IFERROR(GOOGLEFINANCE(A421,""VOLUME""),)"),4529.0)</f>
        <v>4529</v>
      </c>
      <c r="J421" s="51" t="str">
        <f>IFERROR(__xludf.DUMMYFUNCTION("IFERROR(INDEX(SPLIT(A421,"":""),1,2),)"),"EXCELINDUS")</f>
        <v>EXCELINDUS</v>
      </c>
      <c r="K421" s="51">
        <f t="shared" si="4"/>
        <v>454</v>
      </c>
      <c r="L421" s="51" t="str">
        <f t="shared" si="5"/>
        <v/>
      </c>
      <c r="M421" s="51">
        <f t="shared" si="6"/>
        <v>1335</v>
      </c>
      <c r="N421" s="53">
        <f>IFERROR(__xludf.DUMMYFUNCTION("IFERROR(GOOGLEFINANCE(A421,""TRADETIME""),)"),46269.64583333333)</f>
        <v>46269.64583</v>
      </c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</row>
    <row r="422" ht="15.75" customHeight="1">
      <c r="A422" s="48" t="s">
        <v>468</v>
      </c>
      <c r="B422" s="48" t="str">
        <f>IFERROR(__xludf.DUMMYFUNCTION("IFERROR(GOOGLEFINANCE(A422,""NAME""),)"),"Exide Industries Ltd")</f>
        <v>Exide Industries Ltd</v>
      </c>
      <c r="C422" s="48">
        <f>IFERROR(__xludf.DUMMYFUNCTION("IFERROR(GOOGLEFINANCE(A422,""CHANGE""),)"),1.2)</f>
        <v>1.2</v>
      </c>
      <c r="D422" s="48">
        <f>IFERROR(__xludf.DUMMYFUNCTION("IFERROR(GOOGLEFINANCE(A422,""CHANGEPCT""),)"),0.28)</f>
        <v>0.28</v>
      </c>
      <c r="E422" s="48" t="str">
        <f t="shared" si="1"/>
        <v>0.28%</v>
      </c>
      <c r="F422" s="48">
        <f t="shared" si="2"/>
        <v>0.28</v>
      </c>
      <c r="G422" s="48" t="str">
        <f t="shared" si="3"/>
        <v/>
      </c>
      <c r="H422" s="48">
        <f>IFERROR(__xludf.DUMMYFUNCTION("IFERROR(GOOGLEFINANCE(A422,""PRICE""),)"),424.2)</f>
        <v>424.2</v>
      </c>
      <c r="I422" s="49">
        <f>IFERROR(__xludf.DUMMYFUNCTION("IFERROR(GOOGLEFINANCE(A422,""VOLUME""),)"),2581393.0)</f>
        <v>2581393</v>
      </c>
      <c r="J422" s="48" t="str">
        <f>IFERROR(__xludf.DUMMYFUNCTION("IFERROR(INDEX(SPLIT(A422,"":""),1,2),)"),"EXIDEIND")</f>
        <v>EXIDEIND</v>
      </c>
      <c r="K422" s="48">
        <f t="shared" si="4"/>
        <v>669</v>
      </c>
      <c r="L422" s="48" t="str">
        <f t="shared" si="5"/>
        <v/>
      </c>
      <c r="M422" s="48">
        <f t="shared" si="6"/>
        <v>143</v>
      </c>
      <c r="N422" s="50">
        <f>IFERROR(__xludf.DUMMYFUNCTION("IFERROR(GOOGLEFINANCE(A422,""TRADETIME""),)"),46269.64586805555)</f>
        <v>46269.64587</v>
      </c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</row>
    <row r="423" ht="15.75" customHeight="1">
      <c r="A423" s="51" t="s">
        <v>469</v>
      </c>
      <c r="B423" s="51" t="str">
        <f>IFERROR(__xludf.DUMMYFUNCTION("IFERROR(GOOGLEFINANCE(A423,""NAME""),)"),"Expleo Solutions Ltd")</f>
        <v>Expleo Solutions Ltd</v>
      </c>
      <c r="C423" s="51">
        <f>IFERROR(__xludf.DUMMYFUNCTION("IFERROR(GOOGLEFINANCE(A423,""CHANGE""),)"),2.25)</f>
        <v>2.25</v>
      </c>
      <c r="D423" s="51">
        <f>IFERROR(__xludf.DUMMYFUNCTION("IFERROR(GOOGLEFINANCE(A423,""CHANGEPCT""),)"),0.25)</f>
        <v>0.25</v>
      </c>
      <c r="E423" s="51" t="str">
        <f t="shared" si="1"/>
        <v>0.25%</v>
      </c>
      <c r="F423" s="51">
        <f t="shared" si="2"/>
        <v>0.25</v>
      </c>
      <c r="G423" s="51" t="str">
        <f t="shared" si="3"/>
        <v/>
      </c>
      <c r="H423" s="51">
        <f>IFERROR(__xludf.DUMMYFUNCTION("IFERROR(GOOGLEFINANCE(A423,""PRICE""),)"),901.0)</f>
        <v>901</v>
      </c>
      <c r="I423" s="52">
        <f>IFERROR(__xludf.DUMMYFUNCTION("IFERROR(GOOGLEFINANCE(A423,""VOLUME""),)"),27691.0)</f>
        <v>27691</v>
      </c>
      <c r="J423" s="51" t="str">
        <f>IFERROR(__xludf.DUMMYFUNCTION("IFERROR(INDEX(SPLIT(A423,"":""),1,2),)"),"EXPLEOSOL")</f>
        <v>EXPLEOSOL</v>
      </c>
      <c r="K423" s="51">
        <f t="shared" si="4"/>
        <v>676</v>
      </c>
      <c r="L423" s="51" t="str">
        <f t="shared" si="5"/>
        <v/>
      </c>
      <c r="M423" s="51">
        <f t="shared" si="6"/>
        <v>1068</v>
      </c>
      <c r="N423" s="53">
        <f>IFERROR(__xludf.DUMMYFUNCTION("IFERROR(GOOGLEFINANCE(A423,""TRADETIME""),)"),46269.64583333333)</f>
        <v>46269.64583</v>
      </c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</row>
    <row r="424" ht="15.75" customHeight="1">
      <c r="A424" s="48" t="s">
        <v>470</v>
      </c>
      <c r="B424" s="48" t="str">
        <f>IFERROR(__xludf.DUMMYFUNCTION("IFERROR(GOOGLEFINANCE(A424,""NAME""),)"),"Fertilisers And Chemicals Travancore Ltd")</f>
        <v>Fertilisers And Chemicals Travancore Ltd</v>
      </c>
      <c r="C424" s="48">
        <f>IFERROR(__xludf.DUMMYFUNCTION("IFERROR(GOOGLEFINANCE(A424,""CHANGE""),)"),1.3)</f>
        <v>1.3</v>
      </c>
      <c r="D424" s="48">
        <f>IFERROR(__xludf.DUMMYFUNCTION("IFERROR(GOOGLEFINANCE(A424,""CHANGEPCT""),)"),0.16)</f>
        <v>0.16</v>
      </c>
      <c r="E424" s="48" t="str">
        <f t="shared" si="1"/>
        <v>0.16%</v>
      </c>
      <c r="F424" s="48">
        <f t="shared" si="2"/>
        <v>0.16</v>
      </c>
      <c r="G424" s="48" t="str">
        <f t="shared" si="3"/>
        <v/>
      </c>
      <c r="H424" s="48">
        <f>IFERROR(__xludf.DUMMYFUNCTION("IFERROR(GOOGLEFINANCE(A424,""PRICE""),)"),801.5)</f>
        <v>801.5</v>
      </c>
      <c r="I424" s="49">
        <f>IFERROR(__xludf.DUMMYFUNCTION("IFERROR(GOOGLEFINANCE(A424,""VOLUME""),)"),97544.0)</f>
        <v>97544</v>
      </c>
      <c r="J424" s="48" t="str">
        <f>IFERROR(__xludf.DUMMYFUNCTION("IFERROR(INDEX(SPLIT(A424,"":""),1,2),)"),"FACT")</f>
        <v>FACT</v>
      </c>
      <c r="K424" s="48">
        <f t="shared" si="4"/>
        <v>717</v>
      </c>
      <c r="L424" s="48" t="str">
        <f t="shared" si="5"/>
        <v/>
      </c>
      <c r="M424" s="48">
        <f t="shared" si="6"/>
        <v>779</v>
      </c>
      <c r="N424" s="50">
        <f>IFERROR(__xludf.DUMMYFUNCTION("IFERROR(GOOGLEFINANCE(A424,""TRADETIME""),)"),46269.64583333333)</f>
        <v>46269.64583</v>
      </c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</row>
    <row r="425" ht="15.75" customHeight="1">
      <c r="A425" s="51" t="s">
        <v>471</v>
      </c>
      <c r="B425" s="51" t="str">
        <f>IFERROR(__xludf.DUMMYFUNCTION("IFERROR(GOOGLEFINANCE(A425,""NAME""),)"),"Fairchem Organics Ltd")</f>
        <v>Fairchem Organics Ltd</v>
      </c>
      <c r="C425" s="51">
        <f>IFERROR(__xludf.DUMMYFUNCTION("IFERROR(GOOGLEFINANCE(A425,""CHANGE""),)"),-0.85)</f>
        <v>-0.85</v>
      </c>
      <c r="D425" s="51">
        <f>IFERROR(__xludf.DUMMYFUNCTION("IFERROR(GOOGLEFINANCE(A425,""CHANGEPCT""),)"),-0.13)</f>
        <v>-0.13</v>
      </c>
      <c r="E425" s="51" t="str">
        <f t="shared" si="1"/>
        <v>-0.13%</v>
      </c>
      <c r="F425" s="51" t="str">
        <f t="shared" si="2"/>
        <v/>
      </c>
      <c r="G425" s="51">
        <f t="shared" si="3"/>
        <v>-0.13</v>
      </c>
      <c r="H425" s="51">
        <f>IFERROR(__xludf.DUMMYFUNCTION("IFERROR(GOOGLEFINANCE(A425,""PRICE""),)"),660.25)</f>
        <v>660.25</v>
      </c>
      <c r="I425" s="52">
        <f>IFERROR(__xludf.DUMMYFUNCTION("IFERROR(GOOGLEFINANCE(A425,""VOLUME""),)"),3280.0)</f>
        <v>3280</v>
      </c>
      <c r="J425" s="51" t="str">
        <f>IFERROR(__xludf.DUMMYFUNCTION("IFERROR(INDEX(SPLIT(A425,"":""),1,2),)"),"FAIRCHEMOR")</f>
        <v>FAIRCHEMOR</v>
      </c>
      <c r="K425" s="51" t="str">
        <f t="shared" si="4"/>
        <v/>
      </c>
      <c r="L425" s="51">
        <f t="shared" si="5"/>
        <v>41</v>
      </c>
      <c r="M425" s="51">
        <f t="shared" si="6"/>
        <v>1360</v>
      </c>
      <c r="N425" s="53">
        <f>IFERROR(__xludf.DUMMYFUNCTION("IFERROR(GOOGLEFINANCE(A425,""TRADETIME""),)"),46269.64583333333)</f>
        <v>46269.64583</v>
      </c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</row>
    <row r="426" ht="15.75" customHeight="1">
      <c r="A426" s="48" t="s">
        <v>472</v>
      </c>
      <c r="B426" s="48" t="str">
        <f>IFERROR(__xludf.DUMMYFUNCTION("IFERROR(GOOGLEFINANCE(A426,""NAME""),)"),"Fineotex Chemical Ltd")</f>
        <v>Fineotex Chemical Ltd</v>
      </c>
      <c r="C426" s="48">
        <f>IFERROR(__xludf.DUMMYFUNCTION("IFERROR(GOOGLEFINANCE(A426,""CHANGE""),)"),3.29)</f>
        <v>3.29</v>
      </c>
      <c r="D426" s="48">
        <f>IFERROR(__xludf.DUMMYFUNCTION("IFERROR(GOOGLEFINANCE(A426,""CHANGEPCT""),)"),6.8)</f>
        <v>6.8</v>
      </c>
      <c r="E426" s="48" t="str">
        <f t="shared" si="1"/>
        <v>6.8%</v>
      </c>
      <c r="F426" s="48">
        <f t="shared" si="2"/>
        <v>6.8</v>
      </c>
      <c r="G426" s="48" t="str">
        <f t="shared" si="3"/>
        <v/>
      </c>
      <c r="H426" s="48">
        <f>IFERROR(__xludf.DUMMYFUNCTION("IFERROR(GOOGLEFINANCE(A426,""PRICE""),)"),51.7)</f>
        <v>51.7</v>
      </c>
      <c r="I426" s="49">
        <f>IFERROR(__xludf.DUMMYFUNCTION("IFERROR(GOOGLEFINANCE(A426,""VOLUME""),)"),2.0692198E7)</f>
        <v>20692198</v>
      </c>
      <c r="J426" s="48" t="str">
        <f>IFERROR(__xludf.DUMMYFUNCTION("IFERROR(INDEX(SPLIT(A426,"":""),1,2),)"),"FCL")</f>
        <v>FCL</v>
      </c>
      <c r="K426" s="48">
        <f t="shared" si="4"/>
        <v>25</v>
      </c>
      <c r="L426" s="48" t="str">
        <f t="shared" si="5"/>
        <v/>
      </c>
      <c r="M426" s="48">
        <f t="shared" si="6"/>
        <v>21</v>
      </c>
      <c r="N426" s="50">
        <f>IFERROR(__xludf.DUMMYFUNCTION("IFERROR(GOOGLEFINANCE(A426,""TRADETIME""),)"),46269.64586805555)</f>
        <v>46269.64587</v>
      </c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</row>
    <row r="427" ht="15.75" customHeight="1">
      <c r="A427" s="51" t="s">
        <v>473</v>
      </c>
      <c r="B427" s="51" t="str">
        <f>IFERROR(__xludf.DUMMYFUNCTION("IFERROR(GOOGLEFINANCE(A427,""NAME""),)"),"Future Consumer Ltd")</f>
        <v>Future Consumer Ltd</v>
      </c>
      <c r="C427" s="51">
        <f>IFERROR(__xludf.DUMMYFUNCTION("IFERROR(GOOGLEFINANCE(A427,""CHANGE""),)"),-0.01)</f>
        <v>-0.01</v>
      </c>
      <c r="D427" s="51">
        <f>IFERROR(__xludf.DUMMYFUNCTION("IFERROR(GOOGLEFINANCE(A427,""CHANGEPCT""),)"),-4.35)</f>
        <v>-4.35</v>
      </c>
      <c r="E427" s="51" t="str">
        <f t="shared" si="1"/>
        <v>-4.35%</v>
      </c>
      <c r="F427" s="51" t="str">
        <f t="shared" si="2"/>
        <v/>
      </c>
      <c r="G427" s="51">
        <f t="shared" si="3"/>
        <v>-4.35</v>
      </c>
      <c r="H427" s="51">
        <f>IFERROR(__xludf.DUMMYFUNCTION("IFERROR(GOOGLEFINANCE(A427,""PRICE""),)"),0.22)</f>
        <v>0.22</v>
      </c>
      <c r="I427" s="52">
        <f>IFERROR(__xludf.DUMMYFUNCTION("IFERROR(GOOGLEFINANCE(A427,""VOLUME""),)"),1756794.0)</f>
        <v>1756794</v>
      </c>
      <c r="J427" s="51" t="str">
        <f>IFERROR(__xludf.DUMMYFUNCTION("IFERROR(INDEX(SPLIT(A427,"":""),1,2),)"),"FCONSUMER")</f>
        <v>FCONSUMER</v>
      </c>
      <c r="K427" s="51" t="str">
        <f t="shared" si="4"/>
        <v/>
      </c>
      <c r="L427" s="51">
        <f t="shared" si="5"/>
        <v>628</v>
      </c>
      <c r="M427" s="51">
        <f t="shared" si="6"/>
        <v>187</v>
      </c>
      <c r="N427" s="53">
        <f>IFERROR(__xludf.DUMMYFUNCTION("IFERROR(GOOGLEFINANCE(A427,""TRADETIME""),)"),46265.64583333333)</f>
        <v>46265.64583</v>
      </c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</row>
    <row r="428" ht="15.75" customHeight="1">
      <c r="A428" s="48" t="s">
        <v>474</v>
      </c>
      <c r="B428" s="48" t="str">
        <f>IFERROR(__xludf.DUMMYFUNCTION("IFERROR(GOOGLEFINANCE(A428,""NAME""),)"),"FCS Software Solutions Ltd")</f>
        <v>FCS Software Solutions Ltd</v>
      </c>
      <c r="C428" s="48">
        <f>IFERROR(__xludf.DUMMYFUNCTION("IFERROR(GOOGLEFINANCE(A428,""CHANGE""),)"),0.02)</f>
        <v>0.02</v>
      </c>
      <c r="D428" s="48">
        <f>IFERROR(__xludf.DUMMYFUNCTION("IFERROR(GOOGLEFINANCE(A428,""CHANGEPCT""),)"),1.39)</f>
        <v>1.39</v>
      </c>
      <c r="E428" s="48" t="str">
        <f t="shared" si="1"/>
        <v>1.39%</v>
      </c>
      <c r="F428" s="48">
        <f t="shared" si="2"/>
        <v>1.39</v>
      </c>
      <c r="G428" s="48" t="str">
        <f t="shared" si="3"/>
        <v/>
      </c>
      <c r="H428" s="48">
        <f>IFERROR(__xludf.DUMMYFUNCTION("IFERROR(GOOGLEFINANCE(A428,""PRICE""),)"),1.46)</f>
        <v>1.46</v>
      </c>
      <c r="I428" s="49">
        <f>IFERROR(__xludf.DUMMYFUNCTION("IFERROR(GOOGLEFINANCE(A428,""VOLUME""),)"),1046769.0)</f>
        <v>1046769</v>
      </c>
      <c r="J428" s="48" t="str">
        <f>IFERROR(__xludf.DUMMYFUNCTION("IFERROR(INDEX(SPLIT(A428,"":""),1,2),)"),"FCSSOFT")</f>
        <v>FCSSOFT</v>
      </c>
      <c r="K428" s="48">
        <f t="shared" si="4"/>
        <v>361</v>
      </c>
      <c r="L428" s="48" t="str">
        <f t="shared" si="5"/>
        <v/>
      </c>
      <c r="M428" s="48">
        <f t="shared" si="6"/>
        <v>266</v>
      </c>
      <c r="N428" s="50">
        <f>IFERROR(__xludf.DUMMYFUNCTION("IFERROR(GOOGLEFINANCE(A428,""TRADETIME""),)"),46269.64583333333)</f>
        <v>46269.64583</v>
      </c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</row>
    <row r="429" ht="15.75" customHeight="1">
      <c r="A429" s="51" t="s">
        <v>475</v>
      </c>
      <c r="B429" s="51" t="str">
        <f>IFERROR(__xludf.DUMMYFUNCTION("IFERROR(GOOGLEFINANCE(A429,""NAME""),)"),"F D C Ltd")</f>
        <v>F D C Ltd</v>
      </c>
      <c r="C429" s="51">
        <f>IFERROR(__xludf.DUMMYFUNCTION("IFERROR(GOOGLEFINANCE(A429,""CHANGE""),)"),0.7)</f>
        <v>0.7</v>
      </c>
      <c r="D429" s="51">
        <f>IFERROR(__xludf.DUMMYFUNCTION("IFERROR(GOOGLEFINANCE(A429,""CHANGEPCT""),)"),0.2)</f>
        <v>0.2</v>
      </c>
      <c r="E429" s="51" t="str">
        <f t="shared" si="1"/>
        <v>0.2%</v>
      </c>
      <c r="F429" s="51">
        <f t="shared" si="2"/>
        <v>0.2</v>
      </c>
      <c r="G429" s="51" t="str">
        <f t="shared" si="3"/>
        <v/>
      </c>
      <c r="H429" s="51">
        <f>IFERROR(__xludf.DUMMYFUNCTION("IFERROR(GOOGLEFINANCE(A429,""PRICE""),)"),342.3)</f>
        <v>342.3</v>
      </c>
      <c r="I429" s="52">
        <f>IFERROR(__xludf.DUMMYFUNCTION("IFERROR(GOOGLEFINANCE(A429,""VOLUME""),)"),120312.0)</f>
        <v>120312</v>
      </c>
      <c r="J429" s="51" t="str">
        <f>IFERROR(__xludf.DUMMYFUNCTION("IFERROR(INDEX(SPLIT(A429,"":""),1,2),)"),"FDC")</f>
        <v>FDC</v>
      </c>
      <c r="K429" s="51">
        <f t="shared" si="4"/>
        <v>696</v>
      </c>
      <c r="L429" s="51" t="str">
        <f t="shared" si="5"/>
        <v/>
      </c>
      <c r="M429" s="51">
        <f t="shared" si="6"/>
        <v>735</v>
      </c>
      <c r="N429" s="53">
        <f>IFERROR(__xludf.DUMMYFUNCTION("IFERROR(GOOGLEFINANCE(A429,""TRADETIME""),)"),46269.64583333333)</f>
        <v>46269.64583</v>
      </c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</row>
    <row r="430" ht="15.75" customHeight="1">
      <c r="A430" s="48" t="s">
        <v>476</v>
      </c>
      <c r="B430" s="48" t="str">
        <f>IFERROR(__xludf.DUMMYFUNCTION("IFERROR(GOOGLEFINANCE(A430,""NAME""),)"),"Federal Bank Ltd")</f>
        <v>Federal Bank Ltd</v>
      </c>
      <c r="C430" s="48">
        <f>IFERROR(__xludf.DUMMYFUNCTION("IFERROR(GOOGLEFINANCE(A430,""CHANGE""),)"),-2.4)</f>
        <v>-2.4</v>
      </c>
      <c r="D430" s="48">
        <f>IFERROR(__xludf.DUMMYFUNCTION("IFERROR(GOOGLEFINANCE(A430,""CHANGEPCT""),)"),-0.7)</f>
        <v>-0.7</v>
      </c>
      <c r="E430" s="48" t="str">
        <f t="shared" si="1"/>
        <v>-0.7%</v>
      </c>
      <c r="F430" s="48" t="str">
        <f t="shared" si="2"/>
        <v/>
      </c>
      <c r="G430" s="48">
        <f t="shared" si="3"/>
        <v>-0.7</v>
      </c>
      <c r="H430" s="48">
        <f>IFERROR(__xludf.DUMMYFUNCTION("IFERROR(GOOGLEFINANCE(A430,""PRICE""),)"),342.2)</f>
        <v>342.2</v>
      </c>
      <c r="I430" s="49">
        <f>IFERROR(__xludf.DUMMYFUNCTION("IFERROR(GOOGLEFINANCE(A430,""VOLUME""),)"),4115397.0)</f>
        <v>4115397</v>
      </c>
      <c r="J430" s="48" t="str">
        <f>IFERROR(__xludf.DUMMYFUNCTION("IFERROR(INDEX(SPLIT(A430,"":""),1,2),)"),"FEDERALBNK")</f>
        <v>FEDERALBNK</v>
      </c>
      <c r="K430" s="48" t="str">
        <f t="shared" si="4"/>
        <v/>
      </c>
      <c r="L430" s="48">
        <f t="shared" si="5"/>
        <v>263</v>
      </c>
      <c r="M430" s="48">
        <f t="shared" si="6"/>
        <v>100</v>
      </c>
      <c r="N430" s="50">
        <f>IFERROR(__xludf.DUMMYFUNCTION("IFERROR(GOOGLEFINANCE(A430,""TRADETIME""),)"),46269.64583333333)</f>
        <v>46269.64583</v>
      </c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</row>
    <row r="431" ht="15.75" customHeight="1">
      <c r="A431" s="51" t="s">
        <v>477</v>
      </c>
      <c r="B431" s="51" t="str">
        <f>IFERROR(__xludf.DUMMYFUNCTION("IFERROR(GOOGLEFINANCE(A431,""NAME""),)"),"Future Enterprises Ltd")</f>
        <v>Future Enterprises Ltd</v>
      </c>
      <c r="C431" s="51">
        <f>IFERROR(__xludf.DUMMYFUNCTION("IFERROR(GOOGLEFINANCE(A431,""CHANGE""),)"),0.0)</f>
        <v>0</v>
      </c>
      <c r="D431" s="51">
        <f>IFERROR(__xludf.DUMMYFUNCTION("IFERROR(GOOGLEFINANCE(A431,""CHANGEPCT""),)"),0.0)</f>
        <v>0</v>
      </c>
      <c r="E431" s="51" t="str">
        <f t="shared" si="1"/>
        <v>0%</v>
      </c>
      <c r="F431" s="51" t="str">
        <f t="shared" si="2"/>
        <v/>
      </c>
      <c r="G431" s="51" t="str">
        <f t="shared" si="3"/>
        <v/>
      </c>
      <c r="H431" s="51">
        <f>IFERROR(__xludf.DUMMYFUNCTION("IFERROR(GOOGLEFINANCE(A431,""PRICE""),)"),0.39)</f>
        <v>0.39</v>
      </c>
      <c r="I431" s="52">
        <f>IFERROR(__xludf.DUMMYFUNCTION("IFERROR(GOOGLEFINANCE(A431,""VOLUME""),)"),197550.0)</f>
        <v>197550</v>
      </c>
      <c r="J431" s="51" t="str">
        <f>IFERROR(__xludf.DUMMYFUNCTION("IFERROR(INDEX(SPLIT(A431,"":""),1,2),)"),"FEL")</f>
        <v>FEL</v>
      </c>
      <c r="K431" s="51" t="str">
        <f t="shared" si="4"/>
        <v/>
      </c>
      <c r="L431" s="51" t="str">
        <f t="shared" si="5"/>
        <v/>
      </c>
      <c r="M431" s="51">
        <f t="shared" si="6"/>
        <v>632</v>
      </c>
      <c r="N431" s="53">
        <f>IFERROR(__xludf.DUMMYFUNCTION("IFERROR(GOOGLEFINANCE(A431,""TRADETIME""),)"),46269.64583333333)</f>
        <v>46269.64583</v>
      </c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</row>
    <row r="432" ht="15.75" customHeight="1">
      <c r="A432" s="48" t="s">
        <v>478</v>
      </c>
      <c r="B432" s="48" t="str">
        <f>IFERROR(__xludf.DUMMYFUNCTION("IFERROR(GOOGLEFINANCE(A432,""NAME""),)"),"Future Enterprises Ord Shs")</f>
        <v>Future Enterprises Ord Shs</v>
      </c>
      <c r="C432" s="48">
        <f>IFERROR(__xludf.DUMMYFUNCTION("IFERROR(GOOGLEFINANCE(A432,""CHANGE""),)"),0.0)</f>
        <v>0</v>
      </c>
      <c r="D432" s="48">
        <f>IFERROR(__xludf.DUMMYFUNCTION("IFERROR(GOOGLEFINANCE(A432,""CHANGEPCT""),)"),0.0)</f>
        <v>0</v>
      </c>
      <c r="E432" s="48" t="str">
        <f t="shared" si="1"/>
        <v>0%</v>
      </c>
      <c r="F432" s="48" t="str">
        <f t="shared" si="2"/>
        <v/>
      </c>
      <c r="G432" s="48" t="str">
        <f t="shared" si="3"/>
        <v/>
      </c>
      <c r="H432" s="48">
        <f>IFERROR(__xludf.DUMMYFUNCTION("IFERROR(GOOGLEFINANCE(A432,""PRICE""),)"),2.2)</f>
        <v>2.2</v>
      </c>
      <c r="I432" s="49">
        <f>IFERROR(__xludf.DUMMYFUNCTION("IFERROR(GOOGLEFINANCE(A432,""VOLUME""),)"),2115.0)</f>
        <v>2115</v>
      </c>
      <c r="J432" s="48" t="str">
        <f>IFERROR(__xludf.DUMMYFUNCTION("IFERROR(INDEX(SPLIT(A432,"":""),1,2),)"),"FELDVR")</f>
        <v>FELDVR</v>
      </c>
      <c r="K432" s="48" t="str">
        <f t="shared" si="4"/>
        <v/>
      </c>
      <c r="L432" s="48" t="str">
        <f t="shared" si="5"/>
        <v/>
      </c>
      <c r="M432" s="48">
        <f t="shared" si="6"/>
        <v>1391</v>
      </c>
      <c r="N432" s="50">
        <f>IFERROR(__xludf.DUMMYFUNCTION("IFERROR(GOOGLEFINANCE(A432,""TRADETIME""),)"),46269.64583333333)</f>
        <v>46269.64583</v>
      </c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</row>
    <row r="433" ht="15.75" customHeight="1">
      <c r="A433" s="51" t="s">
        <v>479</v>
      </c>
      <c r="B433" s="51" t="str">
        <f>IFERROR(__xludf.DUMMYFUNCTION("IFERROR(GOOGLEFINANCE(A433,""NAME""),)"),"Fiem Industries Ltd")</f>
        <v>Fiem Industries Ltd</v>
      </c>
      <c r="C433" s="51">
        <f>IFERROR(__xludf.DUMMYFUNCTION("IFERROR(GOOGLEFINANCE(A433,""CHANGE""),)"),50.1)</f>
        <v>50.1</v>
      </c>
      <c r="D433" s="51">
        <f>IFERROR(__xludf.DUMMYFUNCTION("IFERROR(GOOGLEFINANCE(A433,""CHANGEPCT""),)"),2.46)</f>
        <v>2.46</v>
      </c>
      <c r="E433" s="51" t="str">
        <f t="shared" si="1"/>
        <v>2.46%</v>
      </c>
      <c r="F433" s="51">
        <f t="shared" si="2"/>
        <v>2.46</v>
      </c>
      <c r="G433" s="51" t="str">
        <f t="shared" si="3"/>
        <v/>
      </c>
      <c r="H433" s="51">
        <f>IFERROR(__xludf.DUMMYFUNCTION("IFERROR(GOOGLEFINANCE(A433,""PRICE""),)"),2087.0)</f>
        <v>2087</v>
      </c>
      <c r="I433" s="52">
        <f>IFERROR(__xludf.DUMMYFUNCTION("IFERROR(GOOGLEFINANCE(A433,""VOLUME""),)"),46943.0)</f>
        <v>46943</v>
      </c>
      <c r="J433" s="51" t="str">
        <f>IFERROR(__xludf.DUMMYFUNCTION("IFERROR(INDEX(SPLIT(A433,"":""),1,2),)"),"FIEMIND")</f>
        <v>FIEMIND</v>
      </c>
      <c r="K433" s="51">
        <f t="shared" si="4"/>
        <v>211</v>
      </c>
      <c r="L433" s="51" t="str">
        <f t="shared" si="5"/>
        <v/>
      </c>
      <c r="M433" s="51">
        <f t="shared" si="6"/>
        <v>961</v>
      </c>
      <c r="N433" s="53">
        <f>IFERROR(__xludf.DUMMYFUNCTION("IFERROR(GOOGLEFINANCE(A433,""TRADETIME""),)"),46269.64583333333)</f>
        <v>46269.64583</v>
      </c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</row>
    <row r="434" ht="15.75" customHeight="1">
      <c r="A434" s="48" t="s">
        <v>480</v>
      </c>
      <c r="B434" s="48" t="str">
        <f>IFERROR(__xludf.DUMMYFUNCTION("IFERROR(GOOGLEFINANCE(A434,""NAME""),)"),"Filatex India Ltd")</f>
        <v>Filatex India Ltd</v>
      </c>
      <c r="C434" s="48">
        <f>IFERROR(__xludf.DUMMYFUNCTION("IFERROR(GOOGLEFINANCE(A434,""CHANGE""),)"),1.38)</f>
        <v>1.38</v>
      </c>
      <c r="D434" s="48">
        <f>IFERROR(__xludf.DUMMYFUNCTION("IFERROR(GOOGLEFINANCE(A434,""CHANGEPCT""),)"),1.8)</f>
        <v>1.8</v>
      </c>
      <c r="E434" s="48" t="str">
        <f t="shared" si="1"/>
        <v>1.8%</v>
      </c>
      <c r="F434" s="48">
        <f t="shared" si="2"/>
        <v>1.8</v>
      </c>
      <c r="G434" s="48" t="str">
        <f t="shared" si="3"/>
        <v/>
      </c>
      <c r="H434" s="48">
        <f>IFERROR(__xludf.DUMMYFUNCTION("IFERROR(GOOGLEFINANCE(A434,""PRICE""),)"),78.1)</f>
        <v>78.1</v>
      </c>
      <c r="I434" s="49">
        <f>IFERROR(__xludf.DUMMYFUNCTION("IFERROR(GOOGLEFINANCE(A434,""VOLUME""),)"),1156499.0)</f>
        <v>1156499</v>
      </c>
      <c r="J434" s="48" t="str">
        <f>IFERROR(__xludf.DUMMYFUNCTION("IFERROR(INDEX(SPLIT(A434,"":""),1,2),)"),"FILATEX")</f>
        <v>FILATEX</v>
      </c>
      <c r="K434" s="48">
        <f t="shared" si="4"/>
        <v>296</v>
      </c>
      <c r="L434" s="48" t="str">
        <f t="shared" si="5"/>
        <v/>
      </c>
      <c r="M434" s="48">
        <f t="shared" si="6"/>
        <v>247</v>
      </c>
      <c r="N434" s="50">
        <f>IFERROR(__xludf.DUMMYFUNCTION("IFERROR(GOOGLEFINANCE(A434,""TRADETIME""),)"),46269.64586805555)</f>
        <v>46269.64587</v>
      </c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</row>
    <row r="435" ht="15.75" customHeight="1">
      <c r="A435" s="51" t="s">
        <v>481</v>
      </c>
      <c r="B435" s="51" t="str">
        <f>IFERROR(__xludf.DUMMYFUNCTION("IFERROR(GOOGLEFINANCE(A435,""NAME""),)"),"Finolex Cables Ltd")</f>
        <v>Finolex Cables Ltd</v>
      </c>
      <c r="C435" s="51">
        <f>IFERROR(__xludf.DUMMYFUNCTION("IFERROR(GOOGLEFINANCE(A435,""CHANGE""),)"),-47.9)</f>
        <v>-47.9</v>
      </c>
      <c r="D435" s="51">
        <f>IFERROR(__xludf.DUMMYFUNCTION("IFERROR(GOOGLEFINANCE(A435,""CHANGEPCT""),)"),-3.76)</f>
        <v>-3.76</v>
      </c>
      <c r="E435" s="51" t="str">
        <f t="shared" si="1"/>
        <v>-3.76%</v>
      </c>
      <c r="F435" s="51" t="str">
        <f t="shared" si="2"/>
        <v/>
      </c>
      <c r="G435" s="51">
        <f t="shared" si="3"/>
        <v>-3.76</v>
      </c>
      <c r="H435" s="51">
        <f>IFERROR(__xludf.DUMMYFUNCTION("IFERROR(GOOGLEFINANCE(A435,""PRICE""),)"),1225.0)</f>
        <v>1225</v>
      </c>
      <c r="I435" s="52">
        <f>IFERROR(__xludf.DUMMYFUNCTION("IFERROR(GOOGLEFINANCE(A435,""VOLUME""),)"),1492429.0)</f>
        <v>1492429</v>
      </c>
      <c r="J435" s="51" t="str">
        <f>IFERROR(__xludf.DUMMYFUNCTION("IFERROR(INDEX(SPLIT(A435,"":""),1,2),)"),"FINCABLES")</f>
        <v>FINCABLES</v>
      </c>
      <c r="K435" s="51" t="str">
        <f t="shared" si="4"/>
        <v/>
      </c>
      <c r="L435" s="51">
        <f t="shared" si="5"/>
        <v>619</v>
      </c>
      <c r="M435" s="51">
        <f t="shared" si="6"/>
        <v>210</v>
      </c>
      <c r="N435" s="53">
        <f>IFERROR(__xludf.DUMMYFUNCTION("IFERROR(GOOGLEFINANCE(A435,""TRADETIME""),)"),46269.64586805555)</f>
        <v>46269.64587</v>
      </c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</row>
    <row r="436" ht="15.75" customHeight="1">
      <c r="A436" s="48" t="s">
        <v>482</v>
      </c>
      <c r="B436" s="48" t="str">
        <f>IFERROR(__xludf.DUMMYFUNCTION("IFERROR(GOOGLEFINANCE(A436,""NAME""),)"),"Fine Organic Industries Ltd")</f>
        <v>Fine Organic Industries Ltd</v>
      </c>
      <c r="C436" s="48">
        <f>IFERROR(__xludf.DUMMYFUNCTION("IFERROR(GOOGLEFINANCE(A436,""CHANGE""),)"),-36.0)</f>
        <v>-36</v>
      </c>
      <c r="D436" s="48">
        <f>IFERROR(__xludf.DUMMYFUNCTION("IFERROR(GOOGLEFINANCE(A436,""CHANGEPCT""),)"),-0.7)</f>
        <v>-0.7</v>
      </c>
      <c r="E436" s="48" t="str">
        <f t="shared" si="1"/>
        <v>-0.7%</v>
      </c>
      <c r="F436" s="48" t="str">
        <f t="shared" si="2"/>
        <v/>
      </c>
      <c r="G436" s="48">
        <f t="shared" si="3"/>
        <v>-0.7</v>
      </c>
      <c r="H436" s="48">
        <f>IFERROR(__xludf.DUMMYFUNCTION("IFERROR(GOOGLEFINANCE(A436,""PRICE""),)"),5143.5)</f>
        <v>5143.5</v>
      </c>
      <c r="I436" s="49">
        <f>IFERROR(__xludf.DUMMYFUNCTION("IFERROR(GOOGLEFINANCE(A436,""VOLUME""),)"),12034.0)</f>
        <v>12034</v>
      </c>
      <c r="J436" s="48" t="str">
        <f>IFERROR(__xludf.DUMMYFUNCTION("IFERROR(INDEX(SPLIT(A436,"":""),1,2),)"),"FINEORG")</f>
        <v>FINEORG</v>
      </c>
      <c r="K436" s="48" t="str">
        <f t="shared" si="4"/>
        <v/>
      </c>
      <c r="L436" s="48">
        <f t="shared" si="5"/>
        <v>264</v>
      </c>
      <c r="M436" s="48">
        <f t="shared" si="6"/>
        <v>1206</v>
      </c>
      <c r="N436" s="50">
        <f>IFERROR(__xludf.DUMMYFUNCTION("IFERROR(GOOGLEFINANCE(A436,""TRADETIME""),)"),46269.64583333333)</f>
        <v>46269.64583</v>
      </c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</row>
    <row r="437" ht="15.75" customHeight="1">
      <c r="A437" s="51" t="s">
        <v>483</v>
      </c>
      <c r="B437" s="51" t="str">
        <f>IFERROR(__xludf.DUMMYFUNCTION("IFERROR(GOOGLEFINANCE(A437,""NAME""),)"),"Finolex Industries Ltd")</f>
        <v>Finolex Industries Ltd</v>
      </c>
      <c r="C437" s="51">
        <f>IFERROR(__xludf.DUMMYFUNCTION("IFERROR(GOOGLEFINANCE(A437,""CHANGE""),)"),0.05)</f>
        <v>0.05</v>
      </c>
      <c r="D437" s="51">
        <f>IFERROR(__xludf.DUMMYFUNCTION("IFERROR(GOOGLEFINANCE(A437,""CHANGEPCT""),)"),0.03)</f>
        <v>0.03</v>
      </c>
      <c r="E437" s="51" t="str">
        <f t="shared" si="1"/>
        <v>0.03%</v>
      </c>
      <c r="F437" s="51">
        <f t="shared" si="2"/>
        <v>0.03</v>
      </c>
      <c r="G437" s="51" t="str">
        <f t="shared" si="3"/>
        <v/>
      </c>
      <c r="H437" s="51">
        <f>IFERROR(__xludf.DUMMYFUNCTION("IFERROR(GOOGLEFINANCE(A437,""PRICE""),)"),158.95)</f>
        <v>158.95</v>
      </c>
      <c r="I437" s="52">
        <f>IFERROR(__xludf.DUMMYFUNCTION("IFERROR(GOOGLEFINANCE(A437,""VOLUME""),)"),507087.0)</f>
        <v>507087</v>
      </c>
      <c r="J437" s="51" t="str">
        <f>IFERROR(__xludf.DUMMYFUNCTION("IFERROR(INDEX(SPLIT(A437,"":""),1,2),)"),"FINPIPE")</f>
        <v>FINPIPE</v>
      </c>
      <c r="K437" s="51">
        <f t="shared" si="4"/>
        <v>764</v>
      </c>
      <c r="L437" s="51" t="str">
        <f t="shared" si="5"/>
        <v/>
      </c>
      <c r="M437" s="51">
        <f t="shared" si="6"/>
        <v>389</v>
      </c>
      <c r="N437" s="53">
        <f>IFERROR(__xludf.DUMMYFUNCTION("IFERROR(GOOGLEFINANCE(A437,""TRADETIME""),)"),46269.64583333333)</f>
        <v>46269.64583</v>
      </c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</row>
    <row r="438" ht="15.75" customHeight="1">
      <c r="A438" s="48" t="s">
        <v>484</v>
      </c>
      <c r="B438" s="48" t="str">
        <f>IFERROR(__xludf.DUMMYFUNCTION("IFERROR(GOOGLEFINANCE(A438,""NAME""),)"),"Flexituff Ventures International Ltd")</f>
        <v>Flexituff Ventures International Ltd</v>
      </c>
      <c r="C438" s="48">
        <f>IFERROR(__xludf.DUMMYFUNCTION("IFERROR(GOOGLEFINANCE(A438,""CHANGE""),)"),-0.11)</f>
        <v>-0.11</v>
      </c>
      <c r="D438" s="48">
        <f>IFERROR(__xludf.DUMMYFUNCTION("IFERROR(GOOGLEFINANCE(A438,""CHANGEPCT""),)"),-4.58)</f>
        <v>-4.58</v>
      </c>
      <c r="E438" s="48" t="str">
        <f t="shared" si="1"/>
        <v>-4.58%</v>
      </c>
      <c r="F438" s="48" t="str">
        <f t="shared" si="2"/>
        <v/>
      </c>
      <c r="G438" s="48">
        <f t="shared" si="3"/>
        <v>-4.58</v>
      </c>
      <c r="H438" s="48">
        <f>IFERROR(__xludf.DUMMYFUNCTION("IFERROR(GOOGLEFINANCE(A438,""PRICE""),)"),2.29)</f>
        <v>2.29</v>
      </c>
      <c r="I438" s="49">
        <f>IFERROR(__xludf.DUMMYFUNCTION("IFERROR(GOOGLEFINANCE(A438,""VOLUME""),)"),98460.0)</f>
        <v>98460</v>
      </c>
      <c r="J438" s="48" t="str">
        <f>IFERROR(__xludf.DUMMYFUNCTION("IFERROR(INDEX(SPLIT(A438,"":""),1,2),)"),"FLEXITUFF")</f>
        <v>FLEXITUFF</v>
      </c>
      <c r="K438" s="48" t="str">
        <f t="shared" si="4"/>
        <v/>
      </c>
      <c r="L438" s="48">
        <f t="shared" si="5"/>
        <v>632</v>
      </c>
      <c r="M438" s="48">
        <f t="shared" si="6"/>
        <v>771</v>
      </c>
      <c r="N438" s="50">
        <f>IFERROR(__xludf.DUMMYFUNCTION("IFERROR(GOOGLEFINANCE(A438,""TRADETIME""),)"),46269.64583333333)</f>
        <v>46269.64583</v>
      </c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</row>
    <row r="439" ht="15.75" customHeight="1">
      <c r="A439" s="51" t="s">
        <v>485</v>
      </c>
      <c r="B439" s="51" t="str">
        <f>IFERROR(__xludf.DUMMYFUNCTION("IFERROR(GOOGLEFINANCE(A439,""NAME""),)"),"Future Lifestyle Fashions Ltd")</f>
        <v>Future Lifestyle Fashions Ltd</v>
      </c>
      <c r="C439" s="51">
        <f>IFERROR(__xludf.DUMMYFUNCTION("IFERROR(GOOGLEFINANCE(A439,""CHANGE""),)"),0.03)</f>
        <v>0.03</v>
      </c>
      <c r="D439" s="51">
        <f>IFERROR(__xludf.DUMMYFUNCTION("IFERROR(GOOGLEFINANCE(A439,""CHANGEPCT""),)"),2.46)</f>
        <v>2.46</v>
      </c>
      <c r="E439" s="51" t="str">
        <f t="shared" si="1"/>
        <v>2.46%</v>
      </c>
      <c r="F439" s="51">
        <f t="shared" si="2"/>
        <v>2.46</v>
      </c>
      <c r="G439" s="51" t="str">
        <f t="shared" si="3"/>
        <v/>
      </c>
      <c r="H439" s="51">
        <f>IFERROR(__xludf.DUMMYFUNCTION("IFERROR(GOOGLEFINANCE(A439,""PRICE""),)"),1.25)</f>
        <v>1.25</v>
      </c>
      <c r="I439" s="52">
        <f>IFERROR(__xludf.DUMMYFUNCTION("IFERROR(GOOGLEFINANCE(A439,""VOLUME""),)"),107261.0)</f>
        <v>107261</v>
      </c>
      <c r="J439" s="51" t="str">
        <f>IFERROR(__xludf.DUMMYFUNCTION("IFERROR(INDEX(SPLIT(A439,"":""),1,2),)"),"FLFL")</f>
        <v>FLFL</v>
      </c>
      <c r="K439" s="51">
        <f t="shared" si="4"/>
        <v>212</v>
      </c>
      <c r="L439" s="51" t="str">
        <f t="shared" si="5"/>
        <v/>
      </c>
      <c r="M439" s="51">
        <f t="shared" si="6"/>
        <v>754</v>
      </c>
      <c r="N439" s="53">
        <f>IFERROR(__xludf.DUMMYFUNCTION("IFERROR(GOOGLEFINANCE(A439,""TRADETIME""),)"),46269.64583333333)</f>
        <v>46269.64583</v>
      </c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</row>
    <row r="440" ht="15.75" customHeight="1">
      <c r="A440" s="48" t="s">
        <v>486</v>
      </c>
      <c r="B440" s="48" t="str">
        <f>IFERROR(__xludf.DUMMYFUNCTION("IFERROR(GOOGLEFINANCE(A440,""NAME""),)"),"Gujarat Fluorochemicals Ltd")</f>
        <v>Gujarat Fluorochemicals Ltd</v>
      </c>
      <c r="C440" s="48">
        <f>IFERROR(__xludf.DUMMYFUNCTION("IFERROR(GOOGLEFINANCE(A440,""CHANGE""),)"),-129.6)</f>
        <v>-129.6</v>
      </c>
      <c r="D440" s="48">
        <f>IFERROR(__xludf.DUMMYFUNCTION("IFERROR(GOOGLEFINANCE(A440,""CHANGEPCT""),)"),-2.76)</f>
        <v>-2.76</v>
      </c>
      <c r="E440" s="48" t="str">
        <f t="shared" si="1"/>
        <v>-2.76%</v>
      </c>
      <c r="F440" s="48" t="str">
        <f t="shared" si="2"/>
        <v/>
      </c>
      <c r="G440" s="48">
        <f t="shared" si="3"/>
        <v>-2.76</v>
      </c>
      <c r="H440" s="48">
        <f>IFERROR(__xludf.DUMMYFUNCTION("IFERROR(GOOGLEFINANCE(A440,""PRICE""),)"),4565.0)</f>
        <v>4565</v>
      </c>
      <c r="I440" s="49">
        <f>IFERROR(__xludf.DUMMYFUNCTION("IFERROR(GOOGLEFINANCE(A440,""VOLUME""),)"),473510.0)</f>
        <v>473510</v>
      </c>
      <c r="J440" s="48" t="str">
        <f>IFERROR(__xludf.DUMMYFUNCTION("IFERROR(INDEX(SPLIT(A440,"":""),1,2),)"),"FLUOROCHEM")</f>
        <v>FLUOROCHEM</v>
      </c>
      <c r="K440" s="48" t="str">
        <f t="shared" si="4"/>
        <v/>
      </c>
      <c r="L440" s="48">
        <f t="shared" si="5"/>
        <v>585</v>
      </c>
      <c r="M440" s="48">
        <f t="shared" si="6"/>
        <v>407</v>
      </c>
      <c r="N440" s="50">
        <f>IFERROR(__xludf.DUMMYFUNCTION("IFERROR(GOOGLEFINANCE(A440,""TRADETIME""),)"),46269.64583333333)</f>
        <v>46269.64583</v>
      </c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</row>
    <row r="441" ht="15.75" customHeight="1">
      <c r="A441" s="51" t="s">
        <v>487</v>
      </c>
      <c r="B441" s="51" t="str">
        <f>IFERROR(__xludf.DUMMYFUNCTION("IFERROR(GOOGLEFINANCE(A441,""NAME""),)"),"Globe Enterprises (India) Ltd")</f>
        <v>Globe Enterprises (India) Ltd</v>
      </c>
      <c r="C441" s="51">
        <f>IFERROR(__xludf.DUMMYFUNCTION("IFERROR(GOOGLEFINANCE(A441,""CHANGE""),)"),-0.01)</f>
        <v>-0.01</v>
      </c>
      <c r="D441" s="51">
        <f>IFERROR(__xludf.DUMMYFUNCTION("IFERROR(GOOGLEFINANCE(A441,""CHANGEPCT""),)"),-0.52)</f>
        <v>-0.52</v>
      </c>
      <c r="E441" s="51" t="str">
        <f t="shared" si="1"/>
        <v>-0.52%</v>
      </c>
      <c r="F441" s="51" t="str">
        <f t="shared" si="2"/>
        <v/>
      </c>
      <c r="G441" s="51">
        <f t="shared" si="3"/>
        <v>-0.52</v>
      </c>
      <c r="H441" s="51">
        <f>IFERROR(__xludf.DUMMYFUNCTION("IFERROR(GOOGLEFINANCE(A441,""PRICE""),)"),1.9)</f>
        <v>1.9</v>
      </c>
      <c r="I441" s="52">
        <f>IFERROR(__xludf.DUMMYFUNCTION("IFERROR(GOOGLEFINANCE(A441,""VOLUME""),)"),440779.0)</f>
        <v>440779</v>
      </c>
      <c r="J441" s="51" t="str">
        <f>IFERROR(__xludf.DUMMYFUNCTION("IFERROR(INDEX(SPLIT(A441,"":""),1,2),)"),"GLOBE")</f>
        <v>GLOBE</v>
      </c>
      <c r="K441" s="51" t="str">
        <f t="shared" si="4"/>
        <v/>
      </c>
      <c r="L441" s="51">
        <f t="shared" si="5"/>
        <v>202</v>
      </c>
      <c r="M441" s="51">
        <f t="shared" si="6"/>
        <v>426</v>
      </c>
      <c r="N441" s="53">
        <f>IFERROR(__xludf.DUMMYFUNCTION("IFERROR(GOOGLEFINANCE(A441,""TRADETIME""),)"),46269.64583333333)</f>
        <v>46269.64583</v>
      </c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</row>
    <row r="442" ht="15.75" customHeight="1">
      <c r="A442" s="48" t="s">
        <v>488</v>
      </c>
      <c r="B442" s="48" t="str">
        <f>IFERROR(__xludf.DUMMYFUNCTION("IFERROR(GOOGLEFINANCE(A442,""NAME""),)"),"Future Market Networks Ltd")</f>
        <v>Future Market Networks Ltd</v>
      </c>
      <c r="C442" s="48">
        <f>IFERROR(__xludf.DUMMYFUNCTION("IFERROR(GOOGLEFINANCE(A442,""CHANGE""),)"),0.48)</f>
        <v>0.48</v>
      </c>
      <c r="D442" s="48">
        <f>IFERROR(__xludf.DUMMYFUNCTION("IFERROR(GOOGLEFINANCE(A442,""CHANGEPCT""),)"),4.99)</f>
        <v>4.99</v>
      </c>
      <c r="E442" s="48" t="str">
        <f t="shared" si="1"/>
        <v>4.99%</v>
      </c>
      <c r="F442" s="48">
        <f t="shared" si="2"/>
        <v>4.99</v>
      </c>
      <c r="G442" s="48" t="str">
        <f t="shared" si="3"/>
        <v/>
      </c>
      <c r="H442" s="48">
        <f>IFERROR(__xludf.DUMMYFUNCTION("IFERROR(GOOGLEFINANCE(A442,""PRICE""),)"),10.1)</f>
        <v>10.1</v>
      </c>
      <c r="I442" s="49">
        <f>IFERROR(__xludf.DUMMYFUNCTION("IFERROR(GOOGLEFINANCE(A442,""VOLUME""),)"),18463.0)</f>
        <v>18463</v>
      </c>
      <c r="J442" s="48" t="str">
        <f>IFERROR(__xludf.DUMMYFUNCTION("IFERROR(INDEX(SPLIT(A442,"":""),1,2),)"),"FMNL")</f>
        <v>FMNL</v>
      </c>
      <c r="K442" s="48">
        <f t="shared" si="4"/>
        <v>66</v>
      </c>
      <c r="L442" s="48" t="str">
        <f t="shared" si="5"/>
        <v/>
      </c>
      <c r="M442" s="48">
        <f t="shared" si="6"/>
        <v>1141</v>
      </c>
      <c r="N442" s="50">
        <f>IFERROR(__xludf.DUMMYFUNCTION("IFERROR(GOOGLEFINANCE(A442,""TRADETIME""),)"),46269.64583333333)</f>
        <v>46269.64583</v>
      </c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</row>
    <row r="443" ht="15.75" customHeight="1">
      <c r="A443" s="51" t="s">
        <v>489</v>
      </c>
      <c r="B443" s="51" t="str">
        <f>IFERROR(__xludf.DUMMYFUNCTION("IFERROR(GOOGLEFINANCE(A443,""NAME""),)"),"Force Motors Ltd")</f>
        <v>Force Motors Ltd</v>
      </c>
      <c r="C443" s="51">
        <f>IFERROR(__xludf.DUMMYFUNCTION("IFERROR(GOOGLEFINANCE(A443,""CHANGE""),)"),90.0)</f>
        <v>90</v>
      </c>
      <c r="D443" s="51">
        <f>IFERROR(__xludf.DUMMYFUNCTION("IFERROR(GOOGLEFINANCE(A443,""CHANGEPCT""),)"),0.51)</f>
        <v>0.51</v>
      </c>
      <c r="E443" s="51" t="str">
        <f t="shared" si="1"/>
        <v>0.51%</v>
      </c>
      <c r="F443" s="51">
        <f t="shared" si="2"/>
        <v>0.51</v>
      </c>
      <c r="G443" s="51" t="str">
        <f t="shared" si="3"/>
        <v/>
      </c>
      <c r="H443" s="51">
        <f>IFERROR(__xludf.DUMMYFUNCTION("IFERROR(GOOGLEFINANCE(A443,""PRICE""),)"),17590.0)</f>
        <v>17590</v>
      </c>
      <c r="I443" s="52">
        <f>IFERROR(__xludf.DUMMYFUNCTION("IFERROR(GOOGLEFINANCE(A443,""VOLUME""),)"),47840.0)</f>
        <v>47840</v>
      </c>
      <c r="J443" s="51" t="str">
        <f>IFERROR(__xludf.DUMMYFUNCTION("IFERROR(INDEX(SPLIT(A443,"":""),1,2),)"),"FORCEMOT")</f>
        <v>FORCEMOT</v>
      </c>
      <c r="K443" s="51">
        <f t="shared" si="4"/>
        <v>588</v>
      </c>
      <c r="L443" s="51" t="str">
        <f t="shared" si="5"/>
        <v/>
      </c>
      <c r="M443" s="51">
        <f t="shared" si="6"/>
        <v>959</v>
      </c>
      <c r="N443" s="53">
        <f>IFERROR(__xludf.DUMMYFUNCTION("IFERROR(GOOGLEFINANCE(A443,""TRADETIME""),)"),46269.64583333333)</f>
        <v>46269.64583</v>
      </c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</row>
    <row r="444" ht="15.75" customHeight="1">
      <c r="A444" s="48" t="s">
        <v>490</v>
      </c>
      <c r="B444" s="48" t="str">
        <f>IFERROR(__xludf.DUMMYFUNCTION("IFERROR(GOOGLEFINANCE(A444,""NAME""),)"),"Fortis Healthcare Ltd")</f>
        <v>Fortis Healthcare Ltd</v>
      </c>
      <c r="C444" s="48">
        <f>IFERROR(__xludf.DUMMYFUNCTION("IFERROR(GOOGLEFINANCE(A444,""CHANGE""),)"),-12.5)</f>
        <v>-12.5</v>
      </c>
      <c r="D444" s="48">
        <f>IFERROR(__xludf.DUMMYFUNCTION("IFERROR(GOOGLEFINANCE(A444,""CHANGEPCT""),)"),-1.36)</f>
        <v>-1.36</v>
      </c>
      <c r="E444" s="48" t="str">
        <f t="shared" si="1"/>
        <v>-1.36%</v>
      </c>
      <c r="F444" s="48" t="str">
        <f t="shared" si="2"/>
        <v/>
      </c>
      <c r="G444" s="48">
        <f t="shared" si="3"/>
        <v>-1.36</v>
      </c>
      <c r="H444" s="48">
        <f>IFERROR(__xludf.DUMMYFUNCTION("IFERROR(GOOGLEFINANCE(A444,""PRICE""),)"),905.0)</f>
        <v>905</v>
      </c>
      <c r="I444" s="49">
        <f>IFERROR(__xludf.DUMMYFUNCTION("IFERROR(GOOGLEFINANCE(A444,""VOLUME""),)"),627470.0)</f>
        <v>627470</v>
      </c>
      <c r="J444" s="48" t="str">
        <f>IFERROR(__xludf.DUMMYFUNCTION("IFERROR(INDEX(SPLIT(A444,"":""),1,2),)"),"FORTIS")</f>
        <v>FORTIS</v>
      </c>
      <c r="K444" s="48" t="str">
        <f t="shared" si="4"/>
        <v/>
      </c>
      <c r="L444" s="48">
        <f t="shared" si="5"/>
        <v>419</v>
      </c>
      <c r="M444" s="48">
        <f t="shared" si="6"/>
        <v>347</v>
      </c>
      <c r="N444" s="50">
        <f>IFERROR(__xludf.DUMMYFUNCTION("IFERROR(GOOGLEFINANCE(A444,""TRADETIME""),)"),46269.64583333333)</f>
        <v>46269.64583</v>
      </c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</row>
    <row r="445" ht="15.75" customHeight="1">
      <c r="A445" s="51" t="s">
        <v>491</v>
      </c>
      <c r="B445" s="51" t="str">
        <f>IFERROR(__xludf.DUMMYFUNCTION("IFERROR(GOOGLEFINANCE(A445,""NAME""),)"),"Foseco India Ltd")</f>
        <v>Foseco India Ltd</v>
      </c>
      <c r="C445" s="51">
        <f>IFERROR(__xludf.DUMMYFUNCTION("IFERROR(GOOGLEFINANCE(A445,""CHANGE""),)"),-113.5)</f>
        <v>-113.5</v>
      </c>
      <c r="D445" s="51">
        <f>IFERROR(__xludf.DUMMYFUNCTION("IFERROR(GOOGLEFINANCE(A445,""CHANGEPCT""),)"),-1.78)</f>
        <v>-1.78</v>
      </c>
      <c r="E445" s="51" t="str">
        <f t="shared" si="1"/>
        <v>-1.78%</v>
      </c>
      <c r="F445" s="51" t="str">
        <f t="shared" si="2"/>
        <v/>
      </c>
      <c r="G445" s="51">
        <f t="shared" si="3"/>
        <v>-1.78</v>
      </c>
      <c r="H445" s="51">
        <f>IFERROR(__xludf.DUMMYFUNCTION("IFERROR(GOOGLEFINANCE(A445,""PRICE""),)"),6259.0)</f>
        <v>6259</v>
      </c>
      <c r="I445" s="52">
        <f>IFERROR(__xludf.DUMMYFUNCTION("IFERROR(GOOGLEFINANCE(A445,""VOLUME""),)"),7937.0)</f>
        <v>7937</v>
      </c>
      <c r="J445" s="51" t="str">
        <f>IFERROR(__xludf.DUMMYFUNCTION("IFERROR(INDEX(SPLIT(A445,"":""),1,2),)"),"FOSECOIND")</f>
        <v>FOSECOIND</v>
      </c>
      <c r="K445" s="51" t="str">
        <f t="shared" si="4"/>
        <v/>
      </c>
      <c r="L445" s="51">
        <f t="shared" si="5"/>
        <v>489</v>
      </c>
      <c r="M445" s="51">
        <f t="shared" si="6"/>
        <v>1264</v>
      </c>
      <c r="N445" s="53">
        <f>IFERROR(__xludf.DUMMYFUNCTION("IFERROR(GOOGLEFINANCE(A445,""TRADETIME""),)"),46269.64583333333)</f>
        <v>46269.64583</v>
      </c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</row>
    <row r="446" ht="15.75" customHeight="1">
      <c r="A446" s="48" t="s">
        <v>492</v>
      </c>
      <c r="B446" s="48" t="str">
        <f>IFERROR(__xludf.DUMMYFUNCTION("IFERROR(GOOGLEFINANCE(A446,""NAME""),)"),"")</f>
        <v/>
      </c>
      <c r="C446" s="48" t="str">
        <f>IFERROR(__xludf.DUMMYFUNCTION("IFERROR(GOOGLEFINANCE(A446,""CHANGE""),)"),"")</f>
        <v/>
      </c>
      <c r="D446" s="48" t="str">
        <f>IFERROR(__xludf.DUMMYFUNCTION("IFERROR(GOOGLEFINANCE(A446,""CHANGEPCT""),)"),"")</f>
        <v/>
      </c>
      <c r="E446" s="48" t="str">
        <f t="shared" si="1"/>
        <v>%</v>
      </c>
      <c r="F446" s="48" t="str">
        <f t="shared" si="2"/>
        <v/>
      </c>
      <c r="G446" s="48" t="str">
        <f t="shared" si="3"/>
        <v/>
      </c>
      <c r="H446" s="48" t="str">
        <f>IFERROR(__xludf.DUMMYFUNCTION("IFERROR(GOOGLEFINANCE(A446,""PRICE""),)"),"")</f>
        <v/>
      </c>
      <c r="I446" s="49" t="str">
        <f>IFERROR(__xludf.DUMMYFUNCTION("IFERROR(GOOGLEFINANCE(A446,""VOLUME""),)"),"")</f>
        <v/>
      </c>
      <c r="J446" s="48" t="str">
        <f>IFERROR(__xludf.DUMMYFUNCTION("IFERROR(INDEX(SPLIT(A446,"":""),1,2),)"),"FRETAIL")</f>
        <v>FRETAIL</v>
      </c>
      <c r="K446" s="48" t="str">
        <f t="shared" si="4"/>
        <v/>
      </c>
      <c r="L446" s="48" t="str">
        <f t="shared" si="5"/>
        <v/>
      </c>
      <c r="M446" s="48">
        <f t="shared" si="6"/>
        <v>1456</v>
      </c>
      <c r="N446" s="50" t="str">
        <f>IFERROR(__xludf.DUMMYFUNCTION("IFERROR(GOOGLEFINANCE(A446,""TRADETIME""),)"),"")</f>
        <v/>
      </c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</row>
    <row r="447" ht="15.75" customHeight="1">
      <c r="A447" s="51" t="s">
        <v>493</v>
      </c>
      <c r="B447" s="51" t="str">
        <f>IFERROR(__xludf.DUMMYFUNCTION("IFERROR(GOOGLEFINANCE(A447,""NAME""),)"),"")</f>
        <v/>
      </c>
      <c r="C447" s="51" t="str">
        <f>IFERROR(__xludf.DUMMYFUNCTION("IFERROR(GOOGLEFINANCE(A447,""CHANGE""),)"),"")</f>
        <v/>
      </c>
      <c r="D447" s="51" t="str">
        <f>IFERROR(__xludf.DUMMYFUNCTION("IFERROR(GOOGLEFINANCE(A447,""CHANGEPCT""),)"),"")</f>
        <v/>
      </c>
      <c r="E447" s="51" t="str">
        <f t="shared" si="1"/>
        <v>%</v>
      </c>
      <c r="F447" s="51" t="str">
        <f t="shared" si="2"/>
        <v/>
      </c>
      <c r="G447" s="51" t="str">
        <f t="shared" si="3"/>
        <v/>
      </c>
      <c r="H447" s="51" t="str">
        <f>IFERROR(__xludf.DUMMYFUNCTION("IFERROR(GOOGLEFINANCE(A447,""PRICE""),)"),"")</f>
        <v/>
      </c>
      <c r="I447" s="52" t="str">
        <f>IFERROR(__xludf.DUMMYFUNCTION("IFERROR(GOOGLEFINANCE(A447,""VOLUME""),)"),"")</f>
        <v/>
      </c>
      <c r="J447" s="51" t="str">
        <f>IFERROR(__xludf.DUMMYFUNCTION("IFERROR(INDEX(SPLIT(A447,"":""),1,2),)"),"FSC")</f>
        <v>FSC</v>
      </c>
      <c r="K447" s="51" t="str">
        <f t="shared" si="4"/>
        <v/>
      </c>
      <c r="L447" s="51" t="str">
        <f t="shared" si="5"/>
        <v/>
      </c>
      <c r="M447" s="51">
        <f t="shared" si="6"/>
        <v>1456</v>
      </c>
      <c r="N447" s="53" t="str">
        <f>IFERROR(__xludf.DUMMYFUNCTION("IFERROR(GOOGLEFINANCE(A447,""TRADETIME""),)"),"")</f>
        <v/>
      </c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</row>
    <row r="448" ht="15.75" customHeight="1">
      <c r="A448" s="48" t="s">
        <v>494</v>
      </c>
      <c r="B448" s="48" t="str">
        <f>IFERROR(__xludf.DUMMYFUNCTION("IFERROR(GOOGLEFINANCE(A448,""NAME""),)"),"Firstsource Solutions Ltd")</f>
        <v>Firstsource Solutions Ltd</v>
      </c>
      <c r="C448" s="48">
        <f>IFERROR(__xludf.DUMMYFUNCTION("IFERROR(GOOGLEFINANCE(A448,""CHANGE""),)"),-1.3)</f>
        <v>-1.3</v>
      </c>
      <c r="D448" s="48">
        <f>IFERROR(__xludf.DUMMYFUNCTION("IFERROR(GOOGLEFINANCE(A448,""CHANGEPCT""),)"),-0.49)</f>
        <v>-0.49</v>
      </c>
      <c r="E448" s="48" t="str">
        <f t="shared" si="1"/>
        <v>-0.49%</v>
      </c>
      <c r="F448" s="48" t="str">
        <f t="shared" si="2"/>
        <v/>
      </c>
      <c r="G448" s="48">
        <f t="shared" si="3"/>
        <v>-0.49</v>
      </c>
      <c r="H448" s="48">
        <f>IFERROR(__xludf.DUMMYFUNCTION("IFERROR(GOOGLEFINANCE(A448,""PRICE""),)"),264.0)</f>
        <v>264</v>
      </c>
      <c r="I448" s="49">
        <f>IFERROR(__xludf.DUMMYFUNCTION("IFERROR(GOOGLEFINANCE(A448,""VOLUME""),)"),942732.0)</f>
        <v>942732</v>
      </c>
      <c r="J448" s="48" t="str">
        <f>IFERROR(__xludf.DUMMYFUNCTION("IFERROR(INDEX(SPLIT(A448,"":""),1,2),)"),"FSL")</f>
        <v>FSL</v>
      </c>
      <c r="K448" s="48" t="str">
        <f t="shared" si="4"/>
        <v/>
      </c>
      <c r="L448" s="48">
        <f t="shared" si="5"/>
        <v>192</v>
      </c>
      <c r="M448" s="48">
        <f t="shared" si="6"/>
        <v>287</v>
      </c>
      <c r="N448" s="50">
        <f>IFERROR(__xludf.DUMMYFUNCTION("IFERROR(GOOGLEFINANCE(A448,""TRADETIME""),)"),46269.64586805555)</f>
        <v>46269.64587</v>
      </c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</row>
    <row r="449" ht="15.75" customHeight="1">
      <c r="A449" s="51" t="s">
        <v>495</v>
      </c>
      <c r="B449" s="51" t="str">
        <f>IFERROR(__xludf.DUMMYFUNCTION("IFERROR(GOOGLEFINANCE(A449,""NAME""),)"),"Gabriel India Ltd")</f>
        <v>Gabriel India Ltd</v>
      </c>
      <c r="C449" s="51">
        <f>IFERROR(__xludf.DUMMYFUNCTION("IFERROR(GOOGLEFINANCE(A449,""CHANGE""),)"),9.7)</f>
        <v>9.7</v>
      </c>
      <c r="D449" s="51">
        <f>IFERROR(__xludf.DUMMYFUNCTION("IFERROR(GOOGLEFINANCE(A449,""CHANGEPCT""),)"),0.72)</f>
        <v>0.72</v>
      </c>
      <c r="E449" s="51" t="str">
        <f t="shared" si="1"/>
        <v>0.72%</v>
      </c>
      <c r="F449" s="51">
        <f t="shared" si="2"/>
        <v>0.72</v>
      </c>
      <c r="G449" s="51" t="str">
        <f t="shared" si="3"/>
        <v/>
      </c>
      <c r="H449" s="51">
        <f>IFERROR(__xludf.DUMMYFUNCTION("IFERROR(GOOGLEFINANCE(A449,""PRICE""),)"),1355.5)</f>
        <v>1355.5</v>
      </c>
      <c r="I449" s="52">
        <f>IFERROR(__xludf.DUMMYFUNCTION("IFERROR(GOOGLEFINANCE(A449,""VOLUME""),)"),208239.0)</f>
        <v>208239</v>
      </c>
      <c r="J449" s="51" t="str">
        <f>IFERROR(__xludf.DUMMYFUNCTION("IFERROR(INDEX(SPLIT(A449,"":""),1,2),)"),"GABRIEL")</f>
        <v>GABRIEL</v>
      </c>
      <c r="K449" s="51">
        <f t="shared" si="4"/>
        <v>524</v>
      </c>
      <c r="L449" s="51" t="str">
        <f t="shared" si="5"/>
        <v/>
      </c>
      <c r="M449" s="51">
        <f t="shared" si="6"/>
        <v>614</v>
      </c>
      <c r="N449" s="53">
        <f>IFERROR(__xludf.DUMMYFUNCTION("IFERROR(GOOGLEFINANCE(A449,""TRADETIME""),)"),46269.64586805555)</f>
        <v>46269.64587</v>
      </c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</row>
    <row r="450" ht="15.75" customHeight="1">
      <c r="A450" s="48" t="s">
        <v>496</v>
      </c>
      <c r="B450" s="48" t="str">
        <f>IFERROR(__xludf.DUMMYFUNCTION("IFERROR(GOOGLEFINANCE(A450,""NAME""),)"),"Gujarat Ambuja Exports Ltd")</f>
        <v>Gujarat Ambuja Exports Ltd</v>
      </c>
      <c r="C450" s="48">
        <f>IFERROR(__xludf.DUMMYFUNCTION("IFERROR(GOOGLEFINANCE(A450,""CHANGE""),)"),-3.38)</f>
        <v>-3.38</v>
      </c>
      <c r="D450" s="48">
        <f>IFERROR(__xludf.DUMMYFUNCTION("IFERROR(GOOGLEFINANCE(A450,""CHANGEPCT""),)"),-1.98)</f>
        <v>-1.98</v>
      </c>
      <c r="E450" s="48" t="str">
        <f t="shared" si="1"/>
        <v>-1.98%</v>
      </c>
      <c r="F450" s="48" t="str">
        <f t="shared" si="2"/>
        <v/>
      </c>
      <c r="G450" s="48">
        <f t="shared" si="3"/>
        <v>-1.98</v>
      </c>
      <c r="H450" s="48">
        <f>IFERROR(__xludf.DUMMYFUNCTION("IFERROR(GOOGLEFINANCE(A450,""PRICE""),)"),167.5)</f>
        <v>167.5</v>
      </c>
      <c r="I450" s="49">
        <f>IFERROR(__xludf.DUMMYFUNCTION("IFERROR(GOOGLEFINANCE(A450,""VOLUME""),)"),466226.0)</f>
        <v>466226</v>
      </c>
      <c r="J450" s="48" t="str">
        <f>IFERROR(__xludf.DUMMYFUNCTION("IFERROR(INDEX(SPLIT(A450,"":""),1,2),)"),"GAEL")</f>
        <v>GAEL</v>
      </c>
      <c r="K450" s="48" t="str">
        <f t="shared" si="4"/>
        <v/>
      </c>
      <c r="L450" s="48">
        <f t="shared" si="5"/>
        <v>528</v>
      </c>
      <c r="M450" s="48">
        <f t="shared" si="6"/>
        <v>415</v>
      </c>
      <c r="N450" s="50">
        <f>IFERROR(__xludf.DUMMYFUNCTION("IFERROR(GOOGLEFINANCE(A450,""TRADETIME""),)"),46269.64583333333)</f>
        <v>46269.64583</v>
      </c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</row>
    <row r="451" ht="15.75" customHeight="1">
      <c r="A451" s="51" t="s">
        <v>497</v>
      </c>
      <c r="B451" s="51" t="str">
        <f>IFERROR(__xludf.DUMMYFUNCTION("IFERROR(GOOGLEFINANCE(A451,""NAME""),)"),"Indo Rama Synthetics (India) Ltd")</f>
        <v>Indo Rama Synthetics (India) Ltd</v>
      </c>
      <c r="C451" s="51">
        <f>IFERROR(__xludf.DUMMYFUNCTION("IFERROR(GOOGLEFINANCE(A451,""CHANGE""),)"),4.63)</f>
        <v>4.63</v>
      </c>
      <c r="D451" s="51">
        <f>IFERROR(__xludf.DUMMYFUNCTION("IFERROR(GOOGLEFINANCE(A451,""CHANGEPCT""),)"),6.72)</f>
        <v>6.72</v>
      </c>
      <c r="E451" s="51" t="str">
        <f t="shared" si="1"/>
        <v>6.72%</v>
      </c>
      <c r="F451" s="51">
        <f t="shared" si="2"/>
        <v>6.72</v>
      </c>
      <c r="G451" s="51" t="str">
        <f t="shared" si="3"/>
        <v/>
      </c>
      <c r="H451" s="51">
        <f>IFERROR(__xludf.DUMMYFUNCTION("IFERROR(GOOGLEFINANCE(A451,""PRICE""),)"),73.5)</f>
        <v>73.5</v>
      </c>
      <c r="I451" s="52">
        <f>IFERROR(__xludf.DUMMYFUNCTION("IFERROR(GOOGLEFINANCE(A451,""VOLUME""),)"),1609101.0)</f>
        <v>1609101</v>
      </c>
      <c r="J451" s="51" t="str">
        <f>IFERROR(__xludf.DUMMYFUNCTION("IFERROR(INDEX(SPLIT(A451,"":""),1,2),)"),"INDORAMA")</f>
        <v>INDORAMA</v>
      </c>
      <c r="K451" s="51">
        <f t="shared" si="4"/>
        <v>26</v>
      </c>
      <c r="L451" s="51" t="str">
        <f t="shared" si="5"/>
        <v/>
      </c>
      <c r="M451" s="51">
        <f t="shared" si="6"/>
        <v>202</v>
      </c>
      <c r="N451" s="53">
        <f>IFERROR(__xludf.DUMMYFUNCTION("IFERROR(GOOGLEFINANCE(A451,""TRADETIME""),)"),46269.64583333333)</f>
        <v>46269.64583</v>
      </c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</row>
    <row r="452" ht="15.75" customHeight="1">
      <c r="A452" s="48" t="s">
        <v>498</v>
      </c>
      <c r="B452" s="48" t="str">
        <f>IFERROR(__xludf.DUMMYFUNCTION("IFERROR(GOOGLEFINANCE(A452,""NAME""),)"),"")</f>
        <v/>
      </c>
      <c r="C452" s="48" t="str">
        <f>IFERROR(__xludf.DUMMYFUNCTION("IFERROR(GOOGLEFINANCE(A452,""CHANGE""),)"),"")</f>
        <v/>
      </c>
      <c r="D452" s="48" t="str">
        <f>IFERROR(__xludf.DUMMYFUNCTION("IFERROR(GOOGLEFINANCE(A452,""CHANGEPCT""),)"),"")</f>
        <v/>
      </c>
      <c r="E452" s="48" t="str">
        <f t="shared" si="1"/>
        <v>%</v>
      </c>
      <c r="F452" s="48" t="str">
        <f t="shared" si="2"/>
        <v/>
      </c>
      <c r="G452" s="48" t="str">
        <f t="shared" si="3"/>
        <v/>
      </c>
      <c r="H452" s="48" t="str">
        <f>IFERROR(__xludf.DUMMYFUNCTION("IFERROR(GOOGLEFINANCE(A452,""PRICE""),)"),"")</f>
        <v/>
      </c>
      <c r="I452" s="49" t="str">
        <f>IFERROR(__xludf.DUMMYFUNCTION("IFERROR(GOOGLEFINANCE(A452,""VOLUME""),)"),"")</f>
        <v/>
      </c>
      <c r="J452" s="48" t="str">
        <f>IFERROR(__xludf.DUMMYFUNCTION("IFERROR(INDEX(SPLIT(A452,"":""),1,2),)"),"GAL")</f>
        <v>GAL</v>
      </c>
      <c r="K452" s="48" t="str">
        <f t="shared" si="4"/>
        <v/>
      </c>
      <c r="L452" s="48" t="str">
        <f t="shared" si="5"/>
        <v/>
      </c>
      <c r="M452" s="48">
        <f t="shared" si="6"/>
        <v>1456</v>
      </c>
      <c r="N452" s="50" t="str">
        <f>IFERROR(__xludf.DUMMYFUNCTION("IFERROR(GOOGLEFINANCE(A452,""TRADETIME""),)"),"")</f>
        <v/>
      </c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</row>
    <row r="453" ht="15.75" customHeight="1">
      <c r="A453" s="51" t="s">
        <v>499</v>
      </c>
      <c r="B453" s="51" t="str">
        <f>IFERROR(__xludf.DUMMYFUNCTION("IFERROR(GOOGLEFINANCE(A453,""NAME""),)"),"Galaxy Surfactants Ltd")</f>
        <v>Galaxy Surfactants Ltd</v>
      </c>
      <c r="C453" s="51">
        <f>IFERROR(__xludf.DUMMYFUNCTION("IFERROR(GOOGLEFINANCE(A453,""CHANGE""),)"),-79.1)</f>
        <v>-79.1</v>
      </c>
      <c r="D453" s="51">
        <f>IFERROR(__xludf.DUMMYFUNCTION("IFERROR(GOOGLEFINANCE(A453,""CHANGEPCT""),)"),-3.51)</f>
        <v>-3.51</v>
      </c>
      <c r="E453" s="51" t="str">
        <f t="shared" si="1"/>
        <v>-3.51%</v>
      </c>
      <c r="F453" s="51" t="str">
        <f t="shared" si="2"/>
        <v/>
      </c>
      <c r="G453" s="51">
        <f t="shared" si="3"/>
        <v>-3.51</v>
      </c>
      <c r="H453" s="51">
        <f>IFERROR(__xludf.DUMMYFUNCTION("IFERROR(GOOGLEFINANCE(A453,""PRICE""),)"),2172.5)</f>
        <v>2172.5</v>
      </c>
      <c r="I453" s="52">
        <f>IFERROR(__xludf.DUMMYFUNCTION("IFERROR(GOOGLEFINANCE(A453,""VOLUME""),)"),43774.0)</f>
        <v>43774</v>
      </c>
      <c r="J453" s="51" t="str">
        <f>IFERROR(__xludf.DUMMYFUNCTION("IFERROR(INDEX(SPLIT(A453,"":""),1,2),)"),"GALAXYSURF")</f>
        <v>GALAXYSURF</v>
      </c>
      <c r="K453" s="51" t="str">
        <f t="shared" si="4"/>
        <v/>
      </c>
      <c r="L453" s="51">
        <f t="shared" si="5"/>
        <v>610</v>
      </c>
      <c r="M453" s="51">
        <f t="shared" si="6"/>
        <v>980</v>
      </c>
      <c r="N453" s="53">
        <f>IFERROR(__xludf.DUMMYFUNCTION("IFERROR(GOOGLEFINANCE(A453,""TRADETIME""),)"),46269.64586805555)</f>
        <v>46269.64587</v>
      </c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</row>
    <row r="454" ht="15.75" customHeight="1">
      <c r="A454" s="48" t="s">
        <v>500</v>
      </c>
      <c r="B454" s="48" t="str">
        <f>IFERROR(__xludf.DUMMYFUNCTION("IFERROR(GOOGLEFINANCE(A454,""NAME""),)"),"Gallantt Ispat Ltd")</f>
        <v>Gallantt Ispat Ltd</v>
      </c>
      <c r="C454" s="48">
        <f>IFERROR(__xludf.DUMMYFUNCTION("IFERROR(GOOGLEFINANCE(A454,""CHANGE""),)"),0.85)</f>
        <v>0.85</v>
      </c>
      <c r="D454" s="48">
        <f>IFERROR(__xludf.DUMMYFUNCTION("IFERROR(GOOGLEFINANCE(A454,""CHANGEPCT""),)"),0.15)</f>
        <v>0.15</v>
      </c>
      <c r="E454" s="48" t="str">
        <f t="shared" si="1"/>
        <v>0.15%</v>
      </c>
      <c r="F454" s="48">
        <f t="shared" si="2"/>
        <v>0.15</v>
      </c>
      <c r="G454" s="48" t="str">
        <f t="shared" si="3"/>
        <v/>
      </c>
      <c r="H454" s="48">
        <f>IFERROR(__xludf.DUMMYFUNCTION("IFERROR(GOOGLEFINANCE(A454,""PRICE""),)"),573.5)</f>
        <v>573.5</v>
      </c>
      <c r="I454" s="49">
        <f>IFERROR(__xludf.DUMMYFUNCTION("IFERROR(GOOGLEFINANCE(A454,""VOLUME""),)"),300142.0)</f>
        <v>300142</v>
      </c>
      <c r="J454" s="48" t="str">
        <f>IFERROR(__xludf.DUMMYFUNCTION("IFERROR(INDEX(SPLIT(A454,"":""),1,2),)"),"GALLANTT")</f>
        <v>GALLANTT</v>
      </c>
      <c r="K454" s="48">
        <f t="shared" si="4"/>
        <v>721</v>
      </c>
      <c r="L454" s="48" t="str">
        <f t="shared" si="5"/>
        <v/>
      </c>
      <c r="M454" s="48">
        <f t="shared" si="6"/>
        <v>517</v>
      </c>
      <c r="N454" s="50">
        <f>IFERROR(__xludf.DUMMYFUNCTION("IFERROR(GOOGLEFINANCE(A454,""TRADETIME""),)"),46269.64583333333)</f>
        <v>46269.64583</v>
      </c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</row>
    <row r="455" ht="15.75" customHeight="1">
      <c r="A455" s="51" t="s">
        <v>501</v>
      </c>
      <c r="B455" s="51" t="str">
        <f>IFERROR(__xludf.DUMMYFUNCTION("IFERROR(GOOGLEFINANCE(A455,""NAME""),)"),"")</f>
        <v/>
      </c>
      <c r="C455" s="51" t="str">
        <f>IFERROR(__xludf.DUMMYFUNCTION("IFERROR(GOOGLEFINANCE(A455,""CHANGE""),)"),"")</f>
        <v/>
      </c>
      <c r="D455" s="51" t="str">
        <f>IFERROR(__xludf.DUMMYFUNCTION("IFERROR(GOOGLEFINANCE(A455,""CHANGEPCT""),)"),"")</f>
        <v/>
      </c>
      <c r="E455" s="51" t="str">
        <f t="shared" si="1"/>
        <v>%</v>
      </c>
      <c r="F455" s="51" t="str">
        <f t="shared" si="2"/>
        <v/>
      </c>
      <c r="G455" s="51" t="str">
        <f t="shared" si="3"/>
        <v/>
      </c>
      <c r="H455" s="51" t="str">
        <f>IFERROR(__xludf.DUMMYFUNCTION("IFERROR(GOOGLEFINANCE(A455,""PRICE""),)"),"")</f>
        <v/>
      </c>
      <c r="I455" s="52" t="str">
        <f>IFERROR(__xludf.DUMMYFUNCTION("IFERROR(GOOGLEFINANCE(A455,""VOLUME""),)"),"")</f>
        <v/>
      </c>
      <c r="J455" s="51" t="str">
        <f>IFERROR(__xludf.DUMMYFUNCTION("IFERROR(INDEX(SPLIT(A455,"":""),1,2),)"),"AJRINFRA")</f>
        <v>AJRINFRA</v>
      </c>
      <c r="K455" s="51" t="str">
        <f t="shared" si="4"/>
        <v/>
      </c>
      <c r="L455" s="51" t="str">
        <f t="shared" si="5"/>
        <v/>
      </c>
      <c r="M455" s="51">
        <f t="shared" si="6"/>
        <v>1456</v>
      </c>
      <c r="N455" s="53" t="str">
        <f>IFERROR(__xludf.DUMMYFUNCTION("IFERROR(GOOGLEFINANCE(A455,""TRADETIME""),)"),"")</f>
        <v/>
      </c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</row>
    <row r="456" ht="15.75" customHeight="1">
      <c r="A456" s="48" t="s">
        <v>502</v>
      </c>
      <c r="B456" s="48" t="str">
        <f>IFERROR(__xludf.DUMMYFUNCTION("IFERROR(GOOGLEFINANCE(A456,""NAME""),)"),"Gandhi Special Tubes Ltd")</f>
        <v>Gandhi Special Tubes Ltd</v>
      </c>
      <c r="C456" s="48">
        <f>IFERROR(__xludf.DUMMYFUNCTION("IFERROR(GOOGLEFINANCE(A456,""CHANGE""),)"),-2.55)</f>
        <v>-2.55</v>
      </c>
      <c r="D456" s="48">
        <f>IFERROR(__xludf.DUMMYFUNCTION("IFERROR(GOOGLEFINANCE(A456,""CHANGEPCT""),)"),-0.28)</f>
        <v>-0.28</v>
      </c>
      <c r="E456" s="48" t="str">
        <f t="shared" si="1"/>
        <v>-0.28%</v>
      </c>
      <c r="F456" s="48" t="str">
        <f t="shared" si="2"/>
        <v/>
      </c>
      <c r="G456" s="48">
        <f t="shared" si="3"/>
        <v>-0.28</v>
      </c>
      <c r="H456" s="48">
        <f>IFERROR(__xludf.DUMMYFUNCTION("IFERROR(GOOGLEFINANCE(A456,""PRICE""),)"),900.0)</f>
        <v>900</v>
      </c>
      <c r="I456" s="49">
        <f>IFERROR(__xludf.DUMMYFUNCTION("IFERROR(GOOGLEFINANCE(A456,""VOLUME""),)"),1700.0)</f>
        <v>1700</v>
      </c>
      <c r="J456" s="48" t="str">
        <f>IFERROR(__xludf.DUMMYFUNCTION("IFERROR(INDEX(SPLIT(A456,"":""),1,2),)"),"GANDHITUBE")</f>
        <v>GANDHITUBE</v>
      </c>
      <c r="K456" s="48" t="str">
        <f t="shared" si="4"/>
        <v/>
      </c>
      <c r="L456" s="48">
        <f t="shared" si="5"/>
        <v>100</v>
      </c>
      <c r="M456" s="48">
        <f t="shared" si="6"/>
        <v>1402</v>
      </c>
      <c r="N456" s="50">
        <f>IFERROR(__xludf.DUMMYFUNCTION("IFERROR(GOOGLEFINANCE(A456,""TRADETIME""),)"),46269.64583333333)</f>
        <v>46269.64583</v>
      </c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</row>
    <row r="457" ht="15.75" customHeight="1">
      <c r="A457" s="51" t="s">
        <v>503</v>
      </c>
      <c r="B457" s="51" t="str">
        <f>IFERROR(__xludf.DUMMYFUNCTION("IFERROR(GOOGLEFINANCE(A457,""NAME""),)"),"Ganesha Ecosphere Ltd")</f>
        <v>Ganesha Ecosphere Ltd</v>
      </c>
      <c r="C457" s="51">
        <f>IFERROR(__xludf.DUMMYFUNCTION("IFERROR(GOOGLEFINANCE(A457,""CHANGE""),)"),-15.4)</f>
        <v>-15.4</v>
      </c>
      <c r="D457" s="51">
        <f>IFERROR(__xludf.DUMMYFUNCTION("IFERROR(GOOGLEFINANCE(A457,""CHANGEPCT""),)"),-1.52)</f>
        <v>-1.52</v>
      </c>
      <c r="E457" s="51" t="str">
        <f t="shared" si="1"/>
        <v>-1.52%</v>
      </c>
      <c r="F457" s="51" t="str">
        <f t="shared" si="2"/>
        <v/>
      </c>
      <c r="G457" s="51">
        <f t="shared" si="3"/>
        <v>-1.52</v>
      </c>
      <c r="H457" s="51">
        <f>IFERROR(__xludf.DUMMYFUNCTION("IFERROR(GOOGLEFINANCE(A457,""PRICE""),)"),1000.0)</f>
        <v>1000</v>
      </c>
      <c r="I457" s="52">
        <f>IFERROR(__xludf.DUMMYFUNCTION("IFERROR(GOOGLEFINANCE(A457,""VOLUME""),)"),331101.0)</f>
        <v>331101</v>
      </c>
      <c r="J457" s="51" t="str">
        <f>IFERROR(__xludf.DUMMYFUNCTION("IFERROR(INDEX(SPLIT(A457,"":""),1,2),)"),"GANECOS")</f>
        <v>GANECOS</v>
      </c>
      <c r="K457" s="51" t="str">
        <f t="shared" si="4"/>
        <v/>
      </c>
      <c r="L457" s="51">
        <f t="shared" si="5"/>
        <v>453</v>
      </c>
      <c r="M457" s="51">
        <f t="shared" si="6"/>
        <v>486</v>
      </c>
      <c r="N457" s="53">
        <f>IFERROR(__xludf.DUMMYFUNCTION("IFERROR(GOOGLEFINANCE(A457,""TRADETIME""),)"),46269.64586805555)</f>
        <v>46269.64587</v>
      </c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</row>
    <row r="458" ht="15.75" customHeight="1">
      <c r="A458" s="48" t="s">
        <v>504</v>
      </c>
      <c r="B458" s="48" t="str">
        <f>IFERROR(__xludf.DUMMYFUNCTION("IFERROR(GOOGLEFINANCE(A458,""NAME""),)"),"")</f>
        <v/>
      </c>
      <c r="C458" s="48" t="str">
        <f>IFERROR(__xludf.DUMMYFUNCTION("IFERROR(GOOGLEFINANCE(A458,""CHANGE""),)"),"")</f>
        <v/>
      </c>
      <c r="D458" s="48" t="str">
        <f>IFERROR(__xludf.DUMMYFUNCTION("IFERROR(GOOGLEFINANCE(A458,""CHANGEPCT""),)"),"")</f>
        <v/>
      </c>
      <c r="E458" s="48" t="str">
        <f t="shared" si="1"/>
        <v>%</v>
      </c>
      <c r="F458" s="48" t="str">
        <f t="shared" si="2"/>
        <v/>
      </c>
      <c r="G458" s="48" t="str">
        <f t="shared" si="3"/>
        <v/>
      </c>
      <c r="H458" s="48" t="str">
        <f>IFERROR(__xludf.DUMMYFUNCTION("IFERROR(GOOGLEFINANCE(A458,""PRICE""),)"),"")</f>
        <v/>
      </c>
      <c r="I458" s="49" t="str">
        <f>IFERROR(__xludf.DUMMYFUNCTION("IFERROR(GOOGLEFINANCE(A458,""VOLUME""),)"),"")</f>
        <v/>
      </c>
      <c r="J458" s="48" t="str">
        <f>IFERROR(__xludf.DUMMYFUNCTION("IFERROR(INDEX(SPLIT(A458,"":""),1,2),)"),"GANESHHOUC")</f>
        <v>GANESHHOUC</v>
      </c>
      <c r="K458" s="48" t="str">
        <f t="shared" si="4"/>
        <v/>
      </c>
      <c r="L458" s="48" t="str">
        <f t="shared" si="5"/>
        <v/>
      </c>
      <c r="M458" s="48">
        <f t="shared" si="6"/>
        <v>1456</v>
      </c>
      <c r="N458" s="50" t="str">
        <f>IFERROR(__xludf.DUMMYFUNCTION("IFERROR(GOOGLEFINANCE(A458,""TRADETIME""),)"),"")</f>
        <v/>
      </c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</row>
    <row r="459" ht="15.75" customHeight="1">
      <c r="A459" s="51" t="s">
        <v>505</v>
      </c>
      <c r="B459" s="51" t="str">
        <f>IFERROR(__xludf.DUMMYFUNCTION("IFERROR(GOOGLEFINANCE(A459,""NAME""),)"),"Ganges Securities Ltd")</f>
        <v>Ganges Securities Ltd</v>
      </c>
      <c r="C459" s="51">
        <f>IFERROR(__xludf.DUMMYFUNCTION("IFERROR(GOOGLEFINANCE(A459,""CHANGE""),)"),-1.4)</f>
        <v>-1.4</v>
      </c>
      <c r="D459" s="51">
        <f>IFERROR(__xludf.DUMMYFUNCTION("IFERROR(GOOGLEFINANCE(A459,""CHANGEPCT""),)"),-1.17)</f>
        <v>-1.17</v>
      </c>
      <c r="E459" s="51" t="str">
        <f t="shared" si="1"/>
        <v>-1.17%</v>
      </c>
      <c r="F459" s="51" t="str">
        <f t="shared" si="2"/>
        <v/>
      </c>
      <c r="G459" s="51">
        <f t="shared" si="3"/>
        <v>-1.17</v>
      </c>
      <c r="H459" s="51">
        <f>IFERROR(__xludf.DUMMYFUNCTION("IFERROR(GOOGLEFINANCE(A459,""PRICE""),)"),118.5)</f>
        <v>118.5</v>
      </c>
      <c r="I459" s="52">
        <f>IFERROR(__xludf.DUMMYFUNCTION("IFERROR(GOOGLEFINANCE(A459,""VOLUME""),)"),1203.0)</f>
        <v>1203</v>
      </c>
      <c r="J459" s="51" t="str">
        <f>IFERROR(__xludf.DUMMYFUNCTION("IFERROR(INDEX(SPLIT(A459,"":""),1,2),)"),"GANGESSECU")</f>
        <v>GANGESSECU</v>
      </c>
      <c r="K459" s="51" t="str">
        <f t="shared" si="4"/>
        <v/>
      </c>
      <c r="L459" s="51">
        <f t="shared" si="5"/>
        <v>374</v>
      </c>
      <c r="M459" s="51">
        <f t="shared" si="6"/>
        <v>1417</v>
      </c>
      <c r="N459" s="53">
        <f>IFERROR(__xludf.DUMMYFUNCTION("IFERROR(GOOGLEFINANCE(A459,""TRADETIME""),)"),46269.64583333333)</f>
        <v>46269.64583</v>
      </c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</row>
    <row r="460" ht="15.75" customHeight="1">
      <c r="A460" s="48" t="s">
        <v>506</v>
      </c>
      <c r="B460" s="48" t="str">
        <f>IFERROR(__xludf.DUMMYFUNCTION("IFERROR(GOOGLEFINANCE(A460,""NAME""),)"),"Garware Technical Fibres Ltd")</f>
        <v>Garware Technical Fibres Ltd</v>
      </c>
      <c r="C460" s="48">
        <f>IFERROR(__xludf.DUMMYFUNCTION("IFERROR(GOOGLEFINANCE(A460,""CHANGE""),)"),-5.05)</f>
        <v>-5.05</v>
      </c>
      <c r="D460" s="48">
        <f>IFERROR(__xludf.DUMMYFUNCTION("IFERROR(GOOGLEFINANCE(A460,""CHANGEPCT""),)"),-0.63)</f>
        <v>-0.63</v>
      </c>
      <c r="E460" s="48" t="str">
        <f t="shared" si="1"/>
        <v>-0.63%</v>
      </c>
      <c r="F460" s="48" t="str">
        <f t="shared" si="2"/>
        <v/>
      </c>
      <c r="G460" s="48">
        <f t="shared" si="3"/>
        <v>-0.63</v>
      </c>
      <c r="H460" s="48">
        <f>IFERROR(__xludf.DUMMYFUNCTION("IFERROR(GOOGLEFINANCE(A460,""PRICE""),)"),795.0)</f>
        <v>795</v>
      </c>
      <c r="I460" s="49">
        <f>IFERROR(__xludf.DUMMYFUNCTION("IFERROR(GOOGLEFINANCE(A460,""VOLUME""),)"),15701.0)</f>
        <v>15701</v>
      </c>
      <c r="J460" s="48" t="str">
        <f>IFERROR(__xludf.DUMMYFUNCTION("IFERROR(INDEX(SPLIT(A460,"":""),1,2),)"),"GARFIBRES")</f>
        <v>GARFIBRES</v>
      </c>
      <c r="K460" s="48" t="str">
        <f t="shared" si="4"/>
        <v/>
      </c>
      <c r="L460" s="48">
        <f t="shared" si="5"/>
        <v>234</v>
      </c>
      <c r="M460" s="48">
        <f t="shared" si="6"/>
        <v>1167</v>
      </c>
      <c r="N460" s="50">
        <f>IFERROR(__xludf.DUMMYFUNCTION("IFERROR(GOOGLEFINANCE(A460,""TRADETIME""),)"),46269.64583333333)</f>
        <v>46269.64583</v>
      </c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</row>
    <row r="461" ht="15.75" customHeight="1">
      <c r="A461" s="51" t="s">
        <v>507</v>
      </c>
      <c r="B461" s="51" t="str">
        <f>IFERROR(__xludf.DUMMYFUNCTION("IFERROR(GOOGLEFINANCE(A461,""NAME""),)"),"")</f>
        <v/>
      </c>
      <c r="C461" s="51" t="str">
        <f>IFERROR(__xludf.DUMMYFUNCTION("IFERROR(GOOGLEFINANCE(A461,""CHANGE""),)"),"")</f>
        <v/>
      </c>
      <c r="D461" s="51" t="str">
        <f>IFERROR(__xludf.DUMMYFUNCTION("IFERROR(GOOGLEFINANCE(A461,""CHANGEPCT""),)"),"")</f>
        <v/>
      </c>
      <c r="E461" s="51" t="str">
        <f t="shared" si="1"/>
        <v>%</v>
      </c>
      <c r="F461" s="51" t="str">
        <f t="shared" si="2"/>
        <v/>
      </c>
      <c r="G461" s="51" t="str">
        <f t="shared" si="3"/>
        <v/>
      </c>
      <c r="H461" s="51" t="str">
        <f>IFERROR(__xludf.DUMMYFUNCTION("IFERROR(GOOGLEFINANCE(A461,""PRICE""),)"),"")</f>
        <v/>
      </c>
      <c r="I461" s="52" t="str">
        <f>IFERROR(__xludf.DUMMYFUNCTION("IFERROR(GOOGLEFINANCE(A461,""VOLUME""),)"),"")</f>
        <v/>
      </c>
      <c r="J461" s="51" t="str">
        <f>IFERROR(__xludf.DUMMYFUNCTION("IFERROR(INDEX(SPLIT(A461,"":""),1,2),)"),"GATI")</f>
        <v>GATI</v>
      </c>
      <c r="K461" s="51" t="str">
        <f t="shared" si="4"/>
        <v/>
      </c>
      <c r="L461" s="51" t="str">
        <f t="shared" si="5"/>
        <v/>
      </c>
      <c r="M461" s="51">
        <f t="shared" si="6"/>
        <v>1456</v>
      </c>
      <c r="N461" s="53" t="str">
        <f>IFERROR(__xludf.DUMMYFUNCTION("IFERROR(GOOGLEFINANCE(A461,""TRADETIME""),)"),"")</f>
        <v/>
      </c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</row>
    <row r="462" ht="15.75" customHeight="1">
      <c r="A462" s="48" t="s">
        <v>508</v>
      </c>
      <c r="B462" s="48" t="str">
        <f>IFERROR(__xludf.DUMMYFUNCTION("IFERROR(GOOGLEFINANCE(A462,""NAME""),)"),"Gayatri Highways Ltd")</f>
        <v>Gayatri Highways Ltd</v>
      </c>
      <c r="C462" s="48">
        <f>IFERROR(__xludf.DUMMYFUNCTION("IFERROR(GOOGLEFINANCE(A462,""CHANGE""),)"),-0.03)</f>
        <v>-0.03</v>
      </c>
      <c r="D462" s="48">
        <f>IFERROR(__xludf.DUMMYFUNCTION("IFERROR(GOOGLEFINANCE(A462,""CHANGEPCT""),)"),-1.53)</f>
        <v>-1.53</v>
      </c>
      <c r="E462" s="48" t="str">
        <f t="shared" si="1"/>
        <v>-1.53%</v>
      </c>
      <c r="F462" s="48" t="str">
        <f t="shared" si="2"/>
        <v/>
      </c>
      <c r="G462" s="48">
        <f t="shared" si="3"/>
        <v>-1.53</v>
      </c>
      <c r="H462" s="48">
        <f>IFERROR(__xludf.DUMMYFUNCTION("IFERROR(GOOGLEFINANCE(A462,""PRICE""),)"),1.93)</f>
        <v>1.93</v>
      </c>
      <c r="I462" s="49">
        <f>IFERROR(__xludf.DUMMYFUNCTION("IFERROR(GOOGLEFINANCE(A462,""VOLUME""),)"),206145.0)</f>
        <v>206145</v>
      </c>
      <c r="J462" s="48" t="str">
        <f>IFERROR(__xludf.DUMMYFUNCTION("IFERROR(INDEX(SPLIT(A462,"":""),1,2),)"),"GAYAHWS")</f>
        <v>GAYAHWS</v>
      </c>
      <c r="K462" s="48" t="str">
        <f t="shared" si="4"/>
        <v/>
      </c>
      <c r="L462" s="48">
        <f t="shared" si="5"/>
        <v>458</v>
      </c>
      <c r="M462" s="48">
        <f t="shared" si="6"/>
        <v>617</v>
      </c>
      <c r="N462" s="50">
        <f>IFERROR(__xludf.DUMMYFUNCTION("IFERROR(GOOGLEFINANCE(A462,""TRADETIME""),)"),46269.64583333333)</f>
        <v>46269.64583</v>
      </c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</row>
    <row r="463" ht="15.75" customHeight="1">
      <c r="A463" s="51" t="s">
        <v>509</v>
      </c>
      <c r="B463" s="51" t="str">
        <f>IFERROR(__xludf.DUMMYFUNCTION("IFERROR(GOOGLEFINANCE(A463,""NAME""),)"),"Gayatri Projects Ltd")</f>
        <v>Gayatri Projects Ltd</v>
      </c>
      <c r="C463" s="51">
        <f>IFERROR(__xludf.DUMMYFUNCTION("IFERROR(GOOGLEFINANCE(A463,""CHANGE""),)"),-0.31)</f>
        <v>-0.31</v>
      </c>
      <c r="D463" s="51">
        <f>IFERROR(__xludf.DUMMYFUNCTION("IFERROR(GOOGLEFINANCE(A463,""CHANGEPCT""),)"),-1.4)</f>
        <v>-1.4</v>
      </c>
      <c r="E463" s="51" t="str">
        <f t="shared" si="1"/>
        <v>-1.4%</v>
      </c>
      <c r="F463" s="51" t="str">
        <f t="shared" si="2"/>
        <v/>
      </c>
      <c r="G463" s="51">
        <f t="shared" si="3"/>
        <v>-1.4</v>
      </c>
      <c r="H463" s="51">
        <f>IFERROR(__xludf.DUMMYFUNCTION("IFERROR(GOOGLEFINANCE(A463,""PRICE""),)"),21.87)</f>
        <v>21.87</v>
      </c>
      <c r="I463" s="52">
        <f>IFERROR(__xludf.DUMMYFUNCTION("IFERROR(GOOGLEFINANCE(A463,""VOLUME""),)"),363836.0)</f>
        <v>363836</v>
      </c>
      <c r="J463" s="51" t="str">
        <f>IFERROR(__xludf.DUMMYFUNCTION("IFERROR(INDEX(SPLIT(A463,"":""),1,2),)"),"GAYAPROJ")</f>
        <v>GAYAPROJ</v>
      </c>
      <c r="K463" s="51" t="str">
        <f t="shared" si="4"/>
        <v/>
      </c>
      <c r="L463" s="51">
        <f t="shared" si="5"/>
        <v>428</v>
      </c>
      <c r="M463" s="51">
        <f t="shared" si="6"/>
        <v>462</v>
      </c>
      <c r="N463" s="53">
        <f>IFERROR(__xludf.DUMMYFUNCTION("IFERROR(GOOGLEFINANCE(A463,""TRADETIME""),)"),46269.64583333333)</f>
        <v>46269.64583</v>
      </c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</row>
    <row r="464" ht="15.75" customHeight="1">
      <c r="A464" s="48" t="s">
        <v>510</v>
      </c>
      <c r="B464" s="48" t="str">
        <f>IFERROR(__xludf.DUMMYFUNCTION("IFERROR(GOOGLEFINANCE(A464,""NAME""),)"),"Gateway Distriparks Ltd")</f>
        <v>Gateway Distriparks Ltd</v>
      </c>
      <c r="C464" s="48">
        <f>IFERROR(__xludf.DUMMYFUNCTION("IFERROR(GOOGLEFINANCE(A464,""CHANGE""),)"),0.19)</f>
        <v>0.19</v>
      </c>
      <c r="D464" s="48">
        <f>IFERROR(__xludf.DUMMYFUNCTION("IFERROR(GOOGLEFINANCE(A464,""CHANGEPCT""),)"),0.35)</f>
        <v>0.35</v>
      </c>
      <c r="E464" s="48" t="str">
        <f t="shared" si="1"/>
        <v>0.35%</v>
      </c>
      <c r="F464" s="48">
        <f t="shared" si="2"/>
        <v>0.35</v>
      </c>
      <c r="G464" s="48" t="str">
        <f t="shared" si="3"/>
        <v/>
      </c>
      <c r="H464" s="48">
        <f>IFERROR(__xludf.DUMMYFUNCTION("IFERROR(GOOGLEFINANCE(A464,""PRICE""),)"),54.69)</f>
        <v>54.69</v>
      </c>
      <c r="I464" s="49">
        <f>IFERROR(__xludf.DUMMYFUNCTION("IFERROR(GOOGLEFINANCE(A464,""VOLUME""),)"),387773.0)</f>
        <v>387773</v>
      </c>
      <c r="J464" s="48" t="str">
        <f>IFERROR(__xludf.DUMMYFUNCTION("IFERROR(INDEX(SPLIT(A464,"":""),1,2),)"),"GATEWAY")</f>
        <v>GATEWAY</v>
      </c>
      <c r="K464" s="48">
        <f t="shared" si="4"/>
        <v>642</v>
      </c>
      <c r="L464" s="48" t="str">
        <f t="shared" si="5"/>
        <v/>
      </c>
      <c r="M464" s="48">
        <f t="shared" si="6"/>
        <v>451</v>
      </c>
      <c r="N464" s="50">
        <f>IFERROR(__xludf.DUMMYFUNCTION("IFERROR(GOOGLEFINANCE(A464,""TRADETIME""),)"),46269.64583333333)</f>
        <v>46269.64583</v>
      </c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</row>
    <row r="465" ht="15.75" customHeight="1">
      <c r="A465" s="51" t="s">
        <v>511</v>
      </c>
      <c r="B465" s="51" t="str">
        <f>IFERROR(__xludf.DUMMYFUNCTION("IFERROR(GOOGLEFINANCE(A465,""NAME""),)"),"GeeCee Ventures Ltd")</f>
        <v>GeeCee Ventures Ltd</v>
      </c>
      <c r="C465" s="51">
        <f>IFERROR(__xludf.DUMMYFUNCTION("IFERROR(GOOGLEFINANCE(A465,""CHANGE""),)"),0.2)</f>
        <v>0.2</v>
      </c>
      <c r="D465" s="51">
        <f>IFERROR(__xludf.DUMMYFUNCTION("IFERROR(GOOGLEFINANCE(A465,""CHANGEPCT""),)"),0.05)</f>
        <v>0.05</v>
      </c>
      <c r="E465" s="51" t="str">
        <f t="shared" si="1"/>
        <v>0.05%</v>
      </c>
      <c r="F465" s="51">
        <f t="shared" si="2"/>
        <v>0.05</v>
      </c>
      <c r="G465" s="51" t="str">
        <f t="shared" si="3"/>
        <v/>
      </c>
      <c r="H465" s="51">
        <f>IFERROR(__xludf.DUMMYFUNCTION("IFERROR(GOOGLEFINANCE(A465,""PRICE""),)"),369.7)</f>
        <v>369.7</v>
      </c>
      <c r="I465" s="52">
        <f>IFERROR(__xludf.DUMMYFUNCTION("IFERROR(GOOGLEFINANCE(A465,""VOLUME""),)"),1125.0)</f>
        <v>1125</v>
      </c>
      <c r="J465" s="51" t="str">
        <f>IFERROR(__xludf.DUMMYFUNCTION("IFERROR(INDEX(SPLIT(A465,"":""),1,2),)"),"GEECEE")</f>
        <v>GEECEE</v>
      </c>
      <c r="K465" s="51">
        <f t="shared" si="4"/>
        <v>756</v>
      </c>
      <c r="L465" s="51" t="str">
        <f t="shared" si="5"/>
        <v/>
      </c>
      <c r="M465" s="51">
        <f t="shared" si="6"/>
        <v>1419</v>
      </c>
      <c r="N465" s="53">
        <f>IFERROR(__xludf.DUMMYFUNCTION("IFERROR(GOOGLEFINANCE(A465,""TRADETIME""),)"),46269.64583333333)</f>
        <v>46269.64583</v>
      </c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</row>
    <row r="466" ht="15.75" customHeight="1">
      <c r="A466" s="48" t="s">
        <v>512</v>
      </c>
      <c r="B466" s="48" t="str">
        <f>IFERROR(__xludf.DUMMYFUNCTION("IFERROR(GOOGLEFINANCE(A466,""NAME""),)"),"Geekay Wires Ltd")</f>
        <v>Geekay Wires Ltd</v>
      </c>
      <c r="C466" s="48">
        <f>IFERROR(__xludf.DUMMYFUNCTION("IFERROR(GOOGLEFINANCE(A466,""CHANGE""),)"),0.31)</f>
        <v>0.31</v>
      </c>
      <c r="D466" s="48">
        <f>IFERROR(__xludf.DUMMYFUNCTION("IFERROR(GOOGLEFINANCE(A466,""CHANGEPCT""),)"),1.05)</f>
        <v>1.05</v>
      </c>
      <c r="E466" s="48" t="str">
        <f t="shared" si="1"/>
        <v>1.05%</v>
      </c>
      <c r="F466" s="48">
        <f t="shared" si="2"/>
        <v>1.05</v>
      </c>
      <c r="G466" s="48" t="str">
        <f t="shared" si="3"/>
        <v/>
      </c>
      <c r="H466" s="48">
        <f>IFERROR(__xludf.DUMMYFUNCTION("IFERROR(GOOGLEFINANCE(A466,""PRICE""),)"),29.7)</f>
        <v>29.7</v>
      </c>
      <c r="I466" s="49">
        <f>IFERROR(__xludf.DUMMYFUNCTION("IFERROR(GOOGLEFINANCE(A466,""VOLUME""),)"),127142.0)</f>
        <v>127142</v>
      </c>
      <c r="J466" s="48" t="str">
        <f>IFERROR(__xludf.DUMMYFUNCTION("IFERROR(INDEX(SPLIT(A466,"":""),1,2),)"),"GEEKAYWIRE")</f>
        <v>GEEKAYWIRE</v>
      </c>
      <c r="K466" s="48">
        <f t="shared" si="4"/>
        <v>441</v>
      </c>
      <c r="L466" s="48" t="str">
        <f t="shared" si="5"/>
        <v/>
      </c>
      <c r="M466" s="48">
        <f t="shared" si="6"/>
        <v>729</v>
      </c>
      <c r="N466" s="50">
        <f>IFERROR(__xludf.DUMMYFUNCTION("IFERROR(GOOGLEFINANCE(A466,""TRADETIME""),)"),46269.64583333333)</f>
        <v>46269.64583</v>
      </c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</row>
    <row r="467" ht="15.75" customHeight="1">
      <c r="A467" s="51" t="s">
        <v>513</v>
      </c>
      <c r="B467" s="51" t="str">
        <f>IFERROR(__xludf.DUMMYFUNCTION("IFERROR(GOOGLEFINANCE(A467,""NAME""),)"),"Generic Engineerng Constn and Prjcts Ltd")</f>
        <v>Generic Engineerng Constn and Prjcts Ltd</v>
      </c>
      <c r="C467" s="51">
        <f>IFERROR(__xludf.DUMMYFUNCTION("IFERROR(GOOGLEFINANCE(A467,""CHANGE""),)"),2.05)</f>
        <v>2.05</v>
      </c>
      <c r="D467" s="51">
        <f>IFERROR(__xludf.DUMMYFUNCTION("IFERROR(GOOGLEFINANCE(A467,""CHANGEPCT""),)"),4.78)</f>
        <v>4.78</v>
      </c>
      <c r="E467" s="51" t="str">
        <f t="shared" si="1"/>
        <v>4.78%</v>
      </c>
      <c r="F467" s="51">
        <f t="shared" si="2"/>
        <v>4.78</v>
      </c>
      <c r="G467" s="51" t="str">
        <f t="shared" si="3"/>
        <v/>
      </c>
      <c r="H467" s="51">
        <f>IFERROR(__xludf.DUMMYFUNCTION("IFERROR(GOOGLEFINANCE(A467,""PRICE""),)"),44.95)</f>
        <v>44.95</v>
      </c>
      <c r="I467" s="52">
        <f>IFERROR(__xludf.DUMMYFUNCTION("IFERROR(GOOGLEFINANCE(A467,""VOLUME""),)"),8197.0)</f>
        <v>8197</v>
      </c>
      <c r="J467" s="51">
        <f>IFERROR(__xludf.DUMMYFUNCTION("IFERROR(INDEX(SPLIT(A467,"":""),1,2),)"),539407.0)</f>
        <v>539407</v>
      </c>
      <c r="K467" s="51">
        <f t="shared" si="4"/>
        <v>87</v>
      </c>
      <c r="L467" s="51" t="str">
        <f t="shared" si="5"/>
        <v/>
      </c>
      <c r="M467" s="51">
        <f t="shared" si="6"/>
        <v>1259</v>
      </c>
      <c r="N467" s="53">
        <f>IFERROR(__xludf.DUMMYFUNCTION("IFERROR(GOOGLEFINANCE(A467,""TRADETIME""),)"),46269.64583333333)</f>
        <v>46269.64583</v>
      </c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</row>
    <row r="468" ht="15.75" customHeight="1">
      <c r="A468" s="48" t="s">
        <v>514</v>
      </c>
      <c r="B468" s="48" t="str">
        <f>IFERROR(__xludf.DUMMYFUNCTION("IFERROR(GOOGLEFINANCE(A468,""NAME""),)"),"Genesys International Corporation Ltd")</f>
        <v>Genesys International Corporation Ltd</v>
      </c>
      <c r="C468" s="48">
        <f>IFERROR(__xludf.DUMMYFUNCTION("IFERROR(GOOGLEFINANCE(A468,""CHANGE""),)"),9.37)</f>
        <v>9.37</v>
      </c>
      <c r="D468" s="48">
        <f>IFERROR(__xludf.DUMMYFUNCTION("IFERROR(GOOGLEFINANCE(A468,""CHANGEPCT""),)"),4.21)</f>
        <v>4.21</v>
      </c>
      <c r="E468" s="48" t="str">
        <f t="shared" si="1"/>
        <v>4.21%</v>
      </c>
      <c r="F468" s="48">
        <f t="shared" si="2"/>
        <v>4.21</v>
      </c>
      <c r="G468" s="48" t="str">
        <f t="shared" si="3"/>
        <v/>
      </c>
      <c r="H468" s="48">
        <f>IFERROR(__xludf.DUMMYFUNCTION("IFERROR(GOOGLEFINANCE(A468,""PRICE""),)"),232.0)</f>
        <v>232</v>
      </c>
      <c r="I468" s="49">
        <f>IFERROR(__xludf.DUMMYFUNCTION("IFERROR(GOOGLEFINANCE(A468,""VOLUME""),)"),475906.0)</f>
        <v>475906</v>
      </c>
      <c r="J468" s="48" t="str">
        <f>IFERROR(__xludf.DUMMYFUNCTION("IFERROR(INDEX(SPLIT(A468,"":""),1,2),)"),"GENESYS")</f>
        <v>GENESYS</v>
      </c>
      <c r="K468" s="48">
        <f t="shared" si="4"/>
        <v>105</v>
      </c>
      <c r="L468" s="48" t="str">
        <f t="shared" si="5"/>
        <v/>
      </c>
      <c r="M468" s="48">
        <f t="shared" si="6"/>
        <v>405</v>
      </c>
      <c r="N468" s="50">
        <f>IFERROR(__xludf.DUMMYFUNCTION("IFERROR(GOOGLEFINANCE(A468,""TRADETIME""),)"),46269.64583333333)</f>
        <v>46269.64583</v>
      </c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</row>
    <row r="469" ht="15.75" customHeight="1">
      <c r="A469" s="51" t="s">
        <v>515</v>
      </c>
      <c r="B469" s="51" t="str">
        <f>IFERROR(__xludf.DUMMYFUNCTION("IFERROR(GOOGLEFINANCE(A469,""NAME""),)"),"Genus Paper &amp; Boards Ltd")</f>
        <v>Genus Paper &amp; Boards Ltd</v>
      </c>
      <c r="C469" s="51">
        <f>IFERROR(__xludf.DUMMYFUNCTION("IFERROR(GOOGLEFINANCE(A469,""CHANGE""),)"),0.26)</f>
        <v>0.26</v>
      </c>
      <c r="D469" s="51">
        <f>IFERROR(__xludf.DUMMYFUNCTION("IFERROR(GOOGLEFINANCE(A469,""CHANGEPCT""),)"),2.09)</f>
        <v>2.09</v>
      </c>
      <c r="E469" s="51" t="str">
        <f t="shared" si="1"/>
        <v>2.09%</v>
      </c>
      <c r="F469" s="51">
        <f t="shared" si="2"/>
        <v>2.09</v>
      </c>
      <c r="G469" s="51" t="str">
        <f t="shared" si="3"/>
        <v/>
      </c>
      <c r="H469" s="51">
        <f>IFERROR(__xludf.DUMMYFUNCTION("IFERROR(GOOGLEFINANCE(A469,""PRICE""),)"),12.7)</f>
        <v>12.7</v>
      </c>
      <c r="I469" s="52">
        <f>IFERROR(__xludf.DUMMYFUNCTION("IFERROR(GOOGLEFINANCE(A469,""VOLUME""),)"),216963.0)</f>
        <v>216963</v>
      </c>
      <c r="J469" s="51" t="str">
        <f>IFERROR(__xludf.DUMMYFUNCTION("IFERROR(INDEX(SPLIT(A469,"":""),1,2),)"),"GENUSPAPER")</f>
        <v>GENUSPAPER</v>
      </c>
      <c r="K469" s="51">
        <f t="shared" si="4"/>
        <v>244</v>
      </c>
      <c r="L469" s="51" t="str">
        <f t="shared" si="5"/>
        <v/>
      </c>
      <c r="M469" s="51">
        <f t="shared" si="6"/>
        <v>605</v>
      </c>
      <c r="N469" s="53">
        <f>IFERROR(__xludf.DUMMYFUNCTION("IFERROR(GOOGLEFINANCE(A469,""TRADETIME""),)"),46269.64583333333)</f>
        <v>46269.64583</v>
      </c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</row>
    <row r="470" ht="15.75" customHeight="1">
      <c r="A470" s="48" t="s">
        <v>516</v>
      </c>
      <c r="B470" s="48" t="str">
        <f>IFERROR(__xludf.DUMMYFUNCTION("IFERROR(GOOGLEFINANCE(A470,""NAME""),)"),"Genus Power Infrastructures Ltd")</f>
        <v>Genus Power Infrastructures Ltd</v>
      </c>
      <c r="C470" s="48">
        <f>IFERROR(__xludf.DUMMYFUNCTION("IFERROR(GOOGLEFINANCE(A470,""CHANGE""),)"),-0.3)</f>
        <v>-0.3</v>
      </c>
      <c r="D470" s="48">
        <f>IFERROR(__xludf.DUMMYFUNCTION("IFERROR(GOOGLEFINANCE(A470,""CHANGEPCT""),)"),-0.09)</f>
        <v>-0.09</v>
      </c>
      <c r="E470" s="48" t="str">
        <f t="shared" si="1"/>
        <v>-0.09%</v>
      </c>
      <c r="F470" s="48" t="str">
        <f t="shared" si="2"/>
        <v/>
      </c>
      <c r="G470" s="48">
        <f t="shared" si="3"/>
        <v>-0.09</v>
      </c>
      <c r="H470" s="48">
        <f>IFERROR(__xludf.DUMMYFUNCTION("IFERROR(GOOGLEFINANCE(A470,""PRICE""),)"),339.4)</f>
        <v>339.4</v>
      </c>
      <c r="I470" s="49">
        <f>IFERROR(__xludf.DUMMYFUNCTION("IFERROR(GOOGLEFINANCE(A470,""VOLUME""),)"),2486451.0)</f>
        <v>2486451</v>
      </c>
      <c r="J470" s="48" t="str">
        <f>IFERROR(__xludf.DUMMYFUNCTION("IFERROR(INDEX(SPLIT(A470,"":""),1,2),)"),"GENUSPOWER")</f>
        <v>GENUSPOWER</v>
      </c>
      <c r="K470" s="48" t="str">
        <f t="shared" si="4"/>
        <v/>
      </c>
      <c r="L470" s="48">
        <f t="shared" si="5"/>
        <v>29</v>
      </c>
      <c r="M470" s="48">
        <f t="shared" si="6"/>
        <v>147</v>
      </c>
      <c r="N470" s="50">
        <f>IFERROR(__xludf.DUMMYFUNCTION("IFERROR(GOOGLEFINANCE(A470,""TRADETIME""),)"),46269.64583333333)</f>
        <v>46269.64583</v>
      </c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</row>
    <row r="471" ht="15.75" customHeight="1">
      <c r="A471" s="51" t="s">
        <v>517</v>
      </c>
      <c r="B471" s="51" t="str">
        <f>IFERROR(__xludf.DUMMYFUNCTION("IFERROR(GOOGLEFINANCE(A471,""NAME""),)"),"Geojit Financial Services Ltd")</f>
        <v>Geojit Financial Services Ltd</v>
      </c>
      <c r="C471" s="51">
        <f>IFERROR(__xludf.DUMMYFUNCTION("IFERROR(GOOGLEFINANCE(A471,""CHANGE""),)"),-0.12)</f>
        <v>-0.12</v>
      </c>
      <c r="D471" s="51">
        <f>IFERROR(__xludf.DUMMYFUNCTION("IFERROR(GOOGLEFINANCE(A471,""CHANGEPCT""),)"),-0.14)</f>
        <v>-0.14</v>
      </c>
      <c r="E471" s="51" t="str">
        <f t="shared" si="1"/>
        <v>-0.14%</v>
      </c>
      <c r="F471" s="51" t="str">
        <f t="shared" si="2"/>
        <v/>
      </c>
      <c r="G471" s="51">
        <f t="shared" si="3"/>
        <v>-0.14</v>
      </c>
      <c r="H471" s="51">
        <f>IFERROR(__xludf.DUMMYFUNCTION("IFERROR(GOOGLEFINANCE(A471,""PRICE""),)"),82.65)</f>
        <v>82.65</v>
      </c>
      <c r="I471" s="52">
        <f>IFERROR(__xludf.DUMMYFUNCTION("IFERROR(GOOGLEFINANCE(A471,""VOLUME""),)"),332909.0)</f>
        <v>332909</v>
      </c>
      <c r="J471" s="51" t="str">
        <f>IFERROR(__xludf.DUMMYFUNCTION("IFERROR(INDEX(SPLIT(A471,"":""),1,2),)"),"GEOJITFSL")</f>
        <v>GEOJITFSL</v>
      </c>
      <c r="K471" s="51" t="str">
        <f t="shared" si="4"/>
        <v/>
      </c>
      <c r="L471" s="51">
        <f t="shared" si="5"/>
        <v>50</v>
      </c>
      <c r="M471" s="51">
        <f t="shared" si="6"/>
        <v>484</v>
      </c>
      <c r="N471" s="53">
        <f>IFERROR(__xludf.DUMMYFUNCTION("IFERROR(GOOGLEFINANCE(A471,""TRADETIME""),)"),46269.64583333333)</f>
        <v>46269.64583</v>
      </c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</row>
    <row r="472" ht="15.75" customHeight="1">
      <c r="A472" s="48" t="s">
        <v>518</v>
      </c>
      <c r="B472" s="48" t="str">
        <f>IFERROR(__xludf.DUMMYFUNCTION("IFERROR(GOOGLEFINANCE(A472,""NAME""),)"),"")</f>
        <v/>
      </c>
      <c r="C472" s="48" t="str">
        <f>IFERROR(__xludf.DUMMYFUNCTION("IFERROR(GOOGLEFINANCE(A472,""CHANGE""),)"),"")</f>
        <v/>
      </c>
      <c r="D472" s="48" t="str">
        <f>IFERROR(__xludf.DUMMYFUNCTION("IFERROR(GOOGLEFINANCE(A472,""CHANGEPCT""),)"),"")</f>
        <v/>
      </c>
      <c r="E472" s="48" t="str">
        <f t="shared" si="1"/>
        <v>%</v>
      </c>
      <c r="F472" s="48" t="str">
        <f t="shared" si="2"/>
        <v/>
      </c>
      <c r="G472" s="48" t="str">
        <f t="shared" si="3"/>
        <v/>
      </c>
      <c r="H472" s="48" t="str">
        <f>IFERROR(__xludf.DUMMYFUNCTION("IFERROR(GOOGLEFINANCE(A472,""PRICE""),)"),"")</f>
        <v/>
      </c>
      <c r="I472" s="49" t="str">
        <f>IFERROR(__xludf.DUMMYFUNCTION("IFERROR(GOOGLEFINANCE(A472,""VOLUME""),)"),"")</f>
        <v/>
      </c>
      <c r="J472" s="48" t="str">
        <f>IFERROR(__xludf.DUMMYFUNCTION("IFERROR(INDEX(SPLIT(A472,"":""),1,2),)"),"GEPIL")</f>
        <v>GEPIL</v>
      </c>
      <c r="K472" s="48" t="str">
        <f t="shared" si="4"/>
        <v/>
      </c>
      <c r="L472" s="48" t="str">
        <f t="shared" si="5"/>
        <v/>
      </c>
      <c r="M472" s="48">
        <f t="shared" si="6"/>
        <v>1456</v>
      </c>
      <c r="N472" s="50" t="str">
        <f>IFERROR(__xludf.DUMMYFUNCTION("IFERROR(GOOGLEFINANCE(A472,""TRADETIME""),)"),"")</f>
        <v/>
      </c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</row>
    <row r="473" ht="15.75" customHeight="1">
      <c r="A473" s="51" t="s">
        <v>519</v>
      </c>
      <c r="B473" s="51" t="str">
        <f>IFERROR(__xludf.DUMMYFUNCTION("IFERROR(GOOGLEFINANCE(A473,""NAME""),)"),"Great Eastern Shipping Company Ltd")</f>
        <v>Great Eastern Shipping Company Ltd</v>
      </c>
      <c r="C473" s="51">
        <f>IFERROR(__xludf.DUMMYFUNCTION("IFERROR(GOOGLEFINANCE(A473,""CHANGE""),)"),12.4)</f>
        <v>12.4</v>
      </c>
      <c r="D473" s="51">
        <f>IFERROR(__xludf.DUMMYFUNCTION("IFERROR(GOOGLEFINANCE(A473,""CHANGEPCT""),)"),0.92)</f>
        <v>0.92</v>
      </c>
      <c r="E473" s="51" t="str">
        <f t="shared" si="1"/>
        <v>0.92%</v>
      </c>
      <c r="F473" s="51">
        <f t="shared" si="2"/>
        <v>0.92</v>
      </c>
      <c r="G473" s="51" t="str">
        <f t="shared" si="3"/>
        <v/>
      </c>
      <c r="H473" s="51">
        <f>IFERROR(__xludf.DUMMYFUNCTION("IFERROR(GOOGLEFINANCE(A473,""PRICE""),)"),1366.0)</f>
        <v>1366</v>
      </c>
      <c r="I473" s="52">
        <f>IFERROR(__xludf.DUMMYFUNCTION("IFERROR(GOOGLEFINANCE(A473,""VOLUME""),)"),1043987.0)</f>
        <v>1043987</v>
      </c>
      <c r="J473" s="51" t="str">
        <f>IFERROR(__xludf.DUMMYFUNCTION("IFERROR(INDEX(SPLIT(A473,"":""),1,2),)"),"GESHIP")</f>
        <v>GESHIP</v>
      </c>
      <c r="K473" s="51">
        <f t="shared" si="4"/>
        <v>468</v>
      </c>
      <c r="L473" s="51" t="str">
        <f t="shared" si="5"/>
        <v/>
      </c>
      <c r="M473" s="51">
        <f t="shared" si="6"/>
        <v>267</v>
      </c>
      <c r="N473" s="53">
        <f>IFERROR(__xludf.DUMMYFUNCTION("IFERROR(GOOGLEFINANCE(A473,""TRADETIME""),)"),46269.64586805555)</f>
        <v>46269.64587</v>
      </c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</row>
    <row r="474" ht="15.75" customHeight="1">
      <c r="A474" s="48" t="s">
        <v>520</v>
      </c>
      <c r="B474" s="48" t="str">
        <f>IFERROR(__xludf.DUMMYFUNCTION("IFERROR(GOOGLEFINANCE(A474,""NAME""),)"),"")</f>
        <v/>
      </c>
      <c r="C474" s="48" t="str">
        <f>IFERROR(__xludf.DUMMYFUNCTION("IFERROR(GOOGLEFINANCE(A474,""CHANGE""),)"),"")</f>
        <v/>
      </c>
      <c r="D474" s="48" t="str">
        <f>IFERROR(__xludf.DUMMYFUNCTION("IFERROR(GOOGLEFINANCE(A474,""CHANGEPCT""),)"),"")</f>
        <v/>
      </c>
      <c r="E474" s="48" t="str">
        <f t="shared" si="1"/>
        <v>%</v>
      </c>
      <c r="F474" s="48" t="str">
        <f t="shared" si="2"/>
        <v/>
      </c>
      <c r="G474" s="48" t="str">
        <f t="shared" si="3"/>
        <v/>
      </c>
      <c r="H474" s="48" t="str">
        <f>IFERROR(__xludf.DUMMYFUNCTION("IFERROR(GOOGLEFINANCE(A474,""PRICE""),)"),"")</f>
        <v/>
      </c>
      <c r="I474" s="49" t="str">
        <f>IFERROR(__xludf.DUMMYFUNCTION("IFERROR(GOOGLEFINANCE(A474,""VOLUME""),)"),"")</f>
        <v/>
      </c>
      <c r="J474" s="48" t="str">
        <f>IFERROR(__xludf.DUMMYFUNCTION("IFERROR(INDEX(SPLIT(A474,"":""),1,2),)"),"GET&amp;D")</f>
        <v>GET&amp;D</v>
      </c>
      <c r="K474" s="48" t="str">
        <f t="shared" si="4"/>
        <v/>
      </c>
      <c r="L474" s="48" t="str">
        <f t="shared" si="5"/>
        <v/>
      </c>
      <c r="M474" s="48">
        <f t="shared" si="6"/>
        <v>1456</v>
      </c>
      <c r="N474" s="50" t="str">
        <f>IFERROR(__xludf.DUMMYFUNCTION("IFERROR(GOOGLEFINANCE(A474,""TRADETIME""),)"),"")</f>
        <v/>
      </c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</row>
    <row r="475" ht="15.75" customHeight="1">
      <c r="A475" s="51" t="s">
        <v>521</v>
      </c>
      <c r="B475" s="51" t="str">
        <f>IFERROR(__xludf.DUMMYFUNCTION("IFERROR(GOOGLEFINANCE(A475,""NAME""),)"),"GFL Ltd")</f>
        <v>GFL Ltd</v>
      </c>
      <c r="C475" s="51">
        <f>IFERROR(__xludf.DUMMYFUNCTION("IFERROR(GOOGLEFINANCE(A475,""CHANGE""),)"),4.65)</f>
        <v>4.65</v>
      </c>
      <c r="D475" s="51">
        <f>IFERROR(__xludf.DUMMYFUNCTION("IFERROR(GOOGLEFINANCE(A475,""CHANGEPCT""),)"),7.93)</f>
        <v>7.93</v>
      </c>
      <c r="E475" s="51" t="str">
        <f t="shared" si="1"/>
        <v>7.93%</v>
      </c>
      <c r="F475" s="51">
        <f t="shared" si="2"/>
        <v>7.93</v>
      </c>
      <c r="G475" s="51" t="str">
        <f t="shared" si="3"/>
        <v/>
      </c>
      <c r="H475" s="51">
        <f>IFERROR(__xludf.DUMMYFUNCTION("IFERROR(GOOGLEFINANCE(A475,""PRICE""),)"),63.3)</f>
        <v>63.3</v>
      </c>
      <c r="I475" s="52">
        <f>IFERROR(__xludf.DUMMYFUNCTION("IFERROR(GOOGLEFINANCE(A475,""VOLUME""),)"),497897.0)</f>
        <v>497897</v>
      </c>
      <c r="J475" s="51" t="str">
        <f>IFERROR(__xludf.DUMMYFUNCTION("IFERROR(INDEX(SPLIT(A475,"":""),1,2),)"),"GFLLIMITED")</f>
        <v>GFLLIMITED</v>
      </c>
      <c r="K475" s="51">
        <f t="shared" si="4"/>
        <v>16</v>
      </c>
      <c r="L475" s="51" t="str">
        <f t="shared" si="5"/>
        <v/>
      </c>
      <c r="M475" s="51">
        <f t="shared" si="6"/>
        <v>396</v>
      </c>
      <c r="N475" s="53">
        <f>IFERROR(__xludf.DUMMYFUNCTION("IFERROR(GOOGLEFINANCE(A475,""TRADETIME""),)"),46269.64583333333)</f>
        <v>46269.64583</v>
      </c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</row>
    <row r="476" ht="15.75" customHeight="1">
      <c r="A476" s="48" t="s">
        <v>522</v>
      </c>
      <c r="B476" s="48" t="str">
        <f>IFERROR(__xludf.DUMMYFUNCTION("IFERROR(GOOGLEFINANCE(A476,""NAME""),)"),"Grand Foundry Ltd")</f>
        <v>Grand Foundry Ltd</v>
      </c>
      <c r="C476" s="48">
        <f>IFERROR(__xludf.DUMMYFUNCTION("IFERROR(GOOGLEFINANCE(A476,""CHANGE""),)"),0.0)</f>
        <v>0</v>
      </c>
      <c r="D476" s="48">
        <f>IFERROR(__xludf.DUMMYFUNCTION("IFERROR(GOOGLEFINANCE(A476,""CHANGEPCT""),)"),0.0)</f>
        <v>0</v>
      </c>
      <c r="E476" s="48" t="str">
        <f t="shared" si="1"/>
        <v>0%</v>
      </c>
      <c r="F476" s="48" t="str">
        <f t="shared" si="2"/>
        <v/>
      </c>
      <c r="G476" s="48" t="str">
        <f t="shared" si="3"/>
        <v/>
      </c>
      <c r="H476" s="48">
        <f>IFERROR(__xludf.DUMMYFUNCTION("IFERROR(GOOGLEFINANCE(A476,""PRICE""),)"),15.0)</f>
        <v>15</v>
      </c>
      <c r="I476" s="49">
        <f>IFERROR(__xludf.DUMMYFUNCTION("IFERROR(GOOGLEFINANCE(A476,""VOLUME""),)"),1500.0)</f>
        <v>1500</v>
      </c>
      <c r="J476" s="48" t="str">
        <f>IFERROR(__xludf.DUMMYFUNCTION("IFERROR(INDEX(SPLIT(A476,"":""),1,2),)"),"GFSTEELS")</f>
        <v>GFSTEELS</v>
      </c>
      <c r="K476" s="48" t="str">
        <f t="shared" si="4"/>
        <v/>
      </c>
      <c r="L476" s="48" t="str">
        <f t="shared" si="5"/>
        <v/>
      </c>
      <c r="M476" s="48">
        <f t="shared" si="6"/>
        <v>1406</v>
      </c>
      <c r="N476" s="50">
        <f>IFERROR(__xludf.DUMMYFUNCTION("IFERROR(GOOGLEFINANCE(A476,""TRADETIME""),)"),46265.64583333333)</f>
        <v>46265.64583</v>
      </c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</row>
    <row r="477" ht="15.75" customHeight="1">
      <c r="A477" s="51" t="s">
        <v>523</v>
      </c>
      <c r="B477" s="51" t="str">
        <f>IFERROR(__xludf.DUMMYFUNCTION("IFERROR(GOOGLEFINANCE(A477,""NAME""),)"),"GHCL Ltd")</f>
        <v>GHCL Ltd</v>
      </c>
      <c r="C477" s="51">
        <f>IFERROR(__xludf.DUMMYFUNCTION("IFERROR(GOOGLEFINANCE(A477,""CHANGE""),)"),-1.35)</f>
        <v>-1.35</v>
      </c>
      <c r="D477" s="51">
        <f>IFERROR(__xludf.DUMMYFUNCTION("IFERROR(GOOGLEFINANCE(A477,""CHANGEPCT""),)"),-0.31)</f>
        <v>-0.31</v>
      </c>
      <c r="E477" s="51" t="str">
        <f t="shared" si="1"/>
        <v>-0.31%</v>
      </c>
      <c r="F477" s="51" t="str">
        <f t="shared" si="2"/>
        <v/>
      </c>
      <c r="G477" s="51">
        <f t="shared" si="3"/>
        <v>-0.31</v>
      </c>
      <c r="H477" s="51">
        <f>IFERROR(__xludf.DUMMYFUNCTION("IFERROR(GOOGLEFINANCE(A477,""PRICE""),)"),436.2)</f>
        <v>436.2</v>
      </c>
      <c r="I477" s="52">
        <f>IFERROR(__xludf.DUMMYFUNCTION("IFERROR(GOOGLEFINANCE(A477,""VOLUME""),)"),84548.0)</f>
        <v>84548</v>
      </c>
      <c r="J477" s="51" t="str">
        <f>IFERROR(__xludf.DUMMYFUNCTION("IFERROR(INDEX(SPLIT(A477,"":""),1,2),)"),"GHCL")</f>
        <v>GHCL</v>
      </c>
      <c r="K477" s="51" t="str">
        <f t="shared" si="4"/>
        <v/>
      </c>
      <c r="L477" s="51">
        <f t="shared" si="5"/>
        <v>114</v>
      </c>
      <c r="M477" s="51">
        <f t="shared" si="6"/>
        <v>813</v>
      </c>
      <c r="N477" s="53">
        <f>IFERROR(__xludf.DUMMYFUNCTION("IFERROR(GOOGLEFINANCE(A477,""TRADETIME""),)"),46269.64586805555)</f>
        <v>46269.64587</v>
      </c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</row>
    <row r="478" ht="15.75" customHeight="1">
      <c r="A478" s="48" t="s">
        <v>524</v>
      </c>
      <c r="B478" s="48" t="str">
        <f>IFERROR(__xludf.DUMMYFUNCTION("IFERROR(GOOGLEFINANCE(A478,""NAME""),)"),"GIC Housing Finance Ltd")</f>
        <v>GIC Housing Finance Ltd</v>
      </c>
      <c r="C478" s="48">
        <f>IFERROR(__xludf.DUMMYFUNCTION("IFERROR(GOOGLEFINANCE(A478,""CHANGE""),)"),-1.77)</f>
        <v>-1.77</v>
      </c>
      <c r="D478" s="48">
        <f>IFERROR(__xludf.DUMMYFUNCTION("IFERROR(GOOGLEFINANCE(A478,""CHANGEPCT""),)"),-1.25)</f>
        <v>-1.25</v>
      </c>
      <c r="E478" s="48" t="str">
        <f t="shared" si="1"/>
        <v>-1.25%</v>
      </c>
      <c r="F478" s="48" t="str">
        <f t="shared" si="2"/>
        <v/>
      </c>
      <c r="G478" s="48">
        <f t="shared" si="3"/>
        <v>-1.25</v>
      </c>
      <c r="H478" s="48">
        <f>IFERROR(__xludf.DUMMYFUNCTION("IFERROR(GOOGLEFINANCE(A478,""PRICE""),)"),140.29)</f>
        <v>140.29</v>
      </c>
      <c r="I478" s="49">
        <f>IFERROR(__xludf.DUMMYFUNCTION("IFERROR(GOOGLEFINANCE(A478,""VOLUME""),)"),172955.0)</f>
        <v>172955</v>
      </c>
      <c r="J478" s="48" t="str">
        <f>IFERROR(__xludf.DUMMYFUNCTION("IFERROR(INDEX(SPLIT(A478,"":""),1,2),)"),"GICHSGFIN")</f>
        <v>GICHSGFIN</v>
      </c>
      <c r="K478" s="48" t="str">
        <f t="shared" si="4"/>
        <v/>
      </c>
      <c r="L478" s="48">
        <f t="shared" si="5"/>
        <v>388</v>
      </c>
      <c r="M478" s="48">
        <f t="shared" si="6"/>
        <v>657</v>
      </c>
      <c r="N478" s="50">
        <f>IFERROR(__xludf.DUMMYFUNCTION("IFERROR(GOOGLEFINANCE(A478,""TRADETIME""),)"),46269.64583333333)</f>
        <v>46269.64583</v>
      </c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</row>
    <row r="479" ht="15.75" customHeight="1">
      <c r="A479" s="51" t="s">
        <v>525</v>
      </c>
      <c r="B479" s="51" t="str">
        <f>IFERROR(__xludf.DUMMYFUNCTION("IFERROR(GOOGLEFINANCE(A479,""NAME""),)"),"General Insurance Corporation of India")</f>
        <v>General Insurance Corporation of India</v>
      </c>
      <c r="C479" s="51">
        <f>IFERROR(__xludf.DUMMYFUNCTION("IFERROR(GOOGLEFINANCE(A479,""CHANGE""),)"),2.95)</f>
        <v>2.95</v>
      </c>
      <c r="D479" s="51">
        <f>IFERROR(__xludf.DUMMYFUNCTION("IFERROR(GOOGLEFINANCE(A479,""CHANGEPCT""),)"),0.83)</f>
        <v>0.83</v>
      </c>
      <c r="E479" s="51" t="str">
        <f t="shared" si="1"/>
        <v>0.83%</v>
      </c>
      <c r="F479" s="51">
        <f t="shared" si="2"/>
        <v>0.83</v>
      </c>
      <c r="G479" s="51" t="str">
        <f t="shared" si="3"/>
        <v/>
      </c>
      <c r="H479" s="51">
        <f>IFERROR(__xludf.DUMMYFUNCTION("IFERROR(GOOGLEFINANCE(A479,""PRICE""),)"),359.1)</f>
        <v>359.1</v>
      </c>
      <c r="I479" s="52">
        <f>IFERROR(__xludf.DUMMYFUNCTION("IFERROR(GOOGLEFINANCE(A479,""VOLUME""),)"),4931565.0)</f>
        <v>4931565</v>
      </c>
      <c r="J479" s="51" t="str">
        <f>IFERROR(__xludf.DUMMYFUNCTION("IFERROR(INDEX(SPLIT(A479,"":""),1,2),)"),"GICRE")</f>
        <v>GICRE</v>
      </c>
      <c r="K479" s="51">
        <f t="shared" si="4"/>
        <v>490</v>
      </c>
      <c r="L479" s="51" t="str">
        <f t="shared" si="5"/>
        <v/>
      </c>
      <c r="M479" s="51">
        <f t="shared" si="6"/>
        <v>88</v>
      </c>
      <c r="N479" s="53">
        <f>IFERROR(__xludf.DUMMYFUNCTION("IFERROR(GOOGLEFINANCE(A479,""TRADETIME""),)"),46269.64586805555)</f>
        <v>46269.64587</v>
      </c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</row>
    <row r="480" ht="15.75" customHeight="1">
      <c r="A480" s="48" t="s">
        <v>526</v>
      </c>
      <c r="B480" s="48" t="str">
        <f>IFERROR(__xludf.DUMMYFUNCTION("IFERROR(GOOGLEFINANCE(A480,""NAME""),)"),"Gillanders Arbuthnot &amp; Co Ltd")</f>
        <v>Gillanders Arbuthnot &amp; Co Ltd</v>
      </c>
      <c r="C480" s="48">
        <f>IFERROR(__xludf.DUMMYFUNCTION("IFERROR(GOOGLEFINANCE(A480,""CHANGE""),)"),-0.73)</f>
        <v>-0.73</v>
      </c>
      <c r="D480" s="48">
        <f>IFERROR(__xludf.DUMMYFUNCTION("IFERROR(GOOGLEFINANCE(A480,""CHANGEPCT""),)"),-0.7)</f>
        <v>-0.7</v>
      </c>
      <c r="E480" s="48" t="str">
        <f t="shared" si="1"/>
        <v>-0.7%</v>
      </c>
      <c r="F480" s="48" t="str">
        <f t="shared" si="2"/>
        <v/>
      </c>
      <c r="G480" s="48">
        <f t="shared" si="3"/>
        <v>-0.7</v>
      </c>
      <c r="H480" s="48">
        <f>IFERROR(__xludf.DUMMYFUNCTION("IFERROR(GOOGLEFINANCE(A480,""PRICE""),)"),104.0)</f>
        <v>104</v>
      </c>
      <c r="I480" s="49">
        <f>IFERROR(__xludf.DUMMYFUNCTION("IFERROR(GOOGLEFINANCE(A480,""VOLUME""),)"),1894.0)</f>
        <v>1894</v>
      </c>
      <c r="J480" s="48" t="str">
        <f>IFERROR(__xludf.DUMMYFUNCTION("IFERROR(INDEX(SPLIT(A480,"":""),1,2),)"),"GILLANDERS")</f>
        <v>GILLANDERS</v>
      </c>
      <c r="K480" s="48" t="str">
        <f t="shared" si="4"/>
        <v/>
      </c>
      <c r="L480" s="48">
        <f t="shared" si="5"/>
        <v>265</v>
      </c>
      <c r="M480" s="48">
        <f t="shared" si="6"/>
        <v>1397</v>
      </c>
      <c r="N480" s="50">
        <f>IFERROR(__xludf.DUMMYFUNCTION("IFERROR(GOOGLEFINANCE(A480,""TRADETIME""),)"),46269.64583333333)</f>
        <v>46269.64583</v>
      </c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</row>
    <row r="481" ht="15.75" customHeight="1">
      <c r="A481" s="51" t="s">
        <v>527</v>
      </c>
      <c r="B481" s="51" t="str">
        <f>IFERROR(__xludf.DUMMYFUNCTION("IFERROR(GOOGLEFINANCE(A481,""NAME""),)"),"Gillette India Ltd")</f>
        <v>Gillette India Ltd</v>
      </c>
      <c r="C481" s="51">
        <f>IFERROR(__xludf.DUMMYFUNCTION("IFERROR(GOOGLEFINANCE(A481,""CHANGE""),)"),-19.0)</f>
        <v>-19</v>
      </c>
      <c r="D481" s="51">
        <f>IFERROR(__xludf.DUMMYFUNCTION("IFERROR(GOOGLEFINANCE(A481,""CHANGEPCT""),)"),-0.26)</f>
        <v>-0.26</v>
      </c>
      <c r="E481" s="51" t="str">
        <f t="shared" si="1"/>
        <v>-0.26%</v>
      </c>
      <c r="F481" s="51" t="str">
        <f t="shared" si="2"/>
        <v/>
      </c>
      <c r="G481" s="51">
        <f t="shared" si="3"/>
        <v>-0.26</v>
      </c>
      <c r="H481" s="51">
        <f>IFERROR(__xludf.DUMMYFUNCTION("IFERROR(GOOGLEFINANCE(A481,""PRICE""),)"),7322.0)</f>
        <v>7322</v>
      </c>
      <c r="I481" s="52">
        <f>IFERROR(__xludf.DUMMYFUNCTION("IFERROR(GOOGLEFINANCE(A481,""VOLUME""),)"),9291.0)</f>
        <v>9291</v>
      </c>
      <c r="J481" s="51" t="str">
        <f>IFERROR(__xludf.DUMMYFUNCTION("IFERROR(INDEX(SPLIT(A481,"":""),1,2),)"),"GILLETTE")</f>
        <v>GILLETTE</v>
      </c>
      <c r="K481" s="51" t="str">
        <f t="shared" si="4"/>
        <v/>
      </c>
      <c r="L481" s="51">
        <f t="shared" si="5"/>
        <v>93</v>
      </c>
      <c r="M481" s="51">
        <f t="shared" si="6"/>
        <v>1242</v>
      </c>
      <c r="N481" s="53">
        <f>IFERROR(__xludf.DUMMYFUNCTION("IFERROR(GOOGLEFINANCE(A481,""TRADETIME""),)"),46269.64583333333)</f>
        <v>46269.64583</v>
      </c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</row>
    <row r="482" ht="15.75" customHeight="1">
      <c r="A482" s="48" t="s">
        <v>528</v>
      </c>
      <c r="B482" s="48" t="str">
        <f>IFERROR(__xludf.DUMMYFUNCTION("IFERROR(GOOGLEFINANCE(A482,""NAME""),)"),"Ginni Filaments Ltd")</f>
        <v>Ginni Filaments Ltd</v>
      </c>
      <c r="C482" s="48">
        <f>IFERROR(__xludf.DUMMYFUNCTION("IFERROR(GOOGLEFINANCE(A482,""CHANGE""),)"),-0.2)</f>
        <v>-0.2</v>
      </c>
      <c r="D482" s="48">
        <f>IFERROR(__xludf.DUMMYFUNCTION("IFERROR(GOOGLEFINANCE(A482,""CHANGEPCT""),)"),-0.46)</f>
        <v>-0.46</v>
      </c>
      <c r="E482" s="48" t="str">
        <f t="shared" si="1"/>
        <v>-0.46%</v>
      </c>
      <c r="F482" s="48" t="str">
        <f t="shared" si="2"/>
        <v/>
      </c>
      <c r="G482" s="48">
        <f t="shared" si="3"/>
        <v>-0.46</v>
      </c>
      <c r="H482" s="48">
        <f>IFERROR(__xludf.DUMMYFUNCTION("IFERROR(GOOGLEFINANCE(A482,""PRICE""),)"),42.97)</f>
        <v>42.97</v>
      </c>
      <c r="I482" s="49">
        <f>IFERROR(__xludf.DUMMYFUNCTION("IFERROR(GOOGLEFINANCE(A482,""VOLUME""),)"),55171.0)</f>
        <v>55171</v>
      </c>
      <c r="J482" s="48" t="str">
        <f>IFERROR(__xludf.DUMMYFUNCTION("IFERROR(INDEX(SPLIT(A482,"":""),1,2),)"),"GINNIFILA")</f>
        <v>GINNIFILA</v>
      </c>
      <c r="K482" s="48" t="str">
        <f t="shared" si="4"/>
        <v/>
      </c>
      <c r="L482" s="48">
        <f t="shared" si="5"/>
        <v>176</v>
      </c>
      <c r="M482" s="48">
        <f t="shared" si="6"/>
        <v>924</v>
      </c>
      <c r="N482" s="50">
        <f>IFERROR(__xludf.DUMMYFUNCTION("IFERROR(GOOGLEFINANCE(A482,""TRADETIME""),)"),46269.64583333333)</f>
        <v>46269.64583</v>
      </c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</row>
    <row r="483" ht="15.75" customHeight="1">
      <c r="A483" s="51" t="s">
        <v>529</v>
      </c>
      <c r="B483" s="51" t="str">
        <f>IFERROR(__xludf.DUMMYFUNCTION("IFERROR(GOOGLEFINANCE(A483,""NAME""),)"),"Gujarat Industries Power Company Ltd")</f>
        <v>Gujarat Industries Power Company Ltd</v>
      </c>
      <c r="C483" s="51">
        <f>IFERROR(__xludf.DUMMYFUNCTION("IFERROR(GOOGLEFINANCE(A483,""CHANGE""),)"),-2.53)</f>
        <v>-2.53</v>
      </c>
      <c r="D483" s="51">
        <f>IFERROR(__xludf.DUMMYFUNCTION("IFERROR(GOOGLEFINANCE(A483,""CHANGEPCT""),)"),-1.22)</f>
        <v>-1.22</v>
      </c>
      <c r="E483" s="51" t="str">
        <f t="shared" si="1"/>
        <v>-1.22%</v>
      </c>
      <c r="F483" s="51" t="str">
        <f t="shared" si="2"/>
        <v/>
      </c>
      <c r="G483" s="51">
        <f t="shared" si="3"/>
        <v>-1.22</v>
      </c>
      <c r="H483" s="51">
        <f>IFERROR(__xludf.DUMMYFUNCTION("IFERROR(GOOGLEFINANCE(A483,""PRICE""),)"),205.51)</f>
        <v>205.51</v>
      </c>
      <c r="I483" s="52">
        <f>IFERROR(__xludf.DUMMYFUNCTION("IFERROR(GOOGLEFINANCE(A483,""VOLUME""),)"),400260.0)</f>
        <v>400260</v>
      </c>
      <c r="J483" s="51" t="str">
        <f>IFERROR(__xludf.DUMMYFUNCTION("IFERROR(INDEX(SPLIT(A483,"":""),1,2),)"),"GIPCL")</f>
        <v>GIPCL</v>
      </c>
      <c r="K483" s="51" t="str">
        <f t="shared" si="4"/>
        <v/>
      </c>
      <c r="L483" s="51">
        <f t="shared" si="5"/>
        <v>378</v>
      </c>
      <c r="M483" s="51">
        <f t="shared" si="6"/>
        <v>443</v>
      </c>
      <c r="N483" s="53">
        <f>IFERROR(__xludf.DUMMYFUNCTION("IFERROR(GOOGLEFINANCE(A483,""TRADETIME""),)"),46269.64583333333)</f>
        <v>46269.64583</v>
      </c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</row>
    <row r="484" ht="15.75" customHeight="1">
      <c r="A484" s="48" t="s">
        <v>530</v>
      </c>
      <c r="B484" s="48" t="str">
        <f>IFERROR(__xludf.DUMMYFUNCTION("IFERROR(GOOGLEFINANCE(A484,""NAME""),)"),"")</f>
        <v/>
      </c>
      <c r="C484" s="48" t="str">
        <f>IFERROR(__xludf.DUMMYFUNCTION("IFERROR(GOOGLEFINANCE(A484,""CHANGE""),)"),"")</f>
        <v/>
      </c>
      <c r="D484" s="48" t="str">
        <f>IFERROR(__xludf.DUMMYFUNCTION("IFERROR(GOOGLEFINANCE(A484,""CHANGEPCT""),)"),"")</f>
        <v/>
      </c>
      <c r="E484" s="48" t="str">
        <f t="shared" si="1"/>
        <v>%</v>
      </c>
      <c r="F484" s="48" t="str">
        <f t="shared" si="2"/>
        <v/>
      </c>
      <c r="G484" s="48" t="str">
        <f t="shared" si="3"/>
        <v/>
      </c>
      <c r="H484" s="48" t="str">
        <f>IFERROR(__xludf.DUMMYFUNCTION("IFERROR(GOOGLEFINANCE(A484,""PRICE""),)"),"")</f>
        <v/>
      </c>
      <c r="I484" s="49" t="str">
        <f>IFERROR(__xludf.DUMMYFUNCTION("IFERROR(GOOGLEFINANCE(A484,""VOLUME""),)"),"")</f>
        <v/>
      </c>
      <c r="J484" s="48" t="str">
        <f>IFERROR(__xludf.DUMMYFUNCTION("IFERROR(INDEX(SPLIT(A484,"":""),1,2),)"),"GISOLUTION")</f>
        <v>GISOLUTION</v>
      </c>
      <c r="K484" s="48" t="str">
        <f t="shared" si="4"/>
        <v/>
      </c>
      <c r="L484" s="48" t="str">
        <f t="shared" si="5"/>
        <v/>
      </c>
      <c r="M484" s="48">
        <f t="shared" si="6"/>
        <v>1456</v>
      </c>
      <c r="N484" s="50" t="str">
        <f>IFERROR(__xludf.DUMMYFUNCTION("IFERROR(GOOGLEFINANCE(A484,""TRADETIME""),)"),"")</f>
        <v/>
      </c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</row>
    <row r="485" ht="15.75" customHeight="1">
      <c r="A485" s="51" t="s">
        <v>531</v>
      </c>
      <c r="B485" s="51" t="str">
        <f>IFERROR(__xludf.DUMMYFUNCTION("IFERROR(GOOGLEFINANCE(A485,""NAME""),)"),"GKW Ltd")</f>
        <v>GKW Ltd</v>
      </c>
      <c r="C485" s="51">
        <f>IFERROR(__xludf.DUMMYFUNCTION("IFERROR(GOOGLEFINANCE(A485,""CHANGE""),)"),18.5)</f>
        <v>18.5</v>
      </c>
      <c r="D485" s="51">
        <f>IFERROR(__xludf.DUMMYFUNCTION("IFERROR(GOOGLEFINANCE(A485,""CHANGEPCT""),)"),1.16)</f>
        <v>1.16</v>
      </c>
      <c r="E485" s="51" t="str">
        <f t="shared" si="1"/>
        <v>1.16%</v>
      </c>
      <c r="F485" s="51">
        <f t="shared" si="2"/>
        <v>1.16</v>
      </c>
      <c r="G485" s="51" t="str">
        <f t="shared" si="3"/>
        <v/>
      </c>
      <c r="H485" s="51">
        <f>IFERROR(__xludf.DUMMYFUNCTION("IFERROR(GOOGLEFINANCE(A485,""PRICE""),)"),1618.5)</f>
        <v>1618.5</v>
      </c>
      <c r="I485" s="52">
        <f>IFERROR(__xludf.DUMMYFUNCTION("IFERROR(GOOGLEFINANCE(A485,""VOLUME""),)"),154.0)</f>
        <v>154</v>
      </c>
      <c r="J485" s="51" t="str">
        <f>IFERROR(__xludf.DUMMYFUNCTION("IFERROR(INDEX(SPLIT(A485,"":""),1,2),)"),"GKWLIMITED")</f>
        <v>GKWLIMITED</v>
      </c>
      <c r="K485" s="51">
        <f t="shared" si="4"/>
        <v>415</v>
      </c>
      <c r="L485" s="51" t="str">
        <f t="shared" si="5"/>
        <v/>
      </c>
      <c r="M485" s="51">
        <f t="shared" si="6"/>
        <v>1449</v>
      </c>
      <c r="N485" s="53">
        <f>IFERROR(__xludf.DUMMYFUNCTION("IFERROR(GOOGLEFINANCE(A485,""TRADETIME""),)"),46269.64583333333)</f>
        <v>46269.64583</v>
      </c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</row>
    <row r="486" ht="15.75" customHeight="1">
      <c r="A486" s="48" t="s">
        <v>532</v>
      </c>
      <c r="B486" s="48" t="str">
        <f>IFERROR(__xludf.DUMMYFUNCTION("IFERROR(GOOGLEFINANCE(A486,""NAME""),)"),"Gland Pharma Ltd")</f>
        <v>Gland Pharma Ltd</v>
      </c>
      <c r="C486" s="48">
        <f>IFERROR(__xludf.DUMMYFUNCTION("IFERROR(GOOGLEFINANCE(A486,""CHANGE""),)"),31.8)</f>
        <v>31.8</v>
      </c>
      <c r="D486" s="48">
        <f>IFERROR(__xludf.DUMMYFUNCTION("IFERROR(GOOGLEFINANCE(A486,""CHANGEPCT""),)"),1.09)</f>
        <v>1.09</v>
      </c>
      <c r="E486" s="48" t="str">
        <f t="shared" si="1"/>
        <v>1.09%</v>
      </c>
      <c r="F486" s="48">
        <f t="shared" si="2"/>
        <v>1.09</v>
      </c>
      <c r="G486" s="48" t="str">
        <f t="shared" si="3"/>
        <v/>
      </c>
      <c r="H486" s="48">
        <f>IFERROR(__xludf.DUMMYFUNCTION("IFERROR(GOOGLEFINANCE(A486,""PRICE""),)"),2939.7)</f>
        <v>2939.7</v>
      </c>
      <c r="I486" s="49">
        <f>IFERROR(__xludf.DUMMYFUNCTION("IFERROR(GOOGLEFINANCE(A486,""VOLUME""),)"),2977808.0)</f>
        <v>2977808</v>
      </c>
      <c r="J486" s="48" t="str">
        <f>IFERROR(__xludf.DUMMYFUNCTION("IFERROR(INDEX(SPLIT(A486,"":""),1,2),)"),"GLAND")</f>
        <v>GLAND</v>
      </c>
      <c r="K486" s="48">
        <f t="shared" si="4"/>
        <v>438</v>
      </c>
      <c r="L486" s="48" t="str">
        <f t="shared" si="5"/>
        <v/>
      </c>
      <c r="M486" s="48">
        <f t="shared" si="6"/>
        <v>127</v>
      </c>
      <c r="N486" s="50">
        <f>IFERROR(__xludf.DUMMYFUNCTION("IFERROR(GOOGLEFINANCE(A486,""TRADETIME""),)"),46269.64583333333)</f>
        <v>46269.64583</v>
      </c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</row>
    <row r="487" ht="15.75" customHeight="1">
      <c r="A487" s="51" t="s">
        <v>533</v>
      </c>
      <c r="B487" s="51" t="str">
        <f>IFERROR(__xludf.DUMMYFUNCTION("IFERROR(GOOGLEFINANCE(A487,""NAME""),)"),"GlaxoSmithKline Pharmaceuticals Ltd")</f>
        <v>GlaxoSmithKline Pharmaceuticals Ltd</v>
      </c>
      <c r="C487" s="51">
        <f>IFERROR(__xludf.DUMMYFUNCTION("IFERROR(GOOGLEFINANCE(A487,""CHANGE""),)"),16.5)</f>
        <v>16.5</v>
      </c>
      <c r="D487" s="51">
        <f>IFERROR(__xludf.DUMMYFUNCTION("IFERROR(GOOGLEFINANCE(A487,""CHANGEPCT""),)"),0.56)</f>
        <v>0.56</v>
      </c>
      <c r="E487" s="51" t="str">
        <f t="shared" si="1"/>
        <v>0.56%</v>
      </c>
      <c r="F487" s="51">
        <f t="shared" si="2"/>
        <v>0.56</v>
      </c>
      <c r="G487" s="51" t="str">
        <f t="shared" si="3"/>
        <v/>
      </c>
      <c r="H487" s="51">
        <f>IFERROR(__xludf.DUMMYFUNCTION("IFERROR(GOOGLEFINANCE(A487,""PRICE""),)"),2954.0)</f>
        <v>2954</v>
      </c>
      <c r="I487" s="52">
        <f>IFERROR(__xludf.DUMMYFUNCTION("IFERROR(GOOGLEFINANCE(A487,""VOLUME""),)"),48109.0)</f>
        <v>48109</v>
      </c>
      <c r="J487" s="51" t="str">
        <f>IFERROR(__xludf.DUMMYFUNCTION("IFERROR(INDEX(SPLIT(A487,"":""),1,2),)"),"GLAXO")</f>
        <v>GLAXO</v>
      </c>
      <c r="K487" s="51">
        <f t="shared" si="4"/>
        <v>569</v>
      </c>
      <c r="L487" s="51" t="str">
        <f t="shared" si="5"/>
        <v/>
      </c>
      <c r="M487" s="51">
        <f t="shared" si="6"/>
        <v>958</v>
      </c>
      <c r="N487" s="53">
        <f>IFERROR(__xludf.DUMMYFUNCTION("IFERROR(GOOGLEFINANCE(A487,""TRADETIME""),)"),46269.64583333333)</f>
        <v>46269.64583</v>
      </c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</row>
    <row r="488" ht="15.75" customHeight="1">
      <c r="A488" s="48" t="s">
        <v>534</v>
      </c>
      <c r="B488" s="48" t="str">
        <f>IFERROR(__xludf.DUMMYFUNCTION("IFERROR(GOOGLEFINANCE(A488,""NAME""),)"),"Glenmark Pharmaceuticals Ltd")</f>
        <v>Glenmark Pharmaceuticals Ltd</v>
      </c>
      <c r="C488" s="48">
        <f>IFERROR(__xludf.DUMMYFUNCTION("IFERROR(GOOGLEFINANCE(A488,""CHANGE""),)"),-30.8)</f>
        <v>-30.8</v>
      </c>
      <c r="D488" s="48">
        <f>IFERROR(__xludf.DUMMYFUNCTION("IFERROR(GOOGLEFINANCE(A488,""CHANGEPCT""),)"),-1.25)</f>
        <v>-1.25</v>
      </c>
      <c r="E488" s="48" t="str">
        <f t="shared" si="1"/>
        <v>-1.25%</v>
      </c>
      <c r="F488" s="48" t="str">
        <f t="shared" si="2"/>
        <v/>
      </c>
      <c r="G488" s="48">
        <f t="shared" si="3"/>
        <v>-1.25</v>
      </c>
      <c r="H488" s="48">
        <f>IFERROR(__xludf.DUMMYFUNCTION("IFERROR(GOOGLEFINANCE(A488,""PRICE""),)"),2428.2)</f>
        <v>2428.2</v>
      </c>
      <c r="I488" s="49">
        <f>IFERROR(__xludf.DUMMYFUNCTION("IFERROR(GOOGLEFINANCE(A488,""VOLUME""),)"),412728.0)</f>
        <v>412728</v>
      </c>
      <c r="J488" s="48" t="str">
        <f>IFERROR(__xludf.DUMMYFUNCTION("IFERROR(INDEX(SPLIT(A488,"":""),1,2),)"),"GLENMARK")</f>
        <v>GLENMARK</v>
      </c>
      <c r="K488" s="48" t="str">
        <f t="shared" si="4"/>
        <v/>
      </c>
      <c r="L488" s="48">
        <f t="shared" si="5"/>
        <v>389</v>
      </c>
      <c r="M488" s="48">
        <f t="shared" si="6"/>
        <v>436</v>
      </c>
      <c r="N488" s="50">
        <f>IFERROR(__xludf.DUMMYFUNCTION("IFERROR(GOOGLEFINANCE(A488,""TRADETIME""),)"),46269.64583333333)</f>
        <v>46269.64583</v>
      </c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</row>
    <row r="489" ht="15.75" customHeight="1">
      <c r="A489" s="51" t="s">
        <v>535</v>
      </c>
      <c r="B489" s="51" t="str">
        <f>IFERROR(__xludf.DUMMYFUNCTION("IFERROR(GOOGLEFINANCE(A489,""NAME""),)"),"Gujarat Lease Financing Ltd")</f>
        <v>Gujarat Lease Financing Ltd</v>
      </c>
      <c r="C489" s="51">
        <f>IFERROR(__xludf.DUMMYFUNCTION("IFERROR(GOOGLEFINANCE(A489,""CHANGE""),)"),0.14)</f>
        <v>0.14</v>
      </c>
      <c r="D489" s="51">
        <f>IFERROR(__xludf.DUMMYFUNCTION("IFERROR(GOOGLEFINANCE(A489,""CHANGEPCT""),)"),2.47)</f>
        <v>2.47</v>
      </c>
      <c r="E489" s="51" t="str">
        <f t="shared" si="1"/>
        <v>2.47%</v>
      </c>
      <c r="F489" s="51">
        <f t="shared" si="2"/>
        <v>2.47</v>
      </c>
      <c r="G489" s="51" t="str">
        <f t="shared" si="3"/>
        <v/>
      </c>
      <c r="H489" s="51">
        <f>IFERROR(__xludf.DUMMYFUNCTION("IFERROR(GOOGLEFINANCE(A489,""PRICE""),)"),5.8)</f>
        <v>5.8</v>
      </c>
      <c r="I489" s="52">
        <f>IFERROR(__xludf.DUMMYFUNCTION("IFERROR(GOOGLEFINANCE(A489,""VOLUME""),)"),4293.0)</f>
        <v>4293</v>
      </c>
      <c r="J489" s="51" t="str">
        <f>IFERROR(__xludf.DUMMYFUNCTION("IFERROR(INDEX(SPLIT(A489,"":""),1,2),)"),"GLFL")</f>
        <v>GLFL</v>
      </c>
      <c r="K489" s="51">
        <f t="shared" si="4"/>
        <v>209</v>
      </c>
      <c r="L489" s="51" t="str">
        <f t="shared" si="5"/>
        <v/>
      </c>
      <c r="M489" s="51">
        <f t="shared" si="6"/>
        <v>1342</v>
      </c>
      <c r="N489" s="53">
        <f>IFERROR(__xludf.DUMMYFUNCTION("IFERROR(GOOGLEFINANCE(A489,""TRADETIME""),)"),46269.64583333333)</f>
        <v>46269.64583</v>
      </c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</row>
    <row r="490" ht="15.75" customHeight="1">
      <c r="A490" s="48" t="s">
        <v>536</v>
      </c>
      <c r="B490" s="48" t="str">
        <f>IFERROR(__xludf.DUMMYFUNCTION("IFERROR(GOOGLEFINANCE(A490,""NAME""),)"),"Global Education Ltd")</f>
        <v>Global Education Ltd</v>
      </c>
      <c r="C490" s="48">
        <f>IFERROR(__xludf.DUMMYFUNCTION("IFERROR(GOOGLEFINANCE(A490,""CHANGE""),)"),4.73)</f>
        <v>4.73</v>
      </c>
      <c r="D490" s="48">
        <f>IFERROR(__xludf.DUMMYFUNCTION("IFERROR(GOOGLEFINANCE(A490,""CHANGEPCT""),)"),4.07)</f>
        <v>4.07</v>
      </c>
      <c r="E490" s="48" t="str">
        <f t="shared" si="1"/>
        <v>4.07%</v>
      </c>
      <c r="F490" s="48">
        <f t="shared" si="2"/>
        <v>4.07</v>
      </c>
      <c r="G490" s="48" t="str">
        <f t="shared" si="3"/>
        <v/>
      </c>
      <c r="H490" s="48">
        <f>IFERROR(__xludf.DUMMYFUNCTION("IFERROR(GOOGLEFINANCE(A490,""PRICE""),)"),121.0)</f>
        <v>121</v>
      </c>
      <c r="I490" s="49">
        <f>IFERROR(__xludf.DUMMYFUNCTION("IFERROR(GOOGLEFINANCE(A490,""VOLUME""),)"),570402.0)</f>
        <v>570402</v>
      </c>
      <c r="J490" s="48" t="str">
        <f>IFERROR(__xludf.DUMMYFUNCTION("IFERROR(INDEX(SPLIT(A490,"":""),1,2),)"),"GLOBAL")</f>
        <v>GLOBAL</v>
      </c>
      <c r="K490" s="48">
        <f t="shared" si="4"/>
        <v>112</v>
      </c>
      <c r="L490" s="48" t="str">
        <f t="shared" si="5"/>
        <v/>
      </c>
      <c r="M490" s="48">
        <f t="shared" si="6"/>
        <v>371</v>
      </c>
      <c r="N490" s="50">
        <f>IFERROR(__xludf.DUMMYFUNCTION("IFERROR(GOOGLEFINANCE(A490,""TRADETIME""),)"),46269.64583333333)</f>
        <v>46269.64583</v>
      </c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</row>
    <row r="491" ht="15.75" customHeight="1">
      <c r="A491" s="51" t="s">
        <v>537</v>
      </c>
      <c r="B491" s="51" t="str">
        <f>IFERROR(__xludf.DUMMYFUNCTION("IFERROR(GOOGLEFINANCE(A491,""NAME""),)"),"Global Vectra Helicorp Limited")</f>
        <v>Global Vectra Helicorp Limited</v>
      </c>
      <c r="C491" s="51">
        <f>IFERROR(__xludf.DUMMYFUNCTION("IFERROR(GOOGLEFINANCE(A491,""CHANGE""),)"),-2.15)</f>
        <v>-2.15</v>
      </c>
      <c r="D491" s="51">
        <f>IFERROR(__xludf.DUMMYFUNCTION("IFERROR(GOOGLEFINANCE(A491,""CHANGEPCT""),)"),-1.51)</f>
        <v>-1.51</v>
      </c>
      <c r="E491" s="51" t="str">
        <f t="shared" si="1"/>
        <v>-1.51%</v>
      </c>
      <c r="F491" s="51" t="str">
        <f t="shared" si="2"/>
        <v/>
      </c>
      <c r="G491" s="51">
        <f t="shared" si="3"/>
        <v>-1.51</v>
      </c>
      <c r="H491" s="51">
        <f>IFERROR(__xludf.DUMMYFUNCTION("IFERROR(GOOGLEFINANCE(A491,""PRICE""),)"),140.5)</f>
        <v>140.5</v>
      </c>
      <c r="I491" s="52">
        <f>IFERROR(__xludf.DUMMYFUNCTION("IFERROR(GOOGLEFINANCE(A491,""VOLUME""),)"),2436.0)</f>
        <v>2436</v>
      </c>
      <c r="J491" s="51" t="str">
        <f>IFERROR(__xludf.DUMMYFUNCTION("IFERROR(INDEX(SPLIT(A491,"":""),1,2),)"),"GLOBALVECT")</f>
        <v>GLOBALVECT</v>
      </c>
      <c r="K491" s="51" t="str">
        <f t="shared" si="4"/>
        <v/>
      </c>
      <c r="L491" s="51">
        <f t="shared" si="5"/>
        <v>451</v>
      </c>
      <c r="M491" s="51">
        <f t="shared" si="6"/>
        <v>1382</v>
      </c>
      <c r="N491" s="53">
        <f>IFERROR(__xludf.DUMMYFUNCTION("IFERROR(GOOGLEFINANCE(A491,""TRADETIME""),)"),46269.64583333333)</f>
        <v>46269.64583</v>
      </c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</row>
    <row r="492" ht="15.75" customHeight="1">
      <c r="A492" s="48" t="s">
        <v>538</v>
      </c>
      <c r="B492" s="48" t="str">
        <f>IFERROR(__xludf.DUMMYFUNCTION("IFERROR(GOOGLEFINANCE(A492,""NAME""),)"),"Ingersoll-Rand (India) Ltd")</f>
        <v>Ingersoll-Rand (India) Ltd</v>
      </c>
      <c r="C492" s="48">
        <f>IFERROR(__xludf.DUMMYFUNCTION("IFERROR(GOOGLEFINANCE(A492,""CHANGE""),)"),-16.4)</f>
        <v>-16.4</v>
      </c>
      <c r="D492" s="48">
        <f>IFERROR(__xludf.DUMMYFUNCTION("IFERROR(GOOGLEFINANCE(A492,""CHANGEPCT""),)"),-0.34)</f>
        <v>-0.34</v>
      </c>
      <c r="E492" s="48" t="str">
        <f t="shared" si="1"/>
        <v>-0.34%</v>
      </c>
      <c r="F492" s="48" t="str">
        <f t="shared" si="2"/>
        <v/>
      </c>
      <c r="G492" s="48">
        <f t="shared" si="3"/>
        <v>-0.34</v>
      </c>
      <c r="H492" s="48">
        <f>IFERROR(__xludf.DUMMYFUNCTION("IFERROR(GOOGLEFINANCE(A492,""PRICE""),)"),4830.0)</f>
        <v>4830</v>
      </c>
      <c r="I492" s="49">
        <f>IFERROR(__xludf.DUMMYFUNCTION("IFERROR(GOOGLEFINANCE(A492,""VOLUME""),)"),11320.0)</f>
        <v>11320</v>
      </c>
      <c r="J492" s="48" t="str">
        <f>IFERROR(__xludf.DUMMYFUNCTION("IFERROR(INDEX(SPLIT(A492,"":""),1,2),)"),"INGERRAND")</f>
        <v>INGERRAND</v>
      </c>
      <c r="K492" s="48" t="str">
        <f t="shared" si="4"/>
        <v/>
      </c>
      <c r="L492" s="48">
        <f t="shared" si="5"/>
        <v>132</v>
      </c>
      <c r="M492" s="48">
        <f t="shared" si="6"/>
        <v>1217</v>
      </c>
      <c r="N492" s="50">
        <f>IFERROR(__xludf.DUMMYFUNCTION("IFERROR(GOOGLEFINANCE(A492,""TRADETIME""),)"),46269.64583333333)</f>
        <v>46269.64583</v>
      </c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</row>
    <row r="493" ht="15.75" customHeight="1">
      <c r="A493" s="51" t="s">
        <v>539</v>
      </c>
      <c r="B493" s="51" t="str">
        <f>IFERROR(__xludf.DUMMYFUNCTION("IFERROR(GOOGLEFINANCE(A493,""NAME""),)"),"Globus Spirits Ltd")</f>
        <v>Globus Spirits Ltd</v>
      </c>
      <c r="C493" s="51">
        <f>IFERROR(__xludf.DUMMYFUNCTION("IFERROR(GOOGLEFINANCE(A493,""CHANGE""),)"),-4.65)</f>
        <v>-4.65</v>
      </c>
      <c r="D493" s="51">
        <f>IFERROR(__xludf.DUMMYFUNCTION("IFERROR(GOOGLEFINANCE(A493,""CHANGEPCT""),)"),-0.51)</f>
        <v>-0.51</v>
      </c>
      <c r="E493" s="51" t="str">
        <f t="shared" si="1"/>
        <v>-0.51%</v>
      </c>
      <c r="F493" s="51" t="str">
        <f t="shared" si="2"/>
        <v/>
      </c>
      <c r="G493" s="51">
        <f t="shared" si="3"/>
        <v>-0.51</v>
      </c>
      <c r="H493" s="51">
        <f>IFERROR(__xludf.DUMMYFUNCTION("IFERROR(GOOGLEFINANCE(A493,""PRICE""),)"),915.0)</f>
        <v>915</v>
      </c>
      <c r="I493" s="52">
        <f>IFERROR(__xludf.DUMMYFUNCTION("IFERROR(GOOGLEFINANCE(A493,""VOLUME""),)"),46420.0)</f>
        <v>46420</v>
      </c>
      <c r="J493" s="51" t="str">
        <f>IFERROR(__xludf.DUMMYFUNCTION("IFERROR(INDEX(SPLIT(A493,"":""),1,2),)"),"GLOBUSSPR")</f>
        <v>GLOBUSSPR</v>
      </c>
      <c r="K493" s="51" t="str">
        <f t="shared" si="4"/>
        <v/>
      </c>
      <c r="L493" s="51">
        <f t="shared" si="5"/>
        <v>198</v>
      </c>
      <c r="M493" s="51">
        <f t="shared" si="6"/>
        <v>964</v>
      </c>
      <c r="N493" s="53">
        <f>IFERROR(__xludf.DUMMYFUNCTION("IFERROR(GOOGLEFINANCE(A493,""TRADETIME""),)"),46269.64583333333)</f>
        <v>46269.64583</v>
      </c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</row>
    <row r="494" ht="15.75" customHeight="1">
      <c r="A494" s="48" t="s">
        <v>540</v>
      </c>
      <c r="B494" s="48" t="str">
        <f>IFERROR(__xludf.DUMMYFUNCTION("IFERROR(GOOGLEFINANCE(A494,""NAME""),)"),"G M Breweries Ltd")</f>
        <v>G M Breweries Ltd</v>
      </c>
      <c r="C494" s="48">
        <f>IFERROR(__xludf.DUMMYFUNCTION("IFERROR(GOOGLEFINANCE(A494,""CHANGE""),)"),11.35)</f>
        <v>11.35</v>
      </c>
      <c r="D494" s="48">
        <f>IFERROR(__xludf.DUMMYFUNCTION("IFERROR(GOOGLEFINANCE(A494,""CHANGEPCT""),)"),1.25)</f>
        <v>1.25</v>
      </c>
      <c r="E494" s="48" t="str">
        <f t="shared" si="1"/>
        <v>1.25%</v>
      </c>
      <c r="F494" s="48">
        <f t="shared" si="2"/>
        <v>1.25</v>
      </c>
      <c r="G494" s="48" t="str">
        <f t="shared" si="3"/>
        <v/>
      </c>
      <c r="H494" s="48">
        <f>IFERROR(__xludf.DUMMYFUNCTION("IFERROR(GOOGLEFINANCE(A494,""PRICE""),)"),921.9)</f>
        <v>921.9</v>
      </c>
      <c r="I494" s="49">
        <f>IFERROR(__xludf.DUMMYFUNCTION("IFERROR(GOOGLEFINANCE(A494,""VOLUME""),)"),40347.0)</f>
        <v>40347</v>
      </c>
      <c r="J494" s="48" t="str">
        <f>IFERROR(__xludf.DUMMYFUNCTION("IFERROR(INDEX(SPLIT(A494,"":""),1,2),)"),"GMBREW")</f>
        <v>GMBREW</v>
      </c>
      <c r="K494" s="48">
        <f t="shared" si="4"/>
        <v>393</v>
      </c>
      <c r="L494" s="48" t="str">
        <f t="shared" si="5"/>
        <v/>
      </c>
      <c r="M494" s="48">
        <f t="shared" si="6"/>
        <v>1004</v>
      </c>
      <c r="N494" s="50">
        <f>IFERROR(__xludf.DUMMYFUNCTION("IFERROR(GOOGLEFINANCE(A494,""TRADETIME""),)"),46269.64583333333)</f>
        <v>46269.64583</v>
      </c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</row>
    <row r="495" ht="15.75" customHeight="1">
      <c r="A495" s="51" t="s">
        <v>541</v>
      </c>
      <c r="B495" s="51" t="str">
        <f>IFERROR(__xludf.DUMMYFUNCTION("IFERROR(GOOGLEFINANCE(A495,""NAME""),)"),"Gujarat Mineral Development Corpn Ltd")</f>
        <v>Gujarat Mineral Development Corpn Ltd</v>
      </c>
      <c r="C495" s="51">
        <f>IFERROR(__xludf.DUMMYFUNCTION("IFERROR(GOOGLEFINANCE(A495,""CHANGE""),)"),-2.85)</f>
        <v>-2.85</v>
      </c>
      <c r="D495" s="51">
        <f>IFERROR(__xludf.DUMMYFUNCTION("IFERROR(GOOGLEFINANCE(A495,""CHANGEPCT""),)"),-0.5)</f>
        <v>-0.5</v>
      </c>
      <c r="E495" s="51" t="str">
        <f t="shared" si="1"/>
        <v>-0.5%</v>
      </c>
      <c r="F495" s="51" t="str">
        <f t="shared" si="2"/>
        <v/>
      </c>
      <c r="G495" s="51">
        <f t="shared" si="3"/>
        <v>-0.5</v>
      </c>
      <c r="H495" s="51">
        <f>IFERROR(__xludf.DUMMYFUNCTION("IFERROR(GOOGLEFINANCE(A495,""PRICE""),)"),563.0)</f>
        <v>563</v>
      </c>
      <c r="I495" s="52">
        <f>IFERROR(__xludf.DUMMYFUNCTION("IFERROR(GOOGLEFINANCE(A495,""VOLUME""),)"),503162.0)</f>
        <v>503162</v>
      </c>
      <c r="J495" s="51" t="str">
        <f>IFERROR(__xludf.DUMMYFUNCTION("IFERROR(INDEX(SPLIT(A495,"":""),1,2),)"),"GMDCLTD")</f>
        <v>GMDCLTD</v>
      </c>
      <c r="K495" s="51" t="str">
        <f t="shared" si="4"/>
        <v/>
      </c>
      <c r="L495" s="51">
        <f t="shared" si="5"/>
        <v>194</v>
      </c>
      <c r="M495" s="51">
        <f t="shared" si="6"/>
        <v>392</v>
      </c>
      <c r="N495" s="53">
        <f>IFERROR(__xludf.DUMMYFUNCTION("IFERROR(GOOGLEFINANCE(A495,""TRADETIME""),)"),46269.64586805555)</f>
        <v>46269.64587</v>
      </c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</row>
    <row r="496" ht="15.75" customHeight="1">
      <c r="A496" s="48" t="s">
        <v>542</v>
      </c>
      <c r="B496" s="48" t="str">
        <f>IFERROR(__xludf.DUMMYFUNCTION("IFERROR(GOOGLEFINANCE(A496,""NAME""),)"),"Gmm Pfaudler Ltd")</f>
        <v>Gmm Pfaudler Ltd</v>
      </c>
      <c r="C496" s="48">
        <f>IFERROR(__xludf.DUMMYFUNCTION("IFERROR(GOOGLEFINANCE(A496,""CHANGE""),)"),86.5)</f>
        <v>86.5</v>
      </c>
      <c r="D496" s="48">
        <f>IFERROR(__xludf.DUMMYFUNCTION("IFERROR(GOOGLEFINANCE(A496,""CHANGEPCT""),)"),8.06)</f>
        <v>8.06</v>
      </c>
      <c r="E496" s="48" t="str">
        <f t="shared" si="1"/>
        <v>8.06%</v>
      </c>
      <c r="F496" s="48">
        <f t="shared" si="2"/>
        <v>8.06</v>
      </c>
      <c r="G496" s="48" t="str">
        <f t="shared" si="3"/>
        <v/>
      </c>
      <c r="H496" s="48">
        <f>IFERROR(__xludf.DUMMYFUNCTION("IFERROR(GOOGLEFINANCE(A496,""PRICE""),)"),1160.0)</f>
        <v>1160</v>
      </c>
      <c r="I496" s="49">
        <f>IFERROR(__xludf.DUMMYFUNCTION("IFERROR(GOOGLEFINANCE(A496,""VOLUME""),)"),1049404.0)</f>
        <v>1049404</v>
      </c>
      <c r="J496" s="48" t="str">
        <f>IFERROR(__xludf.DUMMYFUNCTION("IFERROR(INDEX(SPLIT(A496,"":""),1,2),)"),"GMMPFAUDLR")</f>
        <v>GMMPFAUDLR</v>
      </c>
      <c r="K496" s="48">
        <f t="shared" si="4"/>
        <v>15</v>
      </c>
      <c r="L496" s="48" t="str">
        <f t="shared" si="5"/>
        <v/>
      </c>
      <c r="M496" s="48">
        <f t="shared" si="6"/>
        <v>265</v>
      </c>
      <c r="N496" s="50">
        <f>IFERROR(__xludf.DUMMYFUNCTION("IFERROR(GOOGLEFINANCE(A496,""TRADETIME""),)"),46269.64583333333)</f>
        <v>46269.64583</v>
      </c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</row>
    <row r="497" ht="15.75" customHeight="1">
      <c r="A497" s="51" t="s">
        <v>543</v>
      </c>
      <c r="B497" s="51" t="str">
        <f>IFERROR(__xludf.DUMMYFUNCTION("IFERROR(GOOGLEFINANCE(A497,""NAME""),)"),"")</f>
        <v/>
      </c>
      <c r="C497" s="51" t="str">
        <f>IFERROR(__xludf.DUMMYFUNCTION("IFERROR(GOOGLEFINANCE(A497,""CHANGE""),)"),"")</f>
        <v/>
      </c>
      <c r="D497" s="51" t="str">
        <f>IFERROR(__xludf.DUMMYFUNCTION("IFERROR(GOOGLEFINANCE(A497,""CHANGEPCT""),)"),"")</f>
        <v/>
      </c>
      <c r="E497" s="51" t="str">
        <f t="shared" si="1"/>
        <v>%</v>
      </c>
      <c r="F497" s="51" t="str">
        <f t="shared" si="2"/>
        <v/>
      </c>
      <c r="G497" s="51" t="str">
        <f t="shared" si="3"/>
        <v/>
      </c>
      <c r="H497" s="51" t="str">
        <f>IFERROR(__xludf.DUMMYFUNCTION("IFERROR(GOOGLEFINANCE(A497,""PRICE""),)"),"")</f>
        <v/>
      </c>
      <c r="I497" s="52" t="str">
        <f>IFERROR(__xludf.DUMMYFUNCTION("IFERROR(GOOGLEFINANCE(A497,""VOLUME""),)"),"")</f>
        <v/>
      </c>
      <c r="J497" s="51" t="str">
        <f>IFERROR(__xludf.DUMMYFUNCTION("IFERROR(INDEX(SPLIT(A497,"":""),1,2),)"),"GMRINFRA")</f>
        <v>GMRINFRA</v>
      </c>
      <c r="K497" s="51" t="str">
        <f t="shared" si="4"/>
        <v/>
      </c>
      <c r="L497" s="51" t="str">
        <f t="shared" si="5"/>
        <v/>
      </c>
      <c r="M497" s="51">
        <f t="shared" si="6"/>
        <v>1456</v>
      </c>
      <c r="N497" s="53" t="str">
        <f>IFERROR(__xludf.DUMMYFUNCTION("IFERROR(GOOGLEFINANCE(A497,""TRADETIME""),)"),"")</f>
        <v/>
      </c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</row>
    <row r="498" ht="15.75" customHeight="1">
      <c r="A498" s="48" t="s">
        <v>544</v>
      </c>
      <c r="B498" s="48" t="str">
        <f>IFERROR(__xludf.DUMMYFUNCTION("IFERROR(GOOGLEFINANCE(A498,""NAME""),)"),"GNA Axles Ltd")</f>
        <v>GNA Axles Ltd</v>
      </c>
      <c r="C498" s="48">
        <f>IFERROR(__xludf.DUMMYFUNCTION("IFERROR(GOOGLEFINANCE(A498,""CHANGE""),)"),22.2)</f>
        <v>22.2</v>
      </c>
      <c r="D498" s="48">
        <f>IFERROR(__xludf.DUMMYFUNCTION("IFERROR(GOOGLEFINANCE(A498,""CHANGEPCT""),)"),4.17)</f>
        <v>4.17</v>
      </c>
      <c r="E498" s="48" t="str">
        <f t="shared" si="1"/>
        <v>4.17%</v>
      </c>
      <c r="F498" s="48">
        <f t="shared" si="2"/>
        <v>4.17</v>
      </c>
      <c r="G498" s="48" t="str">
        <f t="shared" si="3"/>
        <v/>
      </c>
      <c r="H498" s="48">
        <f>IFERROR(__xludf.DUMMYFUNCTION("IFERROR(GOOGLEFINANCE(A498,""PRICE""),)"),554.0)</f>
        <v>554</v>
      </c>
      <c r="I498" s="49">
        <f>IFERROR(__xludf.DUMMYFUNCTION("IFERROR(GOOGLEFINANCE(A498,""VOLUME""),)"),276542.0)</f>
        <v>276542</v>
      </c>
      <c r="J498" s="48" t="str">
        <f>IFERROR(__xludf.DUMMYFUNCTION("IFERROR(INDEX(SPLIT(A498,"":""),1,2),)"),"GNA")</f>
        <v>GNA</v>
      </c>
      <c r="K498" s="48">
        <f t="shared" si="4"/>
        <v>106</v>
      </c>
      <c r="L498" s="48" t="str">
        <f t="shared" si="5"/>
        <v/>
      </c>
      <c r="M498" s="48">
        <f t="shared" si="6"/>
        <v>543</v>
      </c>
      <c r="N498" s="50">
        <f>IFERROR(__xludf.DUMMYFUNCTION("IFERROR(GOOGLEFINANCE(A498,""TRADETIME""),)"),46269.64583333333)</f>
        <v>46269.64583</v>
      </c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</row>
    <row r="499" ht="15.75" customHeight="1">
      <c r="A499" s="51" t="s">
        <v>545</v>
      </c>
      <c r="B499" s="51" t="str">
        <f>IFERROR(__xludf.DUMMYFUNCTION("IFERROR(GOOGLEFINANCE(A499,""NAME""),)"),"Gujarat Narmada Vly Frtlzrs &amp; Chmcl Ltd")</f>
        <v>Gujarat Narmada Vly Frtlzrs &amp; Chmcl Ltd</v>
      </c>
      <c r="C499" s="51">
        <f>IFERROR(__xludf.DUMMYFUNCTION("IFERROR(GOOGLEFINANCE(A499,""CHANGE""),)"),10.65)</f>
        <v>10.65</v>
      </c>
      <c r="D499" s="51">
        <f>IFERROR(__xludf.DUMMYFUNCTION("IFERROR(GOOGLEFINANCE(A499,""CHANGEPCT""),)"),1.81)</f>
        <v>1.81</v>
      </c>
      <c r="E499" s="51" t="str">
        <f t="shared" si="1"/>
        <v>1.81%</v>
      </c>
      <c r="F499" s="51">
        <f t="shared" si="2"/>
        <v>1.81</v>
      </c>
      <c r="G499" s="51" t="str">
        <f t="shared" si="3"/>
        <v/>
      </c>
      <c r="H499" s="51">
        <f>IFERROR(__xludf.DUMMYFUNCTION("IFERROR(GOOGLEFINANCE(A499,""PRICE""),)"),598.0)</f>
        <v>598</v>
      </c>
      <c r="I499" s="52">
        <f>IFERROR(__xludf.DUMMYFUNCTION("IFERROR(GOOGLEFINANCE(A499,""VOLUME""),)"),791924.0)</f>
        <v>791924</v>
      </c>
      <c r="J499" s="51" t="str">
        <f>IFERROR(__xludf.DUMMYFUNCTION("IFERROR(INDEX(SPLIT(A499,"":""),1,2),)"),"GNFC")</f>
        <v>GNFC</v>
      </c>
      <c r="K499" s="51">
        <f t="shared" si="4"/>
        <v>293</v>
      </c>
      <c r="L499" s="51" t="str">
        <f t="shared" si="5"/>
        <v/>
      </c>
      <c r="M499" s="51">
        <f t="shared" si="6"/>
        <v>310</v>
      </c>
      <c r="N499" s="53">
        <f>IFERROR(__xludf.DUMMYFUNCTION("IFERROR(GOOGLEFINANCE(A499,""TRADETIME""),)"),46269.64583333333)</f>
        <v>46269.64583</v>
      </c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</row>
    <row r="500" ht="15.75" customHeight="1">
      <c r="A500" s="48" t="s">
        <v>546</v>
      </c>
      <c r="B500" s="48" t="str">
        <f>IFERROR(__xludf.DUMMYFUNCTION("IFERROR(GOOGLEFINANCE(A500,""NAME""),)"),"Goa Carbon Ltd")</f>
        <v>Goa Carbon Ltd</v>
      </c>
      <c r="C500" s="48">
        <f>IFERROR(__xludf.DUMMYFUNCTION("IFERROR(GOOGLEFINANCE(A500,""CHANGE""),)"),-0.1)</f>
        <v>-0.1</v>
      </c>
      <c r="D500" s="48">
        <f>IFERROR(__xludf.DUMMYFUNCTION("IFERROR(GOOGLEFINANCE(A500,""CHANGEPCT""),)"),-0.03)</f>
        <v>-0.03</v>
      </c>
      <c r="E500" s="48" t="str">
        <f t="shared" si="1"/>
        <v>-0.03%</v>
      </c>
      <c r="F500" s="48" t="str">
        <f t="shared" si="2"/>
        <v/>
      </c>
      <c r="G500" s="48">
        <f t="shared" si="3"/>
        <v>-0.03</v>
      </c>
      <c r="H500" s="48">
        <f>IFERROR(__xludf.DUMMYFUNCTION("IFERROR(GOOGLEFINANCE(A500,""PRICE""),)"),375.15)</f>
        <v>375.15</v>
      </c>
      <c r="I500" s="49">
        <f>IFERROR(__xludf.DUMMYFUNCTION("IFERROR(GOOGLEFINANCE(A500,""VOLUME""),)"),9112.0)</f>
        <v>9112</v>
      </c>
      <c r="J500" s="48" t="str">
        <f>IFERROR(__xludf.DUMMYFUNCTION("IFERROR(INDEX(SPLIT(A500,"":""),1,2),)"),"GOACARBON")</f>
        <v>GOACARBON</v>
      </c>
      <c r="K500" s="48" t="str">
        <f t="shared" si="4"/>
        <v/>
      </c>
      <c r="L500" s="48">
        <f t="shared" si="5"/>
        <v>8</v>
      </c>
      <c r="M500" s="48">
        <f t="shared" si="6"/>
        <v>1246</v>
      </c>
      <c r="N500" s="50">
        <f>IFERROR(__xludf.DUMMYFUNCTION("IFERROR(GOOGLEFINANCE(A500,""TRADETIME""),)"),46269.64583333333)</f>
        <v>46269.64583</v>
      </c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</row>
    <row r="501" ht="15.75" customHeight="1">
      <c r="A501" s="51" t="s">
        <v>547</v>
      </c>
      <c r="B501" s="51" t="str">
        <f>IFERROR(__xludf.DUMMYFUNCTION("IFERROR(GOOGLEFINANCE(A501,""NAME""),)"),"Gocl Corporation Ltd")</f>
        <v>Gocl Corporation Ltd</v>
      </c>
      <c r="C501" s="51">
        <f>IFERROR(__xludf.DUMMYFUNCTION("IFERROR(GOOGLEFINANCE(A501,""CHANGE""),)"),5.55)</f>
        <v>5.55</v>
      </c>
      <c r="D501" s="51">
        <f>IFERROR(__xludf.DUMMYFUNCTION("IFERROR(GOOGLEFINANCE(A501,""CHANGEPCT""),)"),1.31)</f>
        <v>1.31</v>
      </c>
      <c r="E501" s="51" t="str">
        <f t="shared" si="1"/>
        <v>1.31%</v>
      </c>
      <c r="F501" s="51">
        <f t="shared" si="2"/>
        <v>1.31</v>
      </c>
      <c r="G501" s="51" t="str">
        <f t="shared" si="3"/>
        <v/>
      </c>
      <c r="H501" s="51">
        <f>IFERROR(__xludf.DUMMYFUNCTION("IFERROR(GOOGLEFINANCE(A501,""PRICE""),)"),428.5)</f>
        <v>428.5</v>
      </c>
      <c r="I501" s="52">
        <f>IFERROR(__xludf.DUMMYFUNCTION("IFERROR(GOOGLEFINANCE(A501,""VOLUME""),)"),304041.0)</f>
        <v>304041</v>
      </c>
      <c r="J501" s="51" t="str">
        <f>IFERROR(__xludf.DUMMYFUNCTION("IFERROR(INDEX(SPLIT(A501,"":""),1,2),)"),"GOCLCORP")</f>
        <v>GOCLCORP</v>
      </c>
      <c r="K501" s="51">
        <f t="shared" si="4"/>
        <v>379</v>
      </c>
      <c r="L501" s="51" t="str">
        <f t="shared" si="5"/>
        <v/>
      </c>
      <c r="M501" s="51">
        <f t="shared" si="6"/>
        <v>511</v>
      </c>
      <c r="N501" s="53">
        <f>IFERROR(__xludf.DUMMYFUNCTION("IFERROR(GOOGLEFINANCE(A501,""TRADETIME""),)"),46269.64586805555)</f>
        <v>46269.64587</v>
      </c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</row>
    <row r="502" ht="15.75" customHeight="1">
      <c r="A502" s="48" t="s">
        <v>548</v>
      </c>
      <c r="B502" s="48" t="str">
        <f>IFERROR(__xludf.DUMMYFUNCTION("IFERROR(GOOGLEFINANCE(A502,""NAME""),)"),"Godfrey Phillips India Ltd")</f>
        <v>Godfrey Phillips India Ltd</v>
      </c>
      <c r="C502" s="48">
        <f>IFERROR(__xludf.DUMMYFUNCTION("IFERROR(GOOGLEFINANCE(A502,""CHANGE""),)"),4.0)</f>
        <v>4</v>
      </c>
      <c r="D502" s="48">
        <f>IFERROR(__xludf.DUMMYFUNCTION("IFERROR(GOOGLEFINANCE(A502,""CHANGEPCT""),)"),0.2)</f>
        <v>0.2</v>
      </c>
      <c r="E502" s="48" t="str">
        <f t="shared" si="1"/>
        <v>0.2%</v>
      </c>
      <c r="F502" s="48">
        <f t="shared" si="2"/>
        <v>0.2</v>
      </c>
      <c r="G502" s="48" t="str">
        <f t="shared" si="3"/>
        <v/>
      </c>
      <c r="H502" s="48">
        <f>IFERROR(__xludf.DUMMYFUNCTION("IFERROR(GOOGLEFINANCE(A502,""PRICE""),)"),2049.0)</f>
        <v>2049</v>
      </c>
      <c r="I502" s="49">
        <f>IFERROR(__xludf.DUMMYFUNCTION("IFERROR(GOOGLEFINANCE(A502,""VOLUME""),)"),100359.0)</f>
        <v>100359</v>
      </c>
      <c r="J502" s="48" t="str">
        <f>IFERROR(__xludf.DUMMYFUNCTION("IFERROR(INDEX(SPLIT(A502,"":""),1,2),)"),"GODFRYPHLP")</f>
        <v>GODFRYPHLP</v>
      </c>
      <c r="K502" s="48">
        <f t="shared" si="4"/>
        <v>697</v>
      </c>
      <c r="L502" s="48" t="str">
        <f t="shared" si="5"/>
        <v/>
      </c>
      <c r="M502" s="48">
        <f t="shared" si="6"/>
        <v>767</v>
      </c>
      <c r="N502" s="50">
        <f>IFERROR(__xludf.DUMMYFUNCTION("IFERROR(GOOGLEFINANCE(A502,""TRADETIME""),)"),46269.64583333333)</f>
        <v>46269.64583</v>
      </c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</row>
    <row r="503" ht="15.75" customHeight="1">
      <c r="A503" s="51" t="s">
        <v>549</v>
      </c>
      <c r="B503" s="51" t="str">
        <f>IFERROR(__xludf.DUMMYFUNCTION("IFERROR(GOOGLEFINANCE(A503,""NAME""),)"),"")</f>
        <v/>
      </c>
      <c r="C503" s="51" t="str">
        <f>IFERROR(__xludf.DUMMYFUNCTION("IFERROR(GOOGLEFINANCE(A503,""CHANGE""),)"),"")</f>
        <v/>
      </c>
      <c r="D503" s="51" t="str">
        <f>IFERROR(__xludf.DUMMYFUNCTION("IFERROR(GOOGLEFINANCE(A503,""CHANGEPCT""),)"),"")</f>
        <v/>
      </c>
      <c r="E503" s="51" t="str">
        <f t="shared" si="1"/>
        <v>%</v>
      </c>
      <c r="F503" s="51" t="str">
        <f t="shared" si="2"/>
        <v/>
      </c>
      <c r="G503" s="51" t="str">
        <f t="shared" si="3"/>
        <v/>
      </c>
      <c r="H503" s="51" t="str">
        <f>IFERROR(__xludf.DUMMYFUNCTION("IFERROR(GOOGLEFINANCE(A503,""PRICE""),)"),"")</f>
        <v/>
      </c>
      <c r="I503" s="52" t="str">
        <f>IFERROR(__xludf.DUMMYFUNCTION("IFERROR(GOOGLEFINANCE(A503,""VOLUME""),)"),"")</f>
        <v/>
      </c>
      <c r="J503" s="51" t="str">
        <f>IFERROR(__xludf.DUMMYFUNCTION("IFERROR(INDEX(SPLIT(A503,"":""),1,2),)"),"GODHA")</f>
        <v>GODHA</v>
      </c>
      <c r="K503" s="51" t="str">
        <f t="shared" si="4"/>
        <v/>
      </c>
      <c r="L503" s="51" t="str">
        <f t="shared" si="5"/>
        <v/>
      </c>
      <c r="M503" s="51">
        <f t="shared" si="6"/>
        <v>1456</v>
      </c>
      <c r="N503" s="53" t="str">
        <f>IFERROR(__xludf.DUMMYFUNCTION("IFERROR(GOOGLEFINANCE(A503,""TRADETIME""),)"),"")</f>
        <v/>
      </c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</row>
    <row r="504" ht="15.75" customHeight="1">
      <c r="A504" s="48" t="s">
        <v>550</v>
      </c>
      <c r="B504" s="48" t="str">
        <f>IFERROR(__xludf.DUMMYFUNCTION("IFERROR(GOOGLEFINANCE(A504,""NAME""),)"),"Godrej Agrovet Ltd")</f>
        <v>Godrej Agrovet Ltd</v>
      </c>
      <c r="C504" s="48">
        <f>IFERROR(__xludf.DUMMYFUNCTION("IFERROR(GOOGLEFINANCE(A504,""CHANGE""),)"),-12.95)</f>
        <v>-12.95</v>
      </c>
      <c r="D504" s="48">
        <f>IFERROR(__xludf.DUMMYFUNCTION("IFERROR(GOOGLEFINANCE(A504,""CHANGEPCT""),)"),-1.97)</f>
        <v>-1.97</v>
      </c>
      <c r="E504" s="48" t="str">
        <f t="shared" si="1"/>
        <v>-1.97%</v>
      </c>
      <c r="F504" s="48" t="str">
        <f t="shared" si="2"/>
        <v/>
      </c>
      <c r="G504" s="48">
        <f t="shared" si="3"/>
        <v>-1.97</v>
      </c>
      <c r="H504" s="48">
        <f>IFERROR(__xludf.DUMMYFUNCTION("IFERROR(GOOGLEFINANCE(A504,""PRICE""),)"),646.0)</f>
        <v>646</v>
      </c>
      <c r="I504" s="49">
        <f>IFERROR(__xludf.DUMMYFUNCTION("IFERROR(GOOGLEFINANCE(A504,""VOLUME""),)"),306292.0)</f>
        <v>306292</v>
      </c>
      <c r="J504" s="48" t="str">
        <f>IFERROR(__xludf.DUMMYFUNCTION("IFERROR(INDEX(SPLIT(A504,"":""),1,2),)"),"GODREJAGRO")</f>
        <v>GODREJAGRO</v>
      </c>
      <c r="K504" s="48" t="str">
        <f t="shared" si="4"/>
        <v/>
      </c>
      <c r="L504" s="48">
        <f t="shared" si="5"/>
        <v>526</v>
      </c>
      <c r="M504" s="48">
        <f t="shared" si="6"/>
        <v>509</v>
      </c>
      <c r="N504" s="50">
        <f>IFERROR(__xludf.DUMMYFUNCTION("IFERROR(GOOGLEFINANCE(A504,""TRADETIME""),)"),46269.64583333333)</f>
        <v>46269.64583</v>
      </c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</row>
    <row r="505" ht="15.75" customHeight="1">
      <c r="A505" s="51" t="s">
        <v>551</v>
      </c>
      <c r="B505" s="51" t="str">
        <f>IFERROR(__xludf.DUMMYFUNCTION("IFERROR(GOOGLEFINANCE(A505,""NAME""),)"),"Godrej Consumer Products Limited")</f>
        <v>Godrej Consumer Products Limited</v>
      </c>
      <c r="C505" s="51">
        <f>IFERROR(__xludf.DUMMYFUNCTION("IFERROR(GOOGLEFINANCE(A505,""CHANGE""),)"),-1.25)</f>
        <v>-1.25</v>
      </c>
      <c r="D505" s="51">
        <f>IFERROR(__xludf.DUMMYFUNCTION("IFERROR(GOOGLEFINANCE(A505,""CHANGEPCT""),)"),-0.14)</f>
        <v>-0.14</v>
      </c>
      <c r="E505" s="51" t="str">
        <f t="shared" si="1"/>
        <v>-0.14%</v>
      </c>
      <c r="F505" s="51" t="str">
        <f t="shared" si="2"/>
        <v/>
      </c>
      <c r="G505" s="51">
        <f t="shared" si="3"/>
        <v>-0.14</v>
      </c>
      <c r="H505" s="51">
        <f>IFERROR(__xludf.DUMMYFUNCTION("IFERROR(GOOGLEFINANCE(A505,""PRICE""),)"),878.75)</f>
        <v>878.75</v>
      </c>
      <c r="I505" s="52">
        <f>IFERROR(__xludf.DUMMYFUNCTION("IFERROR(GOOGLEFINANCE(A505,""VOLUME""),)"),1306185.0)</f>
        <v>1306185</v>
      </c>
      <c r="J505" s="51" t="str">
        <f>IFERROR(__xludf.DUMMYFUNCTION("IFERROR(INDEX(SPLIT(A505,"":""),1,2),)"),"GODREJCP")</f>
        <v>GODREJCP</v>
      </c>
      <c r="K505" s="51" t="str">
        <f t="shared" si="4"/>
        <v/>
      </c>
      <c r="L505" s="51">
        <f t="shared" si="5"/>
        <v>51</v>
      </c>
      <c r="M505" s="51">
        <f t="shared" si="6"/>
        <v>227</v>
      </c>
      <c r="N505" s="53">
        <f>IFERROR(__xludf.DUMMYFUNCTION("IFERROR(GOOGLEFINANCE(A505,""TRADETIME""),)"),46269.64583333333)</f>
        <v>46269.64583</v>
      </c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</row>
    <row r="506" ht="15.75" customHeight="1">
      <c r="A506" s="48" t="s">
        <v>552</v>
      </c>
      <c r="B506" s="48" t="str">
        <f>IFERROR(__xludf.DUMMYFUNCTION("IFERROR(GOOGLEFINANCE(A506,""NAME""),)"),"Godrej Industries Ltd")</f>
        <v>Godrej Industries Ltd</v>
      </c>
      <c r="C506" s="48">
        <f>IFERROR(__xludf.DUMMYFUNCTION("IFERROR(GOOGLEFINANCE(A506,""CHANGE""),)"),18.7)</f>
        <v>18.7</v>
      </c>
      <c r="D506" s="48">
        <f>IFERROR(__xludf.DUMMYFUNCTION("IFERROR(GOOGLEFINANCE(A506,""CHANGEPCT""),)"),1.62)</f>
        <v>1.62</v>
      </c>
      <c r="E506" s="48" t="str">
        <f t="shared" si="1"/>
        <v>1.62%</v>
      </c>
      <c r="F506" s="48">
        <f t="shared" si="2"/>
        <v>1.62</v>
      </c>
      <c r="G506" s="48" t="str">
        <f t="shared" si="3"/>
        <v/>
      </c>
      <c r="H506" s="48">
        <f>IFERROR(__xludf.DUMMYFUNCTION("IFERROR(GOOGLEFINANCE(A506,""PRICE""),)"),1173.0)</f>
        <v>1173</v>
      </c>
      <c r="I506" s="49">
        <f>IFERROR(__xludf.DUMMYFUNCTION("IFERROR(GOOGLEFINANCE(A506,""VOLUME""),)"),60778.0)</f>
        <v>60778</v>
      </c>
      <c r="J506" s="48" t="str">
        <f>IFERROR(__xludf.DUMMYFUNCTION("IFERROR(INDEX(SPLIT(A506,"":""),1,2),)"),"GODREJIND")</f>
        <v>GODREJIND</v>
      </c>
      <c r="K506" s="48">
        <f t="shared" si="4"/>
        <v>323</v>
      </c>
      <c r="L506" s="48" t="str">
        <f t="shared" si="5"/>
        <v/>
      </c>
      <c r="M506" s="48">
        <f t="shared" si="6"/>
        <v>900</v>
      </c>
      <c r="N506" s="50">
        <f>IFERROR(__xludf.DUMMYFUNCTION("IFERROR(GOOGLEFINANCE(A506,""TRADETIME""),)"),46269.64583333333)</f>
        <v>46269.64583</v>
      </c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</row>
    <row r="507" ht="15.75" customHeight="1">
      <c r="A507" s="51" t="s">
        <v>553</v>
      </c>
      <c r="B507" s="51" t="str">
        <f>IFERROR(__xludf.DUMMYFUNCTION("IFERROR(GOOGLEFINANCE(A507,""NAME""),)"),"Godrej Properties Ltd")</f>
        <v>Godrej Properties Ltd</v>
      </c>
      <c r="C507" s="51">
        <f>IFERROR(__xludf.DUMMYFUNCTION("IFERROR(GOOGLEFINANCE(A507,""CHANGE""),)"),-19.8)</f>
        <v>-19.8</v>
      </c>
      <c r="D507" s="51">
        <f>IFERROR(__xludf.DUMMYFUNCTION("IFERROR(GOOGLEFINANCE(A507,""CHANGEPCT""),)"),-0.99)</f>
        <v>-0.99</v>
      </c>
      <c r="E507" s="51" t="str">
        <f t="shared" si="1"/>
        <v>-0.99%</v>
      </c>
      <c r="F507" s="51" t="str">
        <f t="shared" si="2"/>
        <v/>
      </c>
      <c r="G507" s="51">
        <f t="shared" si="3"/>
        <v>-0.99</v>
      </c>
      <c r="H507" s="51">
        <f>IFERROR(__xludf.DUMMYFUNCTION("IFERROR(GOOGLEFINANCE(A507,""PRICE""),)"),1981.7)</f>
        <v>1981.7</v>
      </c>
      <c r="I507" s="52">
        <f>IFERROR(__xludf.DUMMYFUNCTION("IFERROR(GOOGLEFINANCE(A507,""VOLUME""),)"),307319.0)</f>
        <v>307319</v>
      </c>
      <c r="J507" s="51" t="str">
        <f>IFERROR(__xludf.DUMMYFUNCTION("IFERROR(INDEX(SPLIT(A507,"":""),1,2),)"),"GODREJPROP")</f>
        <v>GODREJPROP</v>
      </c>
      <c r="K507" s="51" t="str">
        <f t="shared" si="4"/>
        <v/>
      </c>
      <c r="L507" s="51">
        <f t="shared" si="5"/>
        <v>337</v>
      </c>
      <c r="M507" s="51">
        <f t="shared" si="6"/>
        <v>508</v>
      </c>
      <c r="N507" s="53">
        <f>IFERROR(__xludf.DUMMYFUNCTION("IFERROR(GOOGLEFINANCE(A507,""TRADETIME""),)"),46269.64583333333)</f>
        <v>46269.64583</v>
      </c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</row>
    <row r="508" ht="15.75" customHeight="1">
      <c r="A508" s="48" t="s">
        <v>554</v>
      </c>
      <c r="B508" s="48" t="str">
        <f>IFERROR(__xludf.DUMMYFUNCTION("IFERROR(GOOGLEFINANCE(A508,""NAME""),)"),"")</f>
        <v/>
      </c>
      <c r="C508" s="48" t="str">
        <f>IFERROR(__xludf.DUMMYFUNCTION("IFERROR(GOOGLEFINANCE(A508,""CHANGE""),)"),"")</f>
        <v/>
      </c>
      <c r="D508" s="48" t="str">
        <f>IFERROR(__xludf.DUMMYFUNCTION("IFERROR(GOOGLEFINANCE(A508,""CHANGEPCT""),)"),"")</f>
        <v/>
      </c>
      <c r="E508" s="48" t="str">
        <f t="shared" si="1"/>
        <v>%</v>
      </c>
      <c r="F508" s="48" t="str">
        <f t="shared" si="2"/>
        <v/>
      </c>
      <c r="G508" s="48" t="str">
        <f t="shared" si="3"/>
        <v/>
      </c>
      <c r="H508" s="48" t="str">
        <f>IFERROR(__xludf.DUMMYFUNCTION("IFERROR(GOOGLEFINANCE(A508,""PRICE""),)"),"")</f>
        <v/>
      </c>
      <c r="I508" s="49" t="str">
        <f>IFERROR(__xludf.DUMMYFUNCTION("IFERROR(GOOGLEFINANCE(A508,""VOLUME""),)"),"")</f>
        <v/>
      </c>
      <c r="J508" s="48" t="str">
        <f>IFERROR(__xludf.DUMMYFUNCTION("IFERROR(INDEX(SPLIT(A508,"":""),1,2),)"),"GOENKA")</f>
        <v>GOENKA</v>
      </c>
      <c r="K508" s="48" t="str">
        <f t="shared" si="4"/>
        <v/>
      </c>
      <c r="L508" s="48" t="str">
        <f t="shared" si="5"/>
        <v/>
      </c>
      <c r="M508" s="48">
        <f t="shared" si="6"/>
        <v>1456</v>
      </c>
      <c r="N508" s="50" t="str">
        <f>IFERROR(__xludf.DUMMYFUNCTION("IFERROR(GOOGLEFINANCE(A508,""TRADETIME""),)"),"")</f>
        <v/>
      </c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</row>
    <row r="509" ht="15.75" customHeight="1">
      <c r="A509" s="51" t="s">
        <v>555</v>
      </c>
      <c r="B509" s="51" t="str">
        <f>IFERROR(__xludf.DUMMYFUNCTION("IFERROR(GOOGLEFINANCE(A509,""NAME""),)"),"Gokaldas Exports Ltd")</f>
        <v>Gokaldas Exports Ltd</v>
      </c>
      <c r="C509" s="51">
        <f>IFERROR(__xludf.DUMMYFUNCTION("IFERROR(GOOGLEFINANCE(A509,""CHANGE""),)"),19.25)</f>
        <v>19.25</v>
      </c>
      <c r="D509" s="51">
        <f>IFERROR(__xludf.DUMMYFUNCTION("IFERROR(GOOGLEFINANCE(A509,""CHANGEPCT""),)"),2.51)</f>
        <v>2.51</v>
      </c>
      <c r="E509" s="51" t="str">
        <f t="shared" si="1"/>
        <v>2.51%</v>
      </c>
      <c r="F509" s="51">
        <f t="shared" si="2"/>
        <v>2.51</v>
      </c>
      <c r="G509" s="51" t="str">
        <f t="shared" si="3"/>
        <v/>
      </c>
      <c r="H509" s="51">
        <f>IFERROR(__xludf.DUMMYFUNCTION("IFERROR(GOOGLEFINANCE(A509,""PRICE""),)"),786.9)</f>
        <v>786.9</v>
      </c>
      <c r="I509" s="52">
        <f>IFERROR(__xludf.DUMMYFUNCTION("IFERROR(GOOGLEFINANCE(A509,""VOLUME""),)"),472178.0)</f>
        <v>472178</v>
      </c>
      <c r="J509" s="51" t="str">
        <f>IFERROR(__xludf.DUMMYFUNCTION("IFERROR(INDEX(SPLIT(A509,"":""),1,2),)"),"GOKEX")</f>
        <v>GOKEX</v>
      </c>
      <c r="K509" s="51">
        <f t="shared" si="4"/>
        <v>201</v>
      </c>
      <c r="L509" s="51" t="str">
        <f t="shared" si="5"/>
        <v/>
      </c>
      <c r="M509" s="51">
        <f t="shared" si="6"/>
        <v>409</v>
      </c>
      <c r="N509" s="53">
        <f>IFERROR(__xludf.DUMMYFUNCTION("IFERROR(GOOGLEFINANCE(A509,""TRADETIME""),)"),46269.64583333333)</f>
        <v>46269.64583</v>
      </c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</row>
    <row r="510" ht="15.75" customHeight="1">
      <c r="A510" s="48" t="s">
        <v>556</v>
      </c>
      <c r="B510" s="48" t="str">
        <f>IFERROR(__xludf.DUMMYFUNCTION("IFERROR(GOOGLEFINANCE(A510,""NAME""),)"),"Gokul Refoils and Solvent Ltd")</f>
        <v>Gokul Refoils and Solvent Ltd</v>
      </c>
      <c r="C510" s="48">
        <f>IFERROR(__xludf.DUMMYFUNCTION("IFERROR(GOOGLEFINANCE(A510,""CHANGE""),)"),1.8)</f>
        <v>1.8</v>
      </c>
      <c r="D510" s="48">
        <f>IFERROR(__xludf.DUMMYFUNCTION("IFERROR(GOOGLEFINANCE(A510,""CHANGEPCT""),)"),4.29)</f>
        <v>4.29</v>
      </c>
      <c r="E510" s="48" t="str">
        <f t="shared" si="1"/>
        <v>4.29%</v>
      </c>
      <c r="F510" s="48">
        <f t="shared" si="2"/>
        <v>4.29</v>
      </c>
      <c r="G510" s="48" t="str">
        <f t="shared" si="3"/>
        <v/>
      </c>
      <c r="H510" s="48">
        <f>IFERROR(__xludf.DUMMYFUNCTION("IFERROR(GOOGLEFINANCE(A510,""PRICE""),)"),43.75)</f>
        <v>43.75</v>
      </c>
      <c r="I510" s="49">
        <f>IFERROR(__xludf.DUMMYFUNCTION("IFERROR(GOOGLEFINANCE(A510,""VOLUME""),)"),221325.0)</f>
        <v>221325</v>
      </c>
      <c r="J510" s="48" t="str">
        <f>IFERROR(__xludf.DUMMYFUNCTION("IFERROR(INDEX(SPLIT(A510,"":""),1,2),)"),"GOKUL")</f>
        <v>GOKUL</v>
      </c>
      <c r="K510" s="48">
        <f t="shared" si="4"/>
        <v>101</v>
      </c>
      <c r="L510" s="48" t="str">
        <f t="shared" si="5"/>
        <v/>
      </c>
      <c r="M510" s="48">
        <f t="shared" si="6"/>
        <v>595</v>
      </c>
      <c r="N510" s="50">
        <f>IFERROR(__xludf.DUMMYFUNCTION("IFERROR(GOOGLEFINANCE(A510,""TRADETIME""),)"),46269.64583333333)</f>
        <v>46269.64583</v>
      </c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</row>
    <row r="511" ht="15.75" customHeight="1">
      <c r="A511" s="51" t="s">
        <v>557</v>
      </c>
      <c r="B511" s="51" t="str">
        <f>IFERROR(__xludf.DUMMYFUNCTION("IFERROR(GOOGLEFINANCE(A511,""NAME""),)"),"Gokul Agro Resources Ltd")</f>
        <v>Gokul Agro Resources Ltd</v>
      </c>
      <c r="C511" s="51">
        <f>IFERROR(__xludf.DUMMYFUNCTION("IFERROR(GOOGLEFINANCE(A511,""CHANGE""),)"),-3.13)</f>
        <v>-3.13</v>
      </c>
      <c r="D511" s="51">
        <f>IFERROR(__xludf.DUMMYFUNCTION("IFERROR(GOOGLEFINANCE(A511,""CHANGEPCT""),)"),-1.33)</f>
        <v>-1.33</v>
      </c>
      <c r="E511" s="51" t="str">
        <f t="shared" si="1"/>
        <v>-1.33%</v>
      </c>
      <c r="F511" s="51" t="str">
        <f t="shared" si="2"/>
        <v/>
      </c>
      <c r="G511" s="51">
        <f t="shared" si="3"/>
        <v>-1.33</v>
      </c>
      <c r="H511" s="51">
        <f>IFERROR(__xludf.DUMMYFUNCTION("IFERROR(GOOGLEFINANCE(A511,""PRICE""),)"),231.78)</f>
        <v>231.78</v>
      </c>
      <c r="I511" s="52">
        <f>IFERROR(__xludf.DUMMYFUNCTION("IFERROR(GOOGLEFINANCE(A511,""VOLUME""),)"),282521.0)</f>
        <v>282521</v>
      </c>
      <c r="J511" s="51" t="str">
        <f>IFERROR(__xludf.DUMMYFUNCTION("IFERROR(INDEX(SPLIT(A511,"":""),1,2),)"),"GOKULAGRO")</f>
        <v>GOKULAGRO</v>
      </c>
      <c r="K511" s="51" t="str">
        <f t="shared" si="4"/>
        <v/>
      </c>
      <c r="L511" s="51">
        <f t="shared" si="5"/>
        <v>411</v>
      </c>
      <c r="M511" s="51">
        <f t="shared" si="6"/>
        <v>534</v>
      </c>
      <c r="N511" s="53">
        <f>IFERROR(__xludf.DUMMYFUNCTION("IFERROR(GOOGLEFINANCE(A511,""TRADETIME""),)"),46269.64583333333)</f>
        <v>46269.64583</v>
      </c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</row>
    <row r="512" ht="15.75" customHeight="1">
      <c r="A512" s="48" t="s">
        <v>558</v>
      </c>
      <c r="B512" s="48" t="str">
        <f>IFERROR(__xludf.DUMMYFUNCTION("IFERROR(GOOGLEFINANCE(A512,""NAME""),)"),"Golden Tobacco Ltd")</f>
        <v>Golden Tobacco Ltd</v>
      </c>
      <c r="C512" s="48">
        <f>IFERROR(__xludf.DUMMYFUNCTION("IFERROR(GOOGLEFINANCE(A512,""CHANGE""),)"),-0.02)</f>
        <v>-0.02</v>
      </c>
      <c r="D512" s="48">
        <f>IFERROR(__xludf.DUMMYFUNCTION("IFERROR(GOOGLEFINANCE(A512,""CHANGEPCT""),)"),-0.08)</f>
        <v>-0.08</v>
      </c>
      <c r="E512" s="48" t="str">
        <f t="shared" si="1"/>
        <v>-0.08%</v>
      </c>
      <c r="F512" s="48" t="str">
        <f t="shared" si="2"/>
        <v/>
      </c>
      <c r="G512" s="48">
        <f t="shared" si="3"/>
        <v>-0.08</v>
      </c>
      <c r="H512" s="48">
        <f>IFERROR(__xludf.DUMMYFUNCTION("IFERROR(GOOGLEFINANCE(A512,""PRICE""),)"),24.98)</f>
        <v>24.98</v>
      </c>
      <c r="I512" s="49">
        <f>IFERROR(__xludf.DUMMYFUNCTION("IFERROR(GOOGLEFINANCE(A512,""VOLUME""),)"),3366.0)</f>
        <v>3366</v>
      </c>
      <c r="J512" s="48" t="str">
        <f>IFERROR(__xludf.DUMMYFUNCTION("IFERROR(INDEX(SPLIT(A512,"":""),1,2),)"),"GOLDENTOBC")</f>
        <v>GOLDENTOBC</v>
      </c>
      <c r="K512" s="48" t="str">
        <f t="shared" si="4"/>
        <v/>
      </c>
      <c r="L512" s="48">
        <f t="shared" si="5"/>
        <v>22</v>
      </c>
      <c r="M512" s="48">
        <f t="shared" si="6"/>
        <v>1358</v>
      </c>
      <c r="N512" s="50">
        <f>IFERROR(__xludf.DUMMYFUNCTION("IFERROR(GOOGLEFINANCE(A512,""TRADETIME""),)"),46269.64583333333)</f>
        <v>46269.64583</v>
      </c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</row>
    <row r="513" ht="15.75" customHeight="1">
      <c r="A513" s="51" t="s">
        <v>559</v>
      </c>
      <c r="B513" s="51" t="str">
        <f>IFERROR(__xludf.DUMMYFUNCTION("IFERROR(GOOGLEFINANCE(A513,""NAME""),)"),"Goldiam International Ltd")</f>
        <v>Goldiam International Ltd</v>
      </c>
      <c r="C513" s="51">
        <f>IFERROR(__xludf.DUMMYFUNCTION("IFERROR(GOOGLEFINANCE(A513,""CHANGE""),)"),5.35)</f>
        <v>5.35</v>
      </c>
      <c r="D513" s="51">
        <f>IFERROR(__xludf.DUMMYFUNCTION("IFERROR(GOOGLEFINANCE(A513,""CHANGEPCT""),)"),1.57)</f>
        <v>1.57</v>
      </c>
      <c r="E513" s="51" t="str">
        <f t="shared" si="1"/>
        <v>1.57%</v>
      </c>
      <c r="F513" s="51">
        <f t="shared" si="2"/>
        <v>1.57</v>
      </c>
      <c r="G513" s="51" t="str">
        <f t="shared" si="3"/>
        <v/>
      </c>
      <c r="H513" s="51">
        <f>IFERROR(__xludf.DUMMYFUNCTION("IFERROR(GOOGLEFINANCE(A513,""PRICE""),)"),346.0)</f>
        <v>346</v>
      </c>
      <c r="I513" s="52">
        <f>IFERROR(__xludf.DUMMYFUNCTION("IFERROR(GOOGLEFINANCE(A513,""VOLUME""),)"),332390.0)</f>
        <v>332390</v>
      </c>
      <c r="J513" s="51" t="str">
        <f>IFERROR(__xludf.DUMMYFUNCTION("IFERROR(INDEX(SPLIT(A513,"":""),1,2),)"),"GOLDIAM")</f>
        <v>GOLDIAM</v>
      </c>
      <c r="K513" s="51">
        <f t="shared" si="4"/>
        <v>331</v>
      </c>
      <c r="L513" s="51" t="str">
        <f t="shared" si="5"/>
        <v/>
      </c>
      <c r="M513" s="51">
        <f t="shared" si="6"/>
        <v>485</v>
      </c>
      <c r="N513" s="53">
        <f>IFERROR(__xludf.DUMMYFUNCTION("IFERROR(GOOGLEFINANCE(A513,""TRADETIME""),)"),46269.64583333333)</f>
        <v>46269.64583</v>
      </c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</row>
    <row r="514" ht="15.75" customHeight="1">
      <c r="A514" s="48" t="s">
        <v>560</v>
      </c>
      <c r="B514" s="48" t="str">
        <f>IFERROR(__xludf.DUMMYFUNCTION("IFERROR(GOOGLEFINANCE(A514,""NAME""),)"),"Goodluck India Ltd")</f>
        <v>Goodluck India Ltd</v>
      </c>
      <c r="C514" s="48">
        <f>IFERROR(__xludf.DUMMYFUNCTION("IFERROR(GOOGLEFINANCE(A514,""CHANGE""),)"),3.0)</f>
        <v>3</v>
      </c>
      <c r="D514" s="48">
        <f>IFERROR(__xludf.DUMMYFUNCTION("IFERROR(GOOGLEFINANCE(A514,""CHANGEPCT""),)"),0.64)</f>
        <v>0.64</v>
      </c>
      <c r="E514" s="48" t="str">
        <f t="shared" si="1"/>
        <v>0.64%</v>
      </c>
      <c r="F514" s="48">
        <f t="shared" si="2"/>
        <v>0.64</v>
      </c>
      <c r="G514" s="48" t="str">
        <f t="shared" si="3"/>
        <v/>
      </c>
      <c r="H514" s="48">
        <f>IFERROR(__xludf.DUMMYFUNCTION("IFERROR(GOOGLEFINANCE(A514,""PRICE""),)"),472.4)</f>
        <v>472.4</v>
      </c>
      <c r="I514" s="49">
        <f>IFERROR(__xludf.DUMMYFUNCTION("IFERROR(GOOGLEFINANCE(A514,""VOLUME""),)"),455214.0)</f>
        <v>455214</v>
      </c>
      <c r="J514" s="48" t="str">
        <f>IFERROR(__xludf.DUMMYFUNCTION("IFERROR(INDEX(SPLIT(A514,"":""),1,2),)"),"GOODLUCK")</f>
        <v>GOODLUCK</v>
      </c>
      <c r="K514" s="48">
        <f t="shared" si="4"/>
        <v>549</v>
      </c>
      <c r="L514" s="48" t="str">
        <f t="shared" si="5"/>
        <v/>
      </c>
      <c r="M514" s="48">
        <f t="shared" si="6"/>
        <v>419</v>
      </c>
      <c r="N514" s="50">
        <f>IFERROR(__xludf.DUMMYFUNCTION("IFERROR(GOOGLEFINANCE(A514,""TRADETIME""),)"),46269.64583333333)</f>
        <v>46269.64583</v>
      </c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</row>
    <row r="515" ht="15.75" customHeight="1">
      <c r="A515" s="51" t="s">
        <v>561</v>
      </c>
      <c r="B515" s="51" t="str">
        <f>IFERROR(__xludf.DUMMYFUNCTION("IFERROR(GOOGLEFINANCE(A515,""NAME""),)"),"Goodyear India Ltd")</f>
        <v>Goodyear India Ltd</v>
      </c>
      <c r="C515" s="51">
        <f>IFERROR(__xludf.DUMMYFUNCTION("IFERROR(GOOGLEFINANCE(A515,""CHANGE""),)"),3.5)</f>
        <v>3.5</v>
      </c>
      <c r="D515" s="51">
        <f>IFERROR(__xludf.DUMMYFUNCTION("IFERROR(GOOGLEFINANCE(A515,""CHANGEPCT""),)"),0.48)</f>
        <v>0.48</v>
      </c>
      <c r="E515" s="51" t="str">
        <f t="shared" si="1"/>
        <v>0.48%</v>
      </c>
      <c r="F515" s="51">
        <f t="shared" si="2"/>
        <v>0.48</v>
      </c>
      <c r="G515" s="51" t="str">
        <f t="shared" si="3"/>
        <v/>
      </c>
      <c r="H515" s="51">
        <f>IFERROR(__xludf.DUMMYFUNCTION("IFERROR(GOOGLEFINANCE(A515,""PRICE""),)"),740.2)</f>
        <v>740.2</v>
      </c>
      <c r="I515" s="52">
        <f>IFERROR(__xludf.DUMMYFUNCTION("IFERROR(GOOGLEFINANCE(A515,""VOLUME""),)"),2498.0)</f>
        <v>2498</v>
      </c>
      <c r="J515" s="51" t="str">
        <f>IFERROR(__xludf.DUMMYFUNCTION("IFERROR(INDEX(SPLIT(A515,"":""),1,2),)"),"GOODYEAR")</f>
        <v>GOODYEAR</v>
      </c>
      <c r="K515" s="51">
        <f t="shared" si="4"/>
        <v>600</v>
      </c>
      <c r="L515" s="51" t="str">
        <f t="shared" si="5"/>
        <v/>
      </c>
      <c r="M515" s="51">
        <f t="shared" si="6"/>
        <v>1377</v>
      </c>
      <c r="N515" s="53">
        <f>IFERROR(__xludf.DUMMYFUNCTION("IFERROR(GOOGLEFINANCE(A515,""TRADETIME""),)"),46269.64583333333)</f>
        <v>46269.64583</v>
      </c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</row>
    <row r="516" ht="15.75" customHeight="1">
      <c r="A516" s="48" t="s">
        <v>562</v>
      </c>
      <c r="B516" s="48" t="str">
        <f>IFERROR(__xludf.DUMMYFUNCTION("IFERROR(GOOGLEFINANCE(A516,""NAME""),)"),"Godawari Power and Ispat Limited")</f>
        <v>Godawari Power and Ispat Limited</v>
      </c>
      <c r="C516" s="48">
        <f>IFERROR(__xludf.DUMMYFUNCTION("IFERROR(GOOGLEFINANCE(A516,""CHANGE""),)"),0.51)</f>
        <v>0.51</v>
      </c>
      <c r="D516" s="48">
        <f>IFERROR(__xludf.DUMMYFUNCTION("IFERROR(GOOGLEFINANCE(A516,""CHANGEPCT""),)"),0.21)</f>
        <v>0.21</v>
      </c>
      <c r="E516" s="48" t="str">
        <f t="shared" si="1"/>
        <v>0.21%</v>
      </c>
      <c r="F516" s="48">
        <f t="shared" si="2"/>
        <v>0.21</v>
      </c>
      <c r="G516" s="48" t="str">
        <f t="shared" si="3"/>
        <v/>
      </c>
      <c r="H516" s="48">
        <f>IFERROR(__xludf.DUMMYFUNCTION("IFERROR(GOOGLEFINANCE(A516,""PRICE""),)"),240.41)</f>
        <v>240.41</v>
      </c>
      <c r="I516" s="49">
        <f>IFERROR(__xludf.DUMMYFUNCTION("IFERROR(GOOGLEFINANCE(A516,""VOLUME""),)"),985110.0)</f>
        <v>985110</v>
      </c>
      <c r="J516" s="48" t="str">
        <f>IFERROR(__xludf.DUMMYFUNCTION("IFERROR(INDEX(SPLIT(A516,"":""),1,2),)"),"GPIL")</f>
        <v>GPIL</v>
      </c>
      <c r="K516" s="48">
        <f t="shared" si="4"/>
        <v>689</v>
      </c>
      <c r="L516" s="48" t="str">
        <f t="shared" si="5"/>
        <v/>
      </c>
      <c r="M516" s="48">
        <f t="shared" si="6"/>
        <v>278</v>
      </c>
      <c r="N516" s="50">
        <f>IFERROR(__xludf.DUMMYFUNCTION("IFERROR(GOOGLEFINANCE(A516,""TRADETIME""),)"),46269.64583333333)</f>
        <v>46269.64583</v>
      </c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</row>
    <row r="517" ht="15.75" customHeight="1">
      <c r="A517" s="51" t="s">
        <v>563</v>
      </c>
      <c r="B517" s="51" t="str">
        <f>IFERROR(__xludf.DUMMYFUNCTION("IFERROR(GOOGLEFINANCE(A517,""NAME""),)"),"Gujarat Pipavav Port Ltd")</f>
        <v>Gujarat Pipavav Port Ltd</v>
      </c>
      <c r="C517" s="51">
        <f>IFERROR(__xludf.DUMMYFUNCTION("IFERROR(GOOGLEFINANCE(A517,""CHANGE""),)"),-3.25)</f>
        <v>-3.25</v>
      </c>
      <c r="D517" s="51">
        <f>IFERROR(__xludf.DUMMYFUNCTION("IFERROR(GOOGLEFINANCE(A517,""CHANGEPCT""),)"),-1.96)</f>
        <v>-1.96</v>
      </c>
      <c r="E517" s="51" t="str">
        <f t="shared" si="1"/>
        <v>-1.96%</v>
      </c>
      <c r="F517" s="51" t="str">
        <f t="shared" si="2"/>
        <v/>
      </c>
      <c r="G517" s="51">
        <f t="shared" si="3"/>
        <v>-1.96</v>
      </c>
      <c r="H517" s="51">
        <f>IFERROR(__xludf.DUMMYFUNCTION("IFERROR(GOOGLEFINANCE(A517,""PRICE""),)"),162.18)</f>
        <v>162.18</v>
      </c>
      <c r="I517" s="52">
        <f>IFERROR(__xludf.DUMMYFUNCTION("IFERROR(GOOGLEFINANCE(A517,""VOLUME""),)"),1293533.0)</f>
        <v>1293533</v>
      </c>
      <c r="J517" s="51" t="str">
        <f>IFERROR(__xludf.DUMMYFUNCTION("IFERROR(INDEX(SPLIT(A517,"":""),1,2),)"),"GPPL")</f>
        <v>GPPL</v>
      </c>
      <c r="K517" s="51" t="str">
        <f t="shared" si="4"/>
        <v/>
      </c>
      <c r="L517" s="51">
        <f t="shared" si="5"/>
        <v>520</v>
      </c>
      <c r="M517" s="51">
        <f t="shared" si="6"/>
        <v>230</v>
      </c>
      <c r="N517" s="53">
        <f>IFERROR(__xludf.DUMMYFUNCTION("IFERROR(GOOGLEFINANCE(A517,""TRADETIME""),)"),46269.64586805555)</f>
        <v>46269.64587</v>
      </c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</row>
    <row r="518" ht="15.75" customHeight="1">
      <c r="A518" s="48" t="s">
        <v>564</v>
      </c>
      <c r="B518" s="48" t="str">
        <f>IFERROR(__xludf.DUMMYFUNCTION("IFERROR(GOOGLEFINANCE(A518,""NAME""),)"),"GPT Infraprojects Ltd")</f>
        <v>GPT Infraprojects Ltd</v>
      </c>
      <c r="C518" s="48">
        <f>IFERROR(__xludf.DUMMYFUNCTION("IFERROR(GOOGLEFINANCE(A518,""CHANGE""),)"),0.23)</f>
        <v>0.23</v>
      </c>
      <c r="D518" s="48">
        <f>IFERROR(__xludf.DUMMYFUNCTION("IFERROR(GOOGLEFINANCE(A518,""CHANGEPCT""),)"),0.21)</f>
        <v>0.21</v>
      </c>
      <c r="E518" s="48" t="str">
        <f t="shared" si="1"/>
        <v>0.21%</v>
      </c>
      <c r="F518" s="48">
        <f t="shared" si="2"/>
        <v>0.21</v>
      </c>
      <c r="G518" s="48" t="str">
        <f t="shared" si="3"/>
        <v/>
      </c>
      <c r="H518" s="48">
        <f>IFERROR(__xludf.DUMMYFUNCTION("IFERROR(GOOGLEFINANCE(A518,""PRICE""),)"),111.11)</f>
        <v>111.11</v>
      </c>
      <c r="I518" s="49">
        <f>IFERROR(__xludf.DUMMYFUNCTION("IFERROR(GOOGLEFINANCE(A518,""VOLUME""),)"),108936.0)</f>
        <v>108936</v>
      </c>
      <c r="J518" s="48" t="str">
        <f>IFERROR(__xludf.DUMMYFUNCTION("IFERROR(INDEX(SPLIT(A518,"":""),1,2),)"),"GPTINFRA")</f>
        <v>GPTINFRA</v>
      </c>
      <c r="K518" s="48">
        <f t="shared" si="4"/>
        <v>690</v>
      </c>
      <c r="L518" s="48" t="str">
        <f t="shared" si="5"/>
        <v/>
      </c>
      <c r="M518" s="48">
        <f t="shared" si="6"/>
        <v>751</v>
      </c>
      <c r="N518" s="50">
        <f>IFERROR(__xludf.DUMMYFUNCTION("IFERROR(GOOGLEFINANCE(A518,""TRADETIME""),)"),46269.64583333333)</f>
        <v>46269.64583</v>
      </c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</row>
    <row r="519" ht="15.75" customHeight="1">
      <c r="A519" s="51" t="s">
        <v>565</v>
      </c>
      <c r="B519" s="51" t="str">
        <f>IFERROR(__xludf.DUMMYFUNCTION("IFERROR(GOOGLEFINANCE(A519,""NAME""),)"),"Granules India Ltd")</f>
        <v>Granules India Ltd</v>
      </c>
      <c r="C519" s="51">
        <f>IFERROR(__xludf.DUMMYFUNCTION("IFERROR(GOOGLEFINANCE(A519,""CHANGE""),)"),-4.05)</f>
        <v>-4.05</v>
      </c>
      <c r="D519" s="51">
        <f>IFERROR(__xludf.DUMMYFUNCTION("IFERROR(GOOGLEFINANCE(A519,""CHANGEPCT""),)"),-0.47)</f>
        <v>-0.47</v>
      </c>
      <c r="E519" s="51" t="str">
        <f t="shared" si="1"/>
        <v>-0.47%</v>
      </c>
      <c r="F519" s="51" t="str">
        <f t="shared" si="2"/>
        <v/>
      </c>
      <c r="G519" s="51">
        <f t="shared" si="3"/>
        <v>-0.47</v>
      </c>
      <c r="H519" s="51">
        <f>IFERROR(__xludf.DUMMYFUNCTION("IFERROR(GOOGLEFINANCE(A519,""PRICE""),)"),849.8)</f>
        <v>849.8</v>
      </c>
      <c r="I519" s="52">
        <f>IFERROR(__xludf.DUMMYFUNCTION("IFERROR(GOOGLEFINANCE(A519,""VOLUME""),)"),1172635.0)</f>
        <v>1172635</v>
      </c>
      <c r="J519" s="51" t="str">
        <f>IFERROR(__xludf.DUMMYFUNCTION("IFERROR(INDEX(SPLIT(A519,"":""),1,2),)"),"GRANULES")</f>
        <v>GRANULES</v>
      </c>
      <c r="K519" s="51" t="str">
        <f t="shared" si="4"/>
        <v/>
      </c>
      <c r="L519" s="51">
        <f t="shared" si="5"/>
        <v>180</v>
      </c>
      <c r="M519" s="51">
        <f t="shared" si="6"/>
        <v>243</v>
      </c>
      <c r="N519" s="53">
        <f>IFERROR(__xludf.DUMMYFUNCTION("IFERROR(GOOGLEFINANCE(A519,""TRADETIME""),)"),46269.64583333333)</f>
        <v>46269.64583</v>
      </c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</row>
    <row r="520" ht="15.75" customHeight="1">
      <c r="A520" s="48" t="s">
        <v>566</v>
      </c>
      <c r="B520" s="48" t="str">
        <f>IFERROR(__xludf.DUMMYFUNCTION("IFERROR(GOOGLEFINANCE(A520,""NAME""),)"),"Graphite India Ltd")</f>
        <v>Graphite India Ltd</v>
      </c>
      <c r="C520" s="48">
        <f>IFERROR(__xludf.DUMMYFUNCTION("IFERROR(GOOGLEFINANCE(A520,""CHANGE""),)"),13.7)</f>
        <v>13.7</v>
      </c>
      <c r="D520" s="48">
        <f>IFERROR(__xludf.DUMMYFUNCTION("IFERROR(GOOGLEFINANCE(A520,""CHANGEPCT""),)"),1.9)</f>
        <v>1.9</v>
      </c>
      <c r="E520" s="48" t="str">
        <f t="shared" si="1"/>
        <v>1.9%</v>
      </c>
      <c r="F520" s="48">
        <f t="shared" si="2"/>
        <v>1.9</v>
      </c>
      <c r="G520" s="48" t="str">
        <f t="shared" si="3"/>
        <v/>
      </c>
      <c r="H520" s="48">
        <f>IFERROR(__xludf.DUMMYFUNCTION("IFERROR(GOOGLEFINANCE(A520,""PRICE""),)"),735.0)</f>
        <v>735</v>
      </c>
      <c r="I520" s="49">
        <f>IFERROR(__xludf.DUMMYFUNCTION("IFERROR(GOOGLEFINANCE(A520,""VOLUME""),)"),1066661.0)</f>
        <v>1066661</v>
      </c>
      <c r="J520" s="48" t="str">
        <f>IFERROR(__xludf.DUMMYFUNCTION("IFERROR(INDEX(SPLIT(A520,"":""),1,2),)"),"GRAPHITE")</f>
        <v>GRAPHITE</v>
      </c>
      <c r="K520" s="48">
        <f t="shared" si="4"/>
        <v>276</v>
      </c>
      <c r="L520" s="48" t="str">
        <f t="shared" si="5"/>
        <v/>
      </c>
      <c r="M520" s="48">
        <f t="shared" si="6"/>
        <v>262</v>
      </c>
      <c r="N520" s="50">
        <f>IFERROR(__xludf.DUMMYFUNCTION("IFERROR(GOOGLEFINANCE(A520,""TRADETIME""),)"),46269.64586805555)</f>
        <v>46269.64587</v>
      </c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</row>
    <row r="521" ht="15.75" customHeight="1">
      <c r="A521" s="51" t="s">
        <v>567</v>
      </c>
      <c r="B521" s="51" t="str">
        <f>IFERROR(__xludf.DUMMYFUNCTION("IFERROR(GOOGLEFINANCE(A521,""NAME""),)"),"Grasim Industries Ltd")</f>
        <v>Grasim Industries Ltd</v>
      </c>
      <c r="C521" s="51">
        <f>IFERROR(__xludf.DUMMYFUNCTION("IFERROR(GOOGLEFINANCE(A521,""CHANGE""),)"),10.3)</f>
        <v>10.3</v>
      </c>
      <c r="D521" s="51">
        <f>IFERROR(__xludf.DUMMYFUNCTION("IFERROR(GOOGLEFINANCE(A521,""CHANGEPCT""),)"),0.31)</f>
        <v>0.31</v>
      </c>
      <c r="E521" s="51" t="str">
        <f t="shared" si="1"/>
        <v>0.31%</v>
      </c>
      <c r="F521" s="51">
        <f t="shared" si="2"/>
        <v>0.31</v>
      </c>
      <c r="G521" s="51" t="str">
        <f t="shared" si="3"/>
        <v/>
      </c>
      <c r="H521" s="51">
        <f>IFERROR(__xludf.DUMMYFUNCTION("IFERROR(GOOGLEFINANCE(A521,""PRICE""),)"),3320.3)</f>
        <v>3320.3</v>
      </c>
      <c r="I521" s="52">
        <f>IFERROR(__xludf.DUMMYFUNCTION("IFERROR(GOOGLEFINANCE(A521,""VOLUME""),)"),892704.0)</f>
        <v>892704</v>
      </c>
      <c r="J521" s="51" t="str">
        <f>IFERROR(__xludf.DUMMYFUNCTION("IFERROR(INDEX(SPLIT(A521,"":""),1,2),)"),"GRASIM")</f>
        <v>GRASIM</v>
      </c>
      <c r="K521" s="51">
        <f t="shared" si="4"/>
        <v>658</v>
      </c>
      <c r="L521" s="51" t="str">
        <f t="shared" si="5"/>
        <v/>
      </c>
      <c r="M521" s="51">
        <f t="shared" si="6"/>
        <v>294</v>
      </c>
      <c r="N521" s="53">
        <f>IFERROR(__xludf.DUMMYFUNCTION("IFERROR(GOOGLEFINANCE(A521,""TRADETIME""),)"),46269.64583333333)</f>
        <v>46269.64583</v>
      </c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</row>
    <row r="522" ht="15.75" customHeight="1">
      <c r="A522" s="48" t="s">
        <v>568</v>
      </c>
      <c r="B522" s="48" t="str">
        <f>IFERROR(__xludf.DUMMYFUNCTION("IFERROR(GOOGLEFINANCE(A522,""NAME""),)"),"Gravita India Ltd")</f>
        <v>Gravita India Ltd</v>
      </c>
      <c r="C522" s="48">
        <f>IFERROR(__xludf.DUMMYFUNCTION("IFERROR(GOOGLEFINANCE(A522,""CHANGE""),)"),-15.9)</f>
        <v>-15.9</v>
      </c>
      <c r="D522" s="48">
        <f>IFERROR(__xludf.DUMMYFUNCTION("IFERROR(GOOGLEFINANCE(A522,""CHANGEPCT""),)"),-0.94)</f>
        <v>-0.94</v>
      </c>
      <c r="E522" s="48" t="str">
        <f t="shared" si="1"/>
        <v>-0.94%</v>
      </c>
      <c r="F522" s="48" t="str">
        <f t="shared" si="2"/>
        <v/>
      </c>
      <c r="G522" s="48">
        <f t="shared" si="3"/>
        <v>-0.94</v>
      </c>
      <c r="H522" s="48">
        <f>IFERROR(__xludf.DUMMYFUNCTION("IFERROR(GOOGLEFINANCE(A522,""PRICE""),)"),1668.9)</f>
        <v>1668.9</v>
      </c>
      <c r="I522" s="49">
        <f>IFERROR(__xludf.DUMMYFUNCTION("IFERROR(GOOGLEFINANCE(A522,""VOLUME""),)"),442686.0)</f>
        <v>442686</v>
      </c>
      <c r="J522" s="48" t="str">
        <f>IFERROR(__xludf.DUMMYFUNCTION("IFERROR(INDEX(SPLIT(A522,"":""),1,2),)"),"GRAVITA")</f>
        <v>GRAVITA</v>
      </c>
      <c r="K522" s="48" t="str">
        <f t="shared" si="4"/>
        <v/>
      </c>
      <c r="L522" s="48">
        <f t="shared" si="5"/>
        <v>324</v>
      </c>
      <c r="M522" s="48">
        <f t="shared" si="6"/>
        <v>425</v>
      </c>
      <c r="N522" s="50">
        <f>IFERROR(__xludf.DUMMYFUNCTION("IFERROR(GOOGLEFINANCE(A522,""TRADETIME""),)"),46269.64583333333)</f>
        <v>46269.64583</v>
      </c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</row>
    <row r="523" ht="15.75" customHeight="1">
      <c r="A523" s="51" t="s">
        <v>569</v>
      </c>
      <c r="B523" s="51" t="str">
        <f>IFERROR(__xludf.DUMMYFUNCTION("IFERROR(GOOGLEFINANCE(A523,""NAME""),)"),"Greaves Cotton Ltd")</f>
        <v>Greaves Cotton Ltd</v>
      </c>
      <c r="C523" s="51">
        <f>IFERROR(__xludf.DUMMYFUNCTION("IFERROR(GOOGLEFINANCE(A523,""CHANGE""),)"),0.22)</f>
        <v>0.22</v>
      </c>
      <c r="D523" s="51">
        <f>IFERROR(__xludf.DUMMYFUNCTION("IFERROR(GOOGLEFINANCE(A523,""CHANGEPCT""),)"),0.11)</f>
        <v>0.11</v>
      </c>
      <c r="E523" s="51" t="str">
        <f t="shared" si="1"/>
        <v>0.11%</v>
      </c>
      <c r="F523" s="51">
        <f t="shared" si="2"/>
        <v>0.11</v>
      </c>
      <c r="G523" s="51" t="str">
        <f t="shared" si="3"/>
        <v/>
      </c>
      <c r="H523" s="51">
        <f>IFERROR(__xludf.DUMMYFUNCTION("IFERROR(GOOGLEFINANCE(A523,""PRICE""),)"),195.0)</f>
        <v>195</v>
      </c>
      <c r="I523" s="52">
        <f>IFERROR(__xludf.DUMMYFUNCTION("IFERROR(GOOGLEFINANCE(A523,""VOLUME""),)"),467649.0)</f>
        <v>467649</v>
      </c>
      <c r="J523" s="51" t="str">
        <f>IFERROR(__xludf.DUMMYFUNCTION("IFERROR(INDEX(SPLIT(A523,"":""),1,2),)"),"GREAVESCOT")</f>
        <v>GREAVESCOT</v>
      </c>
      <c r="K523" s="51">
        <f t="shared" si="4"/>
        <v>735</v>
      </c>
      <c r="L523" s="51" t="str">
        <f t="shared" si="5"/>
        <v/>
      </c>
      <c r="M523" s="51">
        <f t="shared" si="6"/>
        <v>414</v>
      </c>
      <c r="N523" s="53">
        <f>IFERROR(__xludf.DUMMYFUNCTION("IFERROR(GOOGLEFINANCE(A523,""TRADETIME""),)"),46269.64586805555)</f>
        <v>46269.64587</v>
      </c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</row>
    <row r="524" ht="15.75" customHeight="1">
      <c r="A524" s="48" t="s">
        <v>570</v>
      </c>
      <c r="B524" s="48" t="str">
        <f>IFERROR(__xludf.DUMMYFUNCTION("IFERROR(GOOGLEFINANCE(A524,""NAME""),)"),"Greenlam Industries Ltd")</f>
        <v>Greenlam Industries Ltd</v>
      </c>
      <c r="C524" s="48">
        <f>IFERROR(__xludf.DUMMYFUNCTION("IFERROR(GOOGLEFINANCE(A524,""CHANGE""),)"),-1.16)</f>
        <v>-1.16</v>
      </c>
      <c r="D524" s="48">
        <f>IFERROR(__xludf.DUMMYFUNCTION("IFERROR(GOOGLEFINANCE(A524,""CHANGEPCT""),)"),-0.48)</f>
        <v>-0.48</v>
      </c>
      <c r="E524" s="48" t="str">
        <f t="shared" si="1"/>
        <v>-0.48%</v>
      </c>
      <c r="F524" s="48" t="str">
        <f t="shared" si="2"/>
        <v/>
      </c>
      <c r="G524" s="48">
        <f t="shared" si="3"/>
        <v>-0.48</v>
      </c>
      <c r="H524" s="48">
        <f>IFERROR(__xludf.DUMMYFUNCTION("IFERROR(GOOGLEFINANCE(A524,""PRICE""),)"),243.01)</f>
        <v>243.01</v>
      </c>
      <c r="I524" s="49">
        <f>IFERROR(__xludf.DUMMYFUNCTION("IFERROR(GOOGLEFINANCE(A524,""VOLUME""),)"),14287.0)</f>
        <v>14287</v>
      </c>
      <c r="J524" s="48" t="str">
        <f>IFERROR(__xludf.DUMMYFUNCTION("IFERROR(INDEX(SPLIT(A524,"":""),1,2),)"),"GREENLAM")</f>
        <v>GREENLAM</v>
      </c>
      <c r="K524" s="48" t="str">
        <f t="shared" si="4"/>
        <v/>
      </c>
      <c r="L524" s="48">
        <f t="shared" si="5"/>
        <v>187</v>
      </c>
      <c r="M524" s="48">
        <f t="shared" si="6"/>
        <v>1189</v>
      </c>
      <c r="N524" s="50">
        <f>IFERROR(__xludf.DUMMYFUNCTION("IFERROR(GOOGLEFINANCE(A524,""TRADETIME""),)"),46269.64583333333)</f>
        <v>46269.64583</v>
      </c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</row>
    <row r="525" ht="15.75" customHeight="1">
      <c r="A525" s="51" t="s">
        <v>571</v>
      </c>
      <c r="B525" s="51" t="str">
        <f>IFERROR(__xludf.DUMMYFUNCTION("IFERROR(GOOGLEFINANCE(A525,""NAME""),)"),"Greenpanel Industries Ltd")</f>
        <v>Greenpanel Industries Ltd</v>
      </c>
      <c r="C525" s="51">
        <f>IFERROR(__xludf.DUMMYFUNCTION("IFERROR(GOOGLEFINANCE(A525,""CHANGE""),)"),1.02)</f>
        <v>1.02</v>
      </c>
      <c r="D525" s="51">
        <f>IFERROR(__xludf.DUMMYFUNCTION("IFERROR(GOOGLEFINANCE(A525,""CHANGEPCT""),)"),0.65)</f>
        <v>0.65</v>
      </c>
      <c r="E525" s="51" t="str">
        <f t="shared" si="1"/>
        <v>0.65%</v>
      </c>
      <c r="F525" s="51">
        <f t="shared" si="2"/>
        <v>0.65</v>
      </c>
      <c r="G525" s="51" t="str">
        <f t="shared" si="3"/>
        <v/>
      </c>
      <c r="H525" s="51">
        <f>IFERROR(__xludf.DUMMYFUNCTION("IFERROR(GOOGLEFINANCE(A525,""PRICE""),)"),158.64)</f>
        <v>158.64</v>
      </c>
      <c r="I525" s="52">
        <f>IFERROR(__xludf.DUMMYFUNCTION("IFERROR(GOOGLEFINANCE(A525,""VOLUME""),)"),268737.0)</f>
        <v>268737</v>
      </c>
      <c r="J525" s="51" t="str">
        <f>IFERROR(__xludf.DUMMYFUNCTION("IFERROR(INDEX(SPLIT(A525,"":""),1,2),)"),"GREENPANEL")</f>
        <v>GREENPANEL</v>
      </c>
      <c r="K525" s="51">
        <f t="shared" si="4"/>
        <v>543</v>
      </c>
      <c r="L525" s="51" t="str">
        <f t="shared" si="5"/>
        <v/>
      </c>
      <c r="M525" s="51">
        <f t="shared" si="6"/>
        <v>551</v>
      </c>
      <c r="N525" s="53">
        <f>IFERROR(__xludf.DUMMYFUNCTION("IFERROR(GOOGLEFINANCE(A525,""TRADETIME""),)"),46269.64583333333)</f>
        <v>46269.64583</v>
      </c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</row>
    <row r="526" ht="15.75" customHeight="1">
      <c r="A526" s="48" t="s">
        <v>572</v>
      </c>
      <c r="B526" s="48" t="str">
        <f>IFERROR(__xludf.DUMMYFUNCTION("IFERROR(GOOGLEFINANCE(A526,""NAME""),)"),"Greenply Industries Ltd")</f>
        <v>Greenply Industries Ltd</v>
      </c>
      <c r="C526" s="48">
        <f>IFERROR(__xludf.DUMMYFUNCTION("IFERROR(GOOGLEFINANCE(A526,""CHANGE""),)"),12.9)</f>
        <v>12.9</v>
      </c>
      <c r="D526" s="48">
        <f>IFERROR(__xludf.DUMMYFUNCTION("IFERROR(GOOGLEFINANCE(A526,""CHANGEPCT""),)"),4.4)</f>
        <v>4.4</v>
      </c>
      <c r="E526" s="48" t="str">
        <f t="shared" si="1"/>
        <v>4.4%</v>
      </c>
      <c r="F526" s="48">
        <f t="shared" si="2"/>
        <v>4.4</v>
      </c>
      <c r="G526" s="48" t="str">
        <f t="shared" si="3"/>
        <v/>
      </c>
      <c r="H526" s="48">
        <f>IFERROR(__xludf.DUMMYFUNCTION("IFERROR(GOOGLEFINANCE(A526,""PRICE""),)"),305.9)</f>
        <v>305.9</v>
      </c>
      <c r="I526" s="49">
        <f>IFERROR(__xludf.DUMMYFUNCTION("IFERROR(GOOGLEFINANCE(A526,""VOLUME""),)"),387224.0)</f>
        <v>387224</v>
      </c>
      <c r="J526" s="48" t="str">
        <f>IFERROR(__xludf.DUMMYFUNCTION("IFERROR(INDEX(SPLIT(A526,"":""),1,2),)"),"GREENPLY")</f>
        <v>GREENPLY</v>
      </c>
      <c r="K526" s="48">
        <f t="shared" si="4"/>
        <v>97</v>
      </c>
      <c r="L526" s="48" t="str">
        <f t="shared" si="5"/>
        <v/>
      </c>
      <c r="M526" s="48">
        <f t="shared" si="6"/>
        <v>452</v>
      </c>
      <c r="N526" s="50">
        <f>IFERROR(__xludf.DUMMYFUNCTION("IFERROR(GOOGLEFINANCE(A526,""TRADETIME""),)"),46269.64583333333)</f>
        <v>46269.64583</v>
      </c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</row>
    <row r="527" ht="15.75" customHeight="1">
      <c r="A527" s="51" t="s">
        <v>573</v>
      </c>
      <c r="B527" s="51" t="str">
        <f>IFERROR(__xludf.DUMMYFUNCTION("IFERROR(GOOGLEFINANCE(A527,""NAME""),)"),"Orient Green Power Company Ltd")</f>
        <v>Orient Green Power Company Ltd</v>
      </c>
      <c r="C527" s="51">
        <f>IFERROR(__xludf.DUMMYFUNCTION("IFERROR(GOOGLEFINANCE(A527,""CHANGE""),)"),0.05)</f>
        <v>0.05</v>
      </c>
      <c r="D527" s="51">
        <f>IFERROR(__xludf.DUMMYFUNCTION("IFERROR(GOOGLEFINANCE(A527,""CHANGEPCT""),)"),0.54)</f>
        <v>0.54</v>
      </c>
      <c r="E527" s="51" t="str">
        <f t="shared" si="1"/>
        <v>0.54%</v>
      </c>
      <c r="F527" s="51">
        <f t="shared" si="2"/>
        <v>0.54</v>
      </c>
      <c r="G527" s="51" t="str">
        <f t="shared" si="3"/>
        <v/>
      </c>
      <c r="H527" s="51">
        <f>IFERROR(__xludf.DUMMYFUNCTION("IFERROR(GOOGLEFINANCE(A527,""PRICE""),)"),9.24)</f>
        <v>9.24</v>
      </c>
      <c r="I527" s="52">
        <f>IFERROR(__xludf.DUMMYFUNCTION("IFERROR(GOOGLEFINANCE(A527,""VOLUME""),)"),1505445.0)</f>
        <v>1505445</v>
      </c>
      <c r="J527" s="51" t="str">
        <f>IFERROR(__xludf.DUMMYFUNCTION("IFERROR(INDEX(SPLIT(A527,"":""),1,2),)"),"GREENPOWER")</f>
        <v>GREENPOWER</v>
      </c>
      <c r="K527" s="51">
        <f t="shared" si="4"/>
        <v>574</v>
      </c>
      <c r="L527" s="51" t="str">
        <f t="shared" si="5"/>
        <v/>
      </c>
      <c r="M527" s="51">
        <f t="shared" si="6"/>
        <v>209</v>
      </c>
      <c r="N527" s="53">
        <f>IFERROR(__xludf.DUMMYFUNCTION("IFERROR(GOOGLEFINANCE(A527,""TRADETIME""),)"),46269.64583333333)</f>
        <v>46269.64583</v>
      </c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</row>
    <row r="528" ht="15.75" customHeight="1">
      <c r="A528" s="48" t="s">
        <v>574</v>
      </c>
      <c r="B528" s="48" t="str">
        <f>IFERROR(__xludf.DUMMYFUNCTION("IFERROR(GOOGLEFINANCE(A528,""NAME""),)"),"Grindwell Norton Ltd")</f>
        <v>Grindwell Norton Ltd</v>
      </c>
      <c r="C528" s="48">
        <f>IFERROR(__xludf.DUMMYFUNCTION("IFERROR(GOOGLEFINANCE(A528,""CHANGE""),)"),10.6)</f>
        <v>10.6</v>
      </c>
      <c r="D528" s="48">
        <f>IFERROR(__xludf.DUMMYFUNCTION("IFERROR(GOOGLEFINANCE(A528,""CHANGEPCT""),)"),0.54)</f>
        <v>0.54</v>
      </c>
      <c r="E528" s="48" t="str">
        <f t="shared" si="1"/>
        <v>0.54%</v>
      </c>
      <c r="F528" s="48">
        <f t="shared" si="2"/>
        <v>0.54</v>
      </c>
      <c r="G528" s="48" t="str">
        <f t="shared" si="3"/>
        <v/>
      </c>
      <c r="H528" s="48">
        <f>IFERROR(__xludf.DUMMYFUNCTION("IFERROR(GOOGLEFINANCE(A528,""PRICE""),)"),1985.0)</f>
        <v>1985</v>
      </c>
      <c r="I528" s="49">
        <f>IFERROR(__xludf.DUMMYFUNCTION("IFERROR(GOOGLEFINANCE(A528,""VOLUME""),)"),10248.0)</f>
        <v>10248</v>
      </c>
      <c r="J528" s="48" t="str">
        <f>IFERROR(__xludf.DUMMYFUNCTION("IFERROR(INDEX(SPLIT(A528,"":""),1,2),)"),"GRINDWELL")</f>
        <v>GRINDWELL</v>
      </c>
      <c r="K528" s="48">
        <f t="shared" si="4"/>
        <v>575</v>
      </c>
      <c r="L528" s="48" t="str">
        <f t="shared" si="5"/>
        <v/>
      </c>
      <c r="M528" s="48">
        <f t="shared" si="6"/>
        <v>1232</v>
      </c>
      <c r="N528" s="50">
        <f>IFERROR(__xludf.DUMMYFUNCTION("IFERROR(GOOGLEFINANCE(A528,""TRADETIME""),)"),46269.64583333333)</f>
        <v>46269.64583</v>
      </c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</row>
    <row r="529" ht="15.75" customHeight="1">
      <c r="A529" s="51" t="s">
        <v>575</v>
      </c>
      <c r="B529" s="51" t="str">
        <f>IFERROR(__xludf.DUMMYFUNCTION("IFERROR(GOOGLEFINANCE(A529,""NAME""),)"),"Grob Tea Co Ltd")</f>
        <v>Grob Tea Co Ltd</v>
      </c>
      <c r="C529" s="51">
        <f>IFERROR(__xludf.DUMMYFUNCTION("IFERROR(GOOGLEFINANCE(A529,""CHANGE""),)"),-7.0)</f>
        <v>-7</v>
      </c>
      <c r="D529" s="51">
        <f>IFERROR(__xludf.DUMMYFUNCTION("IFERROR(GOOGLEFINANCE(A529,""CHANGEPCT""),)"),-0.71)</f>
        <v>-0.71</v>
      </c>
      <c r="E529" s="51" t="str">
        <f t="shared" si="1"/>
        <v>-0.71%</v>
      </c>
      <c r="F529" s="51" t="str">
        <f t="shared" si="2"/>
        <v/>
      </c>
      <c r="G529" s="51">
        <f t="shared" si="3"/>
        <v>-0.71</v>
      </c>
      <c r="H529" s="51">
        <f>IFERROR(__xludf.DUMMYFUNCTION("IFERROR(GOOGLEFINANCE(A529,""PRICE""),)"),973.0)</f>
        <v>973</v>
      </c>
      <c r="I529" s="52">
        <f>IFERROR(__xludf.DUMMYFUNCTION("IFERROR(GOOGLEFINANCE(A529,""VOLUME""),)"),101.0)</f>
        <v>101</v>
      </c>
      <c r="J529" s="51" t="str">
        <f>IFERROR(__xludf.DUMMYFUNCTION("IFERROR(INDEX(SPLIT(A529,"":""),1,2),)"),"GROBTEA")</f>
        <v>GROBTEA</v>
      </c>
      <c r="K529" s="51" t="str">
        <f t="shared" si="4"/>
        <v/>
      </c>
      <c r="L529" s="51">
        <f t="shared" si="5"/>
        <v>271</v>
      </c>
      <c r="M529" s="51">
        <f t="shared" si="6"/>
        <v>1451</v>
      </c>
      <c r="N529" s="53">
        <f>IFERROR(__xludf.DUMMYFUNCTION("IFERROR(GOOGLEFINANCE(A529,""TRADETIME""),)"),46269.64583333333)</f>
        <v>46269.64583</v>
      </c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</row>
    <row r="530" ht="15.75" customHeight="1">
      <c r="A530" s="48" t="s">
        <v>576</v>
      </c>
      <c r="B530" s="48" t="str">
        <f>IFERROR(__xludf.DUMMYFUNCTION("IFERROR(GOOGLEFINANCE(A530,""NAME""),)"),"GRP Ltd")</f>
        <v>GRP Ltd</v>
      </c>
      <c r="C530" s="48">
        <f>IFERROR(__xludf.DUMMYFUNCTION("IFERROR(GOOGLEFINANCE(A530,""CHANGE""),)"),30.3)</f>
        <v>30.3</v>
      </c>
      <c r="D530" s="48">
        <f>IFERROR(__xludf.DUMMYFUNCTION("IFERROR(GOOGLEFINANCE(A530,""CHANGEPCT""),)"),1.53)</f>
        <v>1.53</v>
      </c>
      <c r="E530" s="48" t="str">
        <f t="shared" si="1"/>
        <v>1.53%</v>
      </c>
      <c r="F530" s="48">
        <f t="shared" si="2"/>
        <v>1.53</v>
      </c>
      <c r="G530" s="48" t="str">
        <f t="shared" si="3"/>
        <v/>
      </c>
      <c r="H530" s="48">
        <f>IFERROR(__xludf.DUMMYFUNCTION("IFERROR(GOOGLEFINANCE(A530,""PRICE""),)"),2010.0)</f>
        <v>2010</v>
      </c>
      <c r="I530" s="49">
        <f>IFERROR(__xludf.DUMMYFUNCTION("IFERROR(GOOGLEFINANCE(A530,""VOLUME""),)"),1281.0)</f>
        <v>1281</v>
      </c>
      <c r="J530" s="48" t="str">
        <f>IFERROR(__xludf.DUMMYFUNCTION("IFERROR(INDEX(SPLIT(A530,"":""),1,2),)"),"GRPLTD")</f>
        <v>GRPLTD</v>
      </c>
      <c r="K530" s="48">
        <f t="shared" si="4"/>
        <v>338</v>
      </c>
      <c r="L530" s="48" t="str">
        <f t="shared" si="5"/>
        <v/>
      </c>
      <c r="M530" s="48">
        <f t="shared" si="6"/>
        <v>1413</v>
      </c>
      <c r="N530" s="50">
        <f>IFERROR(__xludf.DUMMYFUNCTION("IFERROR(GOOGLEFINANCE(A530,""TRADETIME""),)"),46269.64583333333)</f>
        <v>46269.64583</v>
      </c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</row>
    <row r="531" ht="15.75" customHeight="1">
      <c r="A531" s="51" t="s">
        <v>577</v>
      </c>
      <c r="B531" s="51" t="str">
        <f>IFERROR(__xludf.DUMMYFUNCTION("IFERROR(GOOGLEFINANCE(A531,""NAME""),)"),"Garden Reach Shipbuilders &amp; Enginers Ltd")</f>
        <v>Garden Reach Shipbuilders &amp; Enginers Ltd</v>
      </c>
      <c r="C531" s="51">
        <f>IFERROR(__xludf.DUMMYFUNCTION("IFERROR(GOOGLEFINANCE(A531,""CHANGE""),)"),28.2)</f>
        <v>28.2</v>
      </c>
      <c r="D531" s="51">
        <f>IFERROR(__xludf.DUMMYFUNCTION("IFERROR(GOOGLEFINANCE(A531,""CHANGEPCT""),)"),1.12)</f>
        <v>1.12</v>
      </c>
      <c r="E531" s="51" t="str">
        <f t="shared" si="1"/>
        <v>1.12%</v>
      </c>
      <c r="F531" s="51">
        <f t="shared" si="2"/>
        <v>1.12</v>
      </c>
      <c r="G531" s="51" t="str">
        <f t="shared" si="3"/>
        <v/>
      </c>
      <c r="H531" s="51">
        <f>IFERROR(__xludf.DUMMYFUNCTION("IFERROR(GOOGLEFINANCE(A531,""PRICE""),)"),2538.0)</f>
        <v>2538</v>
      </c>
      <c r="I531" s="52">
        <f>IFERROR(__xludf.DUMMYFUNCTION("IFERROR(GOOGLEFINANCE(A531,""VOLUME""),)"),299818.0)</f>
        <v>299818</v>
      </c>
      <c r="J531" s="51" t="str">
        <f>IFERROR(__xludf.DUMMYFUNCTION("IFERROR(INDEX(SPLIT(A531,"":""),1,2),)"),"GRSE")</f>
        <v>GRSE</v>
      </c>
      <c r="K531" s="51">
        <f t="shared" si="4"/>
        <v>430</v>
      </c>
      <c r="L531" s="51" t="str">
        <f t="shared" si="5"/>
        <v/>
      </c>
      <c r="M531" s="51">
        <f t="shared" si="6"/>
        <v>518</v>
      </c>
      <c r="N531" s="53">
        <f>IFERROR(__xludf.DUMMYFUNCTION("IFERROR(GOOGLEFINANCE(A531,""TRADETIME""),)"),46269.64583333333)</f>
        <v>46269.64583</v>
      </c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</row>
    <row r="532" ht="15.75" customHeight="1">
      <c r="A532" s="48" t="s">
        <v>578</v>
      </c>
      <c r="B532" s="48" t="str">
        <f>IFERROR(__xludf.DUMMYFUNCTION("IFERROR(GOOGLEFINANCE(A532,""NAME""),)"),"")</f>
        <v/>
      </c>
      <c r="C532" s="48" t="str">
        <f>IFERROR(__xludf.DUMMYFUNCTION("IFERROR(GOOGLEFINANCE(A532,""CHANGE""),)"),"")</f>
        <v/>
      </c>
      <c r="D532" s="48" t="str">
        <f>IFERROR(__xludf.DUMMYFUNCTION("IFERROR(GOOGLEFINANCE(A532,""CHANGEPCT""),)"),"")</f>
        <v/>
      </c>
      <c r="E532" s="48" t="str">
        <f t="shared" si="1"/>
        <v>%</v>
      </c>
      <c r="F532" s="48" t="str">
        <f t="shared" si="2"/>
        <v/>
      </c>
      <c r="G532" s="48" t="str">
        <f t="shared" si="3"/>
        <v/>
      </c>
      <c r="H532" s="48" t="str">
        <f>IFERROR(__xludf.DUMMYFUNCTION("IFERROR(GOOGLEFINANCE(A532,""PRICE""),)"),"")</f>
        <v/>
      </c>
      <c r="I532" s="49" t="str">
        <f>IFERROR(__xludf.DUMMYFUNCTION("IFERROR(GOOGLEFINANCE(A532,""VOLUME""),)"),"")</f>
        <v/>
      </c>
      <c r="J532" s="48" t="str">
        <f>IFERROR(__xludf.DUMMYFUNCTION("IFERROR(INDEX(SPLIT(A532,"":""),1,2),)"),"GSCLCEMENT")</f>
        <v>GSCLCEMENT</v>
      </c>
      <c r="K532" s="48" t="str">
        <f t="shared" si="4"/>
        <v/>
      </c>
      <c r="L532" s="48" t="str">
        <f t="shared" si="5"/>
        <v/>
      </c>
      <c r="M532" s="48">
        <f t="shared" si="6"/>
        <v>1456</v>
      </c>
      <c r="N532" s="50" t="str">
        <f>IFERROR(__xludf.DUMMYFUNCTION("IFERROR(GOOGLEFINANCE(A532,""TRADETIME""),)"),"")</f>
        <v/>
      </c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</row>
    <row r="533" ht="15.75" customHeight="1">
      <c r="A533" s="51" t="s">
        <v>579</v>
      </c>
      <c r="B533" s="51" t="str">
        <f>IFERROR(__xludf.DUMMYFUNCTION("IFERROR(GOOGLEFINANCE(A533,""NAME""),)"),"Gujarat State Fertilizers &amp; Chemicls Ltd")</f>
        <v>Gujarat State Fertilizers &amp; Chemicls Ltd</v>
      </c>
      <c r="C533" s="51">
        <f>IFERROR(__xludf.DUMMYFUNCTION("IFERROR(GOOGLEFINANCE(A533,""CHANGE""),)"),1.09)</f>
        <v>1.09</v>
      </c>
      <c r="D533" s="51">
        <f>IFERROR(__xludf.DUMMYFUNCTION("IFERROR(GOOGLEFINANCE(A533,""CHANGEPCT""),)"),0.67)</f>
        <v>0.67</v>
      </c>
      <c r="E533" s="51" t="str">
        <f t="shared" si="1"/>
        <v>0.67%</v>
      </c>
      <c r="F533" s="51">
        <f t="shared" si="2"/>
        <v>0.67</v>
      </c>
      <c r="G533" s="51" t="str">
        <f t="shared" si="3"/>
        <v/>
      </c>
      <c r="H533" s="51">
        <f>IFERROR(__xludf.DUMMYFUNCTION("IFERROR(GOOGLEFINANCE(A533,""PRICE""),)"),162.95)</f>
        <v>162.95</v>
      </c>
      <c r="I533" s="52">
        <f>IFERROR(__xludf.DUMMYFUNCTION("IFERROR(GOOGLEFINANCE(A533,""VOLUME""),)"),1107016.0)</f>
        <v>1107016</v>
      </c>
      <c r="J533" s="51" t="str">
        <f>IFERROR(__xludf.DUMMYFUNCTION("IFERROR(INDEX(SPLIT(A533,"":""),1,2),)"),"GSFC")</f>
        <v>GSFC</v>
      </c>
      <c r="K533" s="51">
        <f t="shared" si="4"/>
        <v>537</v>
      </c>
      <c r="L533" s="51" t="str">
        <f t="shared" si="5"/>
        <v/>
      </c>
      <c r="M533" s="51">
        <f t="shared" si="6"/>
        <v>257</v>
      </c>
      <c r="N533" s="53">
        <f>IFERROR(__xludf.DUMMYFUNCTION("IFERROR(GOOGLEFINANCE(A533,""TRADETIME""),)"),46269.64583333333)</f>
        <v>46269.64583</v>
      </c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</row>
    <row r="534" ht="15.75" customHeight="1">
      <c r="A534" s="48" t="s">
        <v>580</v>
      </c>
      <c r="B534" s="48" t="str">
        <f>IFERROR(__xludf.DUMMYFUNCTION("IFERROR(GOOGLEFINANCE(A534,""NAME""),)"),"")</f>
        <v/>
      </c>
      <c r="C534" s="48" t="str">
        <f>IFERROR(__xludf.DUMMYFUNCTION("IFERROR(GOOGLEFINANCE(A534,""CHANGE""),)"),"")</f>
        <v/>
      </c>
      <c r="D534" s="48" t="str">
        <f>IFERROR(__xludf.DUMMYFUNCTION("IFERROR(GOOGLEFINANCE(A534,""CHANGEPCT""),)"),"")</f>
        <v/>
      </c>
      <c r="E534" s="48" t="str">
        <f t="shared" si="1"/>
        <v>%</v>
      </c>
      <c r="F534" s="48" t="str">
        <f t="shared" si="2"/>
        <v/>
      </c>
      <c r="G534" s="48" t="str">
        <f t="shared" si="3"/>
        <v/>
      </c>
      <c r="H534" s="48" t="str">
        <f>IFERROR(__xludf.DUMMYFUNCTION("IFERROR(GOOGLEFINANCE(A534,""PRICE""),)"),"")</f>
        <v/>
      </c>
      <c r="I534" s="49" t="str">
        <f>IFERROR(__xludf.DUMMYFUNCTION("IFERROR(GOOGLEFINANCE(A534,""VOLUME""),)"),"")</f>
        <v/>
      </c>
      <c r="J534" s="48" t="str">
        <f>IFERROR(__xludf.DUMMYFUNCTION("IFERROR(INDEX(SPLIT(A534,"":""),1,2),)"),"GSPL")</f>
        <v>GSPL</v>
      </c>
      <c r="K534" s="48" t="str">
        <f t="shared" si="4"/>
        <v/>
      </c>
      <c r="L534" s="48" t="str">
        <f t="shared" si="5"/>
        <v/>
      </c>
      <c r="M534" s="48">
        <f t="shared" si="6"/>
        <v>1456</v>
      </c>
      <c r="N534" s="50" t="str">
        <f>IFERROR(__xludf.DUMMYFUNCTION("IFERROR(GOOGLEFINANCE(A534,""TRADETIME""),)"),"")</f>
        <v/>
      </c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</row>
    <row r="535" ht="15.75" customHeight="1">
      <c r="A535" s="51" t="s">
        <v>581</v>
      </c>
      <c r="B535" s="51" t="str">
        <f>IFERROR(__xludf.DUMMYFUNCTION("IFERROR(GOOGLEFINANCE(A535,""NAME""),)"),"GSS Infotech Ltd")</f>
        <v>GSS Infotech Ltd</v>
      </c>
      <c r="C535" s="51">
        <f>IFERROR(__xludf.DUMMYFUNCTION("IFERROR(GOOGLEFINANCE(A535,""CHANGE""),)"),-0.11)</f>
        <v>-0.11</v>
      </c>
      <c r="D535" s="51">
        <f>IFERROR(__xludf.DUMMYFUNCTION("IFERROR(GOOGLEFINANCE(A535,""CHANGEPCT""),)"),-0.99)</f>
        <v>-0.99</v>
      </c>
      <c r="E535" s="51" t="str">
        <f t="shared" si="1"/>
        <v>-0.99%</v>
      </c>
      <c r="F535" s="51" t="str">
        <f t="shared" si="2"/>
        <v/>
      </c>
      <c r="G535" s="51">
        <f t="shared" si="3"/>
        <v>-0.99</v>
      </c>
      <c r="H535" s="51">
        <f>IFERROR(__xludf.DUMMYFUNCTION("IFERROR(GOOGLEFINANCE(A535,""PRICE""),)"),11.05)</f>
        <v>11.05</v>
      </c>
      <c r="I535" s="52">
        <f>IFERROR(__xludf.DUMMYFUNCTION("IFERROR(GOOGLEFINANCE(A535,""VOLUME""),)"),198815.0)</f>
        <v>198815</v>
      </c>
      <c r="J535" s="51" t="str">
        <f>IFERROR(__xludf.DUMMYFUNCTION("IFERROR(INDEX(SPLIT(A535,"":""),1,2),)"),"GSS")</f>
        <v>GSS</v>
      </c>
      <c r="K535" s="51" t="str">
        <f t="shared" si="4"/>
        <v/>
      </c>
      <c r="L535" s="51">
        <f t="shared" si="5"/>
        <v>338</v>
      </c>
      <c r="M535" s="51">
        <f t="shared" si="6"/>
        <v>629</v>
      </c>
      <c r="N535" s="53">
        <f>IFERROR(__xludf.DUMMYFUNCTION("IFERROR(GOOGLEFINANCE(A535,""TRADETIME""),)"),46269.64583333333)</f>
        <v>46269.64583</v>
      </c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</row>
    <row r="536" ht="15.75" customHeight="1">
      <c r="A536" s="48" t="s">
        <v>582</v>
      </c>
      <c r="B536" s="48" t="str">
        <f>IFERROR(__xludf.DUMMYFUNCTION("IFERROR(GOOGLEFINANCE(A536,""NAME""),)"),"GTL Ltd")</f>
        <v>GTL Ltd</v>
      </c>
      <c r="C536" s="48">
        <f>IFERROR(__xludf.DUMMYFUNCTION("IFERROR(GOOGLEFINANCE(A536,""CHANGE""),)"),-0.05)</f>
        <v>-0.05</v>
      </c>
      <c r="D536" s="48">
        <f>IFERROR(__xludf.DUMMYFUNCTION("IFERROR(GOOGLEFINANCE(A536,""CHANGEPCT""),)"),-0.69)</f>
        <v>-0.69</v>
      </c>
      <c r="E536" s="48" t="str">
        <f t="shared" si="1"/>
        <v>-0.69%</v>
      </c>
      <c r="F536" s="48" t="str">
        <f t="shared" si="2"/>
        <v/>
      </c>
      <c r="G536" s="48">
        <f t="shared" si="3"/>
        <v>-0.69</v>
      </c>
      <c r="H536" s="48">
        <f>IFERROR(__xludf.DUMMYFUNCTION("IFERROR(GOOGLEFINANCE(A536,""PRICE""),)"),7.15)</f>
        <v>7.15</v>
      </c>
      <c r="I536" s="49">
        <f>IFERROR(__xludf.DUMMYFUNCTION("IFERROR(GOOGLEFINANCE(A536,""VOLUME""),)"),293515.0)</f>
        <v>293515</v>
      </c>
      <c r="J536" s="48" t="str">
        <f>IFERROR(__xludf.DUMMYFUNCTION("IFERROR(INDEX(SPLIT(A536,"":""),1,2),)"),"GTL")</f>
        <v>GTL</v>
      </c>
      <c r="K536" s="48" t="str">
        <f t="shared" si="4"/>
        <v/>
      </c>
      <c r="L536" s="48">
        <f t="shared" si="5"/>
        <v>258</v>
      </c>
      <c r="M536" s="48">
        <f t="shared" si="6"/>
        <v>525</v>
      </c>
      <c r="N536" s="50">
        <f>IFERROR(__xludf.DUMMYFUNCTION("IFERROR(GOOGLEFINANCE(A536,""TRADETIME""),)"),46269.64583333333)</f>
        <v>46269.64583</v>
      </c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</row>
    <row r="537" ht="15.75" customHeight="1">
      <c r="A537" s="51" t="s">
        <v>583</v>
      </c>
      <c r="B537" s="51" t="str">
        <f>IFERROR(__xludf.DUMMYFUNCTION("IFERROR(GOOGLEFINANCE(A537,""NAME""),)"),"GTL Infrastructure Limited")</f>
        <v>GTL Infrastructure Limited</v>
      </c>
      <c r="C537" s="51">
        <f>IFERROR(__xludf.DUMMYFUNCTION("IFERROR(GOOGLEFINANCE(A537,""CHANGE""),)"),0.01)</f>
        <v>0.01</v>
      </c>
      <c r="D537" s="51">
        <f>IFERROR(__xludf.DUMMYFUNCTION("IFERROR(GOOGLEFINANCE(A537,""CHANGEPCT""),)"),0.86)</f>
        <v>0.86</v>
      </c>
      <c r="E537" s="51" t="str">
        <f t="shared" si="1"/>
        <v>0.86%</v>
      </c>
      <c r="F537" s="51">
        <f t="shared" si="2"/>
        <v>0.86</v>
      </c>
      <c r="G537" s="51" t="str">
        <f t="shared" si="3"/>
        <v/>
      </c>
      <c r="H537" s="51">
        <f>IFERROR(__xludf.DUMMYFUNCTION("IFERROR(GOOGLEFINANCE(A537,""PRICE""),)"),1.17)</f>
        <v>1.17</v>
      </c>
      <c r="I537" s="52">
        <f>IFERROR(__xludf.DUMMYFUNCTION("IFERROR(GOOGLEFINANCE(A537,""VOLUME""),)"),3.5008053E7)</f>
        <v>35008053</v>
      </c>
      <c r="J537" s="51" t="str">
        <f>IFERROR(__xludf.DUMMYFUNCTION("IFERROR(INDEX(SPLIT(A537,"":""),1,2),)"),"GTLINFRA")</f>
        <v>GTLINFRA</v>
      </c>
      <c r="K537" s="51">
        <f t="shared" si="4"/>
        <v>479</v>
      </c>
      <c r="L537" s="51" t="str">
        <f t="shared" si="5"/>
        <v/>
      </c>
      <c r="M537" s="51">
        <f t="shared" si="6"/>
        <v>11</v>
      </c>
      <c r="N537" s="53">
        <f>IFERROR(__xludf.DUMMYFUNCTION("IFERROR(GOOGLEFINANCE(A537,""TRADETIME""),)"),46269.64584490741)</f>
        <v>46269.64584</v>
      </c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</row>
    <row r="538" ht="15.75" customHeight="1">
      <c r="A538" s="48" t="s">
        <v>584</v>
      </c>
      <c r="B538" s="48" t="str">
        <f>IFERROR(__xludf.DUMMYFUNCTION("IFERROR(GOOGLEFINANCE(A538,""NAME""),)"),"Gtn Textiles Ltd")</f>
        <v>Gtn Textiles Ltd</v>
      </c>
      <c r="C538" s="48">
        <f>IFERROR(__xludf.DUMMYFUNCTION("IFERROR(GOOGLEFINANCE(A538,""CHANGE""),)"),0.25)</f>
        <v>0.25</v>
      </c>
      <c r="D538" s="48">
        <f>IFERROR(__xludf.DUMMYFUNCTION("IFERROR(GOOGLEFINANCE(A538,""CHANGEPCT""),)"),2.9)</f>
        <v>2.9</v>
      </c>
      <c r="E538" s="48" t="str">
        <f t="shared" si="1"/>
        <v>2.9%</v>
      </c>
      <c r="F538" s="48">
        <f t="shared" si="2"/>
        <v>2.9</v>
      </c>
      <c r="G538" s="48" t="str">
        <f t="shared" si="3"/>
        <v/>
      </c>
      <c r="H538" s="48">
        <f>IFERROR(__xludf.DUMMYFUNCTION("IFERROR(GOOGLEFINANCE(A538,""PRICE""),)"),8.88)</f>
        <v>8.88</v>
      </c>
      <c r="I538" s="49">
        <f>IFERROR(__xludf.DUMMYFUNCTION("IFERROR(GOOGLEFINANCE(A538,""VOLUME""),)"),2392.0)</f>
        <v>2392</v>
      </c>
      <c r="J538" s="48">
        <f>IFERROR(__xludf.DUMMYFUNCTION("IFERROR(INDEX(SPLIT(A538,"":""),1,2),)"),532744.0)</f>
        <v>532744</v>
      </c>
      <c r="K538" s="48">
        <f t="shared" si="4"/>
        <v>168</v>
      </c>
      <c r="L538" s="48" t="str">
        <f t="shared" si="5"/>
        <v/>
      </c>
      <c r="M538" s="48">
        <f t="shared" si="6"/>
        <v>1384</v>
      </c>
      <c r="N538" s="50">
        <f>IFERROR(__xludf.DUMMYFUNCTION("IFERROR(GOOGLEFINANCE(A538,""TRADETIME""),)"),46269.64583333333)</f>
        <v>46269.64583</v>
      </c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</row>
    <row r="539" ht="15.75" customHeight="1">
      <c r="A539" s="51" t="s">
        <v>585</v>
      </c>
      <c r="B539" s="51" t="str">
        <f>IFERROR(__xludf.DUMMYFUNCTION("IFERROR(GOOGLEFINANCE(A539,""NAME""),)"),"GTPL Hathway Ltd")</f>
        <v>GTPL Hathway Ltd</v>
      </c>
      <c r="C539" s="51">
        <f>IFERROR(__xludf.DUMMYFUNCTION("IFERROR(GOOGLEFINANCE(A539,""CHANGE""),)"),1.02)</f>
        <v>1.02</v>
      </c>
      <c r="D539" s="51">
        <f>IFERROR(__xludf.DUMMYFUNCTION("IFERROR(GOOGLEFINANCE(A539,""CHANGEPCT""),)"),1.76)</f>
        <v>1.76</v>
      </c>
      <c r="E539" s="51" t="str">
        <f t="shared" si="1"/>
        <v>1.76%</v>
      </c>
      <c r="F539" s="51">
        <f t="shared" si="2"/>
        <v>1.76</v>
      </c>
      <c r="G539" s="51" t="str">
        <f t="shared" si="3"/>
        <v/>
      </c>
      <c r="H539" s="51">
        <f>IFERROR(__xludf.DUMMYFUNCTION("IFERROR(GOOGLEFINANCE(A539,""PRICE""),)"),58.95)</f>
        <v>58.95</v>
      </c>
      <c r="I539" s="52">
        <f>IFERROR(__xludf.DUMMYFUNCTION("IFERROR(GOOGLEFINANCE(A539,""VOLUME""),)"),87796.0)</f>
        <v>87796</v>
      </c>
      <c r="J539" s="51" t="str">
        <f>IFERROR(__xludf.DUMMYFUNCTION("IFERROR(INDEX(SPLIT(A539,"":""),1,2),)"),"GTPL")</f>
        <v>GTPL</v>
      </c>
      <c r="K539" s="51">
        <f t="shared" si="4"/>
        <v>302</v>
      </c>
      <c r="L539" s="51" t="str">
        <f t="shared" si="5"/>
        <v/>
      </c>
      <c r="M539" s="51">
        <f t="shared" si="6"/>
        <v>808</v>
      </c>
      <c r="N539" s="53">
        <f>IFERROR(__xludf.DUMMYFUNCTION("IFERROR(GOOGLEFINANCE(A539,""TRADETIME""),)"),46269.64583333333)</f>
        <v>46269.64583</v>
      </c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</row>
    <row r="540" ht="15.75" customHeight="1">
      <c r="A540" s="48" t="s">
        <v>586</v>
      </c>
      <c r="B540" s="48" t="str">
        <f>IFERROR(__xludf.DUMMYFUNCTION("IFERROR(GOOGLEFINANCE(A540,""NAME""),)"),"Gufic BioSciences Ltd")</f>
        <v>Gufic BioSciences Ltd</v>
      </c>
      <c r="C540" s="48">
        <f>IFERROR(__xludf.DUMMYFUNCTION("IFERROR(GOOGLEFINANCE(A540,""CHANGE""),)"),6.65)</f>
        <v>6.65</v>
      </c>
      <c r="D540" s="48">
        <f>IFERROR(__xludf.DUMMYFUNCTION("IFERROR(GOOGLEFINANCE(A540,""CHANGEPCT""),)"),1.51)</f>
        <v>1.51</v>
      </c>
      <c r="E540" s="48" t="str">
        <f t="shared" si="1"/>
        <v>1.51%</v>
      </c>
      <c r="F540" s="48">
        <f t="shared" si="2"/>
        <v>1.51</v>
      </c>
      <c r="G540" s="48" t="str">
        <f t="shared" si="3"/>
        <v/>
      </c>
      <c r="H540" s="48">
        <f>IFERROR(__xludf.DUMMYFUNCTION("IFERROR(GOOGLEFINANCE(A540,""PRICE""),)"),446.0)</f>
        <v>446</v>
      </c>
      <c r="I540" s="49">
        <f>IFERROR(__xludf.DUMMYFUNCTION("IFERROR(GOOGLEFINANCE(A540,""VOLUME""),)"),88007.0)</f>
        <v>88007</v>
      </c>
      <c r="J540" s="48" t="str">
        <f>IFERROR(__xludf.DUMMYFUNCTION("IFERROR(INDEX(SPLIT(A540,"":""),1,2),)"),"GUFICBIO")</f>
        <v>GUFICBIO</v>
      </c>
      <c r="K540" s="48">
        <f t="shared" si="4"/>
        <v>344</v>
      </c>
      <c r="L540" s="48" t="str">
        <f t="shared" si="5"/>
        <v/>
      </c>
      <c r="M540" s="48">
        <f t="shared" si="6"/>
        <v>805</v>
      </c>
      <c r="N540" s="50">
        <f>IFERROR(__xludf.DUMMYFUNCTION("IFERROR(GOOGLEFINANCE(A540,""TRADETIME""),)"),46269.64583333333)</f>
        <v>46269.64583</v>
      </c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</row>
    <row r="541" ht="15.75" customHeight="1">
      <c r="A541" s="51" t="s">
        <v>587</v>
      </c>
      <c r="B541" s="51" t="str">
        <f>IFERROR(__xludf.DUMMYFUNCTION("IFERROR(GOOGLEFINANCE(A541,""NAME""),)"),"Gujarat Alkalies And Chemicals Ltd")</f>
        <v>Gujarat Alkalies And Chemicals Ltd</v>
      </c>
      <c r="C541" s="51">
        <f>IFERROR(__xludf.DUMMYFUNCTION("IFERROR(GOOGLEFINANCE(A541,""CHANGE""),)"),-2.35)</f>
        <v>-2.35</v>
      </c>
      <c r="D541" s="51">
        <f>IFERROR(__xludf.DUMMYFUNCTION("IFERROR(GOOGLEFINANCE(A541,""CHANGEPCT""),)"),-0.33)</f>
        <v>-0.33</v>
      </c>
      <c r="E541" s="51" t="str">
        <f t="shared" si="1"/>
        <v>-0.33%</v>
      </c>
      <c r="F541" s="51" t="str">
        <f t="shared" si="2"/>
        <v/>
      </c>
      <c r="G541" s="51">
        <f t="shared" si="3"/>
        <v>-0.33</v>
      </c>
      <c r="H541" s="51">
        <f>IFERROR(__xludf.DUMMYFUNCTION("IFERROR(GOOGLEFINANCE(A541,""PRICE""),)"),720.5)</f>
        <v>720.5</v>
      </c>
      <c r="I541" s="52">
        <f>IFERROR(__xludf.DUMMYFUNCTION("IFERROR(GOOGLEFINANCE(A541,""VOLUME""),)"),109374.0)</f>
        <v>109374</v>
      </c>
      <c r="J541" s="51" t="str">
        <f>IFERROR(__xludf.DUMMYFUNCTION("IFERROR(INDEX(SPLIT(A541,"":""),1,2),)"),"GUJALKALI")</f>
        <v>GUJALKALI</v>
      </c>
      <c r="K541" s="51" t="str">
        <f t="shared" si="4"/>
        <v/>
      </c>
      <c r="L541" s="51">
        <f t="shared" si="5"/>
        <v>128</v>
      </c>
      <c r="M541" s="51">
        <f t="shared" si="6"/>
        <v>750</v>
      </c>
      <c r="N541" s="53">
        <f>IFERROR(__xludf.DUMMYFUNCTION("IFERROR(GOOGLEFINANCE(A541,""TRADETIME""),)"),46269.64583333333)</f>
        <v>46269.64583</v>
      </c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</row>
    <row r="542" ht="15.75" customHeight="1">
      <c r="A542" s="48" t="s">
        <v>588</v>
      </c>
      <c r="B542" s="48" t="str">
        <f>IFERROR(__xludf.DUMMYFUNCTION("IFERROR(GOOGLEFINANCE(A542,""NAME""),)"),"Gujarat Apollo Industries Ltd")</f>
        <v>Gujarat Apollo Industries Ltd</v>
      </c>
      <c r="C542" s="48">
        <f>IFERROR(__xludf.DUMMYFUNCTION("IFERROR(GOOGLEFINANCE(A542,""CHANGE""),)"),10.0)</f>
        <v>10</v>
      </c>
      <c r="D542" s="48">
        <f>IFERROR(__xludf.DUMMYFUNCTION("IFERROR(GOOGLEFINANCE(A542,""CHANGEPCT""),)"),2.87)</f>
        <v>2.87</v>
      </c>
      <c r="E542" s="48" t="str">
        <f t="shared" si="1"/>
        <v>2.87%</v>
      </c>
      <c r="F542" s="48">
        <f t="shared" si="2"/>
        <v>2.87</v>
      </c>
      <c r="G542" s="48" t="str">
        <f t="shared" si="3"/>
        <v/>
      </c>
      <c r="H542" s="48">
        <f>IFERROR(__xludf.DUMMYFUNCTION("IFERROR(GOOGLEFINANCE(A542,""PRICE""),)"),357.95)</f>
        <v>357.95</v>
      </c>
      <c r="I542" s="49">
        <f>IFERROR(__xludf.DUMMYFUNCTION("IFERROR(GOOGLEFINANCE(A542,""VOLUME""),)"),12193.0)</f>
        <v>12193</v>
      </c>
      <c r="J542" s="48" t="str">
        <f>IFERROR(__xludf.DUMMYFUNCTION("IFERROR(INDEX(SPLIT(A542,"":""),1,2),)"),"GUJAPOLLO")</f>
        <v>GUJAPOLLO</v>
      </c>
      <c r="K542" s="48">
        <f t="shared" si="4"/>
        <v>171</v>
      </c>
      <c r="L542" s="48" t="str">
        <f t="shared" si="5"/>
        <v/>
      </c>
      <c r="M542" s="48">
        <f t="shared" si="6"/>
        <v>1204</v>
      </c>
      <c r="N542" s="50">
        <f>IFERROR(__xludf.DUMMYFUNCTION("IFERROR(GOOGLEFINANCE(A542,""TRADETIME""),)"),46269.64583333333)</f>
        <v>46269.64583</v>
      </c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</row>
    <row r="543" ht="15.75" customHeight="1">
      <c r="A543" s="51" t="s">
        <v>589</v>
      </c>
      <c r="B543" s="51" t="str">
        <f>IFERROR(__xludf.DUMMYFUNCTION("IFERROR(GOOGLEFINANCE(A543,""NAME""),)"),"")</f>
        <v/>
      </c>
      <c r="C543" s="51" t="str">
        <f>IFERROR(__xludf.DUMMYFUNCTION("IFERROR(GOOGLEFINANCE(A543,""CHANGE""),)"),"")</f>
        <v/>
      </c>
      <c r="D543" s="51" t="str">
        <f>IFERROR(__xludf.DUMMYFUNCTION("IFERROR(GOOGLEFINANCE(A543,""CHANGEPCT""),)"),"")</f>
        <v/>
      </c>
      <c r="E543" s="51" t="str">
        <f t="shared" si="1"/>
        <v>%</v>
      </c>
      <c r="F543" s="51" t="str">
        <f t="shared" si="2"/>
        <v/>
      </c>
      <c r="G543" s="51" t="str">
        <f t="shared" si="3"/>
        <v/>
      </c>
      <c r="H543" s="51" t="str">
        <f>IFERROR(__xludf.DUMMYFUNCTION("IFERROR(GOOGLEFINANCE(A543,""PRICE""),)"),"")</f>
        <v/>
      </c>
      <c r="I543" s="52" t="str">
        <f>IFERROR(__xludf.DUMMYFUNCTION("IFERROR(GOOGLEFINANCE(A543,""VOLUME""),)"),"")</f>
        <v/>
      </c>
      <c r="J543" s="51" t="str">
        <f>IFERROR(__xludf.DUMMYFUNCTION("IFERROR(INDEX(SPLIT(A543,"":""),1,2),)"),"GUJGASLTD")</f>
        <v>GUJGASLTD</v>
      </c>
      <c r="K543" s="51" t="str">
        <f t="shared" si="4"/>
        <v/>
      </c>
      <c r="L543" s="51" t="str">
        <f t="shared" si="5"/>
        <v/>
      </c>
      <c r="M543" s="51">
        <f t="shared" si="6"/>
        <v>1456</v>
      </c>
      <c r="N543" s="53" t="str">
        <f>IFERROR(__xludf.DUMMYFUNCTION("IFERROR(GOOGLEFINANCE(A543,""TRADETIME""),)"),"")</f>
        <v/>
      </c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</row>
    <row r="544" ht="15.75" customHeight="1">
      <c r="A544" s="48" t="s">
        <v>590</v>
      </c>
      <c r="B544" s="48" t="str">
        <f>IFERROR(__xludf.DUMMYFUNCTION("IFERROR(GOOGLEFINANCE(A544,""NAME""),)"),"Gujarat Raffia Industries Ltd(NDA)")</f>
        <v>Gujarat Raffia Industries Ltd(NDA)</v>
      </c>
      <c r="C544" s="48">
        <f>IFERROR(__xludf.DUMMYFUNCTION("IFERROR(GOOGLEFINANCE(A544,""CHANGE""),)"),-0.3)</f>
        <v>-0.3</v>
      </c>
      <c r="D544" s="48">
        <f>IFERROR(__xludf.DUMMYFUNCTION("IFERROR(GOOGLEFINANCE(A544,""CHANGEPCT""),)"),-0.73)</f>
        <v>-0.73</v>
      </c>
      <c r="E544" s="48" t="str">
        <f t="shared" si="1"/>
        <v>-0.73%</v>
      </c>
      <c r="F544" s="48" t="str">
        <f t="shared" si="2"/>
        <v/>
      </c>
      <c r="G544" s="48">
        <f t="shared" si="3"/>
        <v>-0.73</v>
      </c>
      <c r="H544" s="48">
        <f>IFERROR(__xludf.DUMMYFUNCTION("IFERROR(GOOGLEFINANCE(A544,""PRICE""),)"),41.0)</f>
        <v>41</v>
      </c>
      <c r="I544" s="49">
        <f>IFERROR(__xludf.DUMMYFUNCTION("IFERROR(GOOGLEFINANCE(A544,""VOLUME""),)"),106.0)</f>
        <v>106</v>
      </c>
      <c r="J544" s="48" t="str">
        <f>IFERROR(__xludf.DUMMYFUNCTION("IFERROR(INDEX(SPLIT(A544,"":""),1,2),)"),"GUJRAFFIA")</f>
        <v>GUJRAFFIA</v>
      </c>
      <c r="K544" s="48" t="str">
        <f t="shared" si="4"/>
        <v/>
      </c>
      <c r="L544" s="48">
        <f t="shared" si="5"/>
        <v>276</v>
      </c>
      <c r="M544" s="48">
        <f t="shared" si="6"/>
        <v>1450</v>
      </c>
      <c r="N544" s="50">
        <f>IFERROR(__xludf.DUMMYFUNCTION("IFERROR(GOOGLEFINANCE(A544,""TRADETIME""),)"),46269.64583333333)</f>
        <v>46269.64583</v>
      </c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</row>
    <row r="545" ht="15.75" customHeight="1">
      <c r="A545" s="51" t="s">
        <v>591</v>
      </c>
      <c r="B545" s="51" t="str">
        <f>IFERROR(__xludf.DUMMYFUNCTION("IFERROR(GOOGLEFINANCE(A545,""NAME""),)"),"Gulf Oil Lubricants India Ltd")</f>
        <v>Gulf Oil Lubricants India Ltd</v>
      </c>
      <c r="C545" s="51">
        <f>IFERROR(__xludf.DUMMYFUNCTION("IFERROR(GOOGLEFINANCE(A545,""CHANGE""),)"),-38.5)</f>
        <v>-38.5</v>
      </c>
      <c r="D545" s="51">
        <f>IFERROR(__xludf.DUMMYFUNCTION("IFERROR(GOOGLEFINANCE(A545,""CHANGEPCT""),)"),-3.46)</f>
        <v>-3.46</v>
      </c>
      <c r="E545" s="51" t="str">
        <f t="shared" si="1"/>
        <v>-3.46%</v>
      </c>
      <c r="F545" s="51" t="str">
        <f t="shared" si="2"/>
        <v/>
      </c>
      <c r="G545" s="51">
        <f t="shared" si="3"/>
        <v>-3.46</v>
      </c>
      <c r="H545" s="51">
        <f>IFERROR(__xludf.DUMMYFUNCTION("IFERROR(GOOGLEFINANCE(A545,""PRICE""),)"),1074.0)</f>
        <v>1074</v>
      </c>
      <c r="I545" s="52">
        <f>IFERROR(__xludf.DUMMYFUNCTION("IFERROR(GOOGLEFINANCE(A545,""VOLUME""),)"),157655.0)</f>
        <v>157655</v>
      </c>
      <c r="J545" s="51" t="str">
        <f>IFERROR(__xludf.DUMMYFUNCTION("IFERROR(INDEX(SPLIT(A545,"":""),1,2),)"),"GULFOILLUB")</f>
        <v>GULFOILLUB</v>
      </c>
      <c r="K545" s="51" t="str">
        <f t="shared" si="4"/>
        <v/>
      </c>
      <c r="L545" s="51">
        <f t="shared" si="5"/>
        <v>606</v>
      </c>
      <c r="M545" s="51">
        <f t="shared" si="6"/>
        <v>678</v>
      </c>
      <c r="N545" s="53">
        <f>IFERROR(__xludf.DUMMYFUNCTION("IFERROR(GOOGLEFINANCE(A545,""TRADETIME""),)"),46269.64583333333)</f>
        <v>46269.64583</v>
      </c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</row>
    <row r="546" ht="15.75" customHeight="1">
      <c r="A546" s="48" t="s">
        <v>592</v>
      </c>
      <c r="B546" s="48" t="str">
        <f>IFERROR(__xludf.DUMMYFUNCTION("IFERROR(GOOGLEFINANCE(A546,""NAME""),)"),"GP Petroleums Ltd")</f>
        <v>GP Petroleums Ltd</v>
      </c>
      <c r="C546" s="48">
        <f>IFERROR(__xludf.DUMMYFUNCTION("IFERROR(GOOGLEFINANCE(A546,""CHANGE""),)"),-0.83)</f>
        <v>-0.83</v>
      </c>
      <c r="D546" s="48">
        <f>IFERROR(__xludf.DUMMYFUNCTION("IFERROR(GOOGLEFINANCE(A546,""CHANGEPCT""),)"),-1.24)</f>
        <v>-1.24</v>
      </c>
      <c r="E546" s="48" t="str">
        <f t="shared" si="1"/>
        <v>-1.24%</v>
      </c>
      <c r="F546" s="48" t="str">
        <f t="shared" si="2"/>
        <v/>
      </c>
      <c r="G546" s="48">
        <f t="shared" si="3"/>
        <v>-1.24</v>
      </c>
      <c r="H546" s="48">
        <f>IFERROR(__xludf.DUMMYFUNCTION("IFERROR(GOOGLEFINANCE(A546,""PRICE""),)"),65.99)</f>
        <v>65.99</v>
      </c>
      <c r="I546" s="49">
        <f>IFERROR(__xludf.DUMMYFUNCTION("IFERROR(GOOGLEFINANCE(A546,""VOLUME""),)"),51859.0)</f>
        <v>51859</v>
      </c>
      <c r="J546" s="48" t="str">
        <f>IFERROR(__xludf.DUMMYFUNCTION("IFERROR(INDEX(SPLIT(A546,"":""),1,2),)"),"GULFPETRO")</f>
        <v>GULFPETRO</v>
      </c>
      <c r="K546" s="48" t="str">
        <f t="shared" si="4"/>
        <v/>
      </c>
      <c r="L546" s="48">
        <f t="shared" si="5"/>
        <v>384</v>
      </c>
      <c r="M546" s="48">
        <f t="shared" si="6"/>
        <v>934</v>
      </c>
      <c r="N546" s="50">
        <f>IFERROR(__xludf.DUMMYFUNCTION("IFERROR(GOOGLEFINANCE(A546,""TRADETIME""),)"),46269.64583333333)</f>
        <v>46269.64583</v>
      </c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</row>
    <row r="547" ht="15.75" customHeight="1">
      <c r="A547" s="51" t="s">
        <v>593</v>
      </c>
      <c r="B547" s="51" t="str">
        <f>IFERROR(__xludf.DUMMYFUNCTION("IFERROR(GOOGLEFINANCE(A547,""NAME""),)"),"Gulshan Polyols Ltd")</f>
        <v>Gulshan Polyols Ltd</v>
      </c>
      <c r="C547" s="51">
        <f>IFERROR(__xludf.DUMMYFUNCTION("IFERROR(GOOGLEFINANCE(A547,""CHANGE""),)"),0.92)</f>
        <v>0.92</v>
      </c>
      <c r="D547" s="51">
        <f>IFERROR(__xludf.DUMMYFUNCTION("IFERROR(GOOGLEFINANCE(A547,""CHANGEPCT""),)"),0.49)</f>
        <v>0.49</v>
      </c>
      <c r="E547" s="51" t="str">
        <f t="shared" si="1"/>
        <v>0.49%</v>
      </c>
      <c r="F547" s="51">
        <f t="shared" si="2"/>
        <v>0.49</v>
      </c>
      <c r="G547" s="51" t="str">
        <f t="shared" si="3"/>
        <v/>
      </c>
      <c r="H547" s="51">
        <f>IFERROR(__xludf.DUMMYFUNCTION("IFERROR(GOOGLEFINANCE(A547,""PRICE""),)"),187.19)</f>
        <v>187.19</v>
      </c>
      <c r="I547" s="52">
        <f>IFERROR(__xludf.DUMMYFUNCTION("IFERROR(GOOGLEFINANCE(A547,""VOLUME""),)"),133134.0)</f>
        <v>133134</v>
      </c>
      <c r="J547" s="51" t="str">
        <f>IFERROR(__xludf.DUMMYFUNCTION("IFERROR(INDEX(SPLIT(A547,"":""),1,2),)"),"GULPOLY")</f>
        <v>GULPOLY</v>
      </c>
      <c r="K547" s="51">
        <f t="shared" si="4"/>
        <v>597</v>
      </c>
      <c r="L547" s="51" t="str">
        <f t="shared" si="5"/>
        <v/>
      </c>
      <c r="M547" s="51">
        <f t="shared" si="6"/>
        <v>714</v>
      </c>
      <c r="N547" s="53">
        <f>IFERROR(__xludf.DUMMYFUNCTION("IFERROR(GOOGLEFINANCE(A547,""TRADETIME""),)"),46269.64583333333)</f>
        <v>46269.64583</v>
      </c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</row>
    <row r="548" ht="15.75" customHeight="1">
      <c r="A548" s="48" t="s">
        <v>594</v>
      </c>
      <c r="B548" s="48" t="str">
        <f>IFERROR(__xludf.DUMMYFUNCTION("IFERROR(GOOGLEFINANCE(A548,""NAME""),)"),"Hindustan Aeronautics Ltd")</f>
        <v>Hindustan Aeronautics Ltd</v>
      </c>
      <c r="C548" s="48">
        <f>IFERROR(__xludf.DUMMYFUNCTION("IFERROR(GOOGLEFINANCE(A548,""CHANGE""),)"),118.5)</f>
        <v>118.5</v>
      </c>
      <c r="D548" s="48">
        <f>IFERROR(__xludf.DUMMYFUNCTION("IFERROR(GOOGLEFINANCE(A548,""CHANGEPCT""),)"),2.49)</f>
        <v>2.49</v>
      </c>
      <c r="E548" s="48" t="str">
        <f t="shared" si="1"/>
        <v>2.49%</v>
      </c>
      <c r="F548" s="48">
        <f t="shared" si="2"/>
        <v>2.49</v>
      </c>
      <c r="G548" s="48" t="str">
        <f t="shared" si="3"/>
        <v/>
      </c>
      <c r="H548" s="48">
        <f>IFERROR(__xludf.DUMMYFUNCTION("IFERROR(GOOGLEFINANCE(A548,""PRICE""),)"),4884.1)</f>
        <v>4884.1</v>
      </c>
      <c r="I548" s="49">
        <f>IFERROR(__xludf.DUMMYFUNCTION("IFERROR(GOOGLEFINANCE(A548,""VOLUME""),)"),1399667.0)</f>
        <v>1399667</v>
      </c>
      <c r="J548" s="48" t="str">
        <f>IFERROR(__xludf.DUMMYFUNCTION("IFERROR(INDEX(SPLIT(A548,"":""),1,2),)"),"HAL")</f>
        <v>HAL</v>
      </c>
      <c r="K548" s="48">
        <f t="shared" si="4"/>
        <v>203</v>
      </c>
      <c r="L548" s="48" t="str">
        <f t="shared" si="5"/>
        <v/>
      </c>
      <c r="M548" s="48">
        <f t="shared" si="6"/>
        <v>217</v>
      </c>
      <c r="N548" s="50">
        <f>IFERROR(__xludf.DUMMYFUNCTION("IFERROR(GOOGLEFINANCE(A548,""TRADETIME""),)"),46269.64583333333)</f>
        <v>46269.64583</v>
      </c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</row>
    <row r="549" ht="15.75" customHeight="1">
      <c r="A549" s="51" t="s">
        <v>595</v>
      </c>
      <c r="B549" s="51" t="str">
        <f>IFERROR(__xludf.DUMMYFUNCTION("IFERROR(GOOGLEFINANCE(A549,""NAME""),)"),"Happiest Minds Technologies Ltd")</f>
        <v>Happiest Minds Technologies Ltd</v>
      </c>
      <c r="C549" s="51">
        <f>IFERROR(__xludf.DUMMYFUNCTION("IFERROR(GOOGLEFINANCE(A549,""CHANGE""),)"),-0.45)</f>
        <v>-0.45</v>
      </c>
      <c r="D549" s="51">
        <f>IFERROR(__xludf.DUMMYFUNCTION("IFERROR(GOOGLEFINANCE(A549,""CHANGEPCT""),)"),-0.13)</f>
        <v>-0.13</v>
      </c>
      <c r="E549" s="51" t="str">
        <f t="shared" si="1"/>
        <v>-0.13%</v>
      </c>
      <c r="F549" s="51" t="str">
        <f t="shared" si="2"/>
        <v/>
      </c>
      <c r="G549" s="51">
        <f t="shared" si="3"/>
        <v>-0.13</v>
      </c>
      <c r="H549" s="51">
        <f>IFERROR(__xludf.DUMMYFUNCTION("IFERROR(GOOGLEFINANCE(A549,""PRICE""),)"),353.5)</f>
        <v>353.5</v>
      </c>
      <c r="I549" s="52">
        <f>IFERROR(__xludf.DUMMYFUNCTION("IFERROR(GOOGLEFINANCE(A549,""VOLUME""),)"),1122676.0)</f>
        <v>1122676</v>
      </c>
      <c r="J549" s="51" t="str">
        <f>IFERROR(__xludf.DUMMYFUNCTION("IFERROR(INDEX(SPLIT(A549,"":""),1,2),)"),"HAPPSTMNDS")</f>
        <v>HAPPSTMNDS</v>
      </c>
      <c r="K549" s="51" t="str">
        <f t="shared" si="4"/>
        <v/>
      </c>
      <c r="L549" s="51">
        <f t="shared" si="5"/>
        <v>42</v>
      </c>
      <c r="M549" s="51">
        <f t="shared" si="6"/>
        <v>249</v>
      </c>
      <c r="N549" s="53">
        <f>IFERROR(__xludf.DUMMYFUNCTION("IFERROR(GOOGLEFINANCE(A549,""TRADETIME""),)"),46269.64586805555)</f>
        <v>46269.64587</v>
      </c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</row>
    <row r="550" ht="15.75" customHeight="1">
      <c r="A550" s="48" t="s">
        <v>596</v>
      </c>
      <c r="B550" s="48" t="str">
        <f>IFERROR(__xludf.DUMMYFUNCTION("IFERROR(GOOGLEFINANCE(A550,""NAME""),)"),"Harrisons Malayalam Ltd")</f>
        <v>Harrisons Malayalam Ltd</v>
      </c>
      <c r="C550" s="48">
        <f>IFERROR(__xludf.DUMMYFUNCTION("IFERROR(GOOGLEFINANCE(A550,""CHANGE""),)"),2.3)</f>
        <v>2.3</v>
      </c>
      <c r="D550" s="48">
        <f>IFERROR(__xludf.DUMMYFUNCTION("IFERROR(GOOGLEFINANCE(A550,""CHANGEPCT""),)"),1.2)</f>
        <v>1.2</v>
      </c>
      <c r="E550" s="48" t="str">
        <f t="shared" si="1"/>
        <v>1.2%</v>
      </c>
      <c r="F550" s="48">
        <f t="shared" si="2"/>
        <v>1.2</v>
      </c>
      <c r="G550" s="48" t="str">
        <f t="shared" si="3"/>
        <v/>
      </c>
      <c r="H550" s="48">
        <f>IFERROR(__xludf.DUMMYFUNCTION("IFERROR(GOOGLEFINANCE(A550,""PRICE""),)"),193.5)</f>
        <v>193.5</v>
      </c>
      <c r="I550" s="49">
        <f>IFERROR(__xludf.DUMMYFUNCTION("IFERROR(GOOGLEFINANCE(A550,""VOLUME""),)"),7134.0)</f>
        <v>7134</v>
      </c>
      <c r="J550" s="48" t="str">
        <f>IFERROR(__xludf.DUMMYFUNCTION("IFERROR(INDEX(SPLIT(A550,"":""),1,2),)"),"HARRMALAYA")</f>
        <v>HARRMALAYA</v>
      </c>
      <c r="K550" s="48">
        <f t="shared" si="4"/>
        <v>405</v>
      </c>
      <c r="L550" s="48" t="str">
        <f t="shared" si="5"/>
        <v/>
      </c>
      <c r="M550" s="48">
        <f t="shared" si="6"/>
        <v>1285</v>
      </c>
      <c r="N550" s="50">
        <f>IFERROR(__xludf.DUMMYFUNCTION("IFERROR(GOOGLEFINANCE(A550,""TRADETIME""),)"),46269.64583333333)</f>
        <v>46269.64583</v>
      </c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</row>
    <row r="551" ht="15.75" customHeight="1">
      <c r="A551" s="51" t="s">
        <v>597</v>
      </c>
      <c r="B551" s="51" t="str">
        <f>IFERROR(__xludf.DUMMYFUNCTION("IFERROR(GOOGLEFINANCE(A551,""NAME""),)"),"Hathway Cable and Datacom Limited")</f>
        <v>Hathway Cable and Datacom Limited</v>
      </c>
      <c r="C551" s="51">
        <f>IFERROR(__xludf.DUMMYFUNCTION("IFERROR(GOOGLEFINANCE(A551,""CHANGE""),)"),0.27)</f>
        <v>0.27</v>
      </c>
      <c r="D551" s="51">
        <f>IFERROR(__xludf.DUMMYFUNCTION("IFERROR(GOOGLEFINANCE(A551,""CHANGEPCT""),)"),2.63)</f>
        <v>2.63</v>
      </c>
      <c r="E551" s="51" t="str">
        <f t="shared" si="1"/>
        <v>2.63%</v>
      </c>
      <c r="F551" s="51">
        <f t="shared" si="2"/>
        <v>2.63</v>
      </c>
      <c r="G551" s="51" t="str">
        <f t="shared" si="3"/>
        <v/>
      </c>
      <c r="H551" s="51">
        <f>IFERROR(__xludf.DUMMYFUNCTION("IFERROR(GOOGLEFINANCE(A551,""PRICE""),)"),10.53)</f>
        <v>10.53</v>
      </c>
      <c r="I551" s="52">
        <f>IFERROR(__xludf.DUMMYFUNCTION("IFERROR(GOOGLEFINANCE(A551,""VOLUME""),)"),1819906.0)</f>
        <v>1819906</v>
      </c>
      <c r="J551" s="51" t="str">
        <f>IFERROR(__xludf.DUMMYFUNCTION("IFERROR(INDEX(SPLIT(A551,"":""),1,2),)"),"HATHWAY")</f>
        <v>HATHWAY</v>
      </c>
      <c r="K551" s="51">
        <f t="shared" si="4"/>
        <v>188</v>
      </c>
      <c r="L551" s="51" t="str">
        <f t="shared" si="5"/>
        <v/>
      </c>
      <c r="M551" s="51">
        <f t="shared" si="6"/>
        <v>181</v>
      </c>
      <c r="N551" s="53">
        <f>IFERROR(__xludf.DUMMYFUNCTION("IFERROR(GOOGLEFINANCE(A551,""TRADETIME""),)"),46269.64583333333)</f>
        <v>46269.64583</v>
      </c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</row>
    <row r="552" ht="15.75" customHeight="1">
      <c r="A552" s="48" t="s">
        <v>598</v>
      </c>
      <c r="B552" s="48" t="str">
        <f>IFERROR(__xludf.DUMMYFUNCTION("IFERROR(GOOGLEFINANCE(A552,""NAME""),)"),"Hatsun Agro Product Ltd")</f>
        <v>Hatsun Agro Product Ltd</v>
      </c>
      <c r="C552" s="48">
        <f>IFERROR(__xludf.DUMMYFUNCTION("IFERROR(GOOGLEFINANCE(A552,""CHANGE""),)"),0.7)</f>
        <v>0.7</v>
      </c>
      <c r="D552" s="48">
        <f>IFERROR(__xludf.DUMMYFUNCTION("IFERROR(GOOGLEFINANCE(A552,""CHANGEPCT""),)"),0.06)</f>
        <v>0.06</v>
      </c>
      <c r="E552" s="48" t="str">
        <f t="shared" si="1"/>
        <v>0.06%</v>
      </c>
      <c r="F552" s="48">
        <f t="shared" si="2"/>
        <v>0.06</v>
      </c>
      <c r="G552" s="48" t="str">
        <f t="shared" si="3"/>
        <v/>
      </c>
      <c r="H552" s="48">
        <f>IFERROR(__xludf.DUMMYFUNCTION("IFERROR(GOOGLEFINANCE(A552,""PRICE""),)"),1161.5)</f>
        <v>1161.5</v>
      </c>
      <c r="I552" s="49">
        <f>IFERROR(__xludf.DUMMYFUNCTION("IFERROR(GOOGLEFINANCE(A552,""VOLUME""),)"),65825.0)</f>
        <v>65825</v>
      </c>
      <c r="J552" s="48" t="str">
        <f>IFERROR(__xludf.DUMMYFUNCTION("IFERROR(INDEX(SPLIT(A552,"":""),1,2),)"),"HATSUN")</f>
        <v>HATSUN</v>
      </c>
      <c r="K552" s="48">
        <f t="shared" si="4"/>
        <v>754</v>
      </c>
      <c r="L552" s="48" t="str">
        <f t="shared" si="5"/>
        <v/>
      </c>
      <c r="M552" s="48">
        <f t="shared" si="6"/>
        <v>875</v>
      </c>
      <c r="N552" s="50">
        <f>IFERROR(__xludf.DUMMYFUNCTION("IFERROR(GOOGLEFINANCE(A552,""TRADETIME""),)"),46269.64583333333)</f>
        <v>46269.64583</v>
      </c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</row>
    <row r="553" ht="15.75" customHeight="1">
      <c r="A553" s="51" t="s">
        <v>599</v>
      </c>
      <c r="B553" s="51" t="str">
        <f>IFERROR(__xludf.DUMMYFUNCTION("IFERROR(GOOGLEFINANCE(A553,""NAME""),)"),"Havells India Ltd")</f>
        <v>Havells India Ltd</v>
      </c>
      <c r="C553" s="51">
        <f>IFERROR(__xludf.DUMMYFUNCTION("IFERROR(GOOGLEFINANCE(A553,""CHANGE""),)"),-44.0)</f>
        <v>-44</v>
      </c>
      <c r="D553" s="51">
        <f>IFERROR(__xludf.DUMMYFUNCTION("IFERROR(GOOGLEFINANCE(A553,""CHANGEPCT""),)"),-3.67)</f>
        <v>-3.67</v>
      </c>
      <c r="E553" s="51" t="str">
        <f t="shared" si="1"/>
        <v>-3.67%</v>
      </c>
      <c r="F553" s="51" t="str">
        <f t="shared" si="2"/>
        <v/>
      </c>
      <c r="G553" s="51">
        <f t="shared" si="3"/>
        <v>-3.67</v>
      </c>
      <c r="H553" s="51">
        <f>IFERROR(__xludf.DUMMYFUNCTION("IFERROR(GOOGLEFINANCE(A553,""PRICE""),)"),1156.0)</f>
        <v>1156</v>
      </c>
      <c r="I553" s="52">
        <f>IFERROR(__xludf.DUMMYFUNCTION("IFERROR(GOOGLEFINANCE(A553,""VOLUME""),)"),2840527.0)</f>
        <v>2840527</v>
      </c>
      <c r="J553" s="51" t="str">
        <f>IFERROR(__xludf.DUMMYFUNCTION("IFERROR(INDEX(SPLIT(A553,"":""),1,2),)"),"HAVELLS")</f>
        <v>HAVELLS</v>
      </c>
      <c r="K553" s="51" t="str">
        <f t="shared" si="4"/>
        <v/>
      </c>
      <c r="L553" s="51">
        <f t="shared" si="5"/>
        <v>615</v>
      </c>
      <c r="M553" s="51">
        <f t="shared" si="6"/>
        <v>132</v>
      </c>
      <c r="N553" s="53">
        <f>IFERROR(__xludf.DUMMYFUNCTION("IFERROR(GOOGLEFINANCE(A553,""TRADETIME""),)"),46269.64583333333)</f>
        <v>46269.64583</v>
      </c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</row>
    <row r="554" ht="15.75" customHeight="1">
      <c r="A554" s="48" t="s">
        <v>600</v>
      </c>
      <c r="B554" s="48" t="str">
        <f>IFERROR(__xludf.DUMMYFUNCTION("IFERROR(GOOGLEFINANCE(A554,""NAME""),)"),"Sri Havisha Hospitlty and Infrstrctr Ltd")</f>
        <v>Sri Havisha Hospitlty and Infrstrctr Ltd</v>
      </c>
      <c r="C554" s="48">
        <f>IFERROR(__xludf.DUMMYFUNCTION("IFERROR(GOOGLEFINANCE(A554,""CHANGE""),)"),0.03)</f>
        <v>0.03</v>
      </c>
      <c r="D554" s="48">
        <f>IFERROR(__xludf.DUMMYFUNCTION("IFERROR(GOOGLEFINANCE(A554,""CHANGEPCT""),)"),2.14)</f>
        <v>2.14</v>
      </c>
      <c r="E554" s="48" t="str">
        <f t="shared" si="1"/>
        <v>2.14%</v>
      </c>
      <c r="F554" s="48">
        <f t="shared" si="2"/>
        <v>2.14</v>
      </c>
      <c r="G554" s="48" t="str">
        <f t="shared" si="3"/>
        <v/>
      </c>
      <c r="H554" s="48">
        <f>IFERROR(__xludf.DUMMYFUNCTION("IFERROR(GOOGLEFINANCE(A554,""PRICE""),)"),1.43)</f>
        <v>1.43</v>
      </c>
      <c r="I554" s="49">
        <f>IFERROR(__xludf.DUMMYFUNCTION("IFERROR(GOOGLEFINANCE(A554,""VOLUME""),)"),107777.0)</f>
        <v>107777</v>
      </c>
      <c r="J554" s="48" t="str">
        <f>IFERROR(__xludf.DUMMYFUNCTION("IFERROR(INDEX(SPLIT(A554,"":""),1,2),)"),"HAVISHA")</f>
        <v>HAVISHA</v>
      </c>
      <c r="K554" s="48">
        <f t="shared" si="4"/>
        <v>240</v>
      </c>
      <c r="L554" s="48" t="str">
        <f t="shared" si="5"/>
        <v/>
      </c>
      <c r="M554" s="48">
        <f t="shared" si="6"/>
        <v>752</v>
      </c>
      <c r="N554" s="50">
        <f>IFERROR(__xludf.DUMMYFUNCTION("IFERROR(GOOGLEFINANCE(A554,""TRADETIME""),)"),46269.64583333333)</f>
        <v>46269.64583</v>
      </c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</row>
    <row r="555" ht="15.75" customHeight="1">
      <c r="A555" s="51" t="s">
        <v>601</v>
      </c>
      <c r="B555" s="51" t="str">
        <f>IFERROR(__xludf.DUMMYFUNCTION("IFERROR(GOOGLEFINANCE(A555,""NAME""),)"),"")</f>
        <v/>
      </c>
      <c r="C555" s="51" t="str">
        <f>IFERROR(__xludf.DUMMYFUNCTION("IFERROR(GOOGLEFINANCE(A555,""CHANGE""),)"),"")</f>
        <v/>
      </c>
      <c r="D555" s="51" t="str">
        <f>IFERROR(__xludf.DUMMYFUNCTION("IFERROR(GOOGLEFINANCE(A555,""CHANGEPCT""),)"),"")</f>
        <v/>
      </c>
      <c r="E555" s="51" t="str">
        <f t="shared" si="1"/>
        <v>%</v>
      </c>
      <c r="F555" s="51" t="str">
        <f t="shared" si="2"/>
        <v/>
      </c>
      <c r="G555" s="51" t="str">
        <f t="shared" si="3"/>
        <v/>
      </c>
      <c r="H555" s="51" t="str">
        <f>IFERROR(__xludf.DUMMYFUNCTION("IFERROR(GOOGLEFINANCE(A555,""PRICE""),)"),"")</f>
        <v/>
      </c>
      <c r="I555" s="52" t="str">
        <f>IFERROR(__xludf.DUMMYFUNCTION("IFERROR(GOOGLEFINANCE(A555,""VOLUME""),)"),"")</f>
        <v/>
      </c>
      <c r="J555" s="51" t="str">
        <f>IFERROR(__xludf.DUMMYFUNCTION("IFERROR(INDEX(SPLIT(A555,"":""),1,2),)"),"HBLPOWER")</f>
        <v>HBLPOWER</v>
      </c>
      <c r="K555" s="51" t="str">
        <f t="shared" si="4"/>
        <v/>
      </c>
      <c r="L555" s="51" t="str">
        <f t="shared" si="5"/>
        <v/>
      </c>
      <c r="M555" s="51">
        <f t="shared" si="6"/>
        <v>1456</v>
      </c>
      <c r="N555" s="53" t="str">
        <f>IFERROR(__xludf.DUMMYFUNCTION("IFERROR(GOOGLEFINANCE(A555,""TRADETIME""),)"),"")</f>
        <v/>
      </c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</row>
    <row r="556" ht="15.75" customHeight="1">
      <c r="A556" s="48" t="s">
        <v>602</v>
      </c>
      <c r="B556" s="48" t="str">
        <f>IFERROR(__xludf.DUMMYFUNCTION("IFERROR(GOOGLEFINANCE(A556,""NAME""),)"),"HB Stockholdings Ltd")</f>
        <v>HB Stockholdings Ltd</v>
      </c>
      <c r="C556" s="48">
        <f>IFERROR(__xludf.DUMMYFUNCTION("IFERROR(GOOGLEFINANCE(A556,""CHANGE""),)"),0.79)</f>
        <v>0.79</v>
      </c>
      <c r="D556" s="48">
        <f>IFERROR(__xludf.DUMMYFUNCTION("IFERROR(GOOGLEFINANCE(A556,""CHANGEPCT""),)"),1.45)</f>
        <v>1.45</v>
      </c>
      <c r="E556" s="48" t="str">
        <f t="shared" si="1"/>
        <v>1.45%</v>
      </c>
      <c r="F556" s="48">
        <f t="shared" si="2"/>
        <v>1.45</v>
      </c>
      <c r="G556" s="48" t="str">
        <f t="shared" si="3"/>
        <v/>
      </c>
      <c r="H556" s="48">
        <f>IFERROR(__xludf.DUMMYFUNCTION("IFERROR(GOOGLEFINANCE(A556,""PRICE""),)"),55.29)</f>
        <v>55.29</v>
      </c>
      <c r="I556" s="49">
        <f>IFERROR(__xludf.DUMMYFUNCTION("IFERROR(GOOGLEFINANCE(A556,""VOLUME""),)"),1337.0)</f>
        <v>1337</v>
      </c>
      <c r="J556" s="48" t="str">
        <f>IFERROR(__xludf.DUMMYFUNCTION("IFERROR(INDEX(SPLIT(A556,"":""),1,2),)"),"HBSL")</f>
        <v>HBSL</v>
      </c>
      <c r="K556" s="48">
        <f t="shared" si="4"/>
        <v>355</v>
      </c>
      <c r="L556" s="48" t="str">
        <f t="shared" si="5"/>
        <v/>
      </c>
      <c r="M556" s="48">
        <f t="shared" si="6"/>
        <v>1409</v>
      </c>
      <c r="N556" s="50">
        <f>IFERROR(__xludf.DUMMYFUNCTION("IFERROR(GOOGLEFINANCE(A556,""TRADETIME""),)"),46269.64583333333)</f>
        <v>46269.64583</v>
      </c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</row>
    <row r="557" ht="15.75" customHeight="1">
      <c r="A557" s="51" t="s">
        <v>603</v>
      </c>
      <c r="B557" s="51" t="str">
        <f>IFERROR(__xludf.DUMMYFUNCTION("IFERROR(GOOGLEFINANCE(A557,""NAME""),)"),"Hindustan Construction Company Ltd")</f>
        <v>Hindustan Construction Company Ltd</v>
      </c>
      <c r="C557" s="51">
        <f>IFERROR(__xludf.DUMMYFUNCTION("IFERROR(GOOGLEFINANCE(A557,""CHANGE""),)"),-0.16)</f>
        <v>-0.16</v>
      </c>
      <c r="D557" s="51">
        <f>IFERROR(__xludf.DUMMYFUNCTION("IFERROR(GOOGLEFINANCE(A557,""CHANGEPCT""),)"),-0.69)</f>
        <v>-0.69</v>
      </c>
      <c r="E557" s="51" t="str">
        <f t="shared" si="1"/>
        <v>-0.69%</v>
      </c>
      <c r="F557" s="51" t="str">
        <f t="shared" si="2"/>
        <v/>
      </c>
      <c r="G557" s="51">
        <f t="shared" si="3"/>
        <v>-0.69</v>
      </c>
      <c r="H557" s="51">
        <f>IFERROR(__xludf.DUMMYFUNCTION("IFERROR(GOOGLEFINANCE(A557,""PRICE""),)"),22.97)</f>
        <v>22.97</v>
      </c>
      <c r="I557" s="52">
        <f>IFERROR(__xludf.DUMMYFUNCTION("IFERROR(GOOGLEFINANCE(A557,""VOLUME""),)"),2.0266993E7)</f>
        <v>20266993</v>
      </c>
      <c r="J557" s="51" t="str">
        <f>IFERROR(__xludf.DUMMYFUNCTION("IFERROR(INDEX(SPLIT(A557,"":""),1,2),)"),"HCC")</f>
        <v>HCC</v>
      </c>
      <c r="K557" s="51" t="str">
        <f t="shared" si="4"/>
        <v/>
      </c>
      <c r="L557" s="51">
        <f t="shared" si="5"/>
        <v>259</v>
      </c>
      <c r="M557" s="51">
        <f t="shared" si="6"/>
        <v>22</v>
      </c>
      <c r="N557" s="53">
        <f>IFERROR(__xludf.DUMMYFUNCTION("IFERROR(GOOGLEFINANCE(A557,""TRADETIME""),)"),46269.64583333333)</f>
        <v>46269.64583</v>
      </c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</row>
    <row r="558" ht="15.75" customHeight="1">
      <c r="A558" s="48" t="s">
        <v>604</v>
      </c>
      <c r="B558" s="48" t="str">
        <f>IFERROR(__xludf.DUMMYFUNCTION("IFERROR(GOOGLEFINANCE(A558,""NAME""),)"),"Healthcare Global Enterprises Ltd")</f>
        <v>Healthcare Global Enterprises Ltd</v>
      </c>
      <c r="C558" s="48">
        <f>IFERROR(__xludf.DUMMYFUNCTION("IFERROR(GOOGLEFINANCE(A558,""CHANGE""),)"),0.5)</f>
        <v>0.5</v>
      </c>
      <c r="D558" s="48">
        <f>IFERROR(__xludf.DUMMYFUNCTION("IFERROR(GOOGLEFINANCE(A558,""CHANGEPCT""),)"),0.07)</f>
        <v>0.07</v>
      </c>
      <c r="E558" s="48" t="str">
        <f t="shared" si="1"/>
        <v>0.07%</v>
      </c>
      <c r="F558" s="48">
        <f t="shared" si="2"/>
        <v>0.07</v>
      </c>
      <c r="G558" s="48" t="str">
        <f t="shared" si="3"/>
        <v/>
      </c>
      <c r="H558" s="48">
        <f>IFERROR(__xludf.DUMMYFUNCTION("IFERROR(GOOGLEFINANCE(A558,""PRICE""),)"),703.95)</f>
        <v>703.95</v>
      </c>
      <c r="I558" s="49">
        <f>IFERROR(__xludf.DUMMYFUNCTION("IFERROR(GOOGLEFINANCE(A558,""VOLUME""),)"),65274.0)</f>
        <v>65274</v>
      </c>
      <c r="J558" s="48" t="str">
        <f>IFERROR(__xludf.DUMMYFUNCTION("IFERROR(INDEX(SPLIT(A558,"":""),1,2),)"),"HCG")</f>
        <v>HCG</v>
      </c>
      <c r="K558" s="48">
        <f t="shared" si="4"/>
        <v>751</v>
      </c>
      <c r="L558" s="48" t="str">
        <f t="shared" si="5"/>
        <v/>
      </c>
      <c r="M558" s="48">
        <f t="shared" si="6"/>
        <v>880</v>
      </c>
      <c r="N558" s="50">
        <f>IFERROR(__xludf.DUMMYFUNCTION("IFERROR(GOOGLEFINANCE(A558,""TRADETIME""),)"),46269.64583333333)</f>
        <v>46269.64583</v>
      </c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</row>
    <row r="559" ht="15.75" customHeight="1">
      <c r="A559" s="51" t="s">
        <v>605</v>
      </c>
      <c r="B559" s="51" t="str">
        <f>IFERROR(__xludf.DUMMYFUNCTION("IFERROR(GOOGLEFINANCE(A559,""NAME""),)"),"HCL Infosystems Ltd")</f>
        <v>HCL Infosystems Ltd</v>
      </c>
      <c r="C559" s="51">
        <f>IFERROR(__xludf.DUMMYFUNCTION("IFERROR(GOOGLEFINANCE(A559,""CHANGE""),)"),-0.04)</f>
        <v>-0.04</v>
      </c>
      <c r="D559" s="51">
        <f>IFERROR(__xludf.DUMMYFUNCTION("IFERROR(GOOGLEFINANCE(A559,""CHANGEPCT""),)"),-0.39)</f>
        <v>-0.39</v>
      </c>
      <c r="E559" s="51" t="str">
        <f t="shared" si="1"/>
        <v>-0.39%</v>
      </c>
      <c r="F559" s="51" t="str">
        <f t="shared" si="2"/>
        <v/>
      </c>
      <c r="G559" s="51">
        <f t="shared" si="3"/>
        <v>-0.39</v>
      </c>
      <c r="H559" s="51">
        <f>IFERROR(__xludf.DUMMYFUNCTION("IFERROR(GOOGLEFINANCE(A559,""PRICE""),)"),10.1)</f>
        <v>10.1</v>
      </c>
      <c r="I559" s="52">
        <f>IFERROR(__xludf.DUMMYFUNCTION("IFERROR(GOOGLEFINANCE(A559,""VOLUME""),)"),702510.0)</f>
        <v>702510</v>
      </c>
      <c r="J559" s="51" t="str">
        <f>IFERROR(__xludf.DUMMYFUNCTION("IFERROR(INDEX(SPLIT(A559,"":""),1,2),)"),"HCL-INSYS")</f>
        <v>HCL-INSYS</v>
      </c>
      <c r="K559" s="51" t="str">
        <f t="shared" si="4"/>
        <v/>
      </c>
      <c r="L559" s="51">
        <f t="shared" si="5"/>
        <v>149</v>
      </c>
      <c r="M559" s="51">
        <f t="shared" si="6"/>
        <v>328</v>
      </c>
      <c r="N559" s="53">
        <f>IFERROR(__xludf.DUMMYFUNCTION("IFERROR(GOOGLEFINANCE(A559,""TRADETIME""),)"),46269.64583333333)</f>
        <v>46269.64583</v>
      </c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</row>
    <row r="560" ht="15.75" customHeight="1">
      <c r="A560" s="48" t="s">
        <v>606</v>
      </c>
      <c r="B560" s="48" t="str">
        <f>IFERROR(__xludf.DUMMYFUNCTION("IFERROR(GOOGLEFINANCE(A560,""NAME""),)"),"HCL Technologies Ltd")</f>
        <v>HCL Technologies Ltd</v>
      </c>
      <c r="C560" s="48">
        <f>IFERROR(__xludf.DUMMYFUNCTION("IFERROR(GOOGLEFINANCE(A560,""CHANGE""),)"),-25.6)</f>
        <v>-25.6</v>
      </c>
      <c r="D560" s="48">
        <f>IFERROR(__xludf.DUMMYFUNCTION("IFERROR(GOOGLEFINANCE(A560,""CHANGEPCT""),)"),-1.94)</f>
        <v>-1.94</v>
      </c>
      <c r="E560" s="48" t="str">
        <f t="shared" si="1"/>
        <v>-1.94%</v>
      </c>
      <c r="F560" s="48" t="str">
        <f t="shared" si="2"/>
        <v/>
      </c>
      <c r="G560" s="48">
        <f t="shared" si="3"/>
        <v>-1.94</v>
      </c>
      <c r="H560" s="48">
        <f>IFERROR(__xludf.DUMMYFUNCTION("IFERROR(GOOGLEFINANCE(A560,""PRICE""),)"),1293.4)</f>
        <v>1293.4</v>
      </c>
      <c r="I560" s="49">
        <f>IFERROR(__xludf.DUMMYFUNCTION("IFERROR(GOOGLEFINANCE(A560,""VOLUME""),)"),2210569.0)</f>
        <v>2210569</v>
      </c>
      <c r="J560" s="48" t="str">
        <f>IFERROR(__xludf.DUMMYFUNCTION("IFERROR(INDEX(SPLIT(A560,"":""),1,2),)"),"HCLTECH")</f>
        <v>HCLTECH</v>
      </c>
      <c r="K560" s="48" t="str">
        <f t="shared" si="4"/>
        <v/>
      </c>
      <c r="L560" s="48">
        <f t="shared" si="5"/>
        <v>515</v>
      </c>
      <c r="M560" s="48">
        <f t="shared" si="6"/>
        <v>161</v>
      </c>
      <c r="N560" s="50">
        <f>IFERROR(__xludf.DUMMYFUNCTION("IFERROR(GOOGLEFINANCE(A560,""TRADETIME""),)"),46269.64583333333)</f>
        <v>46269.64583</v>
      </c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</row>
    <row r="561" ht="15.75" customHeight="1">
      <c r="A561" s="51" t="s">
        <v>607</v>
      </c>
      <c r="B561" s="51" t="str">
        <f>IFERROR(__xludf.DUMMYFUNCTION("IFERROR(GOOGLEFINANCE(A561,""NAME""),)"),"")</f>
        <v/>
      </c>
      <c r="C561" s="51" t="str">
        <f>IFERROR(__xludf.DUMMYFUNCTION("IFERROR(GOOGLEFINANCE(A561,""CHANGE""),)"),"")</f>
        <v/>
      </c>
      <c r="D561" s="51" t="str">
        <f>IFERROR(__xludf.DUMMYFUNCTION("IFERROR(GOOGLEFINANCE(A561,""CHANGEPCT""),)"),"")</f>
        <v/>
      </c>
      <c r="E561" s="51" t="str">
        <f t="shared" si="1"/>
        <v>%</v>
      </c>
      <c r="F561" s="51" t="str">
        <f t="shared" si="2"/>
        <v/>
      </c>
      <c r="G561" s="51" t="str">
        <f t="shared" si="3"/>
        <v/>
      </c>
      <c r="H561" s="51" t="str">
        <f>IFERROR(__xludf.DUMMYFUNCTION("IFERROR(GOOGLEFINANCE(A561,""PRICE""),)"),"")</f>
        <v/>
      </c>
      <c r="I561" s="52" t="str">
        <f>IFERROR(__xludf.DUMMYFUNCTION("IFERROR(GOOGLEFINANCE(A561,""VOLUME""),)"),"")</f>
        <v/>
      </c>
      <c r="J561" s="51" t="str">
        <f>IFERROR(__xludf.DUMMYFUNCTION("IFERROR(INDEX(SPLIT(A561,"":""),1,2),)"),"HDFC")</f>
        <v>HDFC</v>
      </c>
      <c r="K561" s="51" t="str">
        <f t="shared" si="4"/>
        <v/>
      </c>
      <c r="L561" s="51" t="str">
        <f t="shared" si="5"/>
        <v/>
      </c>
      <c r="M561" s="51">
        <f t="shared" si="6"/>
        <v>1456</v>
      </c>
      <c r="N561" s="53" t="str">
        <f>IFERROR(__xludf.DUMMYFUNCTION("IFERROR(GOOGLEFINANCE(A561,""TRADETIME""),)"),"")</f>
        <v/>
      </c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</row>
    <row r="562" ht="15.75" customHeight="1">
      <c r="A562" s="48" t="s">
        <v>608</v>
      </c>
      <c r="B562" s="48" t="str">
        <f>IFERROR(__xludf.DUMMYFUNCTION("IFERROR(GOOGLEFINANCE(A562,""NAME""),)"),"HDFC Asset Management Company Ltd")</f>
        <v>HDFC Asset Management Company Ltd</v>
      </c>
      <c r="C562" s="48">
        <f>IFERROR(__xludf.DUMMYFUNCTION("IFERROR(GOOGLEFINANCE(A562,""CHANGE""),)"),-48.8)</f>
        <v>-48.8</v>
      </c>
      <c r="D562" s="48">
        <f>IFERROR(__xludf.DUMMYFUNCTION("IFERROR(GOOGLEFINANCE(A562,""CHANGEPCT""),)"),-1.94)</f>
        <v>-1.94</v>
      </c>
      <c r="E562" s="48" t="str">
        <f t="shared" si="1"/>
        <v>-1.94%</v>
      </c>
      <c r="F562" s="48" t="str">
        <f t="shared" si="2"/>
        <v/>
      </c>
      <c r="G562" s="48">
        <f t="shared" si="3"/>
        <v>-1.94</v>
      </c>
      <c r="H562" s="48">
        <f>IFERROR(__xludf.DUMMYFUNCTION("IFERROR(GOOGLEFINANCE(A562,""PRICE""),)"),2462.0)</f>
        <v>2462</v>
      </c>
      <c r="I562" s="49">
        <f>IFERROR(__xludf.DUMMYFUNCTION("IFERROR(GOOGLEFINANCE(A562,""VOLUME""),)"),844970.0)</f>
        <v>844970</v>
      </c>
      <c r="J562" s="48" t="str">
        <f>IFERROR(__xludf.DUMMYFUNCTION("IFERROR(INDEX(SPLIT(A562,"":""),1,2),)"),"HDFCAMC")</f>
        <v>HDFCAMC</v>
      </c>
      <c r="K562" s="48" t="str">
        <f t="shared" si="4"/>
        <v/>
      </c>
      <c r="L562" s="48">
        <f t="shared" si="5"/>
        <v>516</v>
      </c>
      <c r="M562" s="48">
        <f t="shared" si="6"/>
        <v>302</v>
      </c>
      <c r="N562" s="50">
        <f>IFERROR(__xludf.DUMMYFUNCTION("IFERROR(GOOGLEFINANCE(A562,""TRADETIME""),)"),46269.64583333333)</f>
        <v>46269.64583</v>
      </c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</row>
    <row r="563" ht="15.75" customHeight="1">
      <c r="A563" s="51" t="s">
        <v>609</v>
      </c>
      <c r="B563" s="51" t="str">
        <f>IFERROR(__xludf.DUMMYFUNCTION("IFERROR(GOOGLEFINANCE(A563,""NAME""),)"),"HDFC Bank Ltd")</f>
        <v>HDFC Bank Ltd</v>
      </c>
      <c r="C563" s="51">
        <f>IFERROR(__xludf.DUMMYFUNCTION("IFERROR(GOOGLEFINANCE(A563,""CHANGE""),)"),8.2)</f>
        <v>8.2</v>
      </c>
      <c r="D563" s="51">
        <f>IFERROR(__xludf.DUMMYFUNCTION("IFERROR(GOOGLEFINANCE(A563,""CHANGEPCT""),)"),1.16)</f>
        <v>1.16</v>
      </c>
      <c r="E563" s="51" t="str">
        <f t="shared" si="1"/>
        <v>1.16%</v>
      </c>
      <c r="F563" s="51">
        <f t="shared" si="2"/>
        <v>1.16</v>
      </c>
      <c r="G563" s="51" t="str">
        <f t="shared" si="3"/>
        <v/>
      </c>
      <c r="H563" s="51">
        <f>IFERROR(__xludf.DUMMYFUNCTION("IFERROR(GOOGLEFINANCE(A563,""PRICE""),)"),714.85)</f>
        <v>714.85</v>
      </c>
      <c r="I563" s="52">
        <f>IFERROR(__xludf.DUMMYFUNCTION("IFERROR(GOOGLEFINANCE(A563,""VOLUME""),)"),1.4488024E7)</f>
        <v>14488024</v>
      </c>
      <c r="J563" s="51" t="str">
        <f>IFERROR(__xludf.DUMMYFUNCTION("IFERROR(INDEX(SPLIT(A563,"":""),1,2),)"),"HDFCBANK")</f>
        <v>HDFCBANK</v>
      </c>
      <c r="K563" s="51">
        <f t="shared" si="4"/>
        <v>416</v>
      </c>
      <c r="L563" s="51" t="str">
        <f t="shared" si="5"/>
        <v/>
      </c>
      <c r="M563" s="51">
        <f t="shared" si="6"/>
        <v>28</v>
      </c>
      <c r="N563" s="53">
        <f>IFERROR(__xludf.DUMMYFUNCTION("IFERROR(GOOGLEFINANCE(A563,""TRADETIME""),)"),46269.64583333333)</f>
        <v>46269.64583</v>
      </c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</row>
    <row r="564" ht="15.75" customHeight="1">
      <c r="A564" s="48" t="s">
        <v>610</v>
      </c>
      <c r="B564" s="48" t="str">
        <f>IFERROR(__xludf.DUMMYFUNCTION("IFERROR(GOOGLEFINANCE(A564,""NAME""),)"),"HDFC Life Insurance Company Ltd")</f>
        <v>HDFC Life Insurance Company Ltd</v>
      </c>
      <c r="C564" s="48">
        <f>IFERROR(__xludf.DUMMYFUNCTION("IFERROR(GOOGLEFINANCE(A564,""CHANGE""),)"),10.5)</f>
        <v>10.5</v>
      </c>
      <c r="D564" s="48">
        <f>IFERROR(__xludf.DUMMYFUNCTION("IFERROR(GOOGLEFINANCE(A564,""CHANGEPCT""),)"),1.97)</f>
        <v>1.97</v>
      </c>
      <c r="E564" s="48" t="str">
        <f t="shared" si="1"/>
        <v>1.97%</v>
      </c>
      <c r="F564" s="48">
        <f t="shared" si="2"/>
        <v>1.97</v>
      </c>
      <c r="G564" s="48" t="str">
        <f t="shared" si="3"/>
        <v/>
      </c>
      <c r="H564" s="48">
        <f>IFERROR(__xludf.DUMMYFUNCTION("IFERROR(GOOGLEFINANCE(A564,""PRICE""),)"),544.0)</f>
        <v>544</v>
      </c>
      <c r="I564" s="49">
        <f>IFERROR(__xludf.DUMMYFUNCTION("IFERROR(GOOGLEFINANCE(A564,""VOLUME""),)"),6016219.0)</f>
        <v>6016219</v>
      </c>
      <c r="J564" s="48" t="str">
        <f>IFERROR(__xludf.DUMMYFUNCTION("IFERROR(INDEX(SPLIT(A564,"":""),1,2),)"),"HDFCLIFE")</f>
        <v>HDFCLIFE</v>
      </c>
      <c r="K564" s="48">
        <f t="shared" si="4"/>
        <v>266</v>
      </c>
      <c r="L564" s="48" t="str">
        <f t="shared" si="5"/>
        <v/>
      </c>
      <c r="M564" s="48">
        <f t="shared" si="6"/>
        <v>72</v>
      </c>
      <c r="N564" s="50">
        <f>IFERROR(__xludf.DUMMYFUNCTION("IFERROR(GOOGLEFINANCE(A564,""TRADETIME""),)"),46269.64583333333)</f>
        <v>46269.64583</v>
      </c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</row>
    <row r="565" ht="15.75" customHeight="1">
      <c r="A565" s="51" t="s">
        <v>611</v>
      </c>
      <c r="B565" s="51" t="str">
        <f>IFERROR(__xludf.DUMMYFUNCTION("IFERROR(GOOGLEFINANCE(A565,""NAME""),)"),"Housing Development &amp; Infrastructure")</f>
        <v>Housing Development &amp; Infrastructure</v>
      </c>
      <c r="C565" s="51">
        <f>IFERROR(__xludf.DUMMYFUNCTION("IFERROR(GOOGLEFINANCE(A565,""CHANGE""),)"),-0.02)</f>
        <v>-0.02</v>
      </c>
      <c r="D565" s="51">
        <f>IFERROR(__xludf.DUMMYFUNCTION("IFERROR(GOOGLEFINANCE(A565,""CHANGEPCT""),)"),-1.32)</f>
        <v>-1.32</v>
      </c>
      <c r="E565" s="51" t="str">
        <f t="shared" si="1"/>
        <v>-1.32%</v>
      </c>
      <c r="F565" s="51" t="str">
        <f t="shared" si="2"/>
        <v/>
      </c>
      <c r="G565" s="51">
        <f t="shared" si="3"/>
        <v>-1.32</v>
      </c>
      <c r="H565" s="51">
        <f>IFERROR(__xludf.DUMMYFUNCTION("IFERROR(GOOGLEFINANCE(A565,""PRICE""),)"),1.49)</f>
        <v>1.49</v>
      </c>
      <c r="I565" s="52">
        <f>IFERROR(__xludf.DUMMYFUNCTION("IFERROR(GOOGLEFINANCE(A565,""VOLUME""),)"),144902.0)</f>
        <v>144902</v>
      </c>
      <c r="J565" s="51" t="str">
        <f>IFERROR(__xludf.DUMMYFUNCTION("IFERROR(INDEX(SPLIT(A565,"":""),1,2),)"),"HDIL")</f>
        <v>HDIL</v>
      </c>
      <c r="K565" s="51" t="str">
        <f t="shared" si="4"/>
        <v/>
      </c>
      <c r="L565" s="51">
        <f t="shared" si="5"/>
        <v>409</v>
      </c>
      <c r="M565" s="51">
        <f t="shared" si="6"/>
        <v>693</v>
      </c>
      <c r="N565" s="53">
        <f>IFERROR(__xludf.DUMMYFUNCTION("IFERROR(GOOGLEFINANCE(A565,""TRADETIME""),)"),46269.64583333333)</f>
        <v>46269.64583</v>
      </c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</row>
    <row r="566" ht="15.75" customHeight="1">
      <c r="A566" s="48" t="s">
        <v>612</v>
      </c>
      <c r="B566" s="48" t="str">
        <f>IFERROR(__xludf.DUMMYFUNCTION("IFERROR(GOOGLEFINANCE(A566,""NAME""),)"),"HEG Ltd")</f>
        <v>HEG Ltd</v>
      </c>
      <c r="C566" s="48">
        <f>IFERROR(__xludf.DUMMYFUNCTION("IFERROR(GOOGLEFINANCE(A566,""CHANGE""),)"),18.05)</f>
        <v>18.05</v>
      </c>
      <c r="D566" s="48">
        <f>IFERROR(__xludf.DUMMYFUNCTION("IFERROR(GOOGLEFINANCE(A566,""CHANGEPCT""),)"),2.55)</f>
        <v>2.55</v>
      </c>
      <c r="E566" s="48" t="str">
        <f t="shared" si="1"/>
        <v>2.55%</v>
      </c>
      <c r="F566" s="48">
        <f t="shared" si="2"/>
        <v>2.55</v>
      </c>
      <c r="G566" s="48" t="str">
        <f t="shared" si="3"/>
        <v/>
      </c>
      <c r="H566" s="48">
        <f>IFERROR(__xludf.DUMMYFUNCTION("IFERROR(GOOGLEFINANCE(A566,""PRICE""),)"),725.5)</f>
        <v>725.5</v>
      </c>
      <c r="I566" s="49">
        <f>IFERROR(__xludf.DUMMYFUNCTION("IFERROR(GOOGLEFINANCE(A566,""VOLUME""),)"),2565950.0)</f>
        <v>2565950</v>
      </c>
      <c r="J566" s="48" t="str">
        <f>IFERROR(__xludf.DUMMYFUNCTION("IFERROR(INDEX(SPLIT(A566,"":""),1,2),)"),"HEG")</f>
        <v>HEG</v>
      </c>
      <c r="K566" s="48">
        <f t="shared" si="4"/>
        <v>197</v>
      </c>
      <c r="L566" s="48" t="str">
        <f t="shared" si="5"/>
        <v/>
      </c>
      <c r="M566" s="48">
        <f t="shared" si="6"/>
        <v>144</v>
      </c>
      <c r="N566" s="50">
        <f>IFERROR(__xludf.DUMMYFUNCTION("IFERROR(GOOGLEFINANCE(A566,""TRADETIME""),)"),46269.64586805555)</f>
        <v>46269.64587</v>
      </c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</row>
    <row r="567" ht="15.75" customHeight="1">
      <c r="A567" s="51" t="s">
        <v>613</v>
      </c>
      <c r="B567" s="51" t="str">
        <f>IFERROR(__xludf.DUMMYFUNCTION("IFERROR(GOOGLEFINANCE(A567,""NAME""),)"),"Heidelbergcement India Ltd")</f>
        <v>Heidelbergcement India Ltd</v>
      </c>
      <c r="C567" s="51">
        <f>IFERROR(__xludf.DUMMYFUNCTION("IFERROR(GOOGLEFINANCE(A567,""CHANGE""),)"),1.81)</f>
        <v>1.81</v>
      </c>
      <c r="D567" s="51">
        <f>IFERROR(__xludf.DUMMYFUNCTION("IFERROR(GOOGLEFINANCE(A567,""CHANGEPCT""),)"),1.14)</f>
        <v>1.14</v>
      </c>
      <c r="E567" s="51" t="str">
        <f t="shared" si="1"/>
        <v>1.14%</v>
      </c>
      <c r="F567" s="51">
        <f t="shared" si="2"/>
        <v>1.14</v>
      </c>
      <c r="G567" s="51" t="str">
        <f t="shared" si="3"/>
        <v/>
      </c>
      <c r="H567" s="51">
        <f>IFERROR(__xludf.DUMMYFUNCTION("IFERROR(GOOGLEFINANCE(A567,""PRICE""),)"),160.0)</f>
        <v>160</v>
      </c>
      <c r="I567" s="52">
        <f>IFERROR(__xludf.DUMMYFUNCTION("IFERROR(GOOGLEFINANCE(A567,""VOLUME""),)"),218319.0)</f>
        <v>218319</v>
      </c>
      <c r="J567" s="51" t="str">
        <f>IFERROR(__xludf.DUMMYFUNCTION("IFERROR(INDEX(SPLIT(A567,"":""),1,2),)"),"HEIDELBERG")</f>
        <v>HEIDELBERG</v>
      </c>
      <c r="K567" s="51">
        <f t="shared" si="4"/>
        <v>426</v>
      </c>
      <c r="L567" s="51" t="str">
        <f t="shared" si="5"/>
        <v/>
      </c>
      <c r="M567" s="51">
        <f t="shared" si="6"/>
        <v>601</v>
      </c>
      <c r="N567" s="53">
        <f>IFERROR(__xludf.DUMMYFUNCTION("IFERROR(GOOGLEFINANCE(A567,""TRADETIME""),)"),46269.64583333333)</f>
        <v>46269.64583</v>
      </c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</row>
    <row r="568" ht="15.75" customHeight="1">
      <c r="A568" s="48" t="s">
        <v>614</v>
      </c>
      <c r="B568" s="48" t="str">
        <f>IFERROR(__xludf.DUMMYFUNCTION("IFERROR(GOOGLEFINANCE(A568,""NAME""),)"),"Hemisphere Properties India Ltd")</f>
        <v>Hemisphere Properties India Ltd</v>
      </c>
      <c r="C568" s="48">
        <f>IFERROR(__xludf.DUMMYFUNCTION("IFERROR(GOOGLEFINANCE(A568,""CHANGE""),)"),0.37)</f>
        <v>0.37</v>
      </c>
      <c r="D568" s="48">
        <f>IFERROR(__xludf.DUMMYFUNCTION("IFERROR(GOOGLEFINANCE(A568,""CHANGEPCT""),)"),0.29)</f>
        <v>0.29</v>
      </c>
      <c r="E568" s="48" t="str">
        <f t="shared" si="1"/>
        <v>0.29%</v>
      </c>
      <c r="F568" s="48">
        <f t="shared" si="2"/>
        <v>0.29</v>
      </c>
      <c r="G568" s="48" t="str">
        <f t="shared" si="3"/>
        <v/>
      </c>
      <c r="H568" s="48">
        <f>IFERROR(__xludf.DUMMYFUNCTION("IFERROR(GOOGLEFINANCE(A568,""PRICE""),)"),126.3)</f>
        <v>126.3</v>
      </c>
      <c r="I568" s="49">
        <f>IFERROR(__xludf.DUMMYFUNCTION("IFERROR(GOOGLEFINANCE(A568,""VOLUME""),)"),269289.0)</f>
        <v>269289</v>
      </c>
      <c r="J568" s="48" t="str">
        <f>IFERROR(__xludf.DUMMYFUNCTION("IFERROR(INDEX(SPLIT(A568,"":""),1,2),)"),"HEMIPROP")</f>
        <v>HEMIPROP</v>
      </c>
      <c r="K568" s="48">
        <f t="shared" si="4"/>
        <v>664</v>
      </c>
      <c r="L568" s="48" t="str">
        <f t="shared" si="5"/>
        <v/>
      </c>
      <c r="M568" s="48">
        <f t="shared" si="6"/>
        <v>550</v>
      </c>
      <c r="N568" s="50">
        <f>IFERROR(__xludf.DUMMYFUNCTION("IFERROR(GOOGLEFINANCE(A568,""TRADETIME""),)"),46269.64583333333)</f>
        <v>46269.64583</v>
      </c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</row>
    <row r="569" ht="15.75" customHeight="1">
      <c r="A569" s="51" t="s">
        <v>615</v>
      </c>
      <c r="B569" s="51" t="str">
        <f>IFERROR(__xludf.DUMMYFUNCTION("IFERROR(GOOGLEFINANCE(A569,""NAME""),)"),"")</f>
        <v/>
      </c>
      <c r="C569" s="51" t="str">
        <f>IFERROR(__xludf.DUMMYFUNCTION("IFERROR(GOOGLEFINANCE(A569,""CHANGE""),)"),"")</f>
        <v/>
      </c>
      <c r="D569" s="51" t="str">
        <f>IFERROR(__xludf.DUMMYFUNCTION("IFERROR(GOOGLEFINANCE(A569,""CHANGEPCT""),)"),"")</f>
        <v/>
      </c>
      <c r="E569" s="51" t="str">
        <f t="shared" si="1"/>
        <v>%</v>
      </c>
      <c r="F569" s="51" t="str">
        <f t="shared" si="2"/>
        <v/>
      </c>
      <c r="G569" s="51" t="str">
        <f t="shared" si="3"/>
        <v/>
      </c>
      <c r="H569" s="51" t="str">
        <f>IFERROR(__xludf.DUMMYFUNCTION("IFERROR(GOOGLEFINANCE(A569,""PRICE""),)"),"")</f>
        <v/>
      </c>
      <c r="I569" s="52" t="str">
        <f>IFERROR(__xludf.DUMMYFUNCTION("IFERROR(GOOGLEFINANCE(A569,""VOLUME""),)"),"")</f>
        <v/>
      </c>
      <c r="J569" s="51" t="str">
        <f>IFERROR(__xludf.DUMMYFUNCTION("IFERROR(INDEX(SPLIT(A569,"":""),1,2),)"),"HERCULES")</f>
        <v>HERCULES</v>
      </c>
      <c r="K569" s="51" t="str">
        <f t="shared" si="4"/>
        <v/>
      </c>
      <c r="L569" s="51" t="str">
        <f t="shared" si="5"/>
        <v/>
      </c>
      <c r="M569" s="51">
        <f t="shared" si="6"/>
        <v>1456</v>
      </c>
      <c r="N569" s="53" t="str">
        <f>IFERROR(__xludf.DUMMYFUNCTION("IFERROR(GOOGLEFINANCE(A569,""TRADETIME""),)"),"")</f>
        <v/>
      </c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</row>
    <row r="570" ht="15.75" customHeight="1">
      <c r="A570" s="48" t="s">
        <v>616</v>
      </c>
      <c r="B570" s="48" t="str">
        <f>IFERROR(__xludf.DUMMYFUNCTION("IFERROR(GOOGLEFINANCE(A570,""NAME""),)"),"Heritage Foods Ltd")</f>
        <v>Heritage Foods Ltd</v>
      </c>
      <c r="C570" s="48">
        <f>IFERROR(__xludf.DUMMYFUNCTION("IFERROR(GOOGLEFINANCE(A570,""CHANGE""),)"),9.45)</f>
        <v>9.45</v>
      </c>
      <c r="D570" s="48">
        <f>IFERROR(__xludf.DUMMYFUNCTION("IFERROR(GOOGLEFINANCE(A570,""CHANGEPCT""),)"),2.54)</f>
        <v>2.54</v>
      </c>
      <c r="E570" s="48" t="str">
        <f t="shared" si="1"/>
        <v>2.54%</v>
      </c>
      <c r="F570" s="48">
        <f t="shared" si="2"/>
        <v>2.54</v>
      </c>
      <c r="G570" s="48" t="str">
        <f t="shared" si="3"/>
        <v/>
      </c>
      <c r="H570" s="48">
        <f>IFERROR(__xludf.DUMMYFUNCTION("IFERROR(GOOGLEFINANCE(A570,""PRICE""),)"),381.0)</f>
        <v>381</v>
      </c>
      <c r="I570" s="49">
        <f>IFERROR(__xludf.DUMMYFUNCTION("IFERROR(GOOGLEFINANCE(A570,""VOLUME""),)"),1034903.0)</f>
        <v>1034903</v>
      </c>
      <c r="J570" s="48" t="str">
        <f>IFERROR(__xludf.DUMMYFUNCTION("IFERROR(INDEX(SPLIT(A570,"":""),1,2),)"),"HERITGFOOD")</f>
        <v>HERITGFOOD</v>
      </c>
      <c r="K570" s="48">
        <f t="shared" si="4"/>
        <v>198</v>
      </c>
      <c r="L570" s="48" t="str">
        <f t="shared" si="5"/>
        <v/>
      </c>
      <c r="M570" s="48">
        <f t="shared" si="6"/>
        <v>269</v>
      </c>
      <c r="N570" s="50">
        <f>IFERROR(__xludf.DUMMYFUNCTION("IFERROR(GOOGLEFINANCE(A570,""TRADETIME""),)"),46269.64583333333)</f>
        <v>46269.64583</v>
      </c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</row>
    <row r="571" ht="15.75" customHeight="1">
      <c r="A571" s="51" t="s">
        <v>617</v>
      </c>
      <c r="B571" s="51" t="str">
        <f>IFERROR(__xludf.DUMMYFUNCTION("IFERROR(GOOGLEFINANCE(A571,""NAME""),)"),"Hero Motocorp Ltd")</f>
        <v>Hero Motocorp Ltd</v>
      </c>
      <c r="C571" s="51">
        <f>IFERROR(__xludf.DUMMYFUNCTION("IFERROR(GOOGLEFINANCE(A571,""CHANGE""),)"),-4.0)</f>
        <v>-4</v>
      </c>
      <c r="D571" s="51">
        <f>IFERROR(__xludf.DUMMYFUNCTION("IFERROR(GOOGLEFINANCE(A571,""CHANGEPCT""),)"),-0.08)</f>
        <v>-0.08</v>
      </c>
      <c r="E571" s="51" t="str">
        <f t="shared" si="1"/>
        <v>-0.08%</v>
      </c>
      <c r="F571" s="51" t="str">
        <f t="shared" si="2"/>
        <v/>
      </c>
      <c r="G571" s="51">
        <f t="shared" si="3"/>
        <v>-0.08</v>
      </c>
      <c r="H571" s="51">
        <f>IFERROR(__xludf.DUMMYFUNCTION("IFERROR(GOOGLEFINANCE(A571,""PRICE""),)"),5304.5)</f>
        <v>5304.5</v>
      </c>
      <c r="I571" s="52">
        <f>IFERROR(__xludf.DUMMYFUNCTION("IFERROR(GOOGLEFINANCE(A571,""VOLUME""),)"),607423.0)</f>
        <v>607423</v>
      </c>
      <c r="J571" s="51" t="str">
        <f>IFERROR(__xludf.DUMMYFUNCTION("IFERROR(INDEX(SPLIT(A571,"":""),1,2),)"),"HEROMOTOCO")</f>
        <v>HEROMOTOCO</v>
      </c>
      <c r="K571" s="51" t="str">
        <f t="shared" si="4"/>
        <v/>
      </c>
      <c r="L571" s="51">
        <f t="shared" si="5"/>
        <v>23</v>
      </c>
      <c r="M571" s="51">
        <f t="shared" si="6"/>
        <v>355</v>
      </c>
      <c r="N571" s="53">
        <f>IFERROR(__xludf.DUMMYFUNCTION("IFERROR(GOOGLEFINANCE(A571,""TRADETIME""),)"),46269.64583333333)</f>
        <v>46269.64583</v>
      </c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</row>
    <row r="572" ht="15.75" customHeight="1">
      <c r="A572" s="48" t="s">
        <v>618</v>
      </c>
      <c r="B572" s="48" t="str">
        <f>IFERROR(__xludf.DUMMYFUNCTION("IFERROR(GOOGLEFINANCE(A572,""NAME""),)"),"Hester Biosciences Ltd")</f>
        <v>Hester Biosciences Ltd</v>
      </c>
      <c r="C572" s="48">
        <f>IFERROR(__xludf.DUMMYFUNCTION("IFERROR(GOOGLEFINANCE(A572,""CHANGE""),)"),189.3)</f>
        <v>189.3</v>
      </c>
      <c r="D572" s="48">
        <f>IFERROR(__xludf.DUMMYFUNCTION("IFERROR(GOOGLEFINANCE(A572,""CHANGEPCT""),)"),8.6)</f>
        <v>8.6</v>
      </c>
      <c r="E572" s="48" t="str">
        <f t="shared" si="1"/>
        <v>8.6%</v>
      </c>
      <c r="F572" s="48">
        <f t="shared" si="2"/>
        <v>8.6</v>
      </c>
      <c r="G572" s="48" t="str">
        <f t="shared" si="3"/>
        <v/>
      </c>
      <c r="H572" s="48">
        <f>IFERROR(__xludf.DUMMYFUNCTION("IFERROR(GOOGLEFINANCE(A572,""PRICE""),)"),2391.0)</f>
        <v>2391</v>
      </c>
      <c r="I572" s="49">
        <f>IFERROR(__xludf.DUMMYFUNCTION("IFERROR(GOOGLEFINANCE(A572,""VOLUME""),)"),93542.0)</f>
        <v>93542</v>
      </c>
      <c r="J572" s="48" t="str">
        <f>IFERROR(__xludf.DUMMYFUNCTION("IFERROR(INDEX(SPLIT(A572,"":""),1,2),)"),"HESTERBIO")</f>
        <v>HESTERBIO</v>
      </c>
      <c r="K572" s="48">
        <f t="shared" si="4"/>
        <v>12</v>
      </c>
      <c r="L572" s="48" t="str">
        <f t="shared" si="5"/>
        <v/>
      </c>
      <c r="M572" s="48">
        <f t="shared" si="6"/>
        <v>790</v>
      </c>
      <c r="N572" s="50">
        <f>IFERROR(__xludf.DUMMYFUNCTION("IFERROR(GOOGLEFINANCE(A572,""TRADETIME""),)"),46269.64583333333)</f>
        <v>46269.64583</v>
      </c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</row>
    <row r="573" ht="15.75" customHeight="1">
      <c r="A573" s="51" t="s">
        <v>619</v>
      </c>
      <c r="B573" s="51" t="str">
        <f>IFERROR(__xludf.DUMMYFUNCTION("IFERROR(GOOGLEFINANCE(A573,""NAME""),)"),"Hexa Tradex Ltd")</f>
        <v>Hexa Tradex Ltd</v>
      </c>
      <c r="C573" s="51">
        <f>IFERROR(__xludf.DUMMYFUNCTION("IFERROR(GOOGLEFINANCE(A573,""CHANGE""),)"),0.0)</f>
        <v>0</v>
      </c>
      <c r="D573" s="51">
        <f>IFERROR(__xludf.DUMMYFUNCTION("IFERROR(GOOGLEFINANCE(A573,""CHANGEPCT""),)"),0.0)</f>
        <v>0</v>
      </c>
      <c r="E573" s="51" t="str">
        <f t="shared" si="1"/>
        <v>0%</v>
      </c>
      <c r="F573" s="51" t="str">
        <f t="shared" si="2"/>
        <v/>
      </c>
      <c r="G573" s="51" t="str">
        <f t="shared" si="3"/>
        <v/>
      </c>
      <c r="H573" s="51">
        <f>IFERROR(__xludf.DUMMYFUNCTION("IFERROR(GOOGLEFINANCE(A573,""PRICE""),)"),158.0)</f>
        <v>158</v>
      </c>
      <c r="I573" s="52">
        <f>IFERROR(__xludf.DUMMYFUNCTION("IFERROR(GOOGLEFINANCE(A573,""VOLUME""),)"),1741.0)</f>
        <v>1741</v>
      </c>
      <c r="J573" s="51" t="str">
        <f>IFERROR(__xludf.DUMMYFUNCTION("IFERROR(INDEX(SPLIT(A573,"":""),1,2),)"),"HEXATRADEX")</f>
        <v>HEXATRADEX</v>
      </c>
      <c r="K573" s="51" t="str">
        <f t="shared" si="4"/>
        <v/>
      </c>
      <c r="L573" s="51" t="str">
        <f t="shared" si="5"/>
        <v/>
      </c>
      <c r="M573" s="51">
        <f t="shared" si="6"/>
        <v>1401</v>
      </c>
      <c r="N573" s="53">
        <f>IFERROR(__xludf.DUMMYFUNCTION("IFERROR(GOOGLEFINANCE(A573,""TRADETIME""),)"),46269.64583333333)</f>
        <v>46269.64583</v>
      </c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</row>
    <row r="574" ht="15.75" customHeight="1">
      <c r="A574" s="48" t="s">
        <v>620</v>
      </c>
      <c r="B574" s="48" t="str">
        <f>IFERROR(__xludf.DUMMYFUNCTION("IFERROR(GOOGLEFINANCE(A574,""NAME""),)"),"HFCL Ltd")</f>
        <v>HFCL Ltd</v>
      </c>
      <c r="C574" s="48">
        <f>IFERROR(__xludf.DUMMYFUNCTION("IFERROR(GOOGLEFINANCE(A574,""CHANGE""),)"),11.02)</f>
        <v>11.02</v>
      </c>
      <c r="D574" s="48">
        <f>IFERROR(__xludf.DUMMYFUNCTION("IFERROR(GOOGLEFINANCE(A574,""CHANGEPCT""),)"),5.0)</f>
        <v>5</v>
      </c>
      <c r="E574" s="48" t="str">
        <f t="shared" si="1"/>
        <v>5%</v>
      </c>
      <c r="F574" s="48">
        <f t="shared" si="2"/>
        <v>5</v>
      </c>
      <c r="G574" s="48" t="str">
        <f t="shared" si="3"/>
        <v/>
      </c>
      <c r="H574" s="48">
        <f>IFERROR(__xludf.DUMMYFUNCTION("IFERROR(GOOGLEFINANCE(A574,""PRICE""),)"),231.44)</f>
        <v>231.44</v>
      </c>
      <c r="I574" s="49">
        <f>IFERROR(__xludf.DUMMYFUNCTION("IFERROR(GOOGLEFINANCE(A574,""VOLUME""),)"),4395650.0)</f>
        <v>4395650</v>
      </c>
      <c r="J574" s="48" t="str">
        <f>IFERROR(__xludf.DUMMYFUNCTION("IFERROR(INDEX(SPLIT(A574,"":""),1,2),)"),"HFCL")</f>
        <v>HFCL</v>
      </c>
      <c r="K574" s="48">
        <f t="shared" si="4"/>
        <v>57</v>
      </c>
      <c r="L574" s="48" t="str">
        <f t="shared" si="5"/>
        <v/>
      </c>
      <c r="M574" s="48">
        <f t="shared" si="6"/>
        <v>94</v>
      </c>
      <c r="N574" s="50">
        <f>IFERROR(__xludf.DUMMYFUNCTION("IFERROR(GOOGLEFINANCE(A574,""TRADETIME""),)"),46269.64583333333)</f>
        <v>46269.64583</v>
      </c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</row>
    <row r="575" ht="15.75" customHeight="1">
      <c r="A575" s="51" t="s">
        <v>621</v>
      </c>
      <c r="B575" s="51" t="str">
        <f>IFERROR(__xludf.DUMMYFUNCTION("IFERROR(GOOGLEFINANCE(A575,""NAME""),)"),"HG Infra Engineering Ltd")</f>
        <v>HG Infra Engineering Ltd</v>
      </c>
      <c r="C575" s="51">
        <f>IFERROR(__xludf.DUMMYFUNCTION("IFERROR(GOOGLEFINANCE(A575,""CHANGE""),)"),0.1)</f>
        <v>0.1</v>
      </c>
      <c r="D575" s="51">
        <f>IFERROR(__xludf.DUMMYFUNCTION("IFERROR(GOOGLEFINANCE(A575,""CHANGEPCT""),)"),0.02)</f>
        <v>0.02</v>
      </c>
      <c r="E575" s="51" t="str">
        <f t="shared" si="1"/>
        <v>0.02%</v>
      </c>
      <c r="F575" s="51">
        <f t="shared" si="2"/>
        <v>0.02</v>
      </c>
      <c r="G575" s="51" t="str">
        <f t="shared" si="3"/>
        <v/>
      </c>
      <c r="H575" s="51">
        <f>IFERROR(__xludf.DUMMYFUNCTION("IFERROR(GOOGLEFINANCE(A575,""PRICE""),)"),480.0)</f>
        <v>480</v>
      </c>
      <c r="I575" s="52">
        <f>IFERROR(__xludf.DUMMYFUNCTION("IFERROR(GOOGLEFINANCE(A575,""VOLUME""),)"),49859.0)</f>
        <v>49859</v>
      </c>
      <c r="J575" s="51" t="str">
        <f>IFERROR(__xludf.DUMMYFUNCTION("IFERROR(INDEX(SPLIT(A575,"":""),1,2),)"),"HGINFRA")</f>
        <v>HGINFRA</v>
      </c>
      <c r="K575" s="51">
        <f t="shared" si="4"/>
        <v>772</v>
      </c>
      <c r="L575" s="51" t="str">
        <f t="shared" si="5"/>
        <v/>
      </c>
      <c r="M575" s="51">
        <f t="shared" si="6"/>
        <v>948</v>
      </c>
      <c r="N575" s="53">
        <f>IFERROR(__xludf.DUMMYFUNCTION("IFERROR(GOOGLEFINANCE(A575,""TRADETIME""),)"),46269.64583333333)</f>
        <v>46269.64583</v>
      </c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</row>
    <row r="576" ht="15.75" customHeight="1">
      <c r="A576" s="48" t="s">
        <v>622</v>
      </c>
      <c r="B576" s="48" t="str">
        <f>IFERROR(__xludf.DUMMYFUNCTION("IFERROR(GOOGLEFINANCE(A576,""NAME""),)"),"Hinduja Global Solutions Ltd")</f>
        <v>Hinduja Global Solutions Ltd</v>
      </c>
      <c r="C576" s="48">
        <f>IFERROR(__xludf.DUMMYFUNCTION("IFERROR(GOOGLEFINANCE(A576,""CHANGE""),)"),8.0)</f>
        <v>8</v>
      </c>
      <c r="D576" s="48">
        <f>IFERROR(__xludf.DUMMYFUNCTION("IFERROR(GOOGLEFINANCE(A576,""CHANGEPCT""),)"),2.04)</f>
        <v>2.04</v>
      </c>
      <c r="E576" s="48" t="str">
        <f t="shared" si="1"/>
        <v>2.04%</v>
      </c>
      <c r="F576" s="48">
        <f t="shared" si="2"/>
        <v>2.04</v>
      </c>
      <c r="G576" s="48" t="str">
        <f t="shared" si="3"/>
        <v/>
      </c>
      <c r="H576" s="48">
        <f>IFERROR(__xludf.DUMMYFUNCTION("IFERROR(GOOGLEFINANCE(A576,""PRICE""),)"),401.0)</f>
        <v>401</v>
      </c>
      <c r="I576" s="49">
        <f>IFERROR(__xludf.DUMMYFUNCTION("IFERROR(GOOGLEFINANCE(A576,""VOLUME""),)"),9933.0)</f>
        <v>9933</v>
      </c>
      <c r="J576" s="48" t="str">
        <f>IFERROR(__xludf.DUMMYFUNCTION("IFERROR(INDEX(SPLIT(A576,"":""),1,2),)"),"HGS")</f>
        <v>HGS</v>
      </c>
      <c r="K576" s="48">
        <f t="shared" si="4"/>
        <v>249</v>
      </c>
      <c r="L576" s="48" t="str">
        <f t="shared" si="5"/>
        <v/>
      </c>
      <c r="M576" s="48">
        <f t="shared" si="6"/>
        <v>1236</v>
      </c>
      <c r="N576" s="50">
        <f>IFERROR(__xludf.DUMMYFUNCTION("IFERROR(GOOGLEFINANCE(A576,""TRADETIME""),)"),46269.64583333333)</f>
        <v>46269.64583</v>
      </c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</row>
    <row r="577" ht="15.75" customHeight="1">
      <c r="A577" s="51" t="s">
        <v>623</v>
      </c>
      <c r="B577" s="51" t="str">
        <f>IFERROR(__xludf.DUMMYFUNCTION("IFERROR(GOOGLEFINANCE(A577,""NAME""),)"),"Hikal Ltd")</f>
        <v>Hikal Ltd</v>
      </c>
      <c r="C577" s="51">
        <f>IFERROR(__xludf.DUMMYFUNCTION("IFERROR(GOOGLEFINANCE(A577,""CHANGE""),)"),-17.46)</f>
        <v>-17.46</v>
      </c>
      <c r="D577" s="51">
        <f>IFERROR(__xludf.DUMMYFUNCTION("IFERROR(GOOGLEFINANCE(A577,""CHANGEPCT""),)"),-7.26)</f>
        <v>-7.26</v>
      </c>
      <c r="E577" s="51" t="str">
        <f t="shared" si="1"/>
        <v>-7.26%</v>
      </c>
      <c r="F577" s="51" t="str">
        <f t="shared" si="2"/>
        <v/>
      </c>
      <c r="G577" s="51">
        <f t="shared" si="3"/>
        <v>-7.26</v>
      </c>
      <c r="H577" s="51">
        <f>IFERROR(__xludf.DUMMYFUNCTION("IFERROR(GOOGLEFINANCE(A577,""PRICE""),)"),222.9)</f>
        <v>222.9</v>
      </c>
      <c r="I577" s="52">
        <f>IFERROR(__xludf.DUMMYFUNCTION("IFERROR(GOOGLEFINANCE(A577,""VOLUME""),)"),5359400.0)</f>
        <v>5359400</v>
      </c>
      <c r="J577" s="51" t="str">
        <f>IFERROR(__xludf.DUMMYFUNCTION("IFERROR(INDEX(SPLIT(A577,"":""),1,2),)"),"HIKAL")</f>
        <v>HIKAL</v>
      </c>
      <c r="K577" s="51" t="str">
        <f t="shared" si="4"/>
        <v/>
      </c>
      <c r="L577" s="51">
        <f t="shared" si="5"/>
        <v>650</v>
      </c>
      <c r="M577" s="51">
        <f t="shared" si="6"/>
        <v>81</v>
      </c>
      <c r="N577" s="53">
        <f>IFERROR(__xludf.DUMMYFUNCTION("IFERROR(GOOGLEFINANCE(A577,""TRADETIME""),)"),46269.64583333333)</f>
        <v>46269.64583</v>
      </c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</row>
    <row r="578" ht="15.75" customHeight="1">
      <c r="A578" s="48" t="s">
        <v>624</v>
      </c>
      <c r="B578" s="48" t="str">
        <f>IFERROR(__xludf.DUMMYFUNCTION("IFERROR(GOOGLEFINANCE(A578,""NAME""),)"),"")</f>
        <v/>
      </c>
      <c r="C578" s="48" t="str">
        <f>IFERROR(__xludf.DUMMYFUNCTION("IFERROR(GOOGLEFINANCE(A578,""CHANGE""),)"),"")</f>
        <v/>
      </c>
      <c r="D578" s="48" t="str">
        <f>IFERROR(__xludf.DUMMYFUNCTION("IFERROR(GOOGLEFINANCE(A578,""CHANGEPCT""),)"),"")</f>
        <v/>
      </c>
      <c r="E578" s="48" t="str">
        <f t="shared" si="1"/>
        <v>%</v>
      </c>
      <c r="F578" s="48" t="str">
        <f t="shared" si="2"/>
        <v/>
      </c>
      <c r="G578" s="48" t="str">
        <f t="shared" si="3"/>
        <v/>
      </c>
      <c r="H578" s="48" t="str">
        <f>IFERROR(__xludf.DUMMYFUNCTION("IFERROR(GOOGLEFINANCE(A578,""PRICE""),)"),"")</f>
        <v/>
      </c>
      <c r="I578" s="49" t="str">
        <f>IFERROR(__xludf.DUMMYFUNCTION("IFERROR(GOOGLEFINANCE(A578,""VOLUME""),)"),"")</f>
        <v/>
      </c>
      <c r="J578" s="48" t="str">
        <f>IFERROR(__xludf.DUMMYFUNCTION("IFERROR(INDEX(SPLIT(A578,"":""),1,2),)"),"HIL")</f>
        <v>HIL</v>
      </c>
      <c r="K578" s="48" t="str">
        <f t="shared" si="4"/>
        <v/>
      </c>
      <c r="L578" s="48" t="str">
        <f t="shared" si="5"/>
        <v/>
      </c>
      <c r="M578" s="48">
        <f t="shared" si="6"/>
        <v>1456</v>
      </c>
      <c r="N578" s="50" t="str">
        <f>IFERROR(__xludf.DUMMYFUNCTION("IFERROR(GOOGLEFINANCE(A578,""TRADETIME""),)"),"")</f>
        <v/>
      </c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</row>
    <row r="579" ht="15.75" customHeight="1">
      <c r="A579" s="51" t="s">
        <v>625</v>
      </c>
      <c r="B579" s="51" t="str">
        <f>IFERROR(__xludf.DUMMYFUNCTION("IFERROR(GOOGLEFINANCE(A579,""NAME""),)"),"Hilton Metal Forging Ltd")</f>
        <v>Hilton Metal Forging Ltd</v>
      </c>
      <c r="C579" s="51">
        <f>IFERROR(__xludf.DUMMYFUNCTION("IFERROR(GOOGLEFINANCE(A579,""CHANGE""),)"),-0.02)</f>
        <v>-0.02</v>
      </c>
      <c r="D579" s="51">
        <f>IFERROR(__xludf.DUMMYFUNCTION("IFERROR(GOOGLEFINANCE(A579,""CHANGEPCT""),)"),-0.11)</f>
        <v>-0.11</v>
      </c>
      <c r="E579" s="51" t="str">
        <f t="shared" si="1"/>
        <v>-0.11%</v>
      </c>
      <c r="F579" s="51" t="str">
        <f t="shared" si="2"/>
        <v/>
      </c>
      <c r="G579" s="51">
        <f t="shared" si="3"/>
        <v>-0.11</v>
      </c>
      <c r="H579" s="51">
        <f>IFERROR(__xludf.DUMMYFUNCTION("IFERROR(GOOGLEFINANCE(A579,""PRICE""),)"),18.69)</f>
        <v>18.69</v>
      </c>
      <c r="I579" s="52">
        <f>IFERROR(__xludf.DUMMYFUNCTION("IFERROR(GOOGLEFINANCE(A579,""VOLUME""),)"),83646.0)</f>
        <v>83646</v>
      </c>
      <c r="J579" s="51" t="str">
        <f>IFERROR(__xludf.DUMMYFUNCTION("IFERROR(INDEX(SPLIT(A579,"":""),1,2),)"),"HILTON")</f>
        <v>HILTON</v>
      </c>
      <c r="K579" s="51" t="str">
        <f t="shared" si="4"/>
        <v/>
      </c>
      <c r="L579" s="51">
        <f t="shared" si="5"/>
        <v>38</v>
      </c>
      <c r="M579" s="51">
        <f t="shared" si="6"/>
        <v>814</v>
      </c>
      <c r="N579" s="53">
        <f>IFERROR(__xludf.DUMMYFUNCTION("IFERROR(GOOGLEFINANCE(A579,""TRADETIME""),)"),46269.64583333333)</f>
        <v>46269.64583</v>
      </c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</row>
    <row r="580" ht="15.75" customHeight="1">
      <c r="A580" s="48" t="s">
        <v>626</v>
      </c>
      <c r="B580" s="48" t="str">
        <f>IFERROR(__xludf.DUMMYFUNCTION("IFERROR(GOOGLEFINANCE(A580,""NAME""),)"),"Himatsingka Seide Ltd")</f>
        <v>Himatsingka Seide Ltd</v>
      </c>
      <c r="C580" s="48">
        <f>IFERROR(__xludf.DUMMYFUNCTION("IFERROR(GOOGLEFINANCE(A580,""CHANGE""),)"),1.39)</f>
        <v>1.39</v>
      </c>
      <c r="D580" s="48">
        <f>IFERROR(__xludf.DUMMYFUNCTION("IFERROR(GOOGLEFINANCE(A580,""CHANGEPCT""),)"),1.98)</f>
        <v>1.98</v>
      </c>
      <c r="E580" s="48" t="str">
        <f t="shared" si="1"/>
        <v>1.98%</v>
      </c>
      <c r="F580" s="48">
        <f t="shared" si="2"/>
        <v>1.98</v>
      </c>
      <c r="G580" s="48" t="str">
        <f t="shared" si="3"/>
        <v/>
      </c>
      <c r="H580" s="48">
        <f>IFERROR(__xludf.DUMMYFUNCTION("IFERROR(GOOGLEFINANCE(A580,""PRICE""),)"),71.71)</f>
        <v>71.71</v>
      </c>
      <c r="I580" s="49">
        <f>IFERROR(__xludf.DUMMYFUNCTION("IFERROR(GOOGLEFINANCE(A580,""VOLUME""),)"),358084.0)</f>
        <v>358084</v>
      </c>
      <c r="J580" s="48" t="str">
        <f>IFERROR(__xludf.DUMMYFUNCTION("IFERROR(INDEX(SPLIT(A580,"":""),1,2),)"),"HIMATSEIDE")</f>
        <v>HIMATSEIDE</v>
      </c>
      <c r="K580" s="48">
        <f t="shared" si="4"/>
        <v>264</v>
      </c>
      <c r="L580" s="48" t="str">
        <f t="shared" si="5"/>
        <v/>
      </c>
      <c r="M580" s="48">
        <f t="shared" si="6"/>
        <v>465</v>
      </c>
      <c r="N580" s="50">
        <f>IFERROR(__xludf.DUMMYFUNCTION("IFERROR(GOOGLEFINANCE(A580,""TRADETIME""),)"),46269.64586805555)</f>
        <v>46269.64587</v>
      </c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</row>
    <row r="581" ht="15.75" customHeight="1">
      <c r="A581" s="51" t="s">
        <v>627</v>
      </c>
      <c r="B581" s="51" t="str">
        <f>IFERROR(__xludf.DUMMYFUNCTION("IFERROR(GOOGLEFINANCE(A581,""NAME""),)"),"Hindalco Industries Ltd")</f>
        <v>Hindalco Industries Ltd</v>
      </c>
      <c r="C581" s="51">
        <f>IFERROR(__xludf.DUMMYFUNCTION("IFERROR(GOOGLEFINANCE(A581,""CHANGE""),)"),6.9)</f>
        <v>6.9</v>
      </c>
      <c r="D581" s="51">
        <f>IFERROR(__xludf.DUMMYFUNCTION("IFERROR(GOOGLEFINANCE(A581,""CHANGEPCT""),)"),0.68)</f>
        <v>0.68</v>
      </c>
      <c r="E581" s="51" t="str">
        <f t="shared" si="1"/>
        <v>0.68%</v>
      </c>
      <c r="F581" s="51">
        <f t="shared" si="2"/>
        <v>0.68</v>
      </c>
      <c r="G581" s="51" t="str">
        <f t="shared" si="3"/>
        <v/>
      </c>
      <c r="H581" s="51">
        <f>IFERROR(__xludf.DUMMYFUNCTION("IFERROR(GOOGLEFINANCE(A581,""PRICE""),)"),1016.9)</f>
        <v>1016.9</v>
      </c>
      <c r="I581" s="52">
        <f>IFERROR(__xludf.DUMMYFUNCTION("IFERROR(GOOGLEFINANCE(A581,""VOLUME""),)"),3682428.0)</f>
        <v>3682428</v>
      </c>
      <c r="J581" s="51" t="str">
        <f>IFERROR(__xludf.DUMMYFUNCTION("IFERROR(INDEX(SPLIT(A581,"":""),1,2),)"),"HINDALCO")</f>
        <v>HINDALCO</v>
      </c>
      <c r="K581" s="51">
        <f t="shared" si="4"/>
        <v>534</v>
      </c>
      <c r="L581" s="51" t="str">
        <f t="shared" si="5"/>
        <v/>
      </c>
      <c r="M581" s="51">
        <f t="shared" si="6"/>
        <v>111</v>
      </c>
      <c r="N581" s="53">
        <f>IFERROR(__xludf.DUMMYFUNCTION("IFERROR(GOOGLEFINANCE(A581,""TRADETIME""),)"),46269.64583333333)</f>
        <v>46269.64583</v>
      </c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</row>
    <row r="582" ht="15.75" customHeight="1">
      <c r="A582" s="48" t="s">
        <v>628</v>
      </c>
      <c r="B582" s="48" t="str">
        <f>IFERROR(__xludf.DUMMYFUNCTION("IFERROR(GOOGLEFINANCE(A582,""NAME""),)"),"Hindustan Composites Ltd")</f>
        <v>Hindustan Composites Ltd</v>
      </c>
      <c r="C582" s="48">
        <f>IFERROR(__xludf.DUMMYFUNCTION("IFERROR(GOOGLEFINANCE(A582,""CHANGE""),)"),-1.0)</f>
        <v>-1</v>
      </c>
      <c r="D582" s="48">
        <f>IFERROR(__xludf.DUMMYFUNCTION("IFERROR(GOOGLEFINANCE(A582,""CHANGEPCT""),)"),-0.25)</f>
        <v>-0.25</v>
      </c>
      <c r="E582" s="48" t="str">
        <f t="shared" si="1"/>
        <v>-0.25%</v>
      </c>
      <c r="F582" s="48" t="str">
        <f t="shared" si="2"/>
        <v/>
      </c>
      <c r="G582" s="48">
        <f t="shared" si="3"/>
        <v>-0.25</v>
      </c>
      <c r="H582" s="48">
        <f>IFERROR(__xludf.DUMMYFUNCTION("IFERROR(GOOGLEFINANCE(A582,""PRICE""),)"),392.1)</f>
        <v>392.1</v>
      </c>
      <c r="I582" s="49">
        <f>IFERROR(__xludf.DUMMYFUNCTION("IFERROR(GOOGLEFINANCE(A582,""VOLUME""),)"),5640.0)</f>
        <v>5640</v>
      </c>
      <c r="J582" s="48" t="str">
        <f>IFERROR(__xludf.DUMMYFUNCTION("IFERROR(INDEX(SPLIT(A582,"":""),1,2),)"),"HINDCOMPOS")</f>
        <v>HINDCOMPOS</v>
      </c>
      <c r="K582" s="48" t="str">
        <f t="shared" si="4"/>
        <v/>
      </c>
      <c r="L582" s="48">
        <f t="shared" si="5"/>
        <v>90</v>
      </c>
      <c r="M582" s="48">
        <f t="shared" si="6"/>
        <v>1313</v>
      </c>
      <c r="N582" s="50">
        <f>IFERROR(__xludf.DUMMYFUNCTION("IFERROR(GOOGLEFINANCE(A582,""TRADETIME""),)"),46269.64583333333)</f>
        <v>46269.64583</v>
      </c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</row>
    <row r="583" ht="15.75" customHeight="1">
      <c r="A583" s="51" t="s">
        <v>629</v>
      </c>
      <c r="B583" s="51" t="str">
        <f>IFERROR(__xludf.DUMMYFUNCTION("IFERROR(GOOGLEFINANCE(A583,""NAME""),)"),"Hindustan Copper Ltd")</f>
        <v>Hindustan Copper Ltd</v>
      </c>
      <c r="C583" s="51">
        <f>IFERROR(__xludf.DUMMYFUNCTION("IFERROR(GOOGLEFINANCE(A583,""CHANGE""),)"),3.2)</f>
        <v>3.2</v>
      </c>
      <c r="D583" s="51">
        <f>IFERROR(__xludf.DUMMYFUNCTION("IFERROR(GOOGLEFINANCE(A583,""CHANGEPCT""),)"),0.62)</f>
        <v>0.62</v>
      </c>
      <c r="E583" s="51" t="str">
        <f t="shared" si="1"/>
        <v>0.62%</v>
      </c>
      <c r="F583" s="51">
        <f t="shared" si="2"/>
        <v>0.62</v>
      </c>
      <c r="G583" s="51" t="str">
        <f t="shared" si="3"/>
        <v/>
      </c>
      <c r="H583" s="51">
        <f>IFERROR(__xludf.DUMMYFUNCTION("IFERROR(GOOGLEFINANCE(A583,""PRICE""),)"),521.7)</f>
        <v>521.7</v>
      </c>
      <c r="I583" s="52">
        <f>IFERROR(__xludf.DUMMYFUNCTION("IFERROR(GOOGLEFINANCE(A583,""VOLUME""),)"),3802351.0)</f>
        <v>3802351</v>
      </c>
      <c r="J583" s="51" t="str">
        <f>IFERROR(__xludf.DUMMYFUNCTION("IFERROR(INDEX(SPLIT(A583,"":""),1,2),)"),"HINDCOPPER")</f>
        <v>HINDCOPPER</v>
      </c>
      <c r="K583" s="51">
        <f t="shared" si="4"/>
        <v>555</v>
      </c>
      <c r="L583" s="51" t="str">
        <f t="shared" si="5"/>
        <v/>
      </c>
      <c r="M583" s="51">
        <f t="shared" si="6"/>
        <v>108</v>
      </c>
      <c r="N583" s="53">
        <f>IFERROR(__xludf.DUMMYFUNCTION("IFERROR(GOOGLEFINANCE(A583,""TRADETIME""),)"),46269.64586805555)</f>
        <v>46269.64587</v>
      </c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</row>
    <row r="584" ht="15.75" customHeight="1">
      <c r="A584" s="48" t="s">
        <v>630</v>
      </c>
      <c r="B584" s="48" t="str">
        <f>IFERROR(__xludf.DUMMYFUNCTION("IFERROR(GOOGLEFINANCE(A584,""NAME""),)"),"")</f>
        <v/>
      </c>
      <c r="C584" s="48" t="str">
        <f>IFERROR(__xludf.DUMMYFUNCTION("IFERROR(GOOGLEFINANCE(A584,""CHANGE""),)"),"")</f>
        <v/>
      </c>
      <c r="D584" s="48" t="str">
        <f>IFERROR(__xludf.DUMMYFUNCTION("IFERROR(GOOGLEFINANCE(A584,""CHANGEPCT""),)"),"")</f>
        <v/>
      </c>
      <c r="E584" s="48" t="str">
        <f t="shared" si="1"/>
        <v>%</v>
      </c>
      <c r="F584" s="48" t="str">
        <f t="shared" si="2"/>
        <v/>
      </c>
      <c r="G584" s="48" t="str">
        <f t="shared" si="3"/>
        <v/>
      </c>
      <c r="H584" s="48" t="str">
        <f>IFERROR(__xludf.DUMMYFUNCTION("IFERROR(GOOGLEFINANCE(A584,""PRICE""),)"),"")</f>
        <v/>
      </c>
      <c r="I584" s="49" t="str">
        <f>IFERROR(__xludf.DUMMYFUNCTION("IFERROR(GOOGLEFINANCE(A584,""VOLUME""),)"),"")</f>
        <v/>
      </c>
      <c r="J584" s="48" t="str">
        <f>IFERROR(__xludf.DUMMYFUNCTION("IFERROR(INDEX(SPLIT(A584,"":""),1,2),)"),"HINDMOTORS")</f>
        <v>HINDMOTORS</v>
      </c>
      <c r="K584" s="48" t="str">
        <f t="shared" si="4"/>
        <v/>
      </c>
      <c r="L584" s="48" t="str">
        <f t="shared" si="5"/>
        <v/>
      </c>
      <c r="M584" s="48">
        <f t="shared" si="6"/>
        <v>1456</v>
      </c>
      <c r="N584" s="50" t="str">
        <f>IFERROR(__xludf.DUMMYFUNCTION("IFERROR(GOOGLEFINANCE(A584,""TRADETIME""),)"),"")</f>
        <v/>
      </c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</row>
    <row r="585" ht="15.75" customHeight="1">
      <c r="A585" s="51" t="s">
        <v>631</v>
      </c>
      <c r="B585" s="51" t="str">
        <f>IFERROR(__xludf.DUMMYFUNCTION("IFERROR(GOOGLEFINANCE(A585,""NAME""),)"),"")</f>
        <v/>
      </c>
      <c r="C585" s="51" t="str">
        <f>IFERROR(__xludf.DUMMYFUNCTION("IFERROR(GOOGLEFINANCE(A585,""CHANGE""),)"),"")</f>
        <v/>
      </c>
      <c r="D585" s="51" t="str">
        <f>IFERROR(__xludf.DUMMYFUNCTION("IFERROR(GOOGLEFINANCE(A585,""CHANGEPCT""),)"),"")</f>
        <v/>
      </c>
      <c r="E585" s="51" t="str">
        <f t="shared" si="1"/>
        <v>%</v>
      </c>
      <c r="F585" s="51" t="str">
        <f t="shared" si="2"/>
        <v/>
      </c>
      <c r="G585" s="51" t="str">
        <f t="shared" si="3"/>
        <v/>
      </c>
      <c r="H585" s="51" t="str">
        <f>IFERROR(__xludf.DUMMYFUNCTION("IFERROR(GOOGLEFINANCE(A585,""PRICE""),)"),"")</f>
        <v/>
      </c>
      <c r="I585" s="52" t="str">
        <f>IFERROR(__xludf.DUMMYFUNCTION("IFERROR(GOOGLEFINANCE(A585,""VOLUME""),)"),"")</f>
        <v/>
      </c>
      <c r="J585" s="51" t="str">
        <f>IFERROR(__xludf.DUMMYFUNCTION("IFERROR(INDEX(SPLIT(A585,"":""),1,2),)"),"HINDNATGLS")</f>
        <v>HINDNATGLS</v>
      </c>
      <c r="K585" s="51" t="str">
        <f t="shared" si="4"/>
        <v/>
      </c>
      <c r="L585" s="51" t="str">
        <f t="shared" si="5"/>
        <v/>
      </c>
      <c r="M585" s="51">
        <f t="shared" si="6"/>
        <v>1456</v>
      </c>
      <c r="N585" s="53" t="str">
        <f>IFERROR(__xludf.DUMMYFUNCTION("IFERROR(GOOGLEFINANCE(A585,""TRADETIME""),)"),"")</f>
        <v/>
      </c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</row>
    <row r="586" ht="15.75" customHeight="1">
      <c r="A586" s="48" t="s">
        <v>632</v>
      </c>
      <c r="B586" s="48" t="str">
        <f>IFERROR(__xludf.DUMMYFUNCTION("IFERROR(GOOGLEFINANCE(A586,""NAME""),)"),"Hindustan Oil Exploration Company Ltd")</f>
        <v>Hindustan Oil Exploration Company Ltd</v>
      </c>
      <c r="C586" s="48">
        <f>IFERROR(__xludf.DUMMYFUNCTION("IFERROR(GOOGLEFINANCE(A586,""CHANGE""),)"),0.61)</f>
        <v>0.61</v>
      </c>
      <c r="D586" s="48">
        <f>IFERROR(__xludf.DUMMYFUNCTION("IFERROR(GOOGLEFINANCE(A586,""CHANGEPCT""),)"),0.33)</f>
        <v>0.33</v>
      </c>
      <c r="E586" s="48" t="str">
        <f t="shared" si="1"/>
        <v>0.33%</v>
      </c>
      <c r="F586" s="48">
        <f t="shared" si="2"/>
        <v>0.33</v>
      </c>
      <c r="G586" s="48" t="str">
        <f t="shared" si="3"/>
        <v/>
      </c>
      <c r="H586" s="48">
        <f>IFERROR(__xludf.DUMMYFUNCTION("IFERROR(GOOGLEFINANCE(A586,""PRICE""),)"),184.99)</f>
        <v>184.99</v>
      </c>
      <c r="I586" s="49">
        <f>IFERROR(__xludf.DUMMYFUNCTION("IFERROR(GOOGLEFINANCE(A586,""VOLUME""),)"),1959249.0)</f>
        <v>1959249</v>
      </c>
      <c r="J586" s="48" t="str">
        <f>IFERROR(__xludf.DUMMYFUNCTION("IFERROR(INDEX(SPLIT(A586,"":""),1,2),)"),"HINDOILEXP")</f>
        <v>HINDOILEXP</v>
      </c>
      <c r="K586" s="48">
        <f t="shared" si="4"/>
        <v>650</v>
      </c>
      <c r="L586" s="48" t="str">
        <f t="shared" si="5"/>
        <v/>
      </c>
      <c r="M586" s="48">
        <f t="shared" si="6"/>
        <v>175</v>
      </c>
      <c r="N586" s="50">
        <f>IFERROR(__xludf.DUMMYFUNCTION("IFERROR(GOOGLEFINANCE(A586,""TRADETIME""),)"),46269.64583333333)</f>
        <v>46269.64583</v>
      </c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</row>
    <row r="587" ht="15.75" customHeight="1">
      <c r="A587" s="51" t="s">
        <v>633</v>
      </c>
      <c r="B587" s="51" t="str">
        <f>IFERROR(__xludf.DUMMYFUNCTION("IFERROR(GOOGLEFINANCE(A587,""NAME""),)"),"Hindustan Petroleum Corp Ltd")</f>
        <v>Hindustan Petroleum Corp Ltd</v>
      </c>
      <c r="C587" s="51">
        <f>IFERROR(__xludf.DUMMYFUNCTION("IFERROR(GOOGLEFINANCE(A587,""CHANGE""),)"),-3.5)</f>
        <v>-3.5</v>
      </c>
      <c r="D587" s="51">
        <f>IFERROR(__xludf.DUMMYFUNCTION("IFERROR(GOOGLEFINANCE(A587,""CHANGEPCT""),)"),-0.97)</f>
        <v>-0.97</v>
      </c>
      <c r="E587" s="51" t="str">
        <f t="shared" si="1"/>
        <v>-0.97%</v>
      </c>
      <c r="F587" s="51" t="str">
        <f t="shared" si="2"/>
        <v/>
      </c>
      <c r="G587" s="51">
        <f t="shared" si="3"/>
        <v>-0.97</v>
      </c>
      <c r="H587" s="51">
        <f>IFERROR(__xludf.DUMMYFUNCTION("IFERROR(GOOGLEFINANCE(A587,""PRICE""),)"),357.85)</f>
        <v>357.85</v>
      </c>
      <c r="I587" s="52">
        <f>IFERROR(__xludf.DUMMYFUNCTION("IFERROR(GOOGLEFINANCE(A587,""VOLUME""),)"),3155139.0)</f>
        <v>3155139</v>
      </c>
      <c r="J587" s="51" t="str">
        <f>IFERROR(__xludf.DUMMYFUNCTION("IFERROR(INDEX(SPLIT(A587,"":""),1,2),)"),"HINDPETRO")</f>
        <v>HINDPETRO</v>
      </c>
      <c r="K587" s="51" t="str">
        <f t="shared" si="4"/>
        <v/>
      </c>
      <c r="L587" s="51">
        <f t="shared" si="5"/>
        <v>332</v>
      </c>
      <c r="M587" s="51">
        <f t="shared" si="6"/>
        <v>122</v>
      </c>
      <c r="N587" s="53">
        <f>IFERROR(__xludf.DUMMYFUNCTION("IFERROR(GOOGLEFINANCE(A587,""TRADETIME""),)"),46269.64583333333)</f>
        <v>46269.64583</v>
      </c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</row>
    <row r="588" ht="15.75" customHeight="1">
      <c r="A588" s="48" t="s">
        <v>634</v>
      </c>
      <c r="B588" s="48" t="str">
        <f>IFERROR(__xludf.DUMMYFUNCTION("IFERROR(GOOGLEFINANCE(A588,""NAME""),)"),"Hindustan Unilever Ltd")</f>
        <v>Hindustan Unilever Ltd</v>
      </c>
      <c r="C588" s="48">
        <f>IFERROR(__xludf.DUMMYFUNCTION("IFERROR(GOOGLEFINANCE(A588,""CHANGE""),)"),12.4)</f>
        <v>12.4</v>
      </c>
      <c r="D588" s="48">
        <f>IFERROR(__xludf.DUMMYFUNCTION("IFERROR(GOOGLEFINANCE(A588,""CHANGEPCT""),)"),0.63)</f>
        <v>0.63</v>
      </c>
      <c r="E588" s="48" t="str">
        <f t="shared" si="1"/>
        <v>0.63%</v>
      </c>
      <c r="F588" s="48">
        <f t="shared" si="2"/>
        <v>0.63</v>
      </c>
      <c r="G588" s="48" t="str">
        <f t="shared" si="3"/>
        <v/>
      </c>
      <c r="H588" s="48">
        <f>IFERROR(__xludf.DUMMYFUNCTION("IFERROR(GOOGLEFINANCE(A588,""PRICE""),)"),1974.4)</f>
        <v>1974.4</v>
      </c>
      <c r="I588" s="49">
        <f>IFERROR(__xludf.DUMMYFUNCTION("IFERROR(GOOGLEFINANCE(A588,""VOLUME""),)"),2247162.0)</f>
        <v>2247162</v>
      </c>
      <c r="J588" s="48" t="str">
        <f>IFERROR(__xludf.DUMMYFUNCTION("IFERROR(INDEX(SPLIT(A588,"":""),1,2),)"),"HINDUNILVR")</f>
        <v>HINDUNILVR</v>
      </c>
      <c r="K588" s="48">
        <f t="shared" si="4"/>
        <v>551</v>
      </c>
      <c r="L588" s="48" t="str">
        <f t="shared" si="5"/>
        <v/>
      </c>
      <c r="M588" s="48">
        <f t="shared" si="6"/>
        <v>158</v>
      </c>
      <c r="N588" s="50">
        <f>IFERROR(__xludf.DUMMYFUNCTION("IFERROR(GOOGLEFINANCE(A588,""TRADETIME""),)"),46269.64583333333)</f>
        <v>46269.64583</v>
      </c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</row>
    <row r="589" ht="15.75" customHeight="1">
      <c r="A589" s="51" t="s">
        <v>635</v>
      </c>
      <c r="B589" s="51" t="str">
        <f>IFERROR(__xludf.DUMMYFUNCTION("IFERROR(GOOGLEFINANCE(A589,""NAME""),)"),"Hindustan Zinc Ltd")</f>
        <v>Hindustan Zinc Ltd</v>
      </c>
      <c r="C589" s="51">
        <f>IFERROR(__xludf.DUMMYFUNCTION("IFERROR(GOOGLEFINANCE(A589,""CHANGE""),)"),11.05)</f>
        <v>11.05</v>
      </c>
      <c r="D589" s="51">
        <f>IFERROR(__xludf.DUMMYFUNCTION("IFERROR(GOOGLEFINANCE(A589,""CHANGEPCT""),)"),1.88)</f>
        <v>1.88</v>
      </c>
      <c r="E589" s="51" t="str">
        <f t="shared" si="1"/>
        <v>1.88%</v>
      </c>
      <c r="F589" s="51">
        <f t="shared" si="2"/>
        <v>1.88</v>
      </c>
      <c r="G589" s="51" t="str">
        <f t="shared" si="3"/>
        <v/>
      </c>
      <c r="H589" s="51">
        <f>IFERROR(__xludf.DUMMYFUNCTION("IFERROR(GOOGLEFINANCE(A589,""PRICE""),)"),599.0)</f>
        <v>599</v>
      </c>
      <c r="I589" s="52">
        <f>IFERROR(__xludf.DUMMYFUNCTION("IFERROR(GOOGLEFINANCE(A589,""VOLUME""),)"),4650039.0)</f>
        <v>4650039</v>
      </c>
      <c r="J589" s="51" t="str">
        <f>IFERROR(__xludf.DUMMYFUNCTION("IFERROR(INDEX(SPLIT(A589,"":""),1,2),)"),"HINDZINC")</f>
        <v>HINDZINC</v>
      </c>
      <c r="K589" s="51">
        <f t="shared" si="4"/>
        <v>280</v>
      </c>
      <c r="L589" s="51" t="str">
        <f t="shared" si="5"/>
        <v/>
      </c>
      <c r="M589" s="51">
        <f t="shared" si="6"/>
        <v>89</v>
      </c>
      <c r="N589" s="53">
        <f>IFERROR(__xludf.DUMMYFUNCTION("IFERROR(GOOGLEFINANCE(A589,""TRADETIME""),)"),46269.64583333333)</f>
        <v>46269.64583</v>
      </c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</row>
    <row r="590" ht="15.75" customHeight="1">
      <c r="A590" s="48" t="s">
        <v>636</v>
      </c>
      <c r="B590" s="48" t="str">
        <f>IFERROR(__xludf.DUMMYFUNCTION("IFERROR(GOOGLEFINANCE(A590,""NAME""),)"),"Hirect Ltd")</f>
        <v>Hirect Ltd</v>
      </c>
      <c r="C590" s="48">
        <f>IFERROR(__xludf.DUMMYFUNCTION("IFERROR(GOOGLEFINANCE(A590,""CHANGE""),)"),-15.4)</f>
        <v>-15.4</v>
      </c>
      <c r="D590" s="48">
        <f>IFERROR(__xludf.DUMMYFUNCTION("IFERROR(GOOGLEFINANCE(A590,""CHANGEPCT""),)"),-1.25)</f>
        <v>-1.25</v>
      </c>
      <c r="E590" s="48" t="str">
        <f t="shared" si="1"/>
        <v>-1.25%</v>
      </c>
      <c r="F590" s="48" t="str">
        <f t="shared" si="2"/>
        <v/>
      </c>
      <c r="G590" s="48">
        <f t="shared" si="3"/>
        <v>-1.25</v>
      </c>
      <c r="H590" s="48">
        <f>IFERROR(__xludf.DUMMYFUNCTION("IFERROR(GOOGLEFINANCE(A590,""PRICE""),)"),1220.4)</f>
        <v>1220.4</v>
      </c>
      <c r="I590" s="49">
        <f>IFERROR(__xludf.DUMMYFUNCTION("IFERROR(GOOGLEFINANCE(A590,""VOLUME""),)"),18689.0)</f>
        <v>18689</v>
      </c>
      <c r="J590" s="48" t="str">
        <f>IFERROR(__xludf.DUMMYFUNCTION("IFERROR(INDEX(SPLIT(A590,"":""),1,2),)"),"HIRECT")</f>
        <v>HIRECT</v>
      </c>
      <c r="K590" s="48" t="str">
        <f t="shared" si="4"/>
        <v/>
      </c>
      <c r="L590" s="48">
        <f t="shared" si="5"/>
        <v>390</v>
      </c>
      <c r="M590" s="48">
        <f t="shared" si="6"/>
        <v>1138</v>
      </c>
      <c r="N590" s="50">
        <f>IFERROR(__xludf.DUMMYFUNCTION("IFERROR(GOOGLEFINANCE(A590,""TRADETIME""),)"),46269.64583333333)</f>
        <v>46269.64583</v>
      </c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</row>
    <row r="591" ht="15.75" customHeight="1">
      <c r="A591" s="51" t="s">
        <v>637</v>
      </c>
      <c r="B591" s="51" t="str">
        <f>IFERROR(__xludf.DUMMYFUNCTION("IFERROR(GOOGLEFINANCE(A591,""NAME""),)"),"Hisar Metal Industries Ltd(NDA)")</f>
        <v>Hisar Metal Industries Ltd(NDA)</v>
      </c>
      <c r="C591" s="51">
        <f>IFERROR(__xludf.DUMMYFUNCTION("IFERROR(GOOGLEFINANCE(A591,""CHANGE""),)"),-0.31)</f>
        <v>-0.31</v>
      </c>
      <c r="D591" s="51">
        <f>IFERROR(__xludf.DUMMYFUNCTION("IFERROR(GOOGLEFINANCE(A591,""CHANGEPCT""),)"),-0.19)</f>
        <v>-0.19</v>
      </c>
      <c r="E591" s="51" t="str">
        <f t="shared" si="1"/>
        <v>-0.19%</v>
      </c>
      <c r="F591" s="51" t="str">
        <f t="shared" si="2"/>
        <v/>
      </c>
      <c r="G591" s="51">
        <f t="shared" si="3"/>
        <v>-0.19</v>
      </c>
      <c r="H591" s="51">
        <f>IFERROR(__xludf.DUMMYFUNCTION("IFERROR(GOOGLEFINANCE(A591,""PRICE""),)"),162.5)</f>
        <v>162.5</v>
      </c>
      <c r="I591" s="52">
        <f>IFERROR(__xludf.DUMMYFUNCTION("IFERROR(GOOGLEFINANCE(A591,""VOLUME""),)"),964.0)</f>
        <v>964</v>
      </c>
      <c r="J591" s="51" t="str">
        <f>IFERROR(__xludf.DUMMYFUNCTION("IFERROR(INDEX(SPLIT(A591,"":""),1,2),)"),"HISARMETAL")</f>
        <v>HISARMETAL</v>
      </c>
      <c r="K591" s="51" t="str">
        <f t="shared" si="4"/>
        <v/>
      </c>
      <c r="L591" s="51">
        <f t="shared" si="5"/>
        <v>73</v>
      </c>
      <c r="M591" s="51">
        <f t="shared" si="6"/>
        <v>1426</v>
      </c>
      <c r="N591" s="53">
        <f>IFERROR(__xludf.DUMMYFUNCTION("IFERROR(GOOGLEFINANCE(A591,""TRADETIME""),)"),46269.64583333333)</f>
        <v>46269.64583</v>
      </c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</row>
    <row r="592" ht="15.75" customHeight="1">
      <c r="A592" s="48" t="s">
        <v>638</v>
      </c>
      <c r="B592" s="48" t="str">
        <f>IFERROR(__xludf.DUMMYFUNCTION("IFERROR(GOOGLEFINANCE(A592,""NAME""),)"),"Hi-Tech Pipes Ltd")</f>
        <v>Hi-Tech Pipes Ltd</v>
      </c>
      <c r="C592" s="48">
        <f>IFERROR(__xludf.DUMMYFUNCTION("IFERROR(GOOGLEFINANCE(A592,""CHANGE""),)"),0.65)</f>
        <v>0.65</v>
      </c>
      <c r="D592" s="48">
        <f>IFERROR(__xludf.DUMMYFUNCTION("IFERROR(GOOGLEFINANCE(A592,""CHANGEPCT""),)"),0.86)</f>
        <v>0.86</v>
      </c>
      <c r="E592" s="48" t="str">
        <f t="shared" si="1"/>
        <v>0.86%</v>
      </c>
      <c r="F592" s="48">
        <f t="shared" si="2"/>
        <v>0.86</v>
      </c>
      <c r="G592" s="48" t="str">
        <f t="shared" si="3"/>
        <v/>
      </c>
      <c r="H592" s="48">
        <f>IFERROR(__xludf.DUMMYFUNCTION("IFERROR(GOOGLEFINANCE(A592,""PRICE""),)"),75.8)</f>
        <v>75.8</v>
      </c>
      <c r="I592" s="49">
        <f>IFERROR(__xludf.DUMMYFUNCTION("IFERROR(GOOGLEFINANCE(A592,""VOLUME""),)"),1169763.0)</f>
        <v>1169763</v>
      </c>
      <c r="J592" s="48" t="str">
        <f>IFERROR(__xludf.DUMMYFUNCTION("IFERROR(INDEX(SPLIT(A592,"":""),1,2),)"),"HITECH")</f>
        <v>HITECH</v>
      </c>
      <c r="K592" s="48">
        <f t="shared" si="4"/>
        <v>480</v>
      </c>
      <c r="L592" s="48" t="str">
        <f t="shared" si="5"/>
        <v/>
      </c>
      <c r="M592" s="48">
        <f t="shared" si="6"/>
        <v>244</v>
      </c>
      <c r="N592" s="50">
        <f>IFERROR(__xludf.DUMMYFUNCTION("IFERROR(GOOGLEFINANCE(A592,""TRADETIME""),)"),46269.64586805555)</f>
        <v>46269.64587</v>
      </c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</row>
    <row r="593" ht="15.75" customHeight="1">
      <c r="A593" s="51" t="s">
        <v>639</v>
      </c>
      <c r="B593" s="51" t="str">
        <f>IFERROR(__xludf.DUMMYFUNCTION("IFERROR(GOOGLEFINANCE(A593,""NAME""),)"),"Hitech Corporation Ltd")</f>
        <v>Hitech Corporation Ltd</v>
      </c>
      <c r="C593" s="51">
        <f>IFERROR(__xludf.DUMMYFUNCTION("IFERROR(GOOGLEFINANCE(A593,""CHANGE""),)"),0.0)</f>
        <v>0</v>
      </c>
      <c r="D593" s="51">
        <f>IFERROR(__xludf.DUMMYFUNCTION("IFERROR(GOOGLEFINANCE(A593,""CHANGEPCT""),)"),0.0)</f>
        <v>0</v>
      </c>
      <c r="E593" s="51" t="str">
        <f t="shared" si="1"/>
        <v>0%</v>
      </c>
      <c r="F593" s="51" t="str">
        <f t="shared" si="2"/>
        <v/>
      </c>
      <c r="G593" s="51" t="str">
        <f t="shared" si="3"/>
        <v/>
      </c>
      <c r="H593" s="51">
        <f>IFERROR(__xludf.DUMMYFUNCTION("IFERROR(GOOGLEFINANCE(A593,""PRICE""),)"),337.0)</f>
        <v>337</v>
      </c>
      <c r="I593" s="52">
        <f>IFERROR(__xludf.DUMMYFUNCTION("IFERROR(GOOGLEFINANCE(A593,""VOLUME""),)"),6573.0)</f>
        <v>6573</v>
      </c>
      <c r="J593" s="51" t="str">
        <f>IFERROR(__xludf.DUMMYFUNCTION("IFERROR(INDEX(SPLIT(A593,"":""),1,2),)"),"HITECHCORP")</f>
        <v>HITECHCORP</v>
      </c>
      <c r="K593" s="51" t="str">
        <f t="shared" si="4"/>
        <v/>
      </c>
      <c r="L593" s="51" t="str">
        <f t="shared" si="5"/>
        <v/>
      </c>
      <c r="M593" s="51">
        <f t="shared" si="6"/>
        <v>1297</v>
      </c>
      <c r="N593" s="53">
        <f>IFERROR(__xludf.DUMMYFUNCTION("IFERROR(GOOGLEFINANCE(A593,""TRADETIME""),)"),46269.64583333333)</f>
        <v>46269.64583</v>
      </c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</row>
    <row r="594" ht="15.75" customHeight="1">
      <c r="A594" s="48" t="s">
        <v>640</v>
      </c>
      <c r="B594" s="48" t="str">
        <f>IFERROR(__xludf.DUMMYFUNCTION("IFERROR(GOOGLEFINANCE(A594,""NAME""),)"),"Hi-Tech Gears Ltd")</f>
        <v>Hi-Tech Gears Ltd</v>
      </c>
      <c r="C594" s="48">
        <f>IFERROR(__xludf.DUMMYFUNCTION("IFERROR(GOOGLEFINANCE(A594,""CHANGE""),)"),-8.55)</f>
        <v>-8.55</v>
      </c>
      <c r="D594" s="48">
        <f>IFERROR(__xludf.DUMMYFUNCTION("IFERROR(GOOGLEFINANCE(A594,""CHANGEPCT""),)"),-1.49)</f>
        <v>-1.49</v>
      </c>
      <c r="E594" s="48" t="str">
        <f t="shared" si="1"/>
        <v>-1.49%</v>
      </c>
      <c r="F594" s="48" t="str">
        <f t="shared" si="2"/>
        <v/>
      </c>
      <c r="G594" s="48">
        <f t="shared" si="3"/>
        <v>-1.49</v>
      </c>
      <c r="H594" s="48">
        <f>IFERROR(__xludf.DUMMYFUNCTION("IFERROR(GOOGLEFINANCE(A594,""PRICE""),)"),567.0)</f>
        <v>567</v>
      </c>
      <c r="I594" s="49">
        <f>IFERROR(__xludf.DUMMYFUNCTION("IFERROR(GOOGLEFINANCE(A594,""VOLUME""),)"),1037.0)</f>
        <v>1037</v>
      </c>
      <c r="J594" s="48" t="str">
        <f>IFERROR(__xludf.DUMMYFUNCTION("IFERROR(INDEX(SPLIT(A594,"":""),1,2),)"),"HITECHGEAR")</f>
        <v>HITECHGEAR</v>
      </c>
      <c r="K594" s="48" t="str">
        <f t="shared" si="4"/>
        <v/>
      </c>
      <c r="L594" s="48">
        <f t="shared" si="5"/>
        <v>446</v>
      </c>
      <c r="M594" s="48">
        <f t="shared" si="6"/>
        <v>1421</v>
      </c>
      <c r="N594" s="50">
        <f>IFERROR(__xludf.DUMMYFUNCTION("IFERROR(GOOGLEFINANCE(A594,""TRADETIME""),)"),46269.64583333333)</f>
        <v>46269.64583</v>
      </c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</row>
    <row r="595" ht="15.75" customHeight="1">
      <c r="A595" s="51" t="s">
        <v>641</v>
      </c>
      <c r="B595" s="51" t="str">
        <f>IFERROR(__xludf.DUMMYFUNCTION("IFERROR(GOOGLEFINANCE(A595,""NAME""),)"),"HLV Ltd")</f>
        <v>HLV Ltd</v>
      </c>
      <c r="C595" s="51">
        <f>IFERROR(__xludf.DUMMYFUNCTION("IFERROR(GOOGLEFINANCE(A595,""CHANGE""),)"),0.08)</f>
        <v>0.08</v>
      </c>
      <c r="D595" s="51">
        <f>IFERROR(__xludf.DUMMYFUNCTION("IFERROR(GOOGLEFINANCE(A595,""CHANGEPCT""),)"),1.25)</f>
        <v>1.25</v>
      </c>
      <c r="E595" s="51" t="str">
        <f t="shared" si="1"/>
        <v>1.25%</v>
      </c>
      <c r="F595" s="51">
        <f t="shared" si="2"/>
        <v>1.25</v>
      </c>
      <c r="G595" s="51" t="str">
        <f t="shared" si="3"/>
        <v/>
      </c>
      <c r="H595" s="51">
        <f>IFERROR(__xludf.DUMMYFUNCTION("IFERROR(GOOGLEFINANCE(A595,""PRICE""),)"),6.49)</f>
        <v>6.49</v>
      </c>
      <c r="I595" s="52">
        <f>IFERROR(__xludf.DUMMYFUNCTION("IFERROR(GOOGLEFINANCE(A595,""VOLUME""),)"),143901.0)</f>
        <v>143901</v>
      </c>
      <c r="J595" s="51" t="str">
        <f>IFERROR(__xludf.DUMMYFUNCTION("IFERROR(INDEX(SPLIT(A595,"":""),1,2),)"),"HLVLTD")</f>
        <v>HLVLTD</v>
      </c>
      <c r="K595" s="51">
        <f t="shared" si="4"/>
        <v>394</v>
      </c>
      <c r="L595" s="51" t="str">
        <f t="shared" si="5"/>
        <v/>
      </c>
      <c r="M595" s="51">
        <f t="shared" si="6"/>
        <v>695</v>
      </c>
      <c r="N595" s="53">
        <f>IFERROR(__xludf.DUMMYFUNCTION("IFERROR(GOOGLEFINANCE(A595,""TRADETIME""),)"),46269.64583333333)</f>
        <v>46269.64583</v>
      </c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</row>
    <row r="596" ht="15.75" customHeight="1">
      <c r="A596" s="48" t="s">
        <v>642</v>
      </c>
      <c r="B596" s="48" t="str">
        <f>IFERROR(__xludf.DUMMYFUNCTION("IFERROR(GOOGLEFINANCE(A596,""NAME""),)"),"HMT Ltd")</f>
        <v>HMT Ltd</v>
      </c>
      <c r="C596" s="48">
        <f>IFERROR(__xludf.DUMMYFUNCTION("IFERROR(GOOGLEFINANCE(A596,""CHANGE""),)"),-1.92)</f>
        <v>-1.92</v>
      </c>
      <c r="D596" s="48">
        <f>IFERROR(__xludf.DUMMYFUNCTION("IFERROR(GOOGLEFINANCE(A596,""CHANGEPCT""),)"),-2.78)</f>
        <v>-2.78</v>
      </c>
      <c r="E596" s="48" t="str">
        <f t="shared" si="1"/>
        <v>-2.78%</v>
      </c>
      <c r="F596" s="48" t="str">
        <f t="shared" si="2"/>
        <v/>
      </c>
      <c r="G596" s="48">
        <f t="shared" si="3"/>
        <v>-2.78</v>
      </c>
      <c r="H596" s="48">
        <f>IFERROR(__xludf.DUMMYFUNCTION("IFERROR(GOOGLEFINANCE(A596,""PRICE""),)"),67.15)</f>
        <v>67.15</v>
      </c>
      <c r="I596" s="49">
        <f>IFERROR(__xludf.DUMMYFUNCTION("IFERROR(GOOGLEFINANCE(A596,""VOLUME""),)"),31667.0)</f>
        <v>31667</v>
      </c>
      <c r="J596" s="48" t="str">
        <f>IFERROR(__xludf.DUMMYFUNCTION("IFERROR(INDEX(SPLIT(A596,"":""),1,2),)"),"HMT")</f>
        <v>HMT</v>
      </c>
      <c r="K596" s="48" t="str">
        <f t="shared" si="4"/>
        <v/>
      </c>
      <c r="L596" s="48">
        <f t="shared" si="5"/>
        <v>586</v>
      </c>
      <c r="M596" s="48">
        <f t="shared" si="6"/>
        <v>1042</v>
      </c>
      <c r="N596" s="50">
        <f>IFERROR(__xludf.DUMMYFUNCTION("IFERROR(GOOGLEFINANCE(A596,""TRADETIME""),)"),46269.64583333333)</f>
        <v>46269.64583</v>
      </c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</row>
    <row r="597" ht="15.75" customHeight="1">
      <c r="A597" s="51" t="s">
        <v>643</v>
      </c>
      <c r="B597" s="51" t="str">
        <f>IFERROR(__xludf.DUMMYFUNCTION("IFERROR(GOOGLEFINANCE(A597,""NAME""),)"),"Hindustan Media Ventures Ltd")</f>
        <v>Hindustan Media Ventures Ltd</v>
      </c>
      <c r="C597" s="51">
        <f>IFERROR(__xludf.DUMMYFUNCTION("IFERROR(GOOGLEFINANCE(A597,""CHANGE""),)"),-1.49)</f>
        <v>-1.49</v>
      </c>
      <c r="D597" s="51">
        <f>IFERROR(__xludf.DUMMYFUNCTION("IFERROR(GOOGLEFINANCE(A597,""CHANGEPCT""),)"),-1.72)</f>
        <v>-1.72</v>
      </c>
      <c r="E597" s="51" t="str">
        <f t="shared" si="1"/>
        <v>-1.72%</v>
      </c>
      <c r="F597" s="51" t="str">
        <f t="shared" si="2"/>
        <v/>
      </c>
      <c r="G597" s="51">
        <f t="shared" si="3"/>
        <v>-1.72</v>
      </c>
      <c r="H597" s="51">
        <f>IFERROR(__xludf.DUMMYFUNCTION("IFERROR(GOOGLEFINANCE(A597,""PRICE""),)"),85.0)</f>
        <v>85</v>
      </c>
      <c r="I597" s="52">
        <f>IFERROR(__xludf.DUMMYFUNCTION("IFERROR(GOOGLEFINANCE(A597,""VOLUME""),)"),15089.0)</f>
        <v>15089</v>
      </c>
      <c r="J597" s="51" t="str">
        <f>IFERROR(__xludf.DUMMYFUNCTION("IFERROR(INDEX(SPLIT(A597,"":""),1,2),)"),"HMVL")</f>
        <v>HMVL</v>
      </c>
      <c r="K597" s="51" t="str">
        <f t="shared" si="4"/>
        <v/>
      </c>
      <c r="L597" s="51">
        <f t="shared" si="5"/>
        <v>485</v>
      </c>
      <c r="M597" s="51">
        <f t="shared" si="6"/>
        <v>1178</v>
      </c>
      <c r="N597" s="53">
        <f>IFERROR(__xludf.DUMMYFUNCTION("IFERROR(GOOGLEFINANCE(A597,""TRADETIME""),)"),46269.64583333333)</f>
        <v>46269.64583</v>
      </c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</row>
    <row r="598" ht="15.75" customHeight="1">
      <c r="A598" s="48" t="s">
        <v>644</v>
      </c>
      <c r="B598" s="48" t="str">
        <f>IFERROR(__xludf.DUMMYFUNCTION("IFERROR(GOOGLEFINANCE(A598,""NAME""),)"),"Hindustan Foods Ltd(NDA)")</f>
        <v>Hindustan Foods Ltd(NDA)</v>
      </c>
      <c r="C598" s="48">
        <f>IFERROR(__xludf.DUMMYFUNCTION("IFERROR(GOOGLEFINANCE(A598,""CHANGE""),)"),-16.4)</f>
        <v>-16.4</v>
      </c>
      <c r="D598" s="48">
        <f>IFERROR(__xludf.DUMMYFUNCTION("IFERROR(GOOGLEFINANCE(A598,""CHANGEPCT""),)"),-2.62)</f>
        <v>-2.62</v>
      </c>
      <c r="E598" s="48" t="str">
        <f t="shared" si="1"/>
        <v>-2.62%</v>
      </c>
      <c r="F598" s="48" t="str">
        <f t="shared" si="2"/>
        <v/>
      </c>
      <c r="G598" s="48">
        <f t="shared" si="3"/>
        <v>-2.62</v>
      </c>
      <c r="H598" s="48">
        <f>IFERROR(__xludf.DUMMYFUNCTION("IFERROR(GOOGLEFINANCE(A598,""PRICE""),)"),610.5)</f>
        <v>610.5</v>
      </c>
      <c r="I598" s="49">
        <f>IFERROR(__xludf.DUMMYFUNCTION("IFERROR(GOOGLEFINANCE(A598,""VOLUME""),)"),133631.0)</f>
        <v>133631</v>
      </c>
      <c r="J598" s="48" t="str">
        <f>IFERROR(__xludf.DUMMYFUNCTION("IFERROR(INDEX(SPLIT(A598,"":""),1,2),)"),"HNDFDS")</f>
        <v>HNDFDS</v>
      </c>
      <c r="K598" s="48" t="str">
        <f t="shared" si="4"/>
        <v/>
      </c>
      <c r="L598" s="48">
        <f t="shared" si="5"/>
        <v>579</v>
      </c>
      <c r="M598" s="48">
        <f t="shared" si="6"/>
        <v>712</v>
      </c>
      <c r="N598" s="50">
        <f>IFERROR(__xludf.DUMMYFUNCTION("IFERROR(GOOGLEFINANCE(A598,""TRADETIME""),)"),46269.64583333333)</f>
        <v>46269.64583</v>
      </c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</row>
    <row r="599" ht="15.75" customHeight="1">
      <c r="A599" s="51" t="s">
        <v>645</v>
      </c>
      <c r="B599" s="51" t="str">
        <f>IFERROR(__xludf.DUMMYFUNCTION("IFERROR(GOOGLEFINANCE(A599,""NAME""),)"),"Honeywell Automation India Ltd")</f>
        <v>Honeywell Automation India Ltd</v>
      </c>
      <c r="C599" s="51">
        <f>IFERROR(__xludf.DUMMYFUNCTION("IFERROR(GOOGLEFINANCE(A599,""CHANGE""),)"),335.0)</f>
        <v>335</v>
      </c>
      <c r="D599" s="51">
        <f>IFERROR(__xludf.DUMMYFUNCTION("IFERROR(GOOGLEFINANCE(A599,""CHANGEPCT""),)"),0.95)</f>
        <v>0.95</v>
      </c>
      <c r="E599" s="51" t="str">
        <f t="shared" si="1"/>
        <v>0.95%</v>
      </c>
      <c r="F599" s="51">
        <f t="shared" si="2"/>
        <v>0.95</v>
      </c>
      <c r="G599" s="51" t="str">
        <f t="shared" si="3"/>
        <v/>
      </c>
      <c r="H599" s="51">
        <f>IFERROR(__xludf.DUMMYFUNCTION("IFERROR(GOOGLEFINANCE(A599,""PRICE""),)"),35600.0)</f>
        <v>35600</v>
      </c>
      <c r="I599" s="52">
        <f>IFERROR(__xludf.DUMMYFUNCTION("IFERROR(GOOGLEFINANCE(A599,""VOLUME""),)"),1792.0)</f>
        <v>1792</v>
      </c>
      <c r="J599" s="51" t="str">
        <f>IFERROR(__xludf.DUMMYFUNCTION("IFERROR(INDEX(SPLIT(A599,"":""),1,2),)"),"HONAUT")</f>
        <v>HONAUT</v>
      </c>
      <c r="K599" s="51">
        <f t="shared" si="4"/>
        <v>458</v>
      </c>
      <c r="L599" s="51" t="str">
        <f t="shared" si="5"/>
        <v/>
      </c>
      <c r="M599" s="51">
        <f t="shared" si="6"/>
        <v>1400</v>
      </c>
      <c r="N599" s="53">
        <f>IFERROR(__xludf.DUMMYFUNCTION("IFERROR(GOOGLEFINANCE(A599,""TRADETIME""),)"),46269.64583333333)</f>
        <v>46269.64583</v>
      </c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</row>
    <row r="600" ht="15.75" customHeight="1">
      <c r="A600" s="48" t="s">
        <v>646</v>
      </c>
      <c r="B600" s="48" t="str">
        <f>IFERROR(__xludf.DUMMYFUNCTION("IFERROR(GOOGLEFINANCE(A600,""NAME""),)"),"Honda India Power Products Ltd")</f>
        <v>Honda India Power Products Ltd</v>
      </c>
      <c r="C600" s="48">
        <f>IFERROR(__xludf.DUMMYFUNCTION("IFERROR(GOOGLEFINANCE(A600,""CHANGE""),)"),38.6)</f>
        <v>38.6</v>
      </c>
      <c r="D600" s="48">
        <f>IFERROR(__xludf.DUMMYFUNCTION("IFERROR(GOOGLEFINANCE(A600,""CHANGEPCT""),)"),1.94)</f>
        <v>1.94</v>
      </c>
      <c r="E600" s="48" t="str">
        <f t="shared" si="1"/>
        <v>1.94%</v>
      </c>
      <c r="F600" s="48">
        <f t="shared" si="2"/>
        <v>1.94</v>
      </c>
      <c r="G600" s="48" t="str">
        <f t="shared" si="3"/>
        <v/>
      </c>
      <c r="H600" s="48">
        <f>IFERROR(__xludf.DUMMYFUNCTION("IFERROR(GOOGLEFINANCE(A600,""PRICE""),)"),2025.0)</f>
        <v>2025</v>
      </c>
      <c r="I600" s="49">
        <f>IFERROR(__xludf.DUMMYFUNCTION("IFERROR(GOOGLEFINANCE(A600,""VOLUME""),)"),2712.0)</f>
        <v>2712</v>
      </c>
      <c r="J600" s="48" t="str">
        <f>IFERROR(__xludf.DUMMYFUNCTION("IFERROR(INDEX(SPLIT(A600,"":""),1,2),)"),"HONDAPOWER")</f>
        <v>HONDAPOWER</v>
      </c>
      <c r="K600" s="48">
        <f t="shared" si="4"/>
        <v>271</v>
      </c>
      <c r="L600" s="48" t="str">
        <f t="shared" si="5"/>
        <v/>
      </c>
      <c r="M600" s="48">
        <f t="shared" si="6"/>
        <v>1374</v>
      </c>
      <c r="N600" s="50">
        <f>IFERROR(__xludf.DUMMYFUNCTION("IFERROR(GOOGLEFINANCE(A600,""TRADETIME""),)"),46269.64583333333)</f>
        <v>46269.64583</v>
      </c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</row>
    <row r="601" ht="15.75" customHeight="1">
      <c r="A601" s="51" t="s">
        <v>647</v>
      </c>
      <c r="B601" s="51" t="str">
        <f>IFERROR(__xludf.DUMMYFUNCTION("IFERROR(GOOGLEFINANCE(A601,""NAME""),)"),"Univa Foods Ltd")</f>
        <v>Univa Foods Ltd</v>
      </c>
      <c r="C601" s="51">
        <f>IFERROR(__xludf.DUMMYFUNCTION("IFERROR(GOOGLEFINANCE(A601,""CHANGE""),)"),0.0)</f>
        <v>0</v>
      </c>
      <c r="D601" s="51">
        <f>IFERROR(__xludf.DUMMYFUNCTION("IFERROR(GOOGLEFINANCE(A601,""CHANGEPCT""),)"),0.0)</f>
        <v>0</v>
      </c>
      <c r="E601" s="51" t="str">
        <f t="shared" si="1"/>
        <v>0%</v>
      </c>
      <c r="F601" s="51" t="str">
        <f t="shared" si="2"/>
        <v/>
      </c>
      <c r="G601" s="51" t="str">
        <f t="shared" si="3"/>
        <v/>
      </c>
      <c r="H601" s="51">
        <f>IFERROR(__xludf.DUMMYFUNCTION("IFERROR(GOOGLEFINANCE(A601,""PRICE""),)"),9.03)</f>
        <v>9.03</v>
      </c>
      <c r="I601" s="52">
        <f>IFERROR(__xludf.DUMMYFUNCTION("IFERROR(GOOGLEFINANCE(A601,""VOLUME""),)"),541.0)</f>
        <v>541</v>
      </c>
      <c r="J601" s="51" t="str">
        <f>IFERROR(__xludf.DUMMYFUNCTION("IFERROR(INDEX(SPLIT(A601,"":""),1,2),)"),"UNIVAFOODS")</f>
        <v>UNIVAFOODS</v>
      </c>
      <c r="K601" s="51" t="str">
        <f t="shared" si="4"/>
        <v/>
      </c>
      <c r="L601" s="51" t="str">
        <f t="shared" si="5"/>
        <v/>
      </c>
      <c r="M601" s="51">
        <f t="shared" si="6"/>
        <v>1439</v>
      </c>
      <c r="N601" s="53">
        <f>IFERROR(__xludf.DUMMYFUNCTION("IFERROR(GOOGLEFINANCE(A601,""TRADETIME""),)"),46265.64583333333)</f>
        <v>46265.64583</v>
      </c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</row>
    <row r="602" ht="15.75" customHeight="1">
      <c r="A602" s="48" t="s">
        <v>648</v>
      </c>
      <c r="B602" s="48" t="str">
        <f>IFERROR(__xludf.DUMMYFUNCTION("IFERROR(GOOGLEFINANCE(A602,""NAME""),)"),"")</f>
        <v/>
      </c>
      <c r="C602" s="48" t="str">
        <f>IFERROR(__xludf.DUMMYFUNCTION("IFERROR(GOOGLEFINANCE(A602,""CHANGE""),)"),"")</f>
        <v/>
      </c>
      <c r="D602" s="48" t="str">
        <f>IFERROR(__xludf.DUMMYFUNCTION("IFERROR(GOOGLEFINANCE(A602,""CHANGEPCT""),)"),"")</f>
        <v/>
      </c>
      <c r="E602" s="48" t="str">
        <f t="shared" si="1"/>
        <v>%</v>
      </c>
      <c r="F602" s="48" t="str">
        <f t="shared" si="2"/>
        <v/>
      </c>
      <c r="G602" s="48" t="str">
        <f t="shared" si="3"/>
        <v/>
      </c>
      <c r="H602" s="48" t="str">
        <f>IFERROR(__xludf.DUMMYFUNCTION("IFERROR(GOOGLEFINANCE(A602,""PRICE""),)"),"")</f>
        <v/>
      </c>
      <c r="I602" s="49" t="str">
        <f>IFERROR(__xludf.DUMMYFUNCTION("IFERROR(GOOGLEFINANCE(A602,""VOLUME""),)"),"")</f>
        <v/>
      </c>
      <c r="J602" s="48" t="str">
        <f>IFERROR(__xludf.DUMMYFUNCTION("IFERROR(INDEX(SPLIT(A602,"":""),1,2),)"),"HOVS")</f>
        <v>HOVS</v>
      </c>
      <c r="K602" s="48" t="str">
        <f t="shared" si="4"/>
        <v/>
      </c>
      <c r="L602" s="48" t="str">
        <f t="shared" si="5"/>
        <v/>
      </c>
      <c r="M602" s="48">
        <f t="shared" si="6"/>
        <v>1456</v>
      </c>
      <c r="N602" s="50" t="str">
        <f>IFERROR(__xludf.DUMMYFUNCTION("IFERROR(GOOGLEFINANCE(A602,""TRADETIME""),)"),"")</f>
        <v/>
      </c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</row>
    <row r="603" ht="15.75" customHeight="1">
      <c r="A603" s="51" t="s">
        <v>649</v>
      </c>
      <c r="B603" s="51" t="str">
        <f>IFERROR(__xludf.DUMMYFUNCTION("IFERROR(GOOGLEFINANCE(A603,""NAME""),)"),"HPL Electric &amp; Power Ltd")</f>
        <v>HPL Electric &amp; Power Ltd</v>
      </c>
      <c r="C603" s="51">
        <f>IFERROR(__xludf.DUMMYFUNCTION("IFERROR(GOOGLEFINANCE(A603,""CHANGE""),)"),2.45)</f>
        <v>2.45</v>
      </c>
      <c r="D603" s="51">
        <f>IFERROR(__xludf.DUMMYFUNCTION("IFERROR(GOOGLEFINANCE(A603,""CHANGEPCT""),)"),0.81)</f>
        <v>0.81</v>
      </c>
      <c r="E603" s="51" t="str">
        <f t="shared" si="1"/>
        <v>0.81%</v>
      </c>
      <c r="F603" s="51">
        <f t="shared" si="2"/>
        <v>0.81</v>
      </c>
      <c r="G603" s="51" t="str">
        <f t="shared" si="3"/>
        <v/>
      </c>
      <c r="H603" s="51">
        <f>IFERROR(__xludf.DUMMYFUNCTION("IFERROR(GOOGLEFINANCE(A603,""PRICE""),)"),305.7)</f>
        <v>305.7</v>
      </c>
      <c r="I603" s="52">
        <f>IFERROR(__xludf.DUMMYFUNCTION("IFERROR(GOOGLEFINANCE(A603,""VOLUME""),)"),97614.0)</f>
        <v>97614</v>
      </c>
      <c r="J603" s="51" t="str">
        <f>IFERROR(__xludf.DUMMYFUNCTION("IFERROR(INDEX(SPLIT(A603,"":""),1,2),)"),"HPL")</f>
        <v>HPL</v>
      </c>
      <c r="K603" s="51">
        <f t="shared" si="4"/>
        <v>495</v>
      </c>
      <c r="L603" s="51" t="str">
        <f t="shared" si="5"/>
        <v/>
      </c>
      <c r="M603" s="51">
        <f t="shared" si="6"/>
        <v>778</v>
      </c>
      <c r="N603" s="53">
        <f>IFERROR(__xludf.DUMMYFUNCTION("IFERROR(GOOGLEFINANCE(A603,""TRADETIME""),)"),46269.64583333333)</f>
        <v>46269.64583</v>
      </c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</row>
    <row r="604" ht="15.75" customHeight="1">
      <c r="A604" s="48" t="s">
        <v>650</v>
      </c>
      <c r="B604" s="48" t="str">
        <f>IFERROR(__xludf.DUMMYFUNCTION("IFERROR(GOOGLEFINANCE(A604,""NAME""),)"),"Himadri Speciality Chemical Ltd")</f>
        <v>Himadri Speciality Chemical Ltd</v>
      </c>
      <c r="C604" s="48">
        <f>IFERROR(__xludf.DUMMYFUNCTION("IFERROR(GOOGLEFINANCE(A604,""CHANGE""),)"),8.6)</f>
        <v>8.6</v>
      </c>
      <c r="D604" s="48">
        <f>IFERROR(__xludf.DUMMYFUNCTION("IFERROR(GOOGLEFINANCE(A604,""CHANGEPCT""),)"),1.3)</f>
        <v>1.3</v>
      </c>
      <c r="E604" s="48" t="str">
        <f t="shared" si="1"/>
        <v>1.3%</v>
      </c>
      <c r="F604" s="48">
        <f t="shared" si="2"/>
        <v>1.3</v>
      </c>
      <c r="G604" s="48" t="str">
        <f t="shared" si="3"/>
        <v/>
      </c>
      <c r="H604" s="48">
        <f>IFERROR(__xludf.DUMMYFUNCTION("IFERROR(GOOGLEFINANCE(A604,""PRICE""),)"),670.6)</f>
        <v>670.6</v>
      </c>
      <c r="I604" s="49">
        <f>IFERROR(__xludf.DUMMYFUNCTION("IFERROR(GOOGLEFINANCE(A604,""VOLUME""),)"),2597175.0)</f>
        <v>2597175</v>
      </c>
      <c r="J604" s="48" t="str">
        <f>IFERROR(__xludf.DUMMYFUNCTION("IFERROR(INDEX(SPLIT(A604,"":""),1,2),)"),"HSCL")</f>
        <v>HSCL</v>
      </c>
      <c r="K604" s="48">
        <f t="shared" si="4"/>
        <v>382</v>
      </c>
      <c r="L604" s="48" t="str">
        <f t="shared" si="5"/>
        <v/>
      </c>
      <c r="M604" s="48">
        <f t="shared" si="6"/>
        <v>142</v>
      </c>
      <c r="N604" s="50">
        <f>IFERROR(__xludf.DUMMYFUNCTION("IFERROR(GOOGLEFINANCE(A604,""TRADETIME""),)"),46269.64586805555)</f>
        <v>46269.64587</v>
      </c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</row>
    <row r="605" ht="15.75" customHeight="1">
      <c r="A605" s="51" t="s">
        <v>651</v>
      </c>
      <c r="B605" s="51" t="str">
        <f>IFERROR(__xludf.DUMMYFUNCTION("IFERROR(GOOGLEFINANCE(A605,""NAME""),)"),"AGI Greenpac Ltd")</f>
        <v>AGI Greenpac Ltd</v>
      </c>
      <c r="C605" s="51">
        <f>IFERROR(__xludf.DUMMYFUNCTION("IFERROR(GOOGLEFINANCE(A605,""CHANGE""),)"),-9.7)</f>
        <v>-9.7</v>
      </c>
      <c r="D605" s="51">
        <f>IFERROR(__xludf.DUMMYFUNCTION("IFERROR(GOOGLEFINANCE(A605,""CHANGEPCT""),)"),-1.31)</f>
        <v>-1.31</v>
      </c>
      <c r="E605" s="51" t="str">
        <f t="shared" si="1"/>
        <v>-1.31%</v>
      </c>
      <c r="F605" s="51" t="str">
        <f t="shared" si="2"/>
        <v/>
      </c>
      <c r="G605" s="51">
        <f t="shared" si="3"/>
        <v>-1.31</v>
      </c>
      <c r="H605" s="51">
        <f>IFERROR(__xludf.DUMMYFUNCTION("IFERROR(GOOGLEFINANCE(A605,""PRICE""),)"),732.5)</f>
        <v>732.5</v>
      </c>
      <c r="I605" s="52">
        <f>IFERROR(__xludf.DUMMYFUNCTION("IFERROR(GOOGLEFINANCE(A605,""VOLUME""),)"),98049.0)</f>
        <v>98049</v>
      </c>
      <c r="J605" s="51" t="str">
        <f>IFERROR(__xludf.DUMMYFUNCTION("IFERROR(INDEX(SPLIT(A605,"":""),1,2),)"),"AGI")</f>
        <v>AGI</v>
      </c>
      <c r="K605" s="51" t="str">
        <f t="shared" si="4"/>
        <v/>
      </c>
      <c r="L605" s="51">
        <f t="shared" si="5"/>
        <v>405</v>
      </c>
      <c r="M605" s="51">
        <f t="shared" si="6"/>
        <v>774</v>
      </c>
      <c r="N605" s="53">
        <f>IFERROR(__xludf.DUMMYFUNCTION("IFERROR(GOOGLEFINANCE(A605,""TRADETIME""),)"),46269.64583333333)</f>
        <v>46269.64583</v>
      </c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</row>
    <row r="606" ht="15.75" customHeight="1">
      <c r="A606" s="48" t="s">
        <v>652</v>
      </c>
      <c r="B606" s="48" t="str">
        <f>IFERROR(__xludf.DUMMYFUNCTION("IFERROR(GOOGLEFINANCE(A606,""NAME""),)"),"HT Media Ltd")</f>
        <v>HT Media Ltd</v>
      </c>
      <c r="C606" s="48">
        <f>IFERROR(__xludf.DUMMYFUNCTION("IFERROR(GOOGLEFINANCE(A606,""CHANGE""),)"),-0.26)</f>
        <v>-0.26</v>
      </c>
      <c r="D606" s="48">
        <f>IFERROR(__xludf.DUMMYFUNCTION("IFERROR(GOOGLEFINANCE(A606,""CHANGEPCT""),)"),-0.98)</f>
        <v>-0.98</v>
      </c>
      <c r="E606" s="48" t="str">
        <f t="shared" si="1"/>
        <v>-0.98%</v>
      </c>
      <c r="F606" s="48" t="str">
        <f t="shared" si="2"/>
        <v/>
      </c>
      <c r="G606" s="48">
        <f t="shared" si="3"/>
        <v>-0.98</v>
      </c>
      <c r="H606" s="48">
        <f>IFERROR(__xludf.DUMMYFUNCTION("IFERROR(GOOGLEFINANCE(A606,""PRICE""),)"),26.3)</f>
        <v>26.3</v>
      </c>
      <c r="I606" s="49">
        <f>IFERROR(__xludf.DUMMYFUNCTION("IFERROR(GOOGLEFINANCE(A606,""VOLUME""),)"),43144.0)</f>
        <v>43144</v>
      </c>
      <c r="J606" s="48" t="str">
        <f>IFERROR(__xludf.DUMMYFUNCTION("IFERROR(INDEX(SPLIT(A606,"":""),1,2),)"),"HTMEDIA")</f>
        <v>HTMEDIA</v>
      </c>
      <c r="K606" s="48" t="str">
        <f t="shared" si="4"/>
        <v/>
      </c>
      <c r="L606" s="48">
        <f t="shared" si="5"/>
        <v>334</v>
      </c>
      <c r="M606" s="48">
        <f t="shared" si="6"/>
        <v>983</v>
      </c>
      <c r="N606" s="50">
        <f>IFERROR(__xludf.DUMMYFUNCTION("IFERROR(GOOGLEFINANCE(A606,""TRADETIME""),)"),46269.64583333333)</f>
        <v>46269.64583</v>
      </c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</row>
    <row r="607" ht="15.75" customHeight="1">
      <c r="A607" s="51" t="s">
        <v>653</v>
      </c>
      <c r="B607" s="51" t="str">
        <f>IFERROR(__xludf.DUMMYFUNCTION("IFERROR(GOOGLEFINANCE(A607,""NAME""),)"),"Hubtown Ltd")</f>
        <v>Hubtown Ltd</v>
      </c>
      <c r="C607" s="51">
        <f>IFERROR(__xludf.DUMMYFUNCTION("IFERROR(GOOGLEFINANCE(A607,""CHANGE""),)"),-2.22)</f>
        <v>-2.22</v>
      </c>
      <c r="D607" s="51">
        <f>IFERROR(__xludf.DUMMYFUNCTION("IFERROR(GOOGLEFINANCE(A607,""CHANGEPCT""),)"),-1.16)</f>
        <v>-1.16</v>
      </c>
      <c r="E607" s="51" t="str">
        <f t="shared" si="1"/>
        <v>-1.16%</v>
      </c>
      <c r="F607" s="51" t="str">
        <f t="shared" si="2"/>
        <v/>
      </c>
      <c r="G607" s="51">
        <f t="shared" si="3"/>
        <v>-1.16</v>
      </c>
      <c r="H607" s="51">
        <f>IFERROR(__xludf.DUMMYFUNCTION("IFERROR(GOOGLEFINANCE(A607,""PRICE""),)"),189.98)</f>
        <v>189.98</v>
      </c>
      <c r="I607" s="52">
        <f>IFERROR(__xludf.DUMMYFUNCTION("IFERROR(GOOGLEFINANCE(A607,""VOLUME""),)"),598031.0)</f>
        <v>598031</v>
      </c>
      <c r="J607" s="51" t="str">
        <f>IFERROR(__xludf.DUMMYFUNCTION("IFERROR(INDEX(SPLIT(A607,"":""),1,2),)"),"HUBTOWN")</f>
        <v>HUBTOWN</v>
      </c>
      <c r="K607" s="51" t="str">
        <f t="shared" si="4"/>
        <v/>
      </c>
      <c r="L607" s="51">
        <f t="shared" si="5"/>
        <v>371</v>
      </c>
      <c r="M607" s="51">
        <f t="shared" si="6"/>
        <v>361</v>
      </c>
      <c r="N607" s="53">
        <f>IFERROR(__xludf.DUMMYFUNCTION("IFERROR(GOOGLEFINANCE(A607,""TRADETIME""),)"),46269.64583333333)</f>
        <v>46269.64583</v>
      </c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</row>
    <row r="608" ht="15.75" customHeight="1">
      <c r="A608" s="48" t="s">
        <v>654</v>
      </c>
      <c r="B608" s="48" t="str">
        <f>IFERROR(__xludf.DUMMYFUNCTION("IFERROR(GOOGLEFINANCE(A608,""NAME""),)"),"Housing And Urban Development Corp Ltd")</f>
        <v>Housing And Urban Development Corp Ltd</v>
      </c>
      <c r="C608" s="48">
        <f>IFERROR(__xludf.DUMMYFUNCTION("IFERROR(GOOGLEFINANCE(A608,""CHANGE""),)"),-0.57)</f>
        <v>-0.57</v>
      </c>
      <c r="D608" s="48">
        <f>IFERROR(__xludf.DUMMYFUNCTION("IFERROR(GOOGLEFINANCE(A608,""CHANGEPCT""),)"),-0.31)</f>
        <v>-0.31</v>
      </c>
      <c r="E608" s="48" t="str">
        <f t="shared" si="1"/>
        <v>-0.31%</v>
      </c>
      <c r="F608" s="48" t="str">
        <f t="shared" si="2"/>
        <v/>
      </c>
      <c r="G608" s="48">
        <f t="shared" si="3"/>
        <v>-0.31</v>
      </c>
      <c r="H608" s="48">
        <f>IFERROR(__xludf.DUMMYFUNCTION("IFERROR(GOOGLEFINANCE(A608,""PRICE""),)"),180.5)</f>
        <v>180.5</v>
      </c>
      <c r="I608" s="49">
        <f>IFERROR(__xludf.DUMMYFUNCTION("IFERROR(GOOGLEFINANCE(A608,""VOLUME""),)"),946223.0)</f>
        <v>946223</v>
      </c>
      <c r="J608" s="48" t="str">
        <f>IFERROR(__xludf.DUMMYFUNCTION("IFERROR(INDEX(SPLIT(A608,"":""),1,2),)"),"HUDCO")</f>
        <v>HUDCO</v>
      </c>
      <c r="K608" s="48" t="str">
        <f t="shared" si="4"/>
        <v/>
      </c>
      <c r="L608" s="48">
        <f t="shared" si="5"/>
        <v>115</v>
      </c>
      <c r="M608" s="48">
        <f t="shared" si="6"/>
        <v>286</v>
      </c>
      <c r="N608" s="50">
        <f>IFERROR(__xludf.DUMMYFUNCTION("IFERROR(GOOGLEFINANCE(A608,""TRADETIME""),)"),46269.64586805555)</f>
        <v>46269.64587</v>
      </c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</row>
    <row r="609" ht="15.75" customHeight="1">
      <c r="A609" s="51" t="s">
        <v>655</v>
      </c>
      <c r="B609" s="51" t="str">
        <f>IFERROR(__xludf.DUMMYFUNCTION("IFERROR(GOOGLEFINANCE(A609,""NAME""),)"),"Huhtamaki India Ltd")</f>
        <v>Huhtamaki India Ltd</v>
      </c>
      <c r="C609" s="51">
        <f>IFERROR(__xludf.DUMMYFUNCTION("IFERROR(GOOGLEFINANCE(A609,""CHANGE""),)"),-2.75)</f>
        <v>-2.75</v>
      </c>
      <c r="D609" s="51">
        <f>IFERROR(__xludf.DUMMYFUNCTION("IFERROR(GOOGLEFINANCE(A609,""CHANGEPCT""),)"),-1.07)</f>
        <v>-1.07</v>
      </c>
      <c r="E609" s="51" t="str">
        <f t="shared" si="1"/>
        <v>-1.07%</v>
      </c>
      <c r="F609" s="51" t="str">
        <f t="shared" si="2"/>
        <v/>
      </c>
      <c r="G609" s="51">
        <f t="shared" si="3"/>
        <v>-1.07</v>
      </c>
      <c r="H609" s="51">
        <f>IFERROR(__xludf.DUMMYFUNCTION("IFERROR(GOOGLEFINANCE(A609,""PRICE""),)"),255.45)</f>
        <v>255.45</v>
      </c>
      <c r="I609" s="52">
        <f>IFERROR(__xludf.DUMMYFUNCTION("IFERROR(GOOGLEFINANCE(A609,""VOLUME""),)"),125656.0)</f>
        <v>125656</v>
      </c>
      <c r="J609" s="51" t="str">
        <f>IFERROR(__xludf.DUMMYFUNCTION("IFERROR(INDEX(SPLIT(A609,"":""),1,2),)"),"HUHTAMAKI")</f>
        <v>HUHTAMAKI</v>
      </c>
      <c r="K609" s="51" t="str">
        <f t="shared" si="4"/>
        <v/>
      </c>
      <c r="L609" s="51">
        <f t="shared" si="5"/>
        <v>353</v>
      </c>
      <c r="M609" s="51">
        <f t="shared" si="6"/>
        <v>731</v>
      </c>
      <c r="N609" s="53">
        <f>IFERROR(__xludf.DUMMYFUNCTION("IFERROR(GOOGLEFINANCE(A609,""TRADETIME""),)"),46269.64583333333)</f>
        <v>46269.64583</v>
      </c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</row>
    <row r="610" ht="15.75" customHeight="1">
      <c r="A610" s="48" t="s">
        <v>656</v>
      </c>
      <c r="B610" s="48" t="str">
        <f>IFERROR(__xludf.DUMMYFUNCTION("IFERROR(GOOGLEFINANCE(A610,""NAME""),)"),"")</f>
        <v/>
      </c>
      <c r="C610" s="48" t="str">
        <f>IFERROR(__xludf.DUMMYFUNCTION("IFERROR(GOOGLEFINANCE(A610,""CHANGE""),)"),"")</f>
        <v/>
      </c>
      <c r="D610" s="48" t="str">
        <f>IFERROR(__xludf.DUMMYFUNCTION("IFERROR(GOOGLEFINANCE(A610,""CHANGEPCT""),)"),"")</f>
        <v/>
      </c>
      <c r="E610" s="48" t="str">
        <f t="shared" si="1"/>
        <v>%</v>
      </c>
      <c r="F610" s="48" t="str">
        <f t="shared" si="2"/>
        <v/>
      </c>
      <c r="G610" s="48" t="str">
        <f t="shared" si="3"/>
        <v/>
      </c>
      <c r="H610" s="48" t="str">
        <f>IFERROR(__xludf.DUMMYFUNCTION("IFERROR(GOOGLEFINANCE(A610,""PRICE""),)"),"")</f>
        <v/>
      </c>
      <c r="I610" s="49" t="str">
        <f>IFERROR(__xludf.DUMMYFUNCTION("IFERROR(GOOGLEFINANCE(A610,""VOLUME""),)"),"")</f>
        <v/>
      </c>
      <c r="J610" s="48" t="str">
        <f>IFERROR(__xludf.DUMMYFUNCTION("IFERROR(INDEX(SPLIT(A610,"":""),1,2),)"),"IBREALEST")</f>
        <v>IBREALEST</v>
      </c>
      <c r="K610" s="48" t="str">
        <f t="shared" si="4"/>
        <v/>
      </c>
      <c r="L610" s="48" t="str">
        <f t="shared" si="5"/>
        <v/>
      </c>
      <c r="M610" s="48">
        <f t="shared" si="6"/>
        <v>1456</v>
      </c>
      <c r="N610" s="50" t="str">
        <f>IFERROR(__xludf.DUMMYFUNCTION("IFERROR(GOOGLEFINANCE(A610,""TRADETIME""),)"),"")</f>
        <v/>
      </c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</row>
    <row r="611" ht="15.75" customHeight="1">
      <c r="A611" s="51" t="s">
        <v>657</v>
      </c>
      <c r="B611" s="51" t="str">
        <f>IFERROR(__xludf.DUMMYFUNCTION("IFERROR(GOOGLEFINANCE(A611,""NAME""),)"),"")</f>
        <v/>
      </c>
      <c r="C611" s="51" t="str">
        <f>IFERROR(__xludf.DUMMYFUNCTION("IFERROR(GOOGLEFINANCE(A611,""CHANGE""),)"),"")</f>
        <v/>
      </c>
      <c r="D611" s="51" t="str">
        <f>IFERROR(__xludf.DUMMYFUNCTION("IFERROR(GOOGLEFINANCE(A611,""CHANGEPCT""),)"),"")</f>
        <v/>
      </c>
      <c r="E611" s="51" t="str">
        <f t="shared" si="1"/>
        <v>%</v>
      </c>
      <c r="F611" s="51" t="str">
        <f t="shared" si="2"/>
        <v/>
      </c>
      <c r="G611" s="51" t="str">
        <f t="shared" si="3"/>
        <v/>
      </c>
      <c r="H611" s="51" t="str">
        <f>IFERROR(__xludf.DUMMYFUNCTION("IFERROR(GOOGLEFINANCE(A611,""PRICE""),)"),"")</f>
        <v/>
      </c>
      <c r="I611" s="52" t="str">
        <f>IFERROR(__xludf.DUMMYFUNCTION("IFERROR(GOOGLEFINANCE(A611,""VOLUME""),)"),"")</f>
        <v/>
      </c>
      <c r="J611" s="51" t="str">
        <f>IFERROR(__xludf.DUMMYFUNCTION("IFERROR(INDEX(SPLIT(A611,"":""),1,2),)"),"IBULHSGFIN")</f>
        <v>IBULHSGFIN</v>
      </c>
      <c r="K611" s="51" t="str">
        <f t="shared" si="4"/>
        <v/>
      </c>
      <c r="L611" s="51" t="str">
        <f t="shared" si="5"/>
        <v/>
      </c>
      <c r="M611" s="51">
        <f t="shared" si="6"/>
        <v>1456</v>
      </c>
      <c r="N611" s="53" t="str">
        <f>IFERROR(__xludf.DUMMYFUNCTION("IFERROR(GOOGLEFINANCE(A611,""TRADETIME""),)"),"")</f>
        <v/>
      </c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</row>
    <row r="612" ht="15.75" customHeight="1">
      <c r="A612" s="48" t="s">
        <v>658</v>
      </c>
      <c r="B612" s="48" t="str">
        <f>IFERROR(__xludf.DUMMYFUNCTION("IFERROR(GOOGLEFINANCE(A612,""NAME""),)"),"Ice Make Refrigeration Ltd")</f>
        <v>Ice Make Refrigeration Ltd</v>
      </c>
      <c r="C612" s="48">
        <f>IFERROR(__xludf.DUMMYFUNCTION("IFERROR(GOOGLEFINANCE(A612,""CHANGE""),)"),-0.25)</f>
        <v>-0.25</v>
      </c>
      <c r="D612" s="48">
        <f>IFERROR(__xludf.DUMMYFUNCTION("IFERROR(GOOGLEFINANCE(A612,""CHANGEPCT""),)"),-0.03)</f>
        <v>-0.03</v>
      </c>
      <c r="E612" s="48" t="str">
        <f t="shared" si="1"/>
        <v>-0.03%</v>
      </c>
      <c r="F612" s="48" t="str">
        <f t="shared" si="2"/>
        <v/>
      </c>
      <c r="G612" s="48">
        <f t="shared" si="3"/>
        <v>-0.03</v>
      </c>
      <c r="H612" s="48">
        <f>IFERROR(__xludf.DUMMYFUNCTION("IFERROR(GOOGLEFINANCE(A612,""PRICE""),)"),739.0)</f>
        <v>739</v>
      </c>
      <c r="I612" s="49">
        <f>IFERROR(__xludf.DUMMYFUNCTION("IFERROR(GOOGLEFINANCE(A612,""VOLUME""),)"),7174.0)</f>
        <v>7174</v>
      </c>
      <c r="J612" s="48" t="str">
        <f>IFERROR(__xludf.DUMMYFUNCTION("IFERROR(INDEX(SPLIT(A612,"":""),1,2),)"),"ICEMAKE")</f>
        <v>ICEMAKE</v>
      </c>
      <c r="K612" s="48" t="str">
        <f t="shared" si="4"/>
        <v/>
      </c>
      <c r="L612" s="48">
        <f t="shared" si="5"/>
        <v>9</v>
      </c>
      <c r="M612" s="48">
        <f t="shared" si="6"/>
        <v>1282</v>
      </c>
      <c r="N612" s="50">
        <f>IFERROR(__xludf.DUMMYFUNCTION("IFERROR(GOOGLEFINANCE(A612,""TRADETIME""),)"),46269.64583333333)</f>
        <v>46269.64583</v>
      </c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</row>
    <row r="613" ht="15.75" customHeight="1">
      <c r="A613" s="51" t="s">
        <v>659</v>
      </c>
      <c r="B613" s="51" t="str">
        <f>IFERROR(__xludf.DUMMYFUNCTION("IFERROR(GOOGLEFINANCE(A613,""NAME""),)"),"ICICI Bank Ltd")</f>
        <v>ICICI Bank Ltd</v>
      </c>
      <c r="C613" s="51">
        <f>IFERROR(__xludf.DUMMYFUNCTION("IFERROR(GOOGLEFINANCE(A613,""CHANGE""),)"),-6.3)</f>
        <v>-6.3</v>
      </c>
      <c r="D613" s="51">
        <f>IFERROR(__xludf.DUMMYFUNCTION("IFERROR(GOOGLEFINANCE(A613,""CHANGEPCT""),)"),-0.44)</f>
        <v>-0.44</v>
      </c>
      <c r="E613" s="51" t="str">
        <f t="shared" si="1"/>
        <v>-0.44%</v>
      </c>
      <c r="F613" s="51" t="str">
        <f t="shared" si="2"/>
        <v/>
      </c>
      <c r="G613" s="51">
        <f t="shared" si="3"/>
        <v>-0.44</v>
      </c>
      <c r="H613" s="51">
        <f>IFERROR(__xludf.DUMMYFUNCTION("IFERROR(GOOGLEFINANCE(A613,""PRICE""),)"),1423.7)</f>
        <v>1423.7</v>
      </c>
      <c r="I613" s="52">
        <f>IFERROR(__xludf.DUMMYFUNCTION("IFERROR(GOOGLEFINANCE(A613,""VOLUME""),)"),6693889.0)</f>
        <v>6693889</v>
      </c>
      <c r="J613" s="51" t="str">
        <f>IFERROR(__xludf.DUMMYFUNCTION("IFERROR(INDEX(SPLIT(A613,"":""),1,2),)"),"ICICIBANK")</f>
        <v>ICICIBANK</v>
      </c>
      <c r="K613" s="51" t="str">
        <f t="shared" si="4"/>
        <v/>
      </c>
      <c r="L613" s="51">
        <f t="shared" si="5"/>
        <v>168</v>
      </c>
      <c r="M613" s="51">
        <f t="shared" si="6"/>
        <v>68</v>
      </c>
      <c r="N613" s="53">
        <f>IFERROR(__xludf.DUMMYFUNCTION("IFERROR(GOOGLEFINANCE(A613,""TRADETIME""),)"),46269.64583333333)</f>
        <v>46269.64583</v>
      </c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</row>
    <row r="614" ht="15.75" customHeight="1">
      <c r="A614" s="48" t="s">
        <v>660</v>
      </c>
      <c r="B614" s="48" t="str">
        <f>IFERROR(__xludf.DUMMYFUNCTION("IFERROR(GOOGLEFINANCE(A614,""NAME""),)"),"ICICI Lombard General Insurance Co Ltd")</f>
        <v>ICICI Lombard General Insurance Co Ltd</v>
      </c>
      <c r="C614" s="48">
        <f>IFERROR(__xludf.DUMMYFUNCTION("IFERROR(GOOGLEFINANCE(A614,""CHANGE""),)"),-11.7)</f>
        <v>-11.7</v>
      </c>
      <c r="D614" s="48">
        <f>IFERROR(__xludf.DUMMYFUNCTION("IFERROR(GOOGLEFINANCE(A614,""CHANGEPCT""),)"),-0.77)</f>
        <v>-0.77</v>
      </c>
      <c r="E614" s="48" t="str">
        <f t="shared" si="1"/>
        <v>-0.77%</v>
      </c>
      <c r="F614" s="48" t="str">
        <f t="shared" si="2"/>
        <v/>
      </c>
      <c r="G614" s="48">
        <f t="shared" si="3"/>
        <v>-0.77</v>
      </c>
      <c r="H614" s="48">
        <f>IFERROR(__xludf.DUMMYFUNCTION("IFERROR(GOOGLEFINANCE(A614,""PRICE""),)"),1510.0)</f>
        <v>1510</v>
      </c>
      <c r="I614" s="49">
        <f>IFERROR(__xludf.DUMMYFUNCTION("IFERROR(GOOGLEFINANCE(A614,""VOLUME""),)"),824875.0)</f>
        <v>824875</v>
      </c>
      <c r="J614" s="48" t="str">
        <f>IFERROR(__xludf.DUMMYFUNCTION("IFERROR(INDEX(SPLIT(A614,"":""),1,2),)"),"ICICIGI")</f>
        <v>ICICIGI</v>
      </c>
      <c r="K614" s="48" t="str">
        <f t="shared" si="4"/>
        <v/>
      </c>
      <c r="L614" s="48">
        <f t="shared" si="5"/>
        <v>292</v>
      </c>
      <c r="M614" s="48">
        <f t="shared" si="6"/>
        <v>307</v>
      </c>
      <c r="N614" s="50">
        <f>IFERROR(__xludf.DUMMYFUNCTION("IFERROR(GOOGLEFINANCE(A614,""TRADETIME""),)"),46269.64583333333)</f>
        <v>46269.64583</v>
      </c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</row>
    <row r="615" ht="15.75" customHeight="1">
      <c r="A615" s="51" t="s">
        <v>661</v>
      </c>
      <c r="B615" s="51" t="str">
        <f>IFERROR(__xludf.DUMMYFUNCTION("IFERROR(GOOGLEFINANCE(A615,""NAME""),)"),"Icici Prudential Life Insurance Comp Ltd")</f>
        <v>Icici Prudential Life Insurance Comp Ltd</v>
      </c>
      <c r="C615" s="51">
        <f>IFERROR(__xludf.DUMMYFUNCTION("IFERROR(GOOGLEFINANCE(A615,""CHANGE""),)"),-0.75)</f>
        <v>-0.75</v>
      </c>
      <c r="D615" s="51">
        <f>IFERROR(__xludf.DUMMYFUNCTION("IFERROR(GOOGLEFINANCE(A615,""CHANGEPCT""),)"),-0.15)</f>
        <v>-0.15</v>
      </c>
      <c r="E615" s="51" t="str">
        <f t="shared" si="1"/>
        <v>-0.15%</v>
      </c>
      <c r="F615" s="51" t="str">
        <f t="shared" si="2"/>
        <v/>
      </c>
      <c r="G615" s="51">
        <f t="shared" si="3"/>
        <v>-0.15</v>
      </c>
      <c r="H615" s="51">
        <f>IFERROR(__xludf.DUMMYFUNCTION("IFERROR(GOOGLEFINANCE(A615,""PRICE""),)"),494.3)</f>
        <v>494.3</v>
      </c>
      <c r="I615" s="52">
        <f>IFERROR(__xludf.DUMMYFUNCTION("IFERROR(GOOGLEFINANCE(A615,""VOLUME""),)"),962782.0)</f>
        <v>962782</v>
      </c>
      <c r="J615" s="51" t="str">
        <f>IFERROR(__xludf.DUMMYFUNCTION("IFERROR(INDEX(SPLIT(A615,"":""),1,2),)"),"ICICIPRULI")</f>
        <v>ICICIPRULI</v>
      </c>
      <c r="K615" s="51" t="str">
        <f t="shared" si="4"/>
        <v/>
      </c>
      <c r="L615" s="51">
        <f t="shared" si="5"/>
        <v>54</v>
      </c>
      <c r="M615" s="51">
        <f t="shared" si="6"/>
        <v>282</v>
      </c>
      <c r="N615" s="53">
        <f>IFERROR(__xludf.DUMMYFUNCTION("IFERROR(GOOGLEFINANCE(A615,""TRADETIME""),)"),46269.64583333333)</f>
        <v>46269.64583</v>
      </c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</row>
    <row r="616" ht="15.75" customHeight="1">
      <c r="A616" s="48" t="s">
        <v>662</v>
      </c>
      <c r="B616" s="48" t="str">
        <f>IFERROR(__xludf.DUMMYFUNCTION("IFERROR(GOOGLEFINANCE(A616,""NAME""),)"),"Indo Count Industries Ltd")</f>
        <v>Indo Count Industries Ltd</v>
      </c>
      <c r="C616" s="48">
        <f>IFERROR(__xludf.DUMMYFUNCTION("IFERROR(GOOGLEFINANCE(A616,""CHANGE""),)"),11.7)</f>
        <v>11.7</v>
      </c>
      <c r="D616" s="48">
        <f>IFERROR(__xludf.DUMMYFUNCTION("IFERROR(GOOGLEFINANCE(A616,""CHANGEPCT""),)"),2.68)</f>
        <v>2.68</v>
      </c>
      <c r="E616" s="48" t="str">
        <f t="shared" si="1"/>
        <v>2.68%</v>
      </c>
      <c r="F616" s="48">
        <f t="shared" si="2"/>
        <v>2.68</v>
      </c>
      <c r="G616" s="48" t="str">
        <f t="shared" si="3"/>
        <v/>
      </c>
      <c r="H616" s="48">
        <f>IFERROR(__xludf.DUMMYFUNCTION("IFERROR(GOOGLEFINANCE(A616,""PRICE""),)"),449.05)</f>
        <v>449.05</v>
      </c>
      <c r="I616" s="49">
        <f>IFERROR(__xludf.DUMMYFUNCTION("IFERROR(GOOGLEFINANCE(A616,""VOLUME""),)"),621520.0)</f>
        <v>621520</v>
      </c>
      <c r="J616" s="48" t="str">
        <f>IFERROR(__xludf.DUMMYFUNCTION("IFERROR(INDEX(SPLIT(A616,"":""),1,2),)"),"ICIL")</f>
        <v>ICIL</v>
      </c>
      <c r="K616" s="48">
        <f t="shared" si="4"/>
        <v>185</v>
      </c>
      <c r="L616" s="48" t="str">
        <f t="shared" si="5"/>
        <v/>
      </c>
      <c r="M616" s="48">
        <f t="shared" si="6"/>
        <v>351</v>
      </c>
      <c r="N616" s="50">
        <f>IFERROR(__xludf.DUMMYFUNCTION("IFERROR(GOOGLEFINANCE(A616,""TRADETIME""),)"),46269.64583333333)</f>
        <v>46269.64583</v>
      </c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</row>
    <row r="617" ht="15.75" customHeight="1">
      <c r="A617" s="51" t="s">
        <v>663</v>
      </c>
      <c r="B617" s="51" t="str">
        <f>IFERROR(__xludf.DUMMYFUNCTION("IFERROR(GOOGLEFINANCE(A617,""NAME""),)"),"ICRA Ltd")</f>
        <v>ICRA Ltd</v>
      </c>
      <c r="C617" s="51">
        <f>IFERROR(__xludf.DUMMYFUNCTION("IFERROR(GOOGLEFINANCE(A617,""CHANGE""),)"),-4.3)</f>
        <v>-4.3</v>
      </c>
      <c r="D617" s="51">
        <f>IFERROR(__xludf.DUMMYFUNCTION("IFERROR(GOOGLEFINANCE(A617,""CHANGEPCT""),)"),-0.09)</f>
        <v>-0.09</v>
      </c>
      <c r="E617" s="51" t="str">
        <f t="shared" si="1"/>
        <v>-0.09%</v>
      </c>
      <c r="F617" s="51" t="str">
        <f t="shared" si="2"/>
        <v/>
      </c>
      <c r="G617" s="51">
        <f t="shared" si="3"/>
        <v>-0.09</v>
      </c>
      <c r="H617" s="51">
        <f>IFERROR(__xludf.DUMMYFUNCTION("IFERROR(GOOGLEFINANCE(A617,""PRICE""),)"),4885.0)</f>
        <v>4885</v>
      </c>
      <c r="I617" s="52">
        <f>IFERROR(__xludf.DUMMYFUNCTION("IFERROR(GOOGLEFINANCE(A617,""VOLUME""),)"),21042.0)</f>
        <v>21042</v>
      </c>
      <c r="J617" s="51" t="str">
        <f>IFERROR(__xludf.DUMMYFUNCTION("IFERROR(INDEX(SPLIT(A617,"":""),1,2),)"),"ICRA")</f>
        <v>ICRA</v>
      </c>
      <c r="K617" s="51" t="str">
        <f t="shared" si="4"/>
        <v/>
      </c>
      <c r="L617" s="51">
        <f t="shared" si="5"/>
        <v>30</v>
      </c>
      <c r="M617" s="51">
        <f t="shared" si="6"/>
        <v>1117</v>
      </c>
      <c r="N617" s="53">
        <f>IFERROR(__xludf.DUMMYFUNCTION("IFERROR(GOOGLEFINANCE(A617,""TRADETIME""),)"),46269.64583333333)</f>
        <v>46269.64583</v>
      </c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</row>
    <row r="618" ht="15.75" customHeight="1">
      <c r="A618" s="48" t="s">
        <v>664</v>
      </c>
      <c r="B618" s="48" t="str">
        <f>IFERROR(__xludf.DUMMYFUNCTION("IFERROR(GOOGLEFINANCE(A618,""NAME""),)"),"IDBI Bank Ltd")</f>
        <v>IDBI Bank Ltd</v>
      </c>
      <c r="C618" s="48">
        <f>IFERROR(__xludf.DUMMYFUNCTION("IFERROR(GOOGLEFINANCE(A618,""CHANGE""),)"),-1.35)</f>
        <v>-1.35</v>
      </c>
      <c r="D618" s="48">
        <f>IFERROR(__xludf.DUMMYFUNCTION("IFERROR(GOOGLEFINANCE(A618,""CHANGEPCT""),)"),-1.47)</f>
        <v>-1.47</v>
      </c>
      <c r="E618" s="48" t="str">
        <f t="shared" si="1"/>
        <v>-1.47%</v>
      </c>
      <c r="F618" s="48" t="str">
        <f t="shared" si="2"/>
        <v/>
      </c>
      <c r="G618" s="48">
        <f t="shared" si="3"/>
        <v>-1.47</v>
      </c>
      <c r="H618" s="48">
        <f>IFERROR(__xludf.DUMMYFUNCTION("IFERROR(GOOGLEFINANCE(A618,""PRICE""),)"),90.62)</f>
        <v>90.62</v>
      </c>
      <c r="I618" s="49">
        <f>IFERROR(__xludf.DUMMYFUNCTION("IFERROR(GOOGLEFINANCE(A618,""VOLUME""),)"),5012839.0)</f>
        <v>5012839</v>
      </c>
      <c r="J618" s="48" t="str">
        <f>IFERROR(__xludf.DUMMYFUNCTION("IFERROR(INDEX(SPLIT(A618,"":""),1,2),)"),"IDBI")</f>
        <v>IDBI</v>
      </c>
      <c r="K618" s="48" t="str">
        <f t="shared" si="4"/>
        <v/>
      </c>
      <c r="L618" s="48">
        <f t="shared" si="5"/>
        <v>443</v>
      </c>
      <c r="M618" s="48">
        <f t="shared" si="6"/>
        <v>87</v>
      </c>
      <c r="N618" s="50">
        <f>IFERROR(__xludf.DUMMYFUNCTION("IFERROR(GOOGLEFINANCE(A618,""TRADETIME""),)"),46269.64586805555)</f>
        <v>46269.64587</v>
      </c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</row>
    <row r="619" ht="15.75" customHeight="1">
      <c r="A619" s="51" t="s">
        <v>665</v>
      </c>
      <c r="B619" s="51" t="str">
        <f>IFERROR(__xludf.DUMMYFUNCTION("IFERROR(GOOGLEFINANCE(A619,""NAME""),)"),"Vodafone Idea Ltd")</f>
        <v>Vodafone Idea Ltd</v>
      </c>
      <c r="C619" s="51">
        <f>IFERROR(__xludf.DUMMYFUNCTION("IFERROR(GOOGLEFINANCE(A619,""CHANGE""),)"),0.58)</f>
        <v>0.58</v>
      </c>
      <c r="D619" s="51">
        <f>IFERROR(__xludf.DUMMYFUNCTION("IFERROR(GOOGLEFINANCE(A619,""CHANGEPCT""),)"),4.01)</f>
        <v>4.01</v>
      </c>
      <c r="E619" s="51" t="str">
        <f t="shared" si="1"/>
        <v>4.01%</v>
      </c>
      <c r="F619" s="51">
        <f t="shared" si="2"/>
        <v>4.01</v>
      </c>
      <c r="G619" s="51" t="str">
        <f t="shared" si="3"/>
        <v/>
      </c>
      <c r="H619" s="51">
        <f>IFERROR(__xludf.DUMMYFUNCTION("IFERROR(GOOGLEFINANCE(A619,""PRICE""),)"),15.06)</f>
        <v>15.06</v>
      </c>
      <c r="I619" s="52">
        <f>IFERROR(__xludf.DUMMYFUNCTION("IFERROR(GOOGLEFINANCE(A619,""VOLUME""),)"),5.25960563E8)</f>
        <v>525960563</v>
      </c>
      <c r="J619" s="51" t="str">
        <f>IFERROR(__xludf.DUMMYFUNCTION("IFERROR(INDEX(SPLIT(A619,"":""),1,2),)"),"IDEA")</f>
        <v>IDEA</v>
      </c>
      <c r="K619" s="51">
        <f t="shared" si="4"/>
        <v>117</v>
      </c>
      <c r="L619" s="51" t="str">
        <f t="shared" si="5"/>
        <v/>
      </c>
      <c r="M619" s="51">
        <f t="shared" si="6"/>
        <v>2</v>
      </c>
      <c r="N619" s="53">
        <f>IFERROR(__xludf.DUMMYFUNCTION("IFERROR(GOOGLEFINANCE(A619,""TRADETIME""),)"),46269.64583333333)</f>
        <v>46269.64583</v>
      </c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</row>
    <row r="620" ht="15.75" customHeight="1">
      <c r="A620" s="48" t="s">
        <v>666</v>
      </c>
      <c r="B620" s="48" t="str">
        <f>IFERROR(__xludf.DUMMYFUNCTION("IFERROR(GOOGLEFINANCE(A620,""NAME""),)"),"")</f>
        <v/>
      </c>
      <c r="C620" s="48" t="str">
        <f>IFERROR(__xludf.DUMMYFUNCTION("IFERROR(GOOGLEFINANCE(A620,""CHANGE""),)"),"")</f>
        <v/>
      </c>
      <c r="D620" s="48" t="str">
        <f>IFERROR(__xludf.DUMMYFUNCTION("IFERROR(GOOGLEFINANCE(A620,""CHANGEPCT""),)"),"")</f>
        <v/>
      </c>
      <c r="E620" s="48" t="str">
        <f t="shared" si="1"/>
        <v>%</v>
      </c>
      <c r="F620" s="48" t="str">
        <f t="shared" si="2"/>
        <v/>
      </c>
      <c r="G620" s="48" t="str">
        <f t="shared" si="3"/>
        <v/>
      </c>
      <c r="H620" s="48" t="str">
        <f>IFERROR(__xludf.DUMMYFUNCTION("IFERROR(GOOGLEFINANCE(A620,""PRICE""),)"),"")</f>
        <v/>
      </c>
      <c r="I620" s="49" t="str">
        <f>IFERROR(__xludf.DUMMYFUNCTION("IFERROR(GOOGLEFINANCE(A620,""VOLUME""),)"),"")</f>
        <v/>
      </c>
      <c r="J620" s="48" t="str">
        <f>IFERROR(__xludf.DUMMYFUNCTION("IFERROR(INDEX(SPLIT(A620,"":""),1,2),)"),"IDFC")</f>
        <v>IDFC</v>
      </c>
      <c r="K620" s="48" t="str">
        <f t="shared" si="4"/>
        <v/>
      </c>
      <c r="L620" s="48" t="str">
        <f t="shared" si="5"/>
        <v/>
      </c>
      <c r="M620" s="48">
        <f t="shared" si="6"/>
        <v>1456</v>
      </c>
      <c r="N620" s="50" t="str">
        <f>IFERROR(__xludf.DUMMYFUNCTION("IFERROR(GOOGLEFINANCE(A620,""TRADETIME""),)"),"")</f>
        <v/>
      </c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</row>
    <row r="621" ht="15.75" customHeight="1">
      <c r="A621" s="51" t="s">
        <v>667</v>
      </c>
      <c r="B621" s="51" t="str">
        <f>IFERROR(__xludf.DUMMYFUNCTION("IFERROR(GOOGLEFINANCE(A621,""NAME""),)"),"IDFC First Bank Ltd")</f>
        <v>IDFC First Bank Ltd</v>
      </c>
      <c r="C621" s="51">
        <f>IFERROR(__xludf.DUMMYFUNCTION("IFERROR(GOOGLEFINANCE(A621,""CHANGE""),)"),-0.79)</f>
        <v>-0.79</v>
      </c>
      <c r="D621" s="51">
        <f>IFERROR(__xludf.DUMMYFUNCTION("IFERROR(GOOGLEFINANCE(A621,""CHANGEPCT""),)"),-0.9)</f>
        <v>-0.9</v>
      </c>
      <c r="E621" s="51" t="str">
        <f t="shared" si="1"/>
        <v>-0.9%</v>
      </c>
      <c r="F621" s="51" t="str">
        <f t="shared" si="2"/>
        <v/>
      </c>
      <c r="G621" s="51">
        <f t="shared" si="3"/>
        <v>-0.9</v>
      </c>
      <c r="H621" s="51">
        <f>IFERROR(__xludf.DUMMYFUNCTION("IFERROR(GOOGLEFINANCE(A621,""PRICE""),)"),86.71)</f>
        <v>86.71</v>
      </c>
      <c r="I621" s="52">
        <f>IFERROR(__xludf.DUMMYFUNCTION("IFERROR(GOOGLEFINANCE(A621,""VOLUME""),)"),1.5288105E7)</f>
        <v>15288105</v>
      </c>
      <c r="J621" s="51" t="str">
        <f>IFERROR(__xludf.DUMMYFUNCTION("IFERROR(INDEX(SPLIT(A621,"":""),1,2),)"),"IDFCFIRSTB")</f>
        <v>IDFCFIRSTB</v>
      </c>
      <c r="K621" s="51" t="str">
        <f t="shared" si="4"/>
        <v/>
      </c>
      <c r="L621" s="51">
        <f t="shared" si="5"/>
        <v>317</v>
      </c>
      <c r="M621" s="51">
        <f t="shared" si="6"/>
        <v>27</v>
      </c>
      <c r="N621" s="53">
        <f>IFERROR(__xludf.DUMMYFUNCTION("IFERROR(GOOGLEFINANCE(A621,""TRADETIME""),)"),46269.64583333333)</f>
        <v>46269.64583</v>
      </c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</row>
    <row r="622" ht="15.75" customHeight="1">
      <c r="A622" s="48" t="s">
        <v>668</v>
      </c>
      <c r="B622" s="48" t="str">
        <f>IFERROR(__xludf.DUMMYFUNCTION("IFERROR(GOOGLEFINANCE(A622,""NAME""),)"),"Indian Energy Exchange Ltd")</f>
        <v>Indian Energy Exchange Ltd</v>
      </c>
      <c r="C622" s="48">
        <f>IFERROR(__xludf.DUMMYFUNCTION("IFERROR(GOOGLEFINANCE(A622,""CHANGE""),)"),-0.24)</f>
        <v>-0.24</v>
      </c>
      <c r="D622" s="48">
        <f>IFERROR(__xludf.DUMMYFUNCTION("IFERROR(GOOGLEFINANCE(A622,""CHANGEPCT""),)"),-0.2)</f>
        <v>-0.2</v>
      </c>
      <c r="E622" s="48" t="str">
        <f t="shared" si="1"/>
        <v>-0.2%</v>
      </c>
      <c r="F622" s="48" t="str">
        <f t="shared" si="2"/>
        <v/>
      </c>
      <c r="G622" s="48">
        <f t="shared" si="3"/>
        <v>-0.2</v>
      </c>
      <c r="H622" s="48">
        <f>IFERROR(__xludf.DUMMYFUNCTION("IFERROR(GOOGLEFINANCE(A622,""PRICE""),)"),118.91)</f>
        <v>118.91</v>
      </c>
      <c r="I622" s="49">
        <f>IFERROR(__xludf.DUMMYFUNCTION("IFERROR(GOOGLEFINANCE(A622,""VOLUME""),)"),1.1547227E7)</f>
        <v>11547227</v>
      </c>
      <c r="J622" s="48" t="str">
        <f>IFERROR(__xludf.DUMMYFUNCTION("IFERROR(INDEX(SPLIT(A622,"":""),1,2),)"),"IEX")</f>
        <v>IEX</v>
      </c>
      <c r="K622" s="48" t="str">
        <f t="shared" si="4"/>
        <v/>
      </c>
      <c r="L622" s="48">
        <f t="shared" si="5"/>
        <v>75</v>
      </c>
      <c r="M622" s="48">
        <f t="shared" si="6"/>
        <v>41</v>
      </c>
      <c r="N622" s="50">
        <f>IFERROR(__xludf.DUMMYFUNCTION("IFERROR(GOOGLEFINANCE(A622,""TRADETIME""),)"),46269.64583333333)</f>
        <v>46269.64583</v>
      </c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</row>
    <row r="623" ht="15.75" customHeight="1">
      <c r="A623" s="51" t="s">
        <v>669</v>
      </c>
      <c r="B623" s="51" t="str">
        <f>IFERROR(__xludf.DUMMYFUNCTION("IFERROR(GOOGLEFINANCE(A623,""NAME""),)"),"Ifb Agro Industries Ltd")</f>
        <v>Ifb Agro Industries Ltd</v>
      </c>
      <c r="C623" s="51">
        <f>IFERROR(__xludf.DUMMYFUNCTION("IFERROR(GOOGLEFINANCE(A623,""CHANGE""),)"),22.95)</f>
        <v>22.95</v>
      </c>
      <c r="D623" s="51">
        <f>IFERROR(__xludf.DUMMYFUNCTION("IFERROR(GOOGLEFINANCE(A623,""CHANGEPCT""),)"),2.58)</f>
        <v>2.58</v>
      </c>
      <c r="E623" s="51" t="str">
        <f t="shared" si="1"/>
        <v>2.58%</v>
      </c>
      <c r="F623" s="51">
        <f t="shared" si="2"/>
        <v>2.58</v>
      </c>
      <c r="G623" s="51" t="str">
        <f t="shared" si="3"/>
        <v/>
      </c>
      <c r="H623" s="51">
        <f>IFERROR(__xludf.DUMMYFUNCTION("IFERROR(GOOGLEFINANCE(A623,""PRICE""),)"),912.0)</f>
        <v>912</v>
      </c>
      <c r="I623" s="52">
        <f>IFERROR(__xludf.DUMMYFUNCTION("IFERROR(GOOGLEFINANCE(A623,""VOLUME""),)"),4296.0)</f>
        <v>4296</v>
      </c>
      <c r="J623" s="51" t="str">
        <f>IFERROR(__xludf.DUMMYFUNCTION("IFERROR(INDEX(SPLIT(A623,"":""),1,2),)"),"IFBAGRO")</f>
        <v>IFBAGRO</v>
      </c>
      <c r="K623" s="51">
        <f t="shared" si="4"/>
        <v>192</v>
      </c>
      <c r="L623" s="51" t="str">
        <f t="shared" si="5"/>
        <v/>
      </c>
      <c r="M623" s="51">
        <f t="shared" si="6"/>
        <v>1341</v>
      </c>
      <c r="N623" s="53">
        <f>IFERROR(__xludf.DUMMYFUNCTION("IFERROR(GOOGLEFINANCE(A623,""TRADETIME""),)"),46269.64583333333)</f>
        <v>46269.64583</v>
      </c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</row>
    <row r="624" ht="15.75" customHeight="1">
      <c r="A624" s="48" t="s">
        <v>670</v>
      </c>
      <c r="B624" s="48" t="str">
        <f>IFERROR(__xludf.DUMMYFUNCTION("IFERROR(GOOGLEFINANCE(A624,""NAME""),)"),"IFB Industries Ltd")</f>
        <v>IFB Industries Ltd</v>
      </c>
      <c r="C624" s="48">
        <f>IFERROR(__xludf.DUMMYFUNCTION("IFERROR(GOOGLEFINANCE(A624,""CHANGE""),)"),-5.8)</f>
        <v>-5.8</v>
      </c>
      <c r="D624" s="48">
        <f>IFERROR(__xludf.DUMMYFUNCTION("IFERROR(GOOGLEFINANCE(A624,""CHANGEPCT""),)"),-0.44)</f>
        <v>-0.44</v>
      </c>
      <c r="E624" s="48" t="str">
        <f t="shared" si="1"/>
        <v>-0.44%</v>
      </c>
      <c r="F624" s="48" t="str">
        <f t="shared" si="2"/>
        <v/>
      </c>
      <c r="G624" s="48">
        <f t="shared" si="3"/>
        <v>-0.44</v>
      </c>
      <c r="H624" s="48">
        <f>IFERROR(__xludf.DUMMYFUNCTION("IFERROR(GOOGLEFINANCE(A624,""PRICE""),)"),1306.0)</f>
        <v>1306</v>
      </c>
      <c r="I624" s="49">
        <f>IFERROR(__xludf.DUMMYFUNCTION("IFERROR(GOOGLEFINANCE(A624,""VOLUME""),)"),19145.0)</f>
        <v>19145</v>
      </c>
      <c r="J624" s="48" t="str">
        <f>IFERROR(__xludf.DUMMYFUNCTION("IFERROR(INDEX(SPLIT(A624,"":""),1,2),)"),"IFBIND")</f>
        <v>IFBIND</v>
      </c>
      <c r="K624" s="48" t="str">
        <f t="shared" si="4"/>
        <v/>
      </c>
      <c r="L624" s="48">
        <f t="shared" si="5"/>
        <v>169</v>
      </c>
      <c r="M624" s="48">
        <f t="shared" si="6"/>
        <v>1130</v>
      </c>
      <c r="N624" s="50">
        <f>IFERROR(__xludf.DUMMYFUNCTION("IFERROR(GOOGLEFINANCE(A624,""TRADETIME""),)"),46269.64583333333)</f>
        <v>46269.64583</v>
      </c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</row>
    <row r="625" ht="15.75" customHeight="1">
      <c r="A625" s="51" t="s">
        <v>671</v>
      </c>
      <c r="B625" s="51" t="str">
        <f>IFERROR(__xludf.DUMMYFUNCTION("IFERROR(GOOGLEFINANCE(A625,""NAME""),)"),"IFCI Ltd")</f>
        <v>IFCI Ltd</v>
      </c>
      <c r="C625" s="51">
        <f>IFERROR(__xludf.DUMMYFUNCTION("IFERROR(GOOGLEFINANCE(A625,""CHANGE""),)"),6.26)</f>
        <v>6.26</v>
      </c>
      <c r="D625" s="51">
        <f>IFERROR(__xludf.DUMMYFUNCTION("IFERROR(GOOGLEFINANCE(A625,""CHANGEPCT""),)"),6.53)</f>
        <v>6.53</v>
      </c>
      <c r="E625" s="51" t="str">
        <f t="shared" si="1"/>
        <v>6.53%</v>
      </c>
      <c r="F625" s="51">
        <f t="shared" si="2"/>
        <v>6.53</v>
      </c>
      <c r="G625" s="51" t="str">
        <f t="shared" si="3"/>
        <v/>
      </c>
      <c r="H625" s="51">
        <f>IFERROR(__xludf.DUMMYFUNCTION("IFERROR(GOOGLEFINANCE(A625,""PRICE""),)"),102.17)</f>
        <v>102.17</v>
      </c>
      <c r="I625" s="52">
        <f>IFERROR(__xludf.DUMMYFUNCTION("IFERROR(GOOGLEFINANCE(A625,""VOLUME""),)"),4.07352536E8)</f>
        <v>407352536</v>
      </c>
      <c r="J625" s="51" t="str">
        <f>IFERROR(__xludf.DUMMYFUNCTION("IFERROR(INDEX(SPLIT(A625,"":""),1,2),)"),"IFCI")</f>
        <v>IFCI</v>
      </c>
      <c r="K625" s="51">
        <f t="shared" si="4"/>
        <v>28</v>
      </c>
      <c r="L625" s="51" t="str">
        <f t="shared" si="5"/>
        <v/>
      </c>
      <c r="M625" s="51">
        <f t="shared" si="6"/>
        <v>3</v>
      </c>
      <c r="N625" s="53">
        <f>IFERROR(__xludf.DUMMYFUNCTION("IFERROR(GOOGLEFINANCE(A625,""TRADETIME""),)"),46269.64583333333)</f>
        <v>46269.64583</v>
      </c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</row>
    <row r="626" ht="15.75" customHeight="1">
      <c r="A626" s="48" t="s">
        <v>672</v>
      </c>
      <c r="B626" s="48" t="str">
        <f>IFERROR(__xludf.DUMMYFUNCTION("IFERROR(GOOGLEFINANCE(A626,""NAME""),)"),"IFGL Refractories Ltd")</f>
        <v>IFGL Refractories Ltd</v>
      </c>
      <c r="C626" s="48">
        <f>IFERROR(__xludf.DUMMYFUNCTION("IFERROR(GOOGLEFINANCE(A626,""CHANGE""),)"),0.06)</f>
        <v>0.06</v>
      </c>
      <c r="D626" s="48">
        <f>IFERROR(__xludf.DUMMYFUNCTION("IFERROR(GOOGLEFINANCE(A626,""CHANGEPCT""),)"),0.03)</f>
        <v>0.03</v>
      </c>
      <c r="E626" s="48" t="str">
        <f t="shared" si="1"/>
        <v>0.03%</v>
      </c>
      <c r="F626" s="48">
        <f t="shared" si="2"/>
        <v>0.03</v>
      </c>
      <c r="G626" s="48" t="str">
        <f t="shared" si="3"/>
        <v/>
      </c>
      <c r="H626" s="48">
        <f>IFERROR(__xludf.DUMMYFUNCTION("IFERROR(GOOGLEFINANCE(A626,""PRICE""),)"),207.5)</f>
        <v>207.5</v>
      </c>
      <c r="I626" s="49">
        <f>IFERROR(__xludf.DUMMYFUNCTION("IFERROR(GOOGLEFINANCE(A626,""VOLUME""),)"),22469.0)</f>
        <v>22469</v>
      </c>
      <c r="J626" s="48" t="str">
        <f>IFERROR(__xludf.DUMMYFUNCTION("IFERROR(INDEX(SPLIT(A626,"":""),1,2),)"),"IFGLEXPOR")</f>
        <v>IFGLEXPOR</v>
      </c>
      <c r="K626" s="48">
        <f t="shared" si="4"/>
        <v>765</v>
      </c>
      <c r="L626" s="48" t="str">
        <f t="shared" si="5"/>
        <v/>
      </c>
      <c r="M626" s="48">
        <f t="shared" si="6"/>
        <v>1107</v>
      </c>
      <c r="N626" s="50">
        <f>IFERROR(__xludf.DUMMYFUNCTION("IFERROR(GOOGLEFINANCE(A626,""TRADETIME""),)"),46269.64583333333)</f>
        <v>46269.64583</v>
      </c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</row>
    <row r="627" ht="15.75" customHeight="1">
      <c r="A627" s="51" t="s">
        <v>673</v>
      </c>
      <c r="B627" s="51" t="str">
        <f>IFERROR(__xludf.DUMMYFUNCTION("IFERROR(GOOGLEFINANCE(A627,""NAME""),)"),"Igarashi Motors India Ltd")</f>
        <v>Igarashi Motors India Ltd</v>
      </c>
      <c r="C627" s="51">
        <f>IFERROR(__xludf.DUMMYFUNCTION("IFERROR(GOOGLEFINANCE(A627,""CHANGE""),)"),7.75)</f>
        <v>7.75</v>
      </c>
      <c r="D627" s="51">
        <f>IFERROR(__xludf.DUMMYFUNCTION("IFERROR(GOOGLEFINANCE(A627,""CHANGEPCT""),)"),1.86)</f>
        <v>1.86</v>
      </c>
      <c r="E627" s="51" t="str">
        <f t="shared" si="1"/>
        <v>1.86%</v>
      </c>
      <c r="F627" s="51">
        <f t="shared" si="2"/>
        <v>1.86</v>
      </c>
      <c r="G627" s="51" t="str">
        <f t="shared" si="3"/>
        <v/>
      </c>
      <c r="H627" s="51">
        <f>IFERROR(__xludf.DUMMYFUNCTION("IFERROR(GOOGLEFINANCE(A627,""PRICE""),)"),424.0)</f>
        <v>424</v>
      </c>
      <c r="I627" s="52">
        <f>IFERROR(__xludf.DUMMYFUNCTION("IFERROR(GOOGLEFINANCE(A627,""VOLUME""),)"),40948.0)</f>
        <v>40948</v>
      </c>
      <c r="J627" s="51" t="str">
        <f>IFERROR(__xludf.DUMMYFUNCTION("IFERROR(INDEX(SPLIT(A627,"":""),1,2),)"),"IGARASHI")</f>
        <v>IGARASHI</v>
      </c>
      <c r="K627" s="51">
        <f t="shared" si="4"/>
        <v>285</v>
      </c>
      <c r="L627" s="51" t="str">
        <f t="shared" si="5"/>
        <v/>
      </c>
      <c r="M627" s="51">
        <f t="shared" si="6"/>
        <v>999</v>
      </c>
      <c r="N627" s="53">
        <f>IFERROR(__xludf.DUMMYFUNCTION("IFERROR(GOOGLEFINANCE(A627,""TRADETIME""),)"),46269.64583333333)</f>
        <v>46269.64583</v>
      </c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</row>
    <row r="628" ht="15.75" customHeight="1">
      <c r="A628" s="48" t="s">
        <v>674</v>
      </c>
      <c r="B628" s="48" t="str">
        <f>IFERROR(__xludf.DUMMYFUNCTION("IFERROR(GOOGLEFINANCE(A628,""NAME""),)"),"Indraprastha Gas Limited")</f>
        <v>Indraprastha Gas Limited</v>
      </c>
      <c r="C628" s="48">
        <f>IFERROR(__xludf.DUMMYFUNCTION("IFERROR(GOOGLEFINANCE(A628,""CHANGE""),)"),8.89)</f>
        <v>8.89</v>
      </c>
      <c r="D628" s="48">
        <f>IFERROR(__xludf.DUMMYFUNCTION("IFERROR(GOOGLEFINANCE(A628,""CHANGEPCT""),)"),5.95)</f>
        <v>5.95</v>
      </c>
      <c r="E628" s="48" t="str">
        <f t="shared" si="1"/>
        <v>5.95%</v>
      </c>
      <c r="F628" s="48">
        <f t="shared" si="2"/>
        <v>5.95</v>
      </c>
      <c r="G628" s="48" t="str">
        <f t="shared" si="3"/>
        <v/>
      </c>
      <c r="H628" s="48">
        <f>IFERROR(__xludf.DUMMYFUNCTION("IFERROR(GOOGLEFINANCE(A628,""PRICE""),)"),158.31)</f>
        <v>158.31</v>
      </c>
      <c r="I628" s="49">
        <f>IFERROR(__xludf.DUMMYFUNCTION("IFERROR(GOOGLEFINANCE(A628,""VOLUME""),)"),8174532.0)</f>
        <v>8174532</v>
      </c>
      <c r="J628" s="48" t="str">
        <f>IFERROR(__xludf.DUMMYFUNCTION("IFERROR(INDEX(SPLIT(A628,"":""),1,2),)"),"IGL")</f>
        <v>IGL</v>
      </c>
      <c r="K628" s="48">
        <f t="shared" si="4"/>
        <v>36</v>
      </c>
      <c r="L628" s="48" t="str">
        <f t="shared" si="5"/>
        <v/>
      </c>
      <c r="M628" s="48">
        <f t="shared" si="6"/>
        <v>53</v>
      </c>
      <c r="N628" s="50">
        <f>IFERROR(__xludf.DUMMYFUNCTION("IFERROR(GOOGLEFINANCE(A628,""TRADETIME""),)"),46269.64583333333)</f>
        <v>46269.64583</v>
      </c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</row>
    <row r="629" ht="15.75" customHeight="1">
      <c r="A629" s="51" t="s">
        <v>675</v>
      </c>
      <c r="B629" s="51" t="str">
        <f>IFERROR(__xludf.DUMMYFUNCTION("IFERROR(GOOGLEFINANCE(A629,""NAME""),)"),"I G Petrochemicals Ltd")</f>
        <v>I G Petrochemicals Ltd</v>
      </c>
      <c r="C629" s="51">
        <f>IFERROR(__xludf.DUMMYFUNCTION("IFERROR(GOOGLEFINANCE(A629,""CHANGE""),)"),19.4)</f>
        <v>19.4</v>
      </c>
      <c r="D629" s="51">
        <f>IFERROR(__xludf.DUMMYFUNCTION("IFERROR(GOOGLEFINANCE(A629,""CHANGEPCT""),)"),3.53)</f>
        <v>3.53</v>
      </c>
      <c r="E629" s="51" t="str">
        <f t="shared" si="1"/>
        <v>3.53%</v>
      </c>
      <c r="F629" s="51">
        <f t="shared" si="2"/>
        <v>3.53</v>
      </c>
      <c r="G629" s="51" t="str">
        <f t="shared" si="3"/>
        <v/>
      </c>
      <c r="H629" s="51">
        <f>IFERROR(__xludf.DUMMYFUNCTION("IFERROR(GOOGLEFINANCE(A629,""PRICE""),)"),568.25)</f>
        <v>568.25</v>
      </c>
      <c r="I629" s="52">
        <f>IFERROR(__xludf.DUMMYFUNCTION("IFERROR(GOOGLEFINANCE(A629,""VOLUME""),)"),200277.0)</f>
        <v>200277</v>
      </c>
      <c r="J629" s="51" t="str">
        <f>IFERROR(__xludf.DUMMYFUNCTION("IFERROR(INDEX(SPLIT(A629,"":""),1,2),)"),"IGPL")</f>
        <v>IGPL</v>
      </c>
      <c r="K629" s="51">
        <f t="shared" si="4"/>
        <v>138</v>
      </c>
      <c r="L629" s="51" t="str">
        <f t="shared" si="5"/>
        <v/>
      </c>
      <c r="M629" s="51">
        <f t="shared" si="6"/>
        <v>626</v>
      </c>
      <c r="N629" s="53">
        <f>IFERROR(__xludf.DUMMYFUNCTION("IFERROR(GOOGLEFINANCE(A629,""TRADETIME""),)"),46269.64583333333)</f>
        <v>46269.64583</v>
      </c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</row>
    <row r="630" ht="15.75" customHeight="1">
      <c r="A630" s="48" t="s">
        <v>676</v>
      </c>
      <c r="B630" s="48" t="str">
        <f>IFERROR(__xludf.DUMMYFUNCTION("IFERROR(GOOGLEFINANCE(A630,""NAME""),)"),"IIFL Finance Ltd")</f>
        <v>IIFL Finance Ltd</v>
      </c>
      <c r="C630" s="48">
        <f>IFERROR(__xludf.DUMMYFUNCTION("IFERROR(GOOGLEFINANCE(A630,""CHANGE""),)"),8.6)</f>
        <v>8.6</v>
      </c>
      <c r="D630" s="48">
        <f>IFERROR(__xludf.DUMMYFUNCTION("IFERROR(GOOGLEFINANCE(A630,""CHANGEPCT""),)"),1.34)</f>
        <v>1.34</v>
      </c>
      <c r="E630" s="48" t="str">
        <f t="shared" si="1"/>
        <v>1.34%</v>
      </c>
      <c r="F630" s="48">
        <f t="shared" si="2"/>
        <v>1.34</v>
      </c>
      <c r="G630" s="48" t="str">
        <f t="shared" si="3"/>
        <v/>
      </c>
      <c r="H630" s="48">
        <f>IFERROR(__xludf.DUMMYFUNCTION("IFERROR(GOOGLEFINANCE(A630,""PRICE""),)"),652.0)</f>
        <v>652</v>
      </c>
      <c r="I630" s="49">
        <f>IFERROR(__xludf.DUMMYFUNCTION("IFERROR(GOOGLEFINANCE(A630,""VOLUME""),)"),2119359.0)</f>
        <v>2119359</v>
      </c>
      <c r="J630" s="48" t="str">
        <f>IFERROR(__xludf.DUMMYFUNCTION("IFERROR(INDEX(SPLIT(A630,"":""),1,2),)"),"IIFL")</f>
        <v>IIFL</v>
      </c>
      <c r="K630" s="48">
        <f t="shared" si="4"/>
        <v>372</v>
      </c>
      <c r="L630" s="48" t="str">
        <f t="shared" si="5"/>
        <v/>
      </c>
      <c r="M630" s="48">
        <f t="shared" si="6"/>
        <v>169</v>
      </c>
      <c r="N630" s="50">
        <f>IFERROR(__xludf.DUMMYFUNCTION("IFERROR(GOOGLEFINANCE(A630,""TRADETIME""),)"),46269.64586805555)</f>
        <v>46269.64587</v>
      </c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</row>
    <row r="631" ht="15.75" customHeight="1">
      <c r="A631" s="51" t="s">
        <v>677</v>
      </c>
      <c r="B631" s="51" t="str">
        <f>IFERROR(__xludf.DUMMYFUNCTION("IFERROR(GOOGLEFINANCE(A631,""NAME""),)"),"")</f>
        <v/>
      </c>
      <c r="C631" s="51" t="str">
        <f>IFERROR(__xludf.DUMMYFUNCTION("IFERROR(GOOGLEFINANCE(A631,""CHANGE""),)"),"")</f>
        <v/>
      </c>
      <c r="D631" s="51" t="str">
        <f>IFERROR(__xludf.DUMMYFUNCTION("IFERROR(GOOGLEFINANCE(A631,""CHANGEPCT""),)"),"")</f>
        <v/>
      </c>
      <c r="E631" s="51" t="str">
        <f t="shared" si="1"/>
        <v>%</v>
      </c>
      <c r="F631" s="51" t="str">
        <f t="shared" si="2"/>
        <v/>
      </c>
      <c r="G631" s="51" t="str">
        <f t="shared" si="3"/>
        <v/>
      </c>
      <c r="H631" s="51" t="str">
        <f>IFERROR(__xludf.DUMMYFUNCTION("IFERROR(GOOGLEFINANCE(A631,""PRICE""),)"),"")</f>
        <v/>
      </c>
      <c r="I631" s="52" t="str">
        <f>IFERROR(__xludf.DUMMYFUNCTION("IFERROR(GOOGLEFINANCE(A631,""VOLUME""),)"),"")</f>
        <v/>
      </c>
      <c r="J631" s="51" t="str">
        <f>IFERROR(__xludf.DUMMYFUNCTION("IFERROR(INDEX(SPLIT(A631,"":""),1,2),)"),"IIFLSEC")</f>
        <v>IIFLSEC</v>
      </c>
      <c r="K631" s="51" t="str">
        <f t="shared" si="4"/>
        <v/>
      </c>
      <c r="L631" s="51" t="str">
        <f t="shared" si="5"/>
        <v/>
      </c>
      <c r="M631" s="51">
        <f t="shared" si="6"/>
        <v>1456</v>
      </c>
      <c r="N631" s="53" t="str">
        <f>IFERROR(__xludf.DUMMYFUNCTION("IFERROR(GOOGLEFINANCE(A631,""TRADETIME""),)"),"")</f>
        <v/>
      </c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</row>
    <row r="632" ht="15.75" customHeight="1">
      <c r="A632" s="48" t="s">
        <v>678</v>
      </c>
      <c r="B632" s="48" t="str">
        <f>IFERROR(__xludf.DUMMYFUNCTION("IFERROR(GOOGLEFINANCE(A632,""NAME""),)"),"360 One Wam Ltd")</f>
        <v>360 One Wam Ltd</v>
      </c>
      <c r="C632" s="48">
        <f>IFERROR(__xludf.DUMMYFUNCTION("IFERROR(GOOGLEFINANCE(A632,""CHANGE""),)"),-18.7)</f>
        <v>-18.7</v>
      </c>
      <c r="D632" s="48">
        <f>IFERROR(__xludf.DUMMYFUNCTION("IFERROR(GOOGLEFINANCE(A632,""CHANGEPCT""),)"),-1.62)</f>
        <v>-1.62</v>
      </c>
      <c r="E632" s="48" t="str">
        <f t="shared" si="1"/>
        <v>-1.62%</v>
      </c>
      <c r="F632" s="48" t="str">
        <f t="shared" si="2"/>
        <v/>
      </c>
      <c r="G632" s="48">
        <f t="shared" si="3"/>
        <v>-1.62</v>
      </c>
      <c r="H632" s="48">
        <f>IFERROR(__xludf.DUMMYFUNCTION("IFERROR(GOOGLEFINANCE(A632,""PRICE""),)"),1136.3)</f>
        <v>1136.3</v>
      </c>
      <c r="I632" s="49">
        <f>IFERROR(__xludf.DUMMYFUNCTION("IFERROR(GOOGLEFINANCE(A632,""VOLUME""),)"),603451.0)</f>
        <v>603451</v>
      </c>
      <c r="J632" s="48" t="str">
        <f>IFERROR(__xludf.DUMMYFUNCTION("IFERROR(INDEX(SPLIT(A632,"":""),1,2),)"),"360ONE")</f>
        <v>360ONE</v>
      </c>
      <c r="K632" s="48" t="str">
        <f t="shared" si="4"/>
        <v/>
      </c>
      <c r="L632" s="48">
        <f t="shared" si="5"/>
        <v>472</v>
      </c>
      <c r="M632" s="48">
        <f t="shared" si="6"/>
        <v>358</v>
      </c>
      <c r="N632" s="50">
        <f>IFERROR(__xludf.DUMMYFUNCTION("IFERROR(GOOGLEFINANCE(A632,""TRADETIME""),)"),46269.64583333333)</f>
        <v>46269.64583</v>
      </c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</row>
    <row r="633" ht="15.75" customHeight="1">
      <c r="A633" s="51" t="s">
        <v>679</v>
      </c>
      <c r="B633" s="51" t="str">
        <f>IFERROR(__xludf.DUMMYFUNCTION("IFERROR(GOOGLEFINANCE(A633,""NAME""),)"),"Industrial Investment Trust Ltd")</f>
        <v>Industrial Investment Trust Ltd</v>
      </c>
      <c r="C633" s="51">
        <f>IFERROR(__xludf.DUMMYFUNCTION("IFERROR(GOOGLEFINANCE(A633,""CHANGE""),)"),-6.12)</f>
        <v>-6.12</v>
      </c>
      <c r="D633" s="51">
        <f>IFERROR(__xludf.DUMMYFUNCTION("IFERROR(GOOGLEFINANCE(A633,""CHANGEPCT""),)"),-4.03)</f>
        <v>-4.03</v>
      </c>
      <c r="E633" s="51" t="str">
        <f t="shared" si="1"/>
        <v>-4.03%</v>
      </c>
      <c r="F633" s="51" t="str">
        <f t="shared" si="2"/>
        <v/>
      </c>
      <c r="G633" s="51">
        <f t="shared" si="3"/>
        <v>-4.03</v>
      </c>
      <c r="H633" s="51">
        <f>IFERROR(__xludf.DUMMYFUNCTION("IFERROR(GOOGLEFINANCE(A633,""PRICE""),)"),145.8)</f>
        <v>145.8</v>
      </c>
      <c r="I633" s="52">
        <f>IFERROR(__xludf.DUMMYFUNCTION("IFERROR(GOOGLEFINANCE(A633,""VOLUME""),)"),100778.0)</f>
        <v>100778</v>
      </c>
      <c r="J633" s="51" t="str">
        <f>IFERROR(__xludf.DUMMYFUNCTION("IFERROR(INDEX(SPLIT(A633,"":""),1,2),)"),"IITL")</f>
        <v>IITL</v>
      </c>
      <c r="K633" s="51" t="str">
        <f t="shared" si="4"/>
        <v/>
      </c>
      <c r="L633" s="51">
        <f t="shared" si="5"/>
        <v>626</v>
      </c>
      <c r="M633" s="51">
        <f t="shared" si="6"/>
        <v>766</v>
      </c>
      <c r="N633" s="53">
        <f>IFERROR(__xludf.DUMMYFUNCTION("IFERROR(GOOGLEFINANCE(A633,""TRADETIME""),)"),46269.64583333333)</f>
        <v>46269.64583</v>
      </c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</row>
    <row r="634" ht="15.75" customHeight="1">
      <c r="A634" s="48" t="s">
        <v>680</v>
      </c>
      <c r="B634" s="48" t="str">
        <f>IFERROR(__xludf.DUMMYFUNCTION("IFERROR(GOOGLEFINANCE(A634,""NAME""),)"),"IL&amp;FS Engineering and Constructin Co Ltd")</f>
        <v>IL&amp;FS Engineering and Constructin Co Ltd</v>
      </c>
      <c r="C634" s="48">
        <f>IFERROR(__xludf.DUMMYFUNCTION("IFERROR(GOOGLEFINANCE(A634,""CHANGE""),)"),1.75)</f>
        <v>1.75</v>
      </c>
      <c r="D634" s="48">
        <f>IFERROR(__xludf.DUMMYFUNCTION("IFERROR(GOOGLEFINANCE(A634,""CHANGEPCT""),)"),5.0)</f>
        <v>5</v>
      </c>
      <c r="E634" s="48" t="str">
        <f t="shared" si="1"/>
        <v>5%</v>
      </c>
      <c r="F634" s="48">
        <f t="shared" si="2"/>
        <v>5</v>
      </c>
      <c r="G634" s="48" t="str">
        <f t="shared" si="3"/>
        <v/>
      </c>
      <c r="H634" s="48">
        <f>IFERROR(__xludf.DUMMYFUNCTION("IFERROR(GOOGLEFINANCE(A634,""PRICE""),)"),36.75)</f>
        <v>36.75</v>
      </c>
      <c r="I634" s="49">
        <f>IFERROR(__xludf.DUMMYFUNCTION("IFERROR(GOOGLEFINANCE(A634,""VOLUME""),)"),113314.0)</f>
        <v>113314</v>
      </c>
      <c r="J634" s="48" t="str">
        <f>IFERROR(__xludf.DUMMYFUNCTION("IFERROR(INDEX(SPLIT(A634,"":""),1,2),)"),"IL&amp;FSENGG")</f>
        <v>IL&amp;FSENGG</v>
      </c>
      <c r="K634" s="48">
        <f t="shared" si="4"/>
        <v>58</v>
      </c>
      <c r="L634" s="48" t="str">
        <f t="shared" si="5"/>
        <v/>
      </c>
      <c r="M634" s="48">
        <f t="shared" si="6"/>
        <v>746</v>
      </c>
      <c r="N634" s="50">
        <f>IFERROR(__xludf.DUMMYFUNCTION("IFERROR(GOOGLEFINANCE(A634,""TRADETIME""),)"),46269.64583333333)</f>
        <v>46269.64583</v>
      </c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</row>
    <row r="635" ht="15.75" customHeight="1">
      <c r="A635" s="51" t="s">
        <v>681</v>
      </c>
      <c r="B635" s="51" t="str">
        <f>IFERROR(__xludf.DUMMYFUNCTION("IFERROR(GOOGLEFINANCE(A635,""NAME""),)"),"IL&amp;FS Transportation Networks Ltd")</f>
        <v>IL&amp;FS Transportation Networks Ltd</v>
      </c>
      <c r="C635" s="51">
        <f>IFERROR(__xludf.DUMMYFUNCTION("IFERROR(GOOGLEFINANCE(A635,""CHANGE""),)"),-0.01)</f>
        <v>-0.01</v>
      </c>
      <c r="D635" s="51">
        <f>IFERROR(__xludf.DUMMYFUNCTION("IFERROR(GOOGLEFINANCE(A635,""CHANGEPCT""),)"),-0.47)</f>
        <v>-0.47</v>
      </c>
      <c r="E635" s="51" t="str">
        <f t="shared" si="1"/>
        <v>-0.47%</v>
      </c>
      <c r="F635" s="51" t="str">
        <f t="shared" si="2"/>
        <v/>
      </c>
      <c r="G635" s="51">
        <f t="shared" si="3"/>
        <v>-0.47</v>
      </c>
      <c r="H635" s="51">
        <f>IFERROR(__xludf.DUMMYFUNCTION("IFERROR(GOOGLEFINANCE(A635,""PRICE""),)"),2.1)</f>
        <v>2.1</v>
      </c>
      <c r="I635" s="52">
        <f>IFERROR(__xludf.DUMMYFUNCTION("IFERROR(GOOGLEFINANCE(A635,""VOLUME""),)"),97511.0)</f>
        <v>97511</v>
      </c>
      <c r="J635" s="51" t="str">
        <f>IFERROR(__xludf.DUMMYFUNCTION("IFERROR(INDEX(SPLIT(A635,"":""),1,2),)"),"IL&amp;FSTRANS")</f>
        <v>IL&amp;FSTRANS</v>
      </c>
      <c r="K635" s="51" t="str">
        <f t="shared" si="4"/>
        <v/>
      </c>
      <c r="L635" s="51">
        <f t="shared" si="5"/>
        <v>181</v>
      </c>
      <c r="M635" s="51">
        <f t="shared" si="6"/>
        <v>780</v>
      </c>
      <c r="N635" s="53">
        <f>IFERROR(__xludf.DUMMYFUNCTION("IFERROR(GOOGLEFINANCE(A635,""TRADETIME""),)"),46269.64583333333)</f>
        <v>46269.64583</v>
      </c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</row>
    <row r="636" ht="15.75" customHeight="1">
      <c r="A636" s="48" t="s">
        <v>682</v>
      </c>
      <c r="B636" s="48" t="str">
        <f>IFERROR(__xludf.DUMMYFUNCTION("IFERROR(GOOGLEFINANCE(A636,""NAME""),)"),"Imagicaaworld Entertainment Ltd")</f>
        <v>Imagicaaworld Entertainment Ltd</v>
      </c>
      <c r="C636" s="48">
        <f>IFERROR(__xludf.DUMMYFUNCTION("IFERROR(GOOGLEFINANCE(A636,""CHANGE""),)"),0.75)</f>
        <v>0.75</v>
      </c>
      <c r="D636" s="48">
        <f>IFERROR(__xludf.DUMMYFUNCTION("IFERROR(GOOGLEFINANCE(A636,""CHANGEPCT""),)"),1.37)</f>
        <v>1.37</v>
      </c>
      <c r="E636" s="48" t="str">
        <f t="shared" si="1"/>
        <v>1.37%</v>
      </c>
      <c r="F636" s="48">
        <f t="shared" si="2"/>
        <v>1.37</v>
      </c>
      <c r="G636" s="48" t="str">
        <f t="shared" si="3"/>
        <v/>
      </c>
      <c r="H636" s="48">
        <f>IFERROR(__xludf.DUMMYFUNCTION("IFERROR(GOOGLEFINANCE(A636,""PRICE""),)"),55.3)</f>
        <v>55.3</v>
      </c>
      <c r="I636" s="49">
        <f>IFERROR(__xludf.DUMMYFUNCTION("IFERROR(GOOGLEFINANCE(A636,""VOLUME""),)"),2402726.0)</f>
        <v>2402726</v>
      </c>
      <c r="J636" s="48" t="str">
        <f>IFERROR(__xludf.DUMMYFUNCTION("IFERROR(INDEX(SPLIT(A636,"":""),1,2),)"),"IMAGICAA")</f>
        <v>IMAGICAA</v>
      </c>
      <c r="K636" s="48">
        <f t="shared" si="4"/>
        <v>365</v>
      </c>
      <c r="L636" s="48" t="str">
        <f t="shared" si="5"/>
        <v/>
      </c>
      <c r="M636" s="48">
        <f t="shared" si="6"/>
        <v>152</v>
      </c>
      <c r="N636" s="50">
        <f>IFERROR(__xludf.DUMMYFUNCTION("IFERROR(GOOGLEFINANCE(A636,""TRADETIME""),)"),46269.64586805555)</f>
        <v>46269.64587</v>
      </c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</row>
    <row r="637" ht="15.75" customHeight="1">
      <c r="A637" s="51" t="s">
        <v>683</v>
      </c>
      <c r="B637" s="51" t="str">
        <f>IFERROR(__xludf.DUMMYFUNCTION("IFERROR(GOOGLEFINANCE(A637,""NAME""),)"),"Indian Metals and Ferro Alloys Ltd")</f>
        <v>Indian Metals and Ferro Alloys Ltd</v>
      </c>
      <c r="C637" s="51">
        <f>IFERROR(__xludf.DUMMYFUNCTION("IFERROR(GOOGLEFINANCE(A637,""CHANGE""),)"),9.3)</f>
        <v>9.3</v>
      </c>
      <c r="D637" s="51">
        <f>IFERROR(__xludf.DUMMYFUNCTION("IFERROR(GOOGLEFINANCE(A637,""CHANGEPCT""),)"),0.73)</f>
        <v>0.73</v>
      </c>
      <c r="E637" s="51" t="str">
        <f t="shared" si="1"/>
        <v>0.73%</v>
      </c>
      <c r="F637" s="51">
        <f t="shared" si="2"/>
        <v>0.73</v>
      </c>
      <c r="G637" s="51" t="str">
        <f t="shared" si="3"/>
        <v/>
      </c>
      <c r="H637" s="51">
        <f>IFERROR(__xludf.DUMMYFUNCTION("IFERROR(GOOGLEFINANCE(A637,""PRICE""),)"),1291.0)</f>
        <v>1291</v>
      </c>
      <c r="I637" s="52">
        <f>IFERROR(__xludf.DUMMYFUNCTION("IFERROR(GOOGLEFINANCE(A637,""VOLUME""),)"),162105.0)</f>
        <v>162105</v>
      </c>
      <c r="J637" s="51" t="str">
        <f>IFERROR(__xludf.DUMMYFUNCTION("IFERROR(INDEX(SPLIT(A637,"":""),1,2),)"),"IMFA")</f>
        <v>IMFA</v>
      </c>
      <c r="K637" s="51">
        <f t="shared" si="4"/>
        <v>522</v>
      </c>
      <c r="L637" s="51" t="str">
        <f t="shared" si="5"/>
        <v/>
      </c>
      <c r="M637" s="51">
        <f t="shared" si="6"/>
        <v>671</v>
      </c>
      <c r="N637" s="53">
        <f>IFERROR(__xludf.DUMMYFUNCTION("IFERROR(GOOGLEFINANCE(A637,""TRADETIME""),)"),46269.64586805555)</f>
        <v>46269.64587</v>
      </c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</row>
    <row r="638" ht="15.75" customHeight="1">
      <c r="A638" s="48" t="s">
        <v>684</v>
      </c>
      <c r="B638" s="48" t="str">
        <f>IFERROR(__xludf.DUMMYFUNCTION("IFERROR(GOOGLEFINANCE(A638,""NAME""),)"),"India Motor Parts &amp; Accessories Ltd")</f>
        <v>India Motor Parts &amp; Accessories Ltd</v>
      </c>
      <c r="C638" s="48">
        <f>IFERROR(__xludf.DUMMYFUNCTION("IFERROR(GOOGLEFINANCE(A638,""CHANGE""),)"),39.2)</f>
        <v>39.2</v>
      </c>
      <c r="D638" s="48">
        <f>IFERROR(__xludf.DUMMYFUNCTION("IFERROR(GOOGLEFINANCE(A638,""CHANGEPCT""),)"),3.6)</f>
        <v>3.6</v>
      </c>
      <c r="E638" s="48" t="str">
        <f t="shared" si="1"/>
        <v>3.6%</v>
      </c>
      <c r="F638" s="48">
        <f t="shared" si="2"/>
        <v>3.6</v>
      </c>
      <c r="G638" s="48" t="str">
        <f t="shared" si="3"/>
        <v/>
      </c>
      <c r="H638" s="48">
        <f>IFERROR(__xludf.DUMMYFUNCTION("IFERROR(GOOGLEFINANCE(A638,""PRICE""),)"),1127.0)</f>
        <v>1127</v>
      </c>
      <c r="I638" s="49">
        <f>IFERROR(__xludf.DUMMYFUNCTION("IFERROR(GOOGLEFINANCE(A638,""VOLUME""),)"),1266.0)</f>
        <v>1266</v>
      </c>
      <c r="J638" s="48" t="str">
        <f>IFERROR(__xludf.DUMMYFUNCTION("IFERROR(INDEX(SPLIT(A638,"":""),1,2),)"),"IMPAL")</f>
        <v>IMPAL</v>
      </c>
      <c r="K638" s="48">
        <f t="shared" si="4"/>
        <v>134</v>
      </c>
      <c r="L638" s="48" t="str">
        <f t="shared" si="5"/>
        <v/>
      </c>
      <c r="M638" s="48">
        <f t="shared" si="6"/>
        <v>1414</v>
      </c>
      <c r="N638" s="50">
        <f>IFERROR(__xludf.DUMMYFUNCTION("IFERROR(GOOGLEFINANCE(A638,""TRADETIME""),)"),46269.64583333333)</f>
        <v>46269.64583</v>
      </c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</row>
    <row r="639" ht="15.75" customHeight="1">
      <c r="A639" s="51" t="s">
        <v>685</v>
      </c>
      <c r="B639" s="51" t="str">
        <f>IFERROR(__xludf.DUMMYFUNCTION("IFERROR(GOOGLEFINANCE(A639,""NAME""),)"),"Impex Ferro Tech Ltd")</f>
        <v>Impex Ferro Tech Ltd</v>
      </c>
      <c r="C639" s="51">
        <f>IFERROR(__xludf.DUMMYFUNCTION("IFERROR(GOOGLEFINANCE(A639,""CHANGE""),)"),0.09)</f>
        <v>0.09</v>
      </c>
      <c r="D639" s="51">
        <f>IFERROR(__xludf.DUMMYFUNCTION("IFERROR(GOOGLEFINANCE(A639,""CHANGEPCT""),)"),1.94)</f>
        <v>1.94</v>
      </c>
      <c r="E639" s="51" t="str">
        <f t="shared" si="1"/>
        <v>1.94%</v>
      </c>
      <c r="F639" s="51">
        <f t="shared" si="2"/>
        <v>1.94</v>
      </c>
      <c r="G639" s="51" t="str">
        <f t="shared" si="3"/>
        <v/>
      </c>
      <c r="H639" s="51">
        <f>IFERROR(__xludf.DUMMYFUNCTION("IFERROR(GOOGLEFINANCE(A639,""PRICE""),)"),4.72)</f>
        <v>4.72</v>
      </c>
      <c r="I639" s="52">
        <f>IFERROR(__xludf.DUMMYFUNCTION("IFERROR(GOOGLEFINANCE(A639,""VOLUME""),)"),11143.0)</f>
        <v>11143</v>
      </c>
      <c r="J639" s="51" t="str">
        <f>IFERROR(__xludf.DUMMYFUNCTION("IFERROR(INDEX(SPLIT(A639,"":""),1,2),)"),"IMPEXFERRO")</f>
        <v>IMPEXFERRO</v>
      </c>
      <c r="K639" s="51">
        <f t="shared" si="4"/>
        <v>272</v>
      </c>
      <c r="L639" s="51" t="str">
        <f t="shared" si="5"/>
        <v/>
      </c>
      <c r="M639" s="51">
        <f t="shared" si="6"/>
        <v>1218</v>
      </c>
      <c r="N639" s="53">
        <f>IFERROR(__xludf.DUMMYFUNCTION("IFERROR(GOOGLEFINANCE(A639,""TRADETIME""),)"),46269.64583333333)</f>
        <v>46269.64583</v>
      </c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</row>
    <row r="640" ht="15.75" customHeight="1">
      <c r="A640" s="48" t="s">
        <v>686</v>
      </c>
      <c r="B640" s="48" t="str">
        <f>IFERROR(__xludf.DUMMYFUNCTION("IFERROR(GOOGLEFINANCE(A640,""NAME""),)"),"Indbank Merchant Banking Services Ltd")</f>
        <v>Indbank Merchant Banking Services Ltd</v>
      </c>
      <c r="C640" s="48">
        <f>IFERROR(__xludf.DUMMYFUNCTION("IFERROR(GOOGLEFINANCE(A640,""CHANGE""),)"),-0.2)</f>
        <v>-0.2</v>
      </c>
      <c r="D640" s="48">
        <f>IFERROR(__xludf.DUMMYFUNCTION("IFERROR(GOOGLEFINANCE(A640,""CHANGEPCT""),)"),-0.7)</f>
        <v>-0.7</v>
      </c>
      <c r="E640" s="48" t="str">
        <f t="shared" si="1"/>
        <v>-0.7%</v>
      </c>
      <c r="F640" s="48" t="str">
        <f t="shared" si="2"/>
        <v/>
      </c>
      <c r="G640" s="48">
        <f t="shared" si="3"/>
        <v>-0.7</v>
      </c>
      <c r="H640" s="48">
        <f>IFERROR(__xludf.DUMMYFUNCTION("IFERROR(GOOGLEFINANCE(A640,""PRICE""),)"),28.51)</f>
        <v>28.51</v>
      </c>
      <c r="I640" s="49">
        <f>IFERROR(__xludf.DUMMYFUNCTION("IFERROR(GOOGLEFINANCE(A640,""VOLUME""),)"),93377.0)</f>
        <v>93377</v>
      </c>
      <c r="J640" s="48" t="str">
        <f>IFERROR(__xludf.DUMMYFUNCTION("IFERROR(INDEX(SPLIT(A640,"":""),1,2),)"),"INDBANK")</f>
        <v>INDBANK</v>
      </c>
      <c r="K640" s="48" t="str">
        <f t="shared" si="4"/>
        <v/>
      </c>
      <c r="L640" s="48">
        <f t="shared" si="5"/>
        <v>266</v>
      </c>
      <c r="M640" s="48">
        <f t="shared" si="6"/>
        <v>791</v>
      </c>
      <c r="N640" s="50">
        <f>IFERROR(__xludf.DUMMYFUNCTION("IFERROR(GOOGLEFINANCE(A640,""TRADETIME""),)"),46269.64583333333)</f>
        <v>46269.64583</v>
      </c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</row>
    <row r="641" ht="15.75" customHeight="1">
      <c r="A641" s="51" t="s">
        <v>687</v>
      </c>
      <c r="B641" s="51" t="str">
        <f>IFERROR(__xludf.DUMMYFUNCTION("IFERROR(GOOGLEFINANCE(A641,""NAME""),)"),"Indian Hotels Company Ltd")</f>
        <v>Indian Hotels Company Ltd</v>
      </c>
      <c r="C641" s="51">
        <f>IFERROR(__xludf.DUMMYFUNCTION("IFERROR(GOOGLEFINANCE(A641,""CHANGE""),)"),-13.8)</f>
        <v>-13.8</v>
      </c>
      <c r="D641" s="51">
        <f>IFERROR(__xludf.DUMMYFUNCTION("IFERROR(GOOGLEFINANCE(A641,""CHANGEPCT""),)"),-1.89)</f>
        <v>-1.89</v>
      </c>
      <c r="E641" s="51" t="str">
        <f t="shared" si="1"/>
        <v>-1.89%</v>
      </c>
      <c r="F641" s="51" t="str">
        <f t="shared" si="2"/>
        <v/>
      </c>
      <c r="G641" s="51">
        <f t="shared" si="3"/>
        <v>-1.89</v>
      </c>
      <c r="H641" s="51">
        <f>IFERROR(__xludf.DUMMYFUNCTION("IFERROR(GOOGLEFINANCE(A641,""PRICE""),)"),718.2)</f>
        <v>718.2</v>
      </c>
      <c r="I641" s="52">
        <f>IFERROR(__xludf.DUMMYFUNCTION("IFERROR(GOOGLEFINANCE(A641,""VOLUME""),)"),1528492.0)</f>
        <v>1528492</v>
      </c>
      <c r="J641" s="51" t="str">
        <f>IFERROR(__xludf.DUMMYFUNCTION("IFERROR(INDEX(SPLIT(A641,"":""),1,2),)"),"INDHOTEL")</f>
        <v>INDHOTEL</v>
      </c>
      <c r="K641" s="51" t="str">
        <f t="shared" si="4"/>
        <v/>
      </c>
      <c r="L641" s="51">
        <f t="shared" si="5"/>
        <v>505</v>
      </c>
      <c r="M641" s="51">
        <f t="shared" si="6"/>
        <v>205</v>
      </c>
      <c r="N641" s="53">
        <f>IFERROR(__xludf.DUMMYFUNCTION("IFERROR(GOOGLEFINANCE(A641,""TRADETIME""),)"),46269.64583333333)</f>
        <v>46269.64583</v>
      </c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</row>
    <row r="642" ht="15.75" customHeight="1">
      <c r="A642" s="48" t="s">
        <v>688</v>
      </c>
      <c r="B642" s="48" t="str">
        <f>IFERROR(__xludf.DUMMYFUNCTION("IFERROR(GOOGLEFINANCE(A642,""NAME""),)"),"India Cements Ltd")</f>
        <v>India Cements Ltd</v>
      </c>
      <c r="C642" s="48">
        <f>IFERROR(__xludf.DUMMYFUNCTION("IFERROR(GOOGLEFINANCE(A642,""CHANGE""),)"),3.95)</f>
        <v>3.95</v>
      </c>
      <c r="D642" s="48">
        <f>IFERROR(__xludf.DUMMYFUNCTION("IFERROR(GOOGLEFINANCE(A642,""CHANGEPCT""),)"),1.1)</f>
        <v>1.1</v>
      </c>
      <c r="E642" s="48" t="str">
        <f t="shared" si="1"/>
        <v>1.1%</v>
      </c>
      <c r="F642" s="48">
        <f t="shared" si="2"/>
        <v>1.1</v>
      </c>
      <c r="G642" s="48" t="str">
        <f t="shared" si="3"/>
        <v/>
      </c>
      <c r="H642" s="48">
        <f>IFERROR(__xludf.DUMMYFUNCTION("IFERROR(GOOGLEFINANCE(A642,""PRICE""),)"),362.75)</f>
        <v>362.75</v>
      </c>
      <c r="I642" s="49">
        <f>IFERROR(__xludf.DUMMYFUNCTION("IFERROR(GOOGLEFINANCE(A642,""VOLUME""),)"),42548.0)</f>
        <v>42548</v>
      </c>
      <c r="J642" s="48" t="str">
        <f>IFERROR(__xludf.DUMMYFUNCTION("IFERROR(INDEX(SPLIT(A642,"":""),1,2),)"),"INDIACEM")</f>
        <v>INDIACEM</v>
      </c>
      <c r="K642" s="48">
        <f t="shared" si="4"/>
        <v>435</v>
      </c>
      <c r="L642" s="48" t="str">
        <f t="shared" si="5"/>
        <v/>
      </c>
      <c r="M642" s="48">
        <f t="shared" si="6"/>
        <v>988</v>
      </c>
      <c r="N642" s="50">
        <f>IFERROR(__xludf.DUMMYFUNCTION("IFERROR(GOOGLEFINANCE(A642,""TRADETIME""),)"),46269.64583333333)</f>
        <v>46269.64583</v>
      </c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</row>
    <row r="643" ht="15.75" customHeight="1">
      <c r="A643" s="51" t="s">
        <v>689</v>
      </c>
      <c r="B643" s="51" t="str">
        <f>IFERROR(__xludf.DUMMYFUNCTION("IFERROR(GOOGLEFINANCE(A643,""NAME""),)"),"India Glycols Ltd")</f>
        <v>India Glycols Ltd</v>
      </c>
      <c r="C643" s="51">
        <f>IFERROR(__xludf.DUMMYFUNCTION("IFERROR(GOOGLEFINANCE(A643,""CHANGE""),)"),12.4)</f>
        <v>12.4</v>
      </c>
      <c r="D643" s="51">
        <f>IFERROR(__xludf.DUMMYFUNCTION("IFERROR(GOOGLEFINANCE(A643,""CHANGEPCT""),)"),5.0)</f>
        <v>5</v>
      </c>
      <c r="E643" s="51" t="str">
        <f t="shared" si="1"/>
        <v>5%</v>
      </c>
      <c r="F643" s="51">
        <f t="shared" si="2"/>
        <v>5</v>
      </c>
      <c r="G643" s="51" t="str">
        <f t="shared" si="3"/>
        <v/>
      </c>
      <c r="H643" s="51">
        <f>IFERROR(__xludf.DUMMYFUNCTION("IFERROR(GOOGLEFINANCE(A643,""PRICE""),)"),260.4)</f>
        <v>260.4</v>
      </c>
      <c r="I643" s="52">
        <f>IFERROR(__xludf.DUMMYFUNCTION("IFERROR(GOOGLEFINANCE(A643,""VOLUME""),)"),21597.0)</f>
        <v>21597</v>
      </c>
      <c r="J643" s="51" t="str">
        <f>IFERROR(__xludf.DUMMYFUNCTION("IFERROR(INDEX(SPLIT(A643,"":""),1,2),)"),"INDIAGLYCO")</f>
        <v>INDIAGLYCO</v>
      </c>
      <c r="K643" s="51">
        <f t="shared" si="4"/>
        <v>59</v>
      </c>
      <c r="L643" s="51" t="str">
        <f t="shared" si="5"/>
        <v/>
      </c>
      <c r="M643" s="51">
        <f t="shared" si="6"/>
        <v>1112</v>
      </c>
      <c r="N643" s="53">
        <f>IFERROR(__xludf.DUMMYFUNCTION("IFERROR(GOOGLEFINANCE(A643,""TRADETIME""),)"),46269.64583333333)</f>
        <v>46269.64583</v>
      </c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</row>
    <row r="644" ht="15.75" customHeight="1">
      <c r="A644" s="48" t="s">
        <v>690</v>
      </c>
      <c r="B644" s="48" t="str">
        <f>IFERROR(__xludf.DUMMYFUNCTION("IFERROR(GOOGLEFINANCE(A644,""NAME""),)"),"IndiaMART InterMESH Ltd")</f>
        <v>IndiaMART InterMESH Ltd</v>
      </c>
      <c r="C644" s="48">
        <f>IFERROR(__xludf.DUMMYFUNCTION("IFERROR(GOOGLEFINANCE(A644,""CHANGE""),)"),-2.2)</f>
        <v>-2.2</v>
      </c>
      <c r="D644" s="48">
        <f>IFERROR(__xludf.DUMMYFUNCTION("IFERROR(GOOGLEFINANCE(A644,""CHANGEPCT""),)"),-0.13)</f>
        <v>-0.13</v>
      </c>
      <c r="E644" s="48" t="str">
        <f t="shared" si="1"/>
        <v>-0.13%</v>
      </c>
      <c r="F644" s="48" t="str">
        <f t="shared" si="2"/>
        <v/>
      </c>
      <c r="G644" s="48">
        <f t="shared" si="3"/>
        <v>-0.13</v>
      </c>
      <c r="H644" s="48">
        <f>IFERROR(__xludf.DUMMYFUNCTION("IFERROR(GOOGLEFINANCE(A644,""PRICE""),)"),1727.3)</f>
        <v>1727.3</v>
      </c>
      <c r="I644" s="49">
        <f>IFERROR(__xludf.DUMMYFUNCTION("IFERROR(GOOGLEFINANCE(A644,""VOLUME""),)"),43854.0)</f>
        <v>43854</v>
      </c>
      <c r="J644" s="48" t="str">
        <f>IFERROR(__xludf.DUMMYFUNCTION("IFERROR(INDEX(SPLIT(A644,"":""),1,2),)"),"INDIAMART")</f>
        <v>INDIAMART</v>
      </c>
      <c r="K644" s="48" t="str">
        <f t="shared" si="4"/>
        <v/>
      </c>
      <c r="L644" s="48">
        <f t="shared" si="5"/>
        <v>43</v>
      </c>
      <c r="M644" s="48">
        <f t="shared" si="6"/>
        <v>979</v>
      </c>
      <c r="N644" s="50">
        <f>IFERROR(__xludf.DUMMYFUNCTION("IFERROR(GOOGLEFINANCE(A644,""TRADETIME""),)"),46269.64583333333)</f>
        <v>46269.64583</v>
      </c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</row>
    <row r="645" ht="15.75" customHeight="1">
      <c r="A645" s="51" t="s">
        <v>691</v>
      </c>
      <c r="B645" s="51" t="str">
        <f>IFERROR(__xludf.DUMMYFUNCTION("IFERROR(GOOGLEFINANCE(A645,""NAME""),)"),"Indian Bank")</f>
        <v>Indian Bank</v>
      </c>
      <c r="C645" s="51">
        <f>IFERROR(__xludf.DUMMYFUNCTION("IFERROR(GOOGLEFINANCE(A645,""CHANGE""),)"),-5.3)</f>
        <v>-5.3</v>
      </c>
      <c r="D645" s="51">
        <f>IFERROR(__xludf.DUMMYFUNCTION("IFERROR(GOOGLEFINANCE(A645,""CHANGEPCT""),)"),-0.6)</f>
        <v>-0.6</v>
      </c>
      <c r="E645" s="51" t="str">
        <f t="shared" si="1"/>
        <v>-0.6%</v>
      </c>
      <c r="F645" s="51" t="str">
        <f t="shared" si="2"/>
        <v/>
      </c>
      <c r="G645" s="51">
        <f t="shared" si="3"/>
        <v>-0.6</v>
      </c>
      <c r="H645" s="51">
        <f>IFERROR(__xludf.DUMMYFUNCTION("IFERROR(GOOGLEFINANCE(A645,""PRICE""),)"),883.45)</f>
        <v>883.45</v>
      </c>
      <c r="I645" s="52">
        <f>IFERROR(__xludf.DUMMYFUNCTION("IFERROR(GOOGLEFINANCE(A645,""VOLUME""),)"),786614.0)</f>
        <v>786614</v>
      </c>
      <c r="J645" s="51" t="str">
        <f>IFERROR(__xludf.DUMMYFUNCTION("IFERROR(INDEX(SPLIT(A645,"":""),1,2),)"),"INDIANB")</f>
        <v>INDIANB</v>
      </c>
      <c r="K645" s="51" t="str">
        <f t="shared" si="4"/>
        <v/>
      </c>
      <c r="L645" s="51">
        <f t="shared" si="5"/>
        <v>225</v>
      </c>
      <c r="M645" s="51">
        <f t="shared" si="6"/>
        <v>311</v>
      </c>
      <c r="N645" s="53">
        <f>IFERROR(__xludf.DUMMYFUNCTION("IFERROR(GOOGLEFINANCE(A645,""TRADETIME""),)"),46269.64583333333)</f>
        <v>46269.64583</v>
      </c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</row>
    <row r="646" ht="15.75" customHeight="1">
      <c r="A646" s="48" t="s">
        <v>692</v>
      </c>
      <c r="B646" s="48" t="str">
        <f>IFERROR(__xludf.DUMMYFUNCTION("IFERROR(GOOGLEFINANCE(A646,""NAME""),)"),"Indian Card Clothing Company Ltd")</f>
        <v>Indian Card Clothing Company Ltd</v>
      </c>
      <c r="C646" s="48">
        <f>IFERROR(__xludf.DUMMYFUNCTION("IFERROR(GOOGLEFINANCE(A646,""CHANGE""),)"),9.16)</f>
        <v>9.16</v>
      </c>
      <c r="D646" s="48">
        <f>IFERROR(__xludf.DUMMYFUNCTION("IFERROR(GOOGLEFINANCE(A646,""CHANGEPCT""),)"),4.26)</f>
        <v>4.26</v>
      </c>
      <c r="E646" s="48" t="str">
        <f t="shared" si="1"/>
        <v>4.26%</v>
      </c>
      <c r="F646" s="48">
        <f t="shared" si="2"/>
        <v>4.26</v>
      </c>
      <c r="G646" s="48" t="str">
        <f t="shared" si="3"/>
        <v/>
      </c>
      <c r="H646" s="48">
        <f>IFERROR(__xludf.DUMMYFUNCTION("IFERROR(GOOGLEFINANCE(A646,""PRICE""),)"),223.98)</f>
        <v>223.98</v>
      </c>
      <c r="I646" s="49">
        <f>IFERROR(__xludf.DUMMYFUNCTION("IFERROR(GOOGLEFINANCE(A646,""VOLUME""),)"),3224.0)</f>
        <v>3224</v>
      </c>
      <c r="J646" s="48" t="str">
        <f>IFERROR(__xludf.DUMMYFUNCTION("IFERROR(INDEX(SPLIT(A646,"":""),1,2),)"),"INDIANCARD")</f>
        <v>INDIANCARD</v>
      </c>
      <c r="K646" s="48">
        <f t="shared" si="4"/>
        <v>104</v>
      </c>
      <c r="L646" s="48" t="str">
        <f t="shared" si="5"/>
        <v/>
      </c>
      <c r="M646" s="48">
        <f t="shared" si="6"/>
        <v>1362</v>
      </c>
      <c r="N646" s="50">
        <f>IFERROR(__xludf.DUMMYFUNCTION("IFERROR(GOOGLEFINANCE(A646,""TRADETIME""),)"),46269.64583333333)</f>
        <v>46269.64583</v>
      </c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</row>
    <row r="647" ht="15.75" customHeight="1">
      <c r="A647" s="51" t="s">
        <v>693</v>
      </c>
      <c r="B647" s="51" t="str">
        <f>IFERROR(__xludf.DUMMYFUNCTION("IFERROR(GOOGLEFINANCE(A647,""NAME""),)"),"Indian Hume Pipe Company Ltd")</f>
        <v>Indian Hume Pipe Company Ltd</v>
      </c>
      <c r="C647" s="51">
        <f>IFERROR(__xludf.DUMMYFUNCTION("IFERROR(GOOGLEFINANCE(A647,""CHANGE""),)"),-0.7)</f>
        <v>-0.7</v>
      </c>
      <c r="D647" s="51">
        <f>IFERROR(__xludf.DUMMYFUNCTION("IFERROR(GOOGLEFINANCE(A647,""CHANGEPCT""),)"),-0.18)</f>
        <v>-0.18</v>
      </c>
      <c r="E647" s="51" t="str">
        <f t="shared" si="1"/>
        <v>-0.18%</v>
      </c>
      <c r="F647" s="51" t="str">
        <f t="shared" si="2"/>
        <v/>
      </c>
      <c r="G647" s="51">
        <f t="shared" si="3"/>
        <v>-0.18</v>
      </c>
      <c r="H647" s="51">
        <f>IFERROR(__xludf.DUMMYFUNCTION("IFERROR(GOOGLEFINANCE(A647,""PRICE""),)"),390.0)</f>
        <v>390</v>
      </c>
      <c r="I647" s="52">
        <f>IFERROR(__xludf.DUMMYFUNCTION("IFERROR(GOOGLEFINANCE(A647,""VOLUME""),)"),56614.0)</f>
        <v>56614</v>
      </c>
      <c r="J647" s="51" t="str">
        <f>IFERROR(__xludf.DUMMYFUNCTION("IFERROR(INDEX(SPLIT(A647,"":""),1,2),)"),"INDIANHUME")</f>
        <v>INDIANHUME</v>
      </c>
      <c r="K647" s="51" t="str">
        <f t="shared" si="4"/>
        <v/>
      </c>
      <c r="L647" s="51">
        <f t="shared" si="5"/>
        <v>67</v>
      </c>
      <c r="M647" s="51">
        <f t="shared" si="6"/>
        <v>913</v>
      </c>
      <c r="N647" s="53">
        <f>IFERROR(__xludf.DUMMYFUNCTION("IFERROR(GOOGLEFINANCE(A647,""TRADETIME""),)"),46269.64583333333)</f>
        <v>46269.64583</v>
      </c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</row>
    <row r="648" ht="15.75" customHeight="1">
      <c r="A648" s="48" t="s">
        <v>694</v>
      </c>
      <c r="B648" s="48" t="str">
        <f>IFERROR(__xludf.DUMMYFUNCTION("IFERROR(GOOGLEFINANCE(A648,""NAME""),)"),"Interglobe Aviation Ltd")</f>
        <v>Interglobe Aviation Ltd</v>
      </c>
      <c r="C648" s="48">
        <f>IFERROR(__xludf.DUMMYFUNCTION("IFERROR(GOOGLEFINANCE(A648,""CHANGE""),)"),23.0)</f>
        <v>23</v>
      </c>
      <c r="D648" s="48">
        <f>IFERROR(__xludf.DUMMYFUNCTION("IFERROR(GOOGLEFINANCE(A648,""CHANGEPCT""),)"),0.46)</f>
        <v>0.46</v>
      </c>
      <c r="E648" s="48" t="str">
        <f t="shared" si="1"/>
        <v>0.46%</v>
      </c>
      <c r="F648" s="48">
        <f t="shared" si="2"/>
        <v>0.46</v>
      </c>
      <c r="G648" s="48" t="str">
        <f t="shared" si="3"/>
        <v/>
      </c>
      <c r="H648" s="48">
        <f>IFERROR(__xludf.DUMMYFUNCTION("IFERROR(GOOGLEFINANCE(A648,""PRICE""),)"),5003.0)</f>
        <v>5003</v>
      </c>
      <c r="I648" s="49">
        <f>IFERROR(__xludf.DUMMYFUNCTION("IFERROR(GOOGLEFINANCE(A648,""VOLUME""),)"),394117.0)</f>
        <v>394117</v>
      </c>
      <c r="J648" s="48" t="str">
        <f>IFERROR(__xludf.DUMMYFUNCTION("IFERROR(INDEX(SPLIT(A648,"":""),1,2),)"),"INDIGO")</f>
        <v>INDIGO</v>
      </c>
      <c r="K648" s="48">
        <f t="shared" si="4"/>
        <v>606</v>
      </c>
      <c r="L648" s="48" t="str">
        <f t="shared" si="5"/>
        <v/>
      </c>
      <c r="M648" s="48">
        <f t="shared" si="6"/>
        <v>448</v>
      </c>
      <c r="N648" s="50">
        <f>IFERROR(__xludf.DUMMYFUNCTION("IFERROR(GOOGLEFINANCE(A648,""TRADETIME""),)"),46269.64583333333)</f>
        <v>46269.64583</v>
      </c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</row>
    <row r="649" ht="15.75" customHeight="1">
      <c r="A649" s="51" t="s">
        <v>695</v>
      </c>
      <c r="B649" s="51" t="str">
        <f>IFERROR(__xludf.DUMMYFUNCTION("IFERROR(GOOGLEFINANCE(A649,""NAME""),)"),"")</f>
        <v/>
      </c>
      <c r="C649" s="51" t="str">
        <f>IFERROR(__xludf.DUMMYFUNCTION("IFERROR(GOOGLEFINANCE(A649,""CHANGE""),)"),"")</f>
        <v/>
      </c>
      <c r="D649" s="51" t="str">
        <f>IFERROR(__xludf.DUMMYFUNCTION("IFERROR(GOOGLEFINANCE(A649,""CHANGEPCT""),)"),"")</f>
        <v/>
      </c>
      <c r="E649" s="51" t="str">
        <f t="shared" si="1"/>
        <v>%</v>
      </c>
      <c r="F649" s="51" t="str">
        <f t="shared" si="2"/>
        <v/>
      </c>
      <c r="G649" s="51" t="str">
        <f t="shared" si="3"/>
        <v/>
      </c>
      <c r="H649" s="51" t="str">
        <f>IFERROR(__xludf.DUMMYFUNCTION("IFERROR(GOOGLEFINANCE(A649,""PRICE""),)"),"")</f>
        <v/>
      </c>
      <c r="I649" s="52" t="str">
        <f>IFERROR(__xludf.DUMMYFUNCTION("IFERROR(GOOGLEFINANCE(A649,""VOLUME""),)"),"")</f>
        <v/>
      </c>
      <c r="J649" s="51" t="str">
        <f>IFERROR(__xludf.DUMMYFUNCTION("IFERROR(INDEX(SPLIT(A649,"":""),1,2),)"),"INDLMETER")</f>
        <v>INDLMETER</v>
      </c>
      <c r="K649" s="51" t="str">
        <f t="shared" si="4"/>
        <v/>
      </c>
      <c r="L649" s="51" t="str">
        <f t="shared" si="5"/>
        <v/>
      </c>
      <c r="M649" s="51">
        <f t="shared" si="6"/>
        <v>1456</v>
      </c>
      <c r="N649" s="53" t="str">
        <f>IFERROR(__xludf.DUMMYFUNCTION("IFERROR(GOOGLEFINANCE(A649,""TRADETIME""),)"),"")</f>
        <v/>
      </c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</row>
    <row r="650" ht="15.75" customHeight="1">
      <c r="A650" s="48" t="s">
        <v>696</v>
      </c>
      <c r="B650" s="48" t="str">
        <f>IFERROR(__xludf.DUMMYFUNCTION("IFERROR(GOOGLEFINANCE(A650,""NAME""),)"),"India Nippon Electricals Ltd")</f>
        <v>India Nippon Electricals Ltd</v>
      </c>
      <c r="C650" s="48">
        <f>IFERROR(__xludf.DUMMYFUNCTION("IFERROR(GOOGLEFINANCE(A650,""CHANGE""),)"),60.6)</f>
        <v>60.6</v>
      </c>
      <c r="D650" s="48">
        <f>IFERROR(__xludf.DUMMYFUNCTION("IFERROR(GOOGLEFINANCE(A650,""CHANGEPCT""),)"),5.46)</f>
        <v>5.46</v>
      </c>
      <c r="E650" s="48" t="str">
        <f t="shared" si="1"/>
        <v>5.46%</v>
      </c>
      <c r="F650" s="48">
        <f t="shared" si="2"/>
        <v>5.46</v>
      </c>
      <c r="G650" s="48" t="str">
        <f t="shared" si="3"/>
        <v/>
      </c>
      <c r="H650" s="48">
        <f>IFERROR(__xludf.DUMMYFUNCTION("IFERROR(GOOGLEFINANCE(A650,""PRICE""),)"),1170.0)</f>
        <v>1170</v>
      </c>
      <c r="I650" s="49">
        <f>IFERROR(__xludf.DUMMYFUNCTION("IFERROR(GOOGLEFINANCE(A650,""VOLUME""),)"),63581.0)</f>
        <v>63581</v>
      </c>
      <c r="J650" s="48" t="str">
        <f>IFERROR(__xludf.DUMMYFUNCTION("IFERROR(INDEX(SPLIT(A650,"":""),1,2),)"),"INDNIPPON")</f>
        <v>INDNIPPON</v>
      </c>
      <c r="K650" s="48">
        <f t="shared" si="4"/>
        <v>43</v>
      </c>
      <c r="L650" s="48" t="str">
        <f t="shared" si="5"/>
        <v/>
      </c>
      <c r="M650" s="48">
        <f t="shared" si="6"/>
        <v>888</v>
      </c>
      <c r="N650" s="50">
        <f>IFERROR(__xludf.DUMMYFUNCTION("IFERROR(GOOGLEFINANCE(A650,""TRADETIME""),)"),46269.64586805555)</f>
        <v>46269.64587</v>
      </c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</row>
    <row r="651" ht="15.75" customHeight="1">
      <c r="A651" s="51" t="s">
        <v>697</v>
      </c>
      <c r="B651" s="51" t="str">
        <f>IFERROR(__xludf.DUMMYFUNCTION("IFERROR(GOOGLEFINANCE(A651,""NAME""),)"),"Indoco Remedies Ltd")</f>
        <v>Indoco Remedies Ltd</v>
      </c>
      <c r="C651" s="51">
        <f>IFERROR(__xludf.DUMMYFUNCTION("IFERROR(GOOGLEFINANCE(A651,""CHANGE""),)"),-6.06)</f>
        <v>-6.06</v>
      </c>
      <c r="D651" s="51">
        <f>IFERROR(__xludf.DUMMYFUNCTION("IFERROR(GOOGLEFINANCE(A651,""CHANGEPCT""),)"),-2.22)</f>
        <v>-2.22</v>
      </c>
      <c r="E651" s="51" t="str">
        <f t="shared" si="1"/>
        <v>-2.22%</v>
      </c>
      <c r="F651" s="51" t="str">
        <f t="shared" si="2"/>
        <v/>
      </c>
      <c r="G651" s="51">
        <f t="shared" si="3"/>
        <v>-2.22</v>
      </c>
      <c r="H651" s="51">
        <f>IFERROR(__xludf.DUMMYFUNCTION("IFERROR(GOOGLEFINANCE(A651,""PRICE""),)"),266.5)</f>
        <v>266.5</v>
      </c>
      <c r="I651" s="52">
        <f>IFERROR(__xludf.DUMMYFUNCTION("IFERROR(GOOGLEFINANCE(A651,""VOLUME""),)"),368891.0)</f>
        <v>368891</v>
      </c>
      <c r="J651" s="51" t="str">
        <f>IFERROR(__xludf.DUMMYFUNCTION("IFERROR(INDEX(SPLIT(A651,"":""),1,2),)"),"INDOCO")</f>
        <v>INDOCO</v>
      </c>
      <c r="K651" s="51" t="str">
        <f t="shared" si="4"/>
        <v/>
      </c>
      <c r="L651" s="51">
        <f t="shared" si="5"/>
        <v>552</v>
      </c>
      <c r="M651" s="51">
        <f t="shared" si="6"/>
        <v>458</v>
      </c>
      <c r="N651" s="53">
        <f>IFERROR(__xludf.DUMMYFUNCTION("IFERROR(GOOGLEFINANCE(A651,""TRADETIME""),)"),46269.64583333333)</f>
        <v>46269.64583</v>
      </c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</row>
    <row r="652" ht="15.75" customHeight="1">
      <c r="A652" s="48" t="s">
        <v>698</v>
      </c>
      <c r="B652" s="48" t="str">
        <f>IFERROR(__xludf.DUMMYFUNCTION("IFERROR(GOOGLEFINANCE(A652,""NAME""),)"),"Insecticides (India) Ltd")</f>
        <v>Insecticides (India) Ltd</v>
      </c>
      <c r="C652" s="48">
        <f>IFERROR(__xludf.DUMMYFUNCTION("IFERROR(GOOGLEFINANCE(A652,""CHANGE""),)"),1.4)</f>
        <v>1.4</v>
      </c>
      <c r="D652" s="48">
        <f>IFERROR(__xludf.DUMMYFUNCTION("IFERROR(GOOGLEFINANCE(A652,""CHANGEPCT""),)"),0.23)</f>
        <v>0.23</v>
      </c>
      <c r="E652" s="48" t="str">
        <f t="shared" si="1"/>
        <v>0.23%</v>
      </c>
      <c r="F652" s="48">
        <f t="shared" si="2"/>
        <v>0.23</v>
      </c>
      <c r="G652" s="48" t="str">
        <f t="shared" si="3"/>
        <v/>
      </c>
      <c r="H652" s="48">
        <f>IFERROR(__xludf.DUMMYFUNCTION("IFERROR(GOOGLEFINANCE(A652,""PRICE""),)"),615.55)</f>
        <v>615.55</v>
      </c>
      <c r="I652" s="49">
        <f>IFERROR(__xludf.DUMMYFUNCTION("IFERROR(GOOGLEFINANCE(A652,""VOLUME""),)"),22609.0)</f>
        <v>22609</v>
      </c>
      <c r="J652" s="48" t="str">
        <f>IFERROR(__xludf.DUMMYFUNCTION("IFERROR(INDEX(SPLIT(A652,"":""),1,2),)"),"INSECTICID")</f>
        <v>INSECTICID</v>
      </c>
      <c r="K652" s="48">
        <f t="shared" si="4"/>
        <v>682</v>
      </c>
      <c r="L652" s="48" t="str">
        <f t="shared" si="5"/>
        <v/>
      </c>
      <c r="M652" s="48">
        <f t="shared" si="6"/>
        <v>1105</v>
      </c>
      <c r="N652" s="50">
        <f>IFERROR(__xludf.DUMMYFUNCTION("IFERROR(GOOGLEFINANCE(A652,""TRADETIME""),)"),46269.64583333333)</f>
        <v>46269.64583</v>
      </c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</row>
    <row r="653" ht="15.75" customHeight="1">
      <c r="A653" s="51" t="s">
        <v>699</v>
      </c>
      <c r="B653" s="51" t="str">
        <f>IFERROR(__xludf.DUMMYFUNCTION("IFERROR(GOOGLEFINANCE(A653,""NAME""),)"),"IndoStar Capital Finance Ltd")</f>
        <v>IndoStar Capital Finance Ltd</v>
      </c>
      <c r="C653" s="51">
        <f>IFERROR(__xludf.DUMMYFUNCTION("IFERROR(GOOGLEFINANCE(A653,""CHANGE""),)"),0.63)</f>
        <v>0.63</v>
      </c>
      <c r="D653" s="51">
        <f>IFERROR(__xludf.DUMMYFUNCTION("IFERROR(GOOGLEFINANCE(A653,""CHANGEPCT""),)"),0.25)</f>
        <v>0.25</v>
      </c>
      <c r="E653" s="51" t="str">
        <f t="shared" si="1"/>
        <v>0.25%</v>
      </c>
      <c r="F653" s="51">
        <f t="shared" si="2"/>
        <v>0.25</v>
      </c>
      <c r="G653" s="51" t="str">
        <f t="shared" si="3"/>
        <v/>
      </c>
      <c r="H653" s="51">
        <f>IFERROR(__xludf.DUMMYFUNCTION("IFERROR(GOOGLEFINANCE(A653,""PRICE""),)"),256.51)</f>
        <v>256.51</v>
      </c>
      <c r="I653" s="52">
        <f>IFERROR(__xludf.DUMMYFUNCTION("IFERROR(GOOGLEFINANCE(A653,""VOLUME""),)"),111553.0)</f>
        <v>111553</v>
      </c>
      <c r="J653" s="51" t="str">
        <f>IFERROR(__xludf.DUMMYFUNCTION("IFERROR(INDEX(SPLIT(A653,"":""),1,2),)"),"INDOSTAR")</f>
        <v>INDOSTAR</v>
      </c>
      <c r="K653" s="51">
        <f t="shared" si="4"/>
        <v>677</v>
      </c>
      <c r="L653" s="51" t="str">
        <f t="shared" si="5"/>
        <v/>
      </c>
      <c r="M653" s="51">
        <f t="shared" si="6"/>
        <v>749</v>
      </c>
      <c r="N653" s="53">
        <f>IFERROR(__xludf.DUMMYFUNCTION("IFERROR(GOOGLEFINANCE(A653,""TRADETIME""),)"),46269.64583333333)</f>
        <v>46269.64583</v>
      </c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</row>
    <row r="654" ht="15.75" customHeight="1">
      <c r="A654" s="48" t="s">
        <v>700</v>
      </c>
      <c r="B654" s="48" t="str">
        <f>IFERROR(__xludf.DUMMYFUNCTION("IFERROR(GOOGLEFINANCE(A654,""NAME""),)"),"Indo Tech Transformers Limited")</f>
        <v>Indo Tech Transformers Limited</v>
      </c>
      <c r="C654" s="48">
        <f>IFERROR(__xludf.DUMMYFUNCTION("IFERROR(GOOGLEFINANCE(A654,""CHANGE""),)"),39.3)</f>
        <v>39.3</v>
      </c>
      <c r="D654" s="48">
        <f>IFERROR(__xludf.DUMMYFUNCTION("IFERROR(GOOGLEFINANCE(A654,""CHANGEPCT""),)"),1.09)</f>
        <v>1.09</v>
      </c>
      <c r="E654" s="48" t="str">
        <f t="shared" si="1"/>
        <v>1.09%</v>
      </c>
      <c r="F654" s="48">
        <f t="shared" si="2"/>
        <v>1.09</v>
      </c>
      <c r="G654" s="48" t="str">
        <f t="shared" si="3"/>
        <v/>
      </c>
      <c r="H654" s="48">
        <f>IFERROR(__xludf.DUMMYFUNCTION("IFERROR(GOOGLEFINANCE(A654,""PRICE""),)"),3650.0)</f>
        <v>3650</v>
      </c>
      <c r="I654" s="49">
        <f>IFERROR(__xludf.DUMMYFUNCTION("IFERROR(GOOGLEFINANCE(A654,""VOLUME""),)"),7508.0)</f>
        <v>7508</v>
      </c>
      <c r="J654" s="48" t="str">
        <f>IFERROR(__xludf.DUMMYFUNCTION("IFERROR(INDEX(SPLIT(A654,"":""),1,2),)"),"INDOTECH")</f>
        <v>INDOTECH</v>
      </c>
      <c r="K654" s="48">
        <f t="shared" si="4"/>
        <v>439</v>
      </c>
      <c r="L654" s="48" t="str">
        <f t="shared" si="5"/>
        <v/>
      </c>
      <c r="M654" s="48">
        <f t="shared" si="6"/>
        <v>1271</v>
      </c>
      <c r="N654" s="50">
        <f>IFERROR(__xludf.DUMMYFUNCTION("IFERROR(GOOGLEFINANCE(A654,""TRADETIME""),)"),46269.64583333333)</f>
        <v>46269.64583</v>
      </c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</row>
    <row r="655" ht="15.75" customHeight="1">
      <c r="A655" s="51" t="s">
        <v>701</v>
      </c>
      <c r="B655" s="51" t="str">
        <f>IFERROR(__xludf.DUMMYFUNCTION("IFERROR(GOOGLEFINANCE(A655,""NAME""),)"),"Indo Thai Securities Ltd")</f>
        <v>Indo Thai Securities Ltd</v>
      </c>
      <c r="C655" s="51">
        <f>IFERROR(__xludf.DUMMYFUNCTION("IFERROR(GOOGLEFINANCE(A655,""CHANGE""),)"),-1.88)</f>
        <v>-1.88</v>
      </c>
      <c r="D655" s="51">
        <f>IFERROR(__xludf.DUMMYFUNCTION("IFERROR(GOOGLEFINANCE(A655,""CHANGEPCT""),)"),-5.0)</f>
        <v>-5</v>
      </c>
      <c r="E655" s="51" t="str">
        <f t="shared" si="1"/>
        <v>-5%</v>
      </c>
      <c r="F655" s="51" t="str">
        <f t="shared" si="2"/>
        <v/>
      </c>
      <c r="G655" s="51">
        <f t="shared" si="3"/>
        <v>-5</v>
      </c>
      <c r="H655" s="51">
        <f>IFERROR(__xludf.DUMMYFUNCTION("IFERROR(GOOGLEFINANCE(A655,""PRICE""),)"),35.75)</f>
        <v>35.75</v>
      </c>
      <c r="I655" s="52">
        <f>IFERROR(__xludf.DUMMYFUNCTION("IFERROR(GOOGLEFINANCE(A655,""VOLUME""),)"),742070.0)</f>
        <v>742070</v>
      </c>
      <c r="J655" s="51" t="str">
        <f>IFERROR(__xludf.DUMMYFUNCTION("IFERROR(INDEX(SPLIT(A655,"":""),1,2),)"),"INDOTHAI")</f>
        <v>INDOTHAI</v>
      </c>
      <c r="K655" s="51" t="str">
        <f t="shared" si="4"/>
        <v/>
      </c>
      <c r="L655" s="51">
        <f t="shared" si="5"/>
        <v>641</v>
      </c>
      <c r="M655" s="51">
        <f t="shared" si="6"/>
        <v>320</v>
      </c>
      <c r="N655" s="53">
        <f>IFERROR(__xludf.DUMMYFUNCTION("IFERROR(GOOGLEFINANCE(A655,""TRADETIME""),)"),46269.64584490741)</f>
        <v>46269.64584</v>
      </c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</row>
    <row r="656" ht="15.75" customHeight="1">
      <c r="A656" s="48" t="s">
        <v>702</v>
      </c>
      <c r="B656" s="48" t="str">
        <f>IFERROR(__xludf.DUMMYFUNCTION("IFERROR(GOOGLEFINANCE(A656,""NAME""),)"),"Indowind Energy Ltd (chennai)")</f>
        <v>Indowind Energy Ltd (chennai)</v>
      </c>
      <c r="C656" s="48">
        <f>IFERROR(__xludf.DUMMYFUNCTION("IFERROR(GOOGLEFINANCE(A656,""CHANGE""),)"),-0.01)</f>
        <v>-0.01</v>
      </c>
      <c r="D656" s="48">
        <f>IFERROR(__xludf.DUMMYFUNCTION("IFERROR(GOOGLEFINANCE(A656,""CHANGEPCT""),)"),-0.11)</f>
        <v>-0.11</v>
      </c>
      <c r="E656" s="48" t="str">
        <f t="shared" si="1"/>
        <v>-0.11%</v>
      </c>
      <c r="F656" s="48" t="str">
        <f t="shared" si="2"/>
        <v/>
      </c>
      <c r="G656" s="48">
        <f t="shared" si="3"/>
        <v>-0.11</v>
      </c>
      <c r="H656" s="48">
        <f>IFERROR(__xludf.DUMMYFUNCTION("IFERROR(GOOGLEFINANCE(A656,""PRICE""),)"),9.04)</f>
        <v>9.04</v>
      </c>
      <c r="I656" s="49">
        <f>IFERROR(__xludf.DUMMYFUNCTION("IFERROR(GOOGLEFINANCE(A656,""VOLUME""),)"),77378.0)</f>
        <v>77378</v>
      </c>
      <c r="J656" s="48" t="str">
        <f>IFERROR(__xludf.DUMMYFUNCTION("IFERROR(INDEX(SPLIT(A656,"":""),1,2),)"),"INDOWIND")</f>
        <v>INDOWIND</v>
      </c>
      <c r="K656" s="48" t="str">
        <f t="shared" si="4"/>
        <v/>
      </c>
      <c r="L656" s="48">
        <f t="shared" si="5"/>
        <v>39</v>
      </c>
      <c r="M656" s="48">
        <f t="shared" si="6"/>
        <v>835</v>
      </c>
      <c r="N656" s="50">
        <f>IFERROR(__xludf.DUMMYFUNCTION("IFERROR(GOOGLEFINANCE(A656,""TRADETIME""),)"),46269.64583333333)</f>
        <v>46269.64583</v>
      </c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</row>
    <row r="657" ht="15.75" customHeight="1">
      <c r="A657" s="51" t="s">
        <v>703</v>
      </c>
      <c r="B657" s="51" t="str">
        <f>IFERROR(__xludf.DUMMYFUNCTION("IFERROR(GOOGLEFINANCE(A657,""NAME""),)"),"Indraprastha Medical Corporation Ltd")</f>
        <v>Indraprastha Medical Corporation Ltd</v>
      </c>
      <c r="C657" s="51">
        <f>IFERROR(__xludf.DUMMYFUNCTION("IFERROR(GOOGLEFINANCE(A657,""CHANGE""),)"),-6.35)</f>
        <v>-6.35</v>
      </c>
      <c r="D657" s="51">
        <f>IFERROR(__xludf.DUMMYFUNCTION("IFERROR(GOOGLEFINANCE(A657,""CHANGEPCT""),)"),-1.78)</f>
        <v>-1.78</v>
      </c>
      <c r="E657" s="51" t="str">
        <f t="shared" si="1"/>
        <v>-1.78%</v>
      </c>
      <c r="F657" s="51" t="str">
        <f t="shared" si="2"/>
        <v/>
      </c>
      <c r="G657" s="51">
        <f t="shared" si="3"/>
        <v>-1.78</v>
      </c>
      <c r="H657" s="51">
        <f>IFERROR(__xludf.DUMMYFUNCTION("IFERROR(GOOGLEFINANCE(A657,""PRICE""),)"),350.0)</f>
        <v>350</v>
      </c>
      <c r="I657" s="52">
        <f>IFERROR(__xludf.DUMMYFUNCTION("IFERROR(GOOGLEFINANCE(A657,""VOLUME""),)"),311569.0)</f>
        <v>311569</v>
      </c>
      <c r="J657" s="51" t="str">
        <f>IFERROR(__xludf.DUMMYFUNCTION("IFERROR(INDEX(SPLIT(A657,"":""),1,2),)"),"INDRAMEDCO")</f>
        <v>INDRAMEDCO</v>
      </c>
      <c r="K657" s="51" t="str">
        <f t="shared" si="4"/>
        <v/>
      </c>
      <c r="L657" s="51">
        <f t="shared" si="5"/>
        <v>490</v>
      </c>
      <c r="M657" s="51">
        <f t="shared" si="6"/>
        <v>500</v>
      </c>
      <c r="N657" s="53">
        <f>IFERROR(__xludf.DUMMYFUNCTION("IFERROR(GOOGLEFINANCE(A657,""TRADETIME""),)"),46269.64583333333)</f>
        <v>46269.64583</v>
      </c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</row>
    <row r="658" ht="15.75" customHeight="1">
      <c r="A658" s="48" t="s">
        <v>704</v>
      </c>
      <c r="B658" s="48" t="str">
        <f>IFERROR(__xludf.DUMMYFUNCTION("IFERROR(GOOGLEFINANCE(A658,""NAME""),)"),"IND Swift Laboratories Ltd")</f>
        <v>IND Swift Laboratories Ltd</v>
      </c>
      <c r="C658" s="48">
        <f>IFERROR(__xludf.DUMMYFUNCTION("IFERROR(GOOGLEFINANCE(A658,""CHANGE""),)"),-21.2)</f>
        <v>-21.2</v>
      </c>
      <c r="D658" s="48">
        <f>IFERROR(__xludf.DUMMYFUNCTION("IFERROR(GOOGLEFINANCE(A658,""CHANGEPCT""),)"),-5.69)</f>
        <v>-5.69</v>
      </c>
      <c r="E658" s="48" t="str">
        <f t="shared" si="1"/>
        <v>-5.69%</v>
      </c>
      <c r="F658" s="48" t="str">
        <f t="shared" si="2"/>
        <v/>
      </c>
      <c r="G658" s="48">
        <f t="shared" si="3"/>
        <v>-5.69</v>
      </c>
      <c r="H658" s="48">
        <f>IFERROR(__xludf.DUMMYFUNCTION("IFERROR(GOOGLEFINANCE(A658,""PRICE""),)"),351.5)</f>
        <v>351.5</v>
      </c>
      <c r="I658" s="49">
        <f>IFERROR(__xludf.DUMMYFUNCTION("IFERROR(GOOGLEFINANCE(A658,""VOLUME""),)"),695062.0)</f>
        <v>695062</v>
      </c>
      <c r="J658" s="48" t="str">
        <f>IFERROR(__xludf.DUMMYFUNCTION("IFERROR(INDEX(SPLIT(A658,"":""),1,2),)"),"INDSWFTLAB")</f>
        <v>INDSWFTLAB</v>
      </c>
      <c r="K658" s="48" t="str">
        <f t="shared" si="4"/>
        <v/>
      </c>
      <c r="L658" s="48">
        <f t="shared" si="5"/>
        <v>646</v>
      </c>
      <c r="M658" s="48">
        <f t="shared" si="6"/>
        <v>330</v>
      </c>
      <c r="N658" s="50">
        <f>IFERROR(__xludf.DUMMYFUNCTION("IFERROR(GOOGLEFINANCE(A658,""TRADETIME""),)"),46269.64583333333)</f>
        <v>46269.64583</v>
      </c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</row>
    <row r="659" ht="15.75" customHeight="1">
      <c r="A659" s="51" t="s">
        <v>705</v>
      </c>
      <c r="B659" s="51" t="str">
        <f>IFERROR(__xludf.DUMMYFUNCTION("IFERROR(GOOGLEFINANCE(A659,""NAME""),)"),"Indian Terrain Fashions Ltd")</f>
        <v>Indian Terrain Fashions Ltd</v>
      </c>
      <c r="C659" s="51">
        <f>IFERROR(__xludf.DUMMYFUNCTION("IFERROR(GOOGLEFINANCE(A659,""CHANGE""),)"),-0.02)</f>
        <v>-0.02</v>
      </c>
      <c r="D659" s="51">
        <f>IFERROR(__xludf.DUMMYFUNCTION("IFERROR(GOOGLEFINANCE(A659,""CHANGEPCT""),)"),-0.07)</f>
        <v>-0.07</v>
      </c>
      <c r="E659" s="51" t="str">
        <f t="shared" si="1"/>
        <v>-0.07%</v>
      </c>
      <c r="F659" s="51" t="str">
        <f t="shared" si="2"/>
        <v/>
      </c>
      <c r="G659" s="51">
        <f t="shared" si="3"/>
        <v>-0.07</v>
      </c>
      <c r="H659" s="51">
        <f>IFERROR(__xludf.DUMMYFUNCTION("IFERROR(GOOGLEFINANCE(A659,""PRICE""),)"),30.2)</f>
        <v>30.2</v>
      </c>
      <c r="I659" s="52">
        <f>IFERROR(__xludf.DUMMYFUNCTION("IFERROR(GOOGLEFINANCE(A659,""VOLUME""),)"),17159.0)</f>
        <v>17159</v>
      </c>
      <c r="J659" s="51" t="str">
        <f>IFERROR(__xludf.DUMMYFUNCTION("IFERROR(INDEX(SPLIT(A659,"":""),1,2),)"),"INDTERRAIN")</f>
        <v>INDTERRAIN</v>
      </c>
      <c r="K659" s="51" t="str">
        <f t="shared" si="4"/>
        <v/>
      </c>
      <c r="L659" s="51">
        <f t="shared" si="5"/>
        <v>19</v>
      </c>
      <c r="M659" s="51">
        <f t="shared" si="6"/>
        <v>1155</v>
      </c>
      <c r="N659" s="53">
        <f>IFERROR(__xludf.DUMMYFUNCTION("IFERROR(GOOGLEFINANCE(A659,""TRADETIME""),)"),46269.64583333333)</f>
        <v>46269.64583</v>
      </c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</row>
    <row r="660" ht="15.75" customHeight="1">
      <c r="A660" s="48" t="s">
        <v>706</v>
      </c>
      <c r="B660" s="48" t="str">
        <f>IFERROR(__xludf.DUMMYFUNCTION("IFERROR(GOOGLEFINANCE(A660,""NAME""),)"),"Indusind Bank Ltd")</f>
        <v>Indusind Bank Ltd</v>
      </c>
      <c r="C660" s="48">
        <f>IFERROR(__xludf.DUMMYFUNCTION("IFERROR(GOOGLEFINANCE(A660,""CHANGE""),)"),0.2)</f>
        <v>0.2</v>
      </c>
      <c r="D660" s="48">
        <f>IFERROR(__xludf.DUMMYFUNCTION("IFERROR(GOOGLEFINANCE(A660,""CHANGEPCT""),)"),0.02)</f>
        <v>0.02</v>
      </c>
      <c r="E660" s="48" t="str">
        <f t="shared" si="1"/>
        <v>0.02%</v>
      </c>
      <c r="F660" s="48">
        <f t="shared" si="2"/>
        <v>0.02</v>
      </c>
      <c r="G660" s="48" t="str">
        <f t="shared" si="3"/>
        <v/>
      </c>
      <c r="H660" s="48">
        <f>IFERROR(__xludf.DUMMYFUNCTION("IFERROR(GOOGLEFINANCE(A660,""PRICE""),)"),1005.0)</f>
        <v>1005</v>
      </c>
      <c r="I660" s="49">
        <f>IFERROR(__xludf.DUMMYFUNCTION("IFERROR(GOOGLEFINANCE(A660,""VOLUME""),)"),1321066.0)</f>
        <v>1321066</v>
      </c>
      <c r="J660" s="48" t="str">
        <f>IFERROR(__xludf.DUMMYFUNCTION("IFERROR(INDEX(SPLIT(A660,"":""),1,2),)"),"INDUSINDBK")</f>
        <v>INDUSINDBK</v>
      </c>
      <c r="K660" s="48">
        <f t="shared" si="4"/>
        <v>773</v>
      </c>
      <c r="L660" s="48" t="str">
        <f t="shared" si="5"/>
        <v/>
      </c>
      <c r="M660" s="48">
        <f t="shared" si="6"/>
        <v>224</v>
      </c>
      <c r="N660" s="50">
        <f>IFERROR(__xludf.DUMMYFUNCTION("IFERROR(GOOGLEFINANCE(A660,""TRADETIME""),)"),46269.64583333333)</f>
        <v>46269.64583</v>
      </c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</row>
    <row r="661" ht="15.75" customHeight="1">
      <c r="A661" s="51" t="s">
        <v>707</v>
      </c>
      <c r="B661" s="51" t="str">
        <f>IFERROR(__xludf.DUMMYFUNCTION("IFERROR(GOOGLEFINANCE(A661,""NAME""),)"),"Indus Towers Ltd")</f>
        <v>Indus Towers Ltd</v>
      </c>
      <c r="C661" s="51">
        <f>IFERROR(__xludf.DUMMYFUNCTION("IFERROR(GOOGLEFINANCE(A661,""CHANGE""),)"),0.2)</f>
        <v>0.2</v>
      </c>
      <c r="D661" s="51">
        <f>IFERROR(__xludf.DUMMYFUNCTION("IFERROR(GOOGLEFINANCE(A661,""CHANGEPCT""),)"),0.05)</f>
        <v>0.05</v>
      </c>
      <c r="E661" s="51" t="str">
        <f t="shared" si="1"/>
        <v>0.05%</v>
      </c>
      <c r="F661" s="51">
        <f t="shared" si="2"/>
        <v>0.05</v>
      </c>
      <c r="G661" s="51" t="str">
        <f t="shared" si="3"/>
        <v/>
      </c>
      <c r="H661" s="51">
        <f>IFERROR(__xludf.DUMMYFUNCTION("IFERROR(GOOGLEFINANCE(A661,""PRICE""),)"),375.15)</f>
        <v>375.15</v>
      </c>
      <c r="I661" s="52">
        <f>IFERROR(__xludf.DUMMYFUNCTION("IFERROR(GOOGLEFINANCE(A661,""VOLUME""),)"),1578193.0)</f>
        <v>1578193</v>
      </c>
      <c r="J661" s="51" t="str">
        <f>IFERROR(__xludf.DUMMYFUNCTION("IFERROR(INDEX(SPLIT(A661,"":""),1,2),)"),"INDUSTOWER")</f>
        <v>INDUSTOWER</v>
      </c>
      <c r="K661" s="51">
        <f t="shared" si="4"/>
        <v>757</v>
      </c>
      <c r="L661" s="51" t="str">
        <f t="shared" si="5"/>
        <v/>
      </c>
      <c r="M661" s="51">
        <f t="shared" si="6"/>
        <v>203</v>
      </c>
      <c r="N661" s="53">
        <f>IFERROR(__xludf.DUMMYFUNCTION("IFERROR(GOOGLEFINANCE(A661,""TRADETIME""),)"),46269.64583333333)</f>
        <v>46269.64583</v>
      </c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</row>
    <row r="662" ht="15.75" customHeight="1">
      <c r="A662" s="48" t="s">
        <v>708</v>
      </c>
      <c r="B662" s="48" t="str">
        <f>IFERROR(__xludf.DUMMYFUNCTION("IFERROR(GOOGLEFINANCE(A662,""NAME""),)"),"Styrenix Performance Materials Ltd")</f>
        <v>Styrenix Performance Materials Ltd</v>
      </c>
      <c r="C662" s="48">
        <f>IFERROR(__xludf.DUMMYFUNCTION("IFERROR(GOOGLEFINANCE(A662,""CHANGE""),)"),44.0)</f>
        <v>44</v>
      </c>
      <c r="D662" s="48">
        <f>IFERROR(__xludf.DUMMYFUNCTION("IFERROR(GOOGLEFINANCE(A662,""CHANGEPCT""),)"),2.19)</f>
        <v>2.19</v>
      </c>
      <c r="E662" s="48" t="str">
        <f t="shared" si="1"/>
        <v>2.19%</v>
      </c>
      <c r="F662" s="48">
        <f t="shared" si="2"/>
        <v>2.19</v>
      </c>
      <c r="G662" s="48" t="str">
        <f t="shared" si="3"/>
        <v/>
      </c>
      <c r="H662" s="48">
        <f>IFERROR(__xludf.DUMMYFUNCTION("IFERROR(GOOGLEFINANCE(A662,""PRICE""),)"),2051.0)</f>
        <v>2051</v>
      </c>
      <c r="I662" s="49">
        <f>IFERROR(__xludf.DUMMYFUNCTION("IFERROR(GOOGLEFINANCE(A662,""VOLUME""),)"),30372.0)</f>
        <v>30372</v>
      </c>
      <c r="J662" s="48" t="str">
        <f>IFERROR(__xludf.DUMMYFUNCTION("IFERROR(INDEX(SPLIT(A662,"":""),1,2),)"),"STYRENIX")</f>
        <v>STYRENIX</v>
      </c>
      <c r="K662" s="48">
        <f t="shared" si="4"/>
        <v>234</v>
      </c>
      <c r="L662" s="48" t="str">
        <f t="shared" si="5"/>
        <v/>
      </c>
      <c r="M662" s="48">
        <f t="shared" si="6"/>
        <v>1053</v>
      </c>
      <c r="N662" s="50">
        <f>IFERROR(__xludf.DUMMYFUNCTION("IFERROR(GOOGLEFINANCE(A662,""TRADETIME""),)"),46269.64584490741)</f>
        <v>46269.64584</v>
      </c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</row>
    <row r="663" ht="15.75" customHeight="1">
      <c r="A663" s="51" t="s">
        <v>709</v>
      </c>
      <c r="B663" s="51" t="str">
        <f>IFERROR(__xludf.DUMMYFUNCTION("IFERROR(GOOGLEFINANCE(A663,""NAME""),)"),"")</f>
        <v/>
      </c>
      <c r="C663" s="51" t="str">
        <f>IFERROR(__xludf.DUMMYFUNCTION("IFERROR(GOOGLEFINANCE(A663,""CHANGE""),)"),"")</f>
        <v/>
      </c>
      <c r="D663" s="51" t="str">
        <f>IFERROR(__xludf.DUMMYFUNCTION("IFERROR(GOOGLEFINANCE(A663,""CHANGEPCT""),)"),"")</f>
        <v/>
      </c>
      <c r="E663" s="51" t="str">
        <f t="shared" si="1"/>
        <v>%</v>
      </c>
      <c r="F663" s="51" t="str">
        <f t="shared" si="2"/>
        <v/>
      </c>
      <c r="G663" s="51" t="str">
        <f t="shared" si="3"/>
        <v/>
      </c>
      <c r="H663" s="51" t="str">
        <f>IFERROR(__xludf.DUMMYFUNCTION("IFERROR(GOOGLEFINANCE(A663,""PRICE""),)"),"")</f>
        <v/>
      </c>
      <c r="I663" s="52" t="str">
        <f>IFERROR(__xludf.DUMMYFUNCTION("IFERROR(GOOGLEFINANCE(A663,""VOLUME""),)"),"")</f>
        <v/>
      </c>
      <c r="J663" s="51" t="str">
        <f>IFERROR(__xludf.DUMMYFUNCTION("IFERROR(INDEX(SPLIT(A663,"":""),1,2),)"),"INFIBEAM")</f>
        <v>INFIBEAM</v>
      </c>
      <c r="K663" s="51" t="str">
        <f t="shared" si="4"/>
        <v/>
      </c>
      <c r="L663" s="51" t="str">
        <f t="shared" si="5"/>
        <v/>
      </c>
      <c r="M663" s="51">
        <f t="shared" si="6"/>
        <v>1456</v>
      </c>
      <c r="N663" s="53" t="str">
        <f>IFERROR(__xludf.DUMMYFUNCTION("IFERROR(GOOGLEFINANCE(A663,""TRADETIME""),)"),"")</f>
        <v/>
      </c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</row>
    <row r="664" ht="15.75" customHeight="1">
      <c r="A664" s="48" t="s">
        <v>710</v>
      </c>
      <c r="B664" s="48" t="str">
        <f>IFERROR(__xludf.DUMMYFUNCTION("IFERROR(GOOGLEFINANCE(A664,""NAME""),)"),"InfoBeans Technologies Ltd")</f>
        <v>InfoBeans Technologies Ltd</v>
      </c>
      <c r="C664" s="48">
        <f>IFERROR(__xludf.DUMMYFUNCTION("IFERROR(GOOGLEFINANCE(A664,""CHANGE""),)"),3.59)</f>
        <v>3.59</v>
      </c>
      <c r="D664" s="48">
        <f>IFERROR(__xludf.DUMMYFUNCTION("IFERROR(GOOGLEFINANCE(A664,""CHANGEPCT""),)"),2.28)</f>
        <v>2.28</v>
      </c>
      <c r="E664" s="48" t="str">
        <f t="shared" si="1"/>
        <v>2.28%</v>
      </c>
      <c r="F664" s="48">
        <f t="shared" si="2"/>
        <v>2.28</v>
      </c>
      <c r="G664" s="48" t="str">
        <f t="shared" si="3"/>
        <v/>
      </c>
      <c r="H664" s="48">
        <f>IFERROR(__xludf.DUMMYFUNCTION("IFERROR(GOOGLEFINANCE(A664,""PRICE""),)"),161.27)</f>
        <v>161.27</v>
      </c>
      <c r="I664" s="49">
        <f>IFERROR(__xludf.DUMMYFUNCTION("IFERROR(GOOGLEFINANCE(A664,""VOLUME""),)"),750810.0)</f>
        <v>750810</v>
      </c>
      <c r="J664" s="48" t="str">
        <f>IFERROR(__xludf.DUMMYFUNCTION("IFERROR(INDEX(SPLIT(A664,"":""),1,2),)"),"INFOBEAN")</f>
        <v>INFOBEAN</v>
      </c>
      <c r="K664" s="48">
        <f t="shared" si="4"/>
        <v>224</v>
      </c>
      <c r="L664" s="48" t="str">
        <f t="shared" si="5"/>
        <v/>
      </c>
      <c r="M664" s="48">
        <f t="shared" si="6"/>
        <v>319</v>
      </c>
      <c r="N664" s="50">
        <f>IFERROR(__xludf.DUMMYFUNCTION("IFERROR(GOOGLEFINANCE(A664,""TRADETIME""),)"),46269.64583333333)</f>
        <v>46269.64583</v>
      </c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</row>
    <row r="665" ht="15.75" customHeight="1">
      <c r="A665" s="51" t="s">
        <v>711</v>
      </c>
      <c r="B665" s="51" t="str">
        <f>IFERROR(__xludf.DUMMYFUNCTION("IFERROR(GOOGLEFINANCE(A665,""NAME""),)"),"Infomedia Press Ltd")</f>
        <v>Infomedia Press Ltd</v>
      </c>
      <c r="C665" s="51">
        <f>IFERROR(__xludf.DUMMYFUNCTION("IFERROR(GOOGLEFINANCE(A665,""CHANGE""),)"),0.19)</f>
        <v>0.19</v>
      </c>
      <c r="D665" s="51">
        <f>IFERROR(__xludf.DUMMYFUNCTION("IFERROR(GOOGLEFINANCE(A665,""CHANGEPCT""),)"),3.67)</f>
        <v>3.67</v>
      </c>
      <c r="E665" s="51" t="str">
        <f t="shared" si="1"/>
        <v>3.67%</v>
      </c>
      <c r="F665" s="51">
        <f t="shared" si="2"/>
        <v>3.67</v>
      </c>
      <c r="G665" s="51" t="str">
        <f t="shared" si="3"/>
        <v/>
      </c>
      <c r="H665" s="51">
        <f>IFERROR(__xludf.DUMMYFUNCTION("IFERROR(GOOGLEFINANCE(A665,""PRICE""),)"),5.37)</f>
        <v>5.37</v>
      </c>
      <c r="I665" s="52">
        <f>IFERROR(__xludf.DUMMYFUNCTION("IFERROR(GOOGLEFINANCE(A665,""VOLUME""),)"),22935.0)</f>
        <v>22935</v>
      </c>
      <c r="J665" s="51" t="str">
        <f>IFERROR(__xludf.DUMMYFUNCTION("IFERROR(INDEX(SPLIT(A665,"":""),1,2),)"),"INFOMEDIA")</f>
        <v>INFOMEDIA</v>
      </c>
      <c r="K665" s="51">
        <f t="shared" si="4"/>
        <v>129</v>
      </c>
      <c r="L665" s="51" t="str">
        <f t="shared" si="5"/>
        <v/>
      </c>
      <c r="M665" s="51">
        <f t="shared" si="6"/>
        <v>1102</v>
      </c>
      <c r="N665" s="53">
        <f>IFERROR(__xludf.DUMMYFUNCTION("IFERROR(GOOGLEFINANCE(A665,""TRADETIME""),)"),46269.64583333333)</f>
        <v>46269.64583</v>
      </c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</row>
    <row r="666" ht="15.75" customHeight="1">
      <c r="A666" s="48" t="s">
        <v>712</v>
      </c>
      <c r="B666" s="48" t="str">
        <f>IFERROR(__xludf.DUMMYFUNCTION("IFERROR(GOOGLEFINANCE(A666,""NAME""),)"),"Infosys Ltd")</f>
        <v>Infosys Ltd</v>
      </c>
      <c r="C666" s="48">
        <f>IFERROR(__xludf.DUMMYFUNCTION("IFERROR(GOOGLEFINANCE(A666,""CHANGE""),)"),-1.8)</f>
        <v>-1.8</v>
      </c>
      <c r="D666" s="48">
        <f>IFERROR(__xludf.DUMMYFUNCTION("IFERROR(GOOGLEFINANCE(A666,""CHANGEPCT""),)"),-0.16)</f>
        <v>-0.16</v>
      </c>
      <c r="E666" s="48" t="str">
        <f t="shared" si="1"/>
        <v>-0.16%</v>
      </c>
      <c r="F666" s="48" t="str">
        <f t="shared" si="2"/>
        <v/>
      </c>
      <c r="G666" s="48">
        <f t="shared" si="3"/>
        <v>-0.16</v>
      </c>
      <c r="H666" s="48">
        <f>IFERROR(__xludf.DUMMYFUNCTION("IFERROR(GOOGLEFINANCE(A666,""PRICE""),)"),1128.5)</f>
        <v>1128.5</v>
      </c>
      <c r="I666" s="49">
        <f>IFERROR(__xludf.DUMMYFUNCTION("IFERROR(GOOGLEFINANCE(A666,""VOLUME""),)"),5881388.0)</f>
        <v>5881388</v>
      </c>
      <c r="J666" s="48" t="str">
        <f>IFERROR(__xludf.DUMMYFUNCTION("IFERROR(INDEX(SPLIT(A666,"":""),1,2),)"),"INFY")</f>
        <v>INFY</v>
      </c>
      <c r="K666" s="48" t="str">
        <f t="shared" si="4"/>
        <v/>
      </c>
      <c r="L666" s="48">
        <f t="shared" si="5"/>
        <v>60</v>
      </c>
      <c r="M666" s="48">
        <f t="shared" si="6"/>
        <v>78</v>
      </c>
      <c r="N666" s="50">
        <f>IFERROR(__xludf.DUMMYFUNCTION("IFERROR(GOOGLEFINANCE(A666,""TRADETIME""),)"),46269.64583333333)</f>
        <v>46269.64583</v>
      </c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</row>
    <row r="667" ht="15.75" customHeight="1">
      <c r="A667" s="51" t="s">
        <v>713</v>
      </c>
      <c r="B667" s="51" t="str">
        <f>IFERROR(__xludf.DUMMYFUNCTION("IFERROR(GOOGLEFINANCE(A667,""NAME""),)"),"")</f>
        <v/>
      </c>
      <c r="C667" s="51" t="str">
        <f>IFERROR(__xludf.DUMMYFUNCTION("IFERROR(GOOGLEFINANCE(A667,""CHANGE""),)"),"")</f>
        <v/>
      </c>
      <c r="D667" s="51" t="str">
        <f>IFERROR(__xludf.DUMMYFUNCTION("IFERROR(GOOGLEFINANCE(A667,""CHANGEPCT""),)"),"")</f>
        <v/>
      </c>
      <c r="E667" s="51" t="str">
        <f t="shared" si="1"/>
        <v>%</v>
      </c>
      <c r="F667" s="51" t="str">
        <f t="shared" si="2"/>
        <v/>
      </c>
      <c r="G667" s="51" t="str">
        <f t="shared" si="3"/>
        <v/>
      </c>
      <c r="H667" s="51" t="str">
        <f>IFERROR(__xludf.DUMMYFUNCTION("IFERROR(GOOGLEFINANCE(A667,""PRICE""),)"),"")</f>
        <v/>
      </c>
      <c r="I667" s="52" t="str">
        <f>IFERROR(__xludf.DUMMYFUNCTION("IFERROR(GOOGLEFINANCE(A667,""VOLUME""),)"),"")</f>
        <v/>
      </c>
      <c r="J667" s="51" t="str">
        <f>IFERROR(__xludf.DUMMYFUNCTION("IFERROR(INDEX(SPLIT(A667,"":""),1,2),)"),"JETAIRWAYS")</f>
        <v>JETAIRWAYS</v>
      </c>
      <c r="K667" s="51" t="str">
        <f t="shared" si="4"/>
        <v/>
      </c>
      <c r="L667" s="51" t="str">
        <f t="shared" si="5"/>
        <v/>
      </c>
      <c r="M667" s="51">
        <f t="shared" si="6"/>
        <v>1456</v>
      </c>
      <c r="N667" s="53" t="str">
        <f>IFERROR(__xludf.DUMMYFUNCTION("IFERROR(GOOGLEFINANCE(A667,""TRADETIME""),)"),"")</f>
        <v/>
      </c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</row>
    <row r="668" ht="15.75" customHeight="1">
      <c r="A668" s="48" t="s">
        <v>714</v>
      </c>
      <c r="B668" s="48" t="str">
        <f>IFERROR(__xludf.DUMMYFUNCTION("IFERROR(GOOGLEFINANCE(A668,""NAME""),)"),"")</f>
        <v/>
      </c>
      <c r="C668" s="48" t="str">
        <f>IFERROR(__xludf.DUMMYFUNCTION("IFERROR(GOOGLEFINANCE(A668,""CHANGE""),)"),"")</f>
        <v/>
      </c>
      <c r="D668" s="48" t="str">
        <f>IFERROR(__xludf.DUMMYFUNCTION("IFERROR(GOOGLEFINANCE(A668,""CHANGEPCT""),)"),"")</f>
        <v/>
      </c>
      <c r="E668" s="48" t="str">
        <f t="shared" si="1"/>
        <v>%</v>
      </c>
      <c r="F668" s="48" t="str">
        <f t="shared" si="2"/>
        <v/>
      </c>
      <c r="G668" s="48" t="str">
        <f t="shared" si="3"/>
        <v/>
      </c>
      <c r="H668" s="48" t="str">
        <f>IFERROR(__xludf.DUMMYFUNCTION("IFERROR(GOOGLEFINANCE(A668,""PRICE""),)"),"")</f>
        <v/>
      </c>
      <c r="I668" s="49" t="str">
        <f>IFERROR(__xludf.DUMMYFUNCTION("IFERROR(GOOGLEFINANCE(A668,""VOLUME""),)"),"")</f>
        <v/>
      </c>
      <c r="J668" s="48">
        <f>IFERROR(__xludf.DUMMYFUNCTION("IFERROR(INDEX(SPLIT(A668,"":""),1,2),)"),532706.0)</f>
        <v>532706</v>
      </c>
      <c r="K668" s="48" t="str">
        <f t="shared" si="4"/>
        <v/>
      </c>
      <c r="L668" s="48" t="str">
        <f t="shared" si="5"/>
        <v/>
      </c>
      <c r="M668" s="48">
        <f t="shared" si="6"/>
        <v>1456</v>
      </c>
      <c r="N668" s="50" t="str">
        <f>IFERROR(__xludf.DUMMYFUNCTION("IFERROR(GOOGLEFINANCE(A668,""TRADETIME""),)"),"")</f>
        <v/>
      </c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</row>
    <row r="669" ht="15.75" customHeight="1">
      <c r="A669" s="51" t="s">
        <v>715</v>
      </c>
      <c r="B669" s="51" t="str">
        <f>IFERROR(__xludf.DUMMYFUNCTION("IFERROR(GOOGLEFINANCE(A669,""NAME""),)"),"Inox Wind Ltd")</f>
        <v>Inox Wind Ltd</v>
      </c>
      <c r="C669" s="51">
        <f>IFERROR(__xludf.DUMMYFUNCTION("IFERROR(GOOGLEFINANCE(A669,""CHANGE""),)"),0.4)</f>
        <v>0.4</v>
      </c>
      <c r="D669" s="51">
        <f>IFERROR(__xludf.DUMMYFUNCTION("IFERROR(GOOGLEFINANCE(A669,""CHANGEPCT""),)"),0.54)</f>
        <v>0.54</v>
      </c>
      <c r="E669" s="51" t="str">
        <f t="shared" si="1"/>
        <v>0.54%</v>
      </c>
      <c r="F669" s="51">
        <f t="shared" si="2"/>
        <v>0.54</v>
      </c>
      <c r="G669" s="51" t="str">
        <f t="shared" si="3"/>
        <v/>
      </c>
      <c r="H669" s="51">
        <f>IFERROR(__xludf.DUMMYFUNCTION("IFERROR(GOOGLEFINANCE(A669,""PRICE""),)"),74.4)</f>
        <v>74.4</v>
      </c>
      <c r="I669" s="52">
        <f>IFERROR(__xludf.DUMMYFUNCTION("IFERROR(GOOGLEFINANCE(A669,""VOLUME""),)"),2.2688206E7)</f>
        <v>22688206</v>
      </c>
      <c r="J669" s="51" t="str">
        <f>IFERROR(__xludf.DUMMYFUNCTION("IFERROR(INDEX(SPLIT(A669,"":""),1,2),)"),"INOXWIND")</f>
        <v>INOXWIND</v>
      </c>
      <c r="K669" s="51">
        <f t="shared" si="4"/>
        <v>576</v>
      </c>
      <c r="L669" s="51" t="str">
        <f t="shared" si="5"/>
        <v/>
      </c>
      <c r="M669" s="51">
        <f t="shared" si="6"/>
        <v>19</v>
      </c>
      <c r="N669" s="53">
        <f>IFERROR(__xludf.DUMMYFUNCTION("IFERROR(GOOGLEFINANCE(A669,""TRADETIME""),)"),46269.64583333333)</f>
        <v>46269.64583</v>
      </c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</row>
    <row r="670" ht="15.75" customHeight="1">
      <c r="A670" s="48" t="s">
        <v>716</v>
      </c>
      <c r="B670" s="48" t="str">
        <f>IFERROR(__xludf.DUMMYFUNCTION("IFERROR(GOOGLEFINANCE(A670,""NAME""),)"),"")</f>
        <v/>
      </c>
      <c r="C670" s="48" t="str">
        <f>IFERROR(__xludf.DUMMYFUNCTION("IFERROR(GOOGLEFINANCE(A670,""CHANGE""),)"),"")</f>
        <v/>
      </c>
      <c r="D670" s="48" t="str">
        <f>IFERROR(__xludf.DUMMYFUNCTION("IFERROR(GOOGLEFINANCE(A670,""CHANGEPCT""),)"),"")</f>
        <v/>
      </c>
      <c r="E670" s="48" t="str">
        <f t="shared" si="1"/>
        <v>%</v>
      </c>
      <c r="F670" s="48" t="str">
        <f t="shared" si="2"/>
        <v/>
      </c>
      <c r="G670" s="48" t="str">
        <f t="shared" si="3"/>
        <v/>
      </c>
      <c r="H670" s="48" t="str">
        <f>IFERROR(__xludf.DUMMYFUNCTION("IFERROR(GOOGLEFINANCE(A670,""PRICE""),)"),"")</f>
        <v/>
      </c>
      <c r="I670" s="49" t="str">
        <f>IFERROR(__xludf.DUMMYFUNCTION("IFERROR(GOOGLEFINANCE(A670,""VOLUME""),)"),"")</f>
        <v/>
      </c>
      <c r="J670" s="48">
        <f>IFERROR(__xludf.DUMMYFUNCTION("IFERROR(INDEX(SPLIT(A670,"":""),1,2),)"),522263.0)</f>
        <v>522263</v>
      </c>
      <c r="K670" s="48" t="str">
        <f t="shared" si="4"/>
        <v/>
      </c>
      <c r="L670" s="48" t="str">
        <f t="shared" si="5"/>
        <v/>
      </c>
      <c r="M670" s="48">
        <f t="shared" si="6"/>
        <v>1456</v>
      </c>
      <c r="N670" s="50" t="str">
        <f>IFERROR(__xludf.DUMMYFUNCTION("IFERROR(GOOGLEFINANCE(A670,""TRADETIME""),)"),"")</f>
        <v/>
      </c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</row>
    <row r="671" ht="15.75" customHeight="1">
      <c r="A671" s="51" t="s">
        <v>717</v>
      </c>
      <c r="B671" s="51" t="str">
        <f>IFERROR(__xludf.DUMMYFUNCTION("IFERROR(GOOGLEFINANCE(A671,""NAME""),)"),"Inspirisys Solutions Ltd")</f>
        <v>Inspirisys Solutions Ltd</v>
      </c>
      <c r="C671" s="51">
        <f>IFERROR(__xludf.DUMMYFUNCTION("IFERROR(GOOGLEFINANCE(A671,""CHANGE""),)"),-1.43)</f>
        <v>-1.43</v>
      </c>
      <c r="D671" s="51">
        <f>IFERROR(__xludf.DUMMYFUNCTION("IFERROR(GOOGLEFINANCE(A671,""CHANGEPCT""),)"),-1.54)</f>
        <v>-1.54</v>
      </c>
      <c r="E671" s="51" t="str">
        <f t="shared" si="1"/>
        <v>-1.54%</v>
      </c>
      <c r="F671" s="51" t="str">
        <f t="shared" si="2"/>
        <v/>
      </c>
      <c r="G671" s="51">
        <f t="shared" si="3"/>
        <v>-1.54</v>
      </c>
      <c r="H671" s="51">
        <f>IFERROR(__xludf.DUMMYFUNCTION("IFERROR(GOOGLEFINANCE(A671,""PRICE""),)"),91.6)</f>
        <v>91.6</v>
      </c>
      <c r="I671" s="52">
        <f>IFERROR(__xludf.DUMMYFUNCTION("IFERROR(GOOGLEFINANCE(A671,""VOLUME""),)"),2978.0)</f>
        <v>2978</v>
      </c>
      <c r="J671" s="51" t="str">
        <f>IFERROR(__xludf.DUMMYFUNCTION("IFERROR(INDEX(SPLIT(A671,"":""),1,2),)"),"INSPIRISYS")</f>
        <v>INSPIRISYS</v>
      </c>
      <c r="K671" s="51" t="str">
        <f t="shared" si="4"/>
        <v/>
      </c>
      <c r="L671" s="51">
        <f t="shared" si="5"/>
        <v>459</v>
      </c>
      <c r="M671" s="51">
        <f t="shared" si="6"/>
        <v>1365</v>
      </c>
      <c r="N671" s="53">
        <f>IFERROR(__xludf.DUMMYFUNCTION("IFERROR(GOOGLEFINANCE(A671,""TRADETIME""),)"),46269.64583333333)</f>
        <v>46269.64583</v>
      </c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</row>
    <row r="672" ht="15.75" customHeight="1">
      <c r="A672" s="48" t="s">
        <v>718</v>
      </c>
      <c r="B672" s="48" t="str">
        <f>IFERROR(__xludf.DUMMYFUNCTION("IFERROR(GOOGLEFINANCE(A672,""NAME""),)"),"Integra Essentia Ltd")</f>
        <v>Integra Essentia Ltd</v>
      </c>
      <c r="C672" s="48">
        <f>IFERROR(__xludf.DUMMYFUNCTION("IFERROR(GOOGLEFINANCE(A672,""CHANGE""),)"),0.02)</f>
        <v>0.02</v>
      </c>
      <c r="D672" s="48">
        <f>IFERROR(__xludf.DUMMYFUNCTION("IFERROR(GOOGLEFINANCE(A672,""CHANGEPCT""),)"),1.9)</f>
        <v>1.9</v>
      </c>
      <c r="E672" s="48" t="str">
        <f t="shared" si="1"/>
        <v>1.9%</v>
      </c>
      <c r="F672" s="48">
        <f t="shared" si="2"/>
        <v>1.9</v>
      </c>
      <c r="G672" s="48" t="str">
        <f t="shared" si="3"/>
        <v/>
      </c>
      <c r="H672" s="48">
        <f>IFERROR(__xludf.DUMMYFUNCTION("IFERROR(GOOGLEFINANCE(A672,""PRICE""),)"),1.07)</f>
        <v>1.07</v>
      </c>
      <c r="I672" s="49">
        <f>IFERROR(__xludf.DUMMYFUNCTION("IFERROR(GOOGLEFINANCE(A672,""VOLUME""),)"),2849052.0)</f>
        <v>2849052</v>
      </c>
      <c r="J672" s="48" t="str">
        <f>IFERROR(__xludf.DUMMYFUNCTION("IFERROR(INDEX(SPLIT(A672,"":""),1,2),)"),"ESSENTIA")</f>
        <v>ESSENTIA</v>
      </c>
      <c r="K672" s="48">
        <f t="shared" si="4"/>
        <v>277</v>
      </c>
      <c r="L672" s="48" t="str">
        <f t="shared" si="5"/>
        <v/>
      </c>
      <c r="M672" s="48">
        <f t="shared" si="6"/>
        <v>131</v>
      </c>
      <c r="N672" s="50">
        <f>IFERROR(__xludf.DUMMYFUNCTION("IFERROR(GOOGLEFINANCE(A672,""TRADETIME""),)"),46269.64583333333)</f>
        <v>46269.64583</v>
      </c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</row>
    <row r="673" ht="15.75" customHeight="1">
      <c r="A673" s="51" t="s">
        <v>719</v>
      </c>
      <c r="B673" s="51" t="str">
        <f>IFERROR(__xludf.DUMMYFUNCTION("IFERROR(GOOGLEFINANCE(A673,""NAME""),)"),"Intellect Design Arena Ltd")</f>
        <v>Intellect Design Arena Ltd</v>
      </c>
      <c r="C673" s="51">
        <f>IFERROR(__xludf.DUMMYFUNCTION("IFERROR(GOOGLEFINANCE(A673,""CHANGE""),)"),9.7)</f>
        <v>9.7</v>
      </c>
      <c r="D673" s="51">
        <f>IFERROR(__xludf.DUMMYFUNCTION("IFERROR(GOOGLEFINANCE(A673,""CHANGEPCT""),)"),1.43)</f>
        <v>1.43</v>
      </c>
      <c r="E673" s="51" t="str">
        <f t="shared" si="1"/>
        <v>1.43%</v>
      </c>
      <c r="F673" s="51">
        <f t="shared" si="2"/>
        <v>1.43</v>
      </c>
      <c r="G673" s="51" t="str">
        <f t="shared" si="3"/>
        <v/>
      </c>
      <c r="H673" s="51">
        <f>IFERROR(__xludf.DUMMYFUNCTION("IFERROR(GOOGLEFINANCE(A673,""PRICE""),)"),688.0)</f>
        <v>688</v>
      </c>
      <c r="I673" s="52">
        <f>IFERROR(__xludf.DUMMYFUNCTION("IFERROR(GOOGLEFINANCE(A673,""VOLUME""),)"),491572.0)</f>
        <v>491572</v>
      </c>
      <c r="J673" s="51" t="str">
        <f>IFERROR(__xludf.DUMMYFUNCTION("IFERROR(INDEX(SPLIT(A673,"":""),1,2),)"),"INTELLECT")</f>
        <v>INTELLECT</v>
      </c>
      <c r="K673" s="51">
        <f t="shared" si="4"/>
        <v>358</v>
      </c>
      <c r="L673" s="51" t="str">
        <f t="shared" si="5"/>
        <v/>
      </c>
      <c r="M673" s="51">
        <f t="shared" si="6"/>
        <v>400</v>
      </c>
      <c r="N673" s="53">
        <f>IFERROR(__xludf.DUMMYFUNCTION("IFERROR(GOOGLEFINANCE(A673,""TRADETIME""),)"),46269.64583333333)</f>
        <v>46269.64583</v>
      </c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</row>
    <row r="674" ht="15.75" customHeight="1">
      <c r="A674" s="48" t="s">
        <v>720</v>
      </c>
      <c r="B674" s="48" t="str">
        <f>IFERROR(__xludf.DUMMYFUNCTION("IFERROR(GOOGLEFINANCE(A674,""NAME""),)"),"Intense Technologies Ltd")</f>
        <v>Intense Technologies Ltd</v>
      </c>
      <c r="C674" s="48">
        <f>IFERROR(__xludf.DUMMYFUNCTION("IFERROR(GOOGLEFINANCE(A674,""CHANGE""),)"),2.46)</f>
        <v>2.46</v>
      </c>
      <c r="D674" s="48">
        <f>IFERROR(__xludf.DUMMYFUNCTION("IFERROR(GOOGLEFINANCE(A674,""CHANGEPCT""),)"),3.09)</f>
        <v>3.09</v>
      </c>
      <c r="E674" s="48" t="str">
        <f t="shared" si="1"/>
        <v>3.09%</v>
      </c>
      <c r="F674" s="48">
        <f t="shared" si="2"/>
        <v>3.09</v>
      </c>
      <c r="G674" s="48" t="str">
        <f t="shared" si="3"/>
        <v/>
      </c>
      <c r="H674" s="48">
        <f>IFERROR(__xludf.DUMMYFUNCTION("IFERROR(GOOGLEFINANCE(A674,""PRICE""),)"),82.0)</f>
        <v>82</v>
      </c>
      <c r="I674" s="49">
        <f>IFERROR(__xludf.DUMMYFUNCTION("IFERROR(GOOGLEFINANCE(A674,""VOLUME""),)"),42907.0)</f>
        <v>42907</v>
      </c>
      <c r="J674" s="48" t="str">
        <f>IFERROR(__xludf.DUMMYFUNCTION("IFERROR(INDEX(SPLIT(A674,"":""),1,2),)"),"INTENTECH")</f>
        <v>INTENTECH</v>
      </c>
      <c r="K674" s="48">
        <f t="shared" si="4"/>
        <v>159</v>
      </c>
      <c r="L674" s="48" t="str">
        <f t="shared" si="5"/>
        <v/>
      </c>
      <c r="M674" s="48">
        <f t="shared" si="6"/>
        <v>985</v>
      </c>
      <c r="N674" s="50">
        <f>IFERROR(__xludf.DUMMYFUNCTION("IFERROR(GOOGLEFINANCE(A674,""TRADETIME""),)"),46269.64583333333)</f>
        <v>46269.64583</v>
      </c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</row>
    <row r="675" ht="15.75" customHeight="1">
      <c r="A675" s="51" t="s">
        <v>721</v>
      </c>
      <c r="B675" s="51" t="str">
        <f>IFERROR(__xludf.DUMMYFUNCTION("IFERROR(GOOGLEFINANCE(A675,""NAME""),)"),"Inventure Growth &amp; Securities Ltd")</f>
        <v>Inventure Growth &amp; Securities Ltd</v>
      </c>
      <c r="C675" s="51">
        <f>IFERROR(__xludf.DUMMYFUNCTION("IFERROR(GOOGLEFINANCE(A675,""CHANGE""),)"),0.03)</f>
        <v>0.03</v>
      </c>
      <c r="D675" s="51">
        <f>IFERROR(__xludf.DUMMYFUNCTION("IFERROR(GOOGLEFINANCE(A675,""CHANGEPCT""),)"),3.26)</f>
        <v>3.26</v>
      </c>
      <c r="E675" s="51" t="str">
        <f t="shared" si="1"/>
        <v>3.26%</v>
      </c>
      <c r="F675" s="51">
        <f t="shared" si="2"/>
        <v>3.26</v>
      </c>
      <c r="G675" s="51" t="str">
        <f t="shared" si="3"/>
        <v/>
      </c>
      <c r="H675" s="51">
        <f>IFERROR(__xludf.DUMMYFUNCTION("IFERROR(GOOGLEFINANCE(A675,""PRICE""),)"),0.95)</f>
        <v>0.95</v>
      </c>
      <c r="I675" s="52">
        <f>IFERROR(__xludf.DUMMYFUNCTION("IFERROR(GOOGLEFINANCE(A675,""VOLUME""),)"),618481.0)</f>
        <v>618481</v>
      </c>
      <c r="J675" s="51" t="str">
        <f>IFERROR(__xludf.DUMMYFUNCTION("IFERROR(INDEX(SPLIT(A675,"":""),1,2),)"),"INVENTURE")</f>
        <v>INVENTURE</v>
      </c>
      <c r="K675" s="51">
        <f t="shared" si="4"/>
        <v>145</v>
      </c>
      <c r="L675" s="51" t="str">
        <f t="shared" si="5"/>
        <v/>
      </c>
      <c r="M675" s="51">
        <f t="shared" si="6"/>
        <v>352</v>
      </c>
      <c r="N675" s="53">
        <f>IFERROR(__xludf.DUMMYFUNCTION("IFERROR(GOOGLEFINANCE(A675,""TRADETIME""),)"),46269.64583333333)</f>
        <v>46269.64583</v>
      </c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</row>
    <row r="676" ht="15.75" customHeight="1">
      <c r="A676" s="48" t="s">
        <v>722</v>
      </c>
      <c r="B676" s="48" t="str">
        <f>IFERROR(__xludf.DUMMYFUNCTION("IFERROR(GOOGLEFINANCE(A676,""NAME""),)"),"Indian Overseas Bank")</f>
        <v>Indian Overseas Bank</v>
      </c>
      <c r="C676" s="48">
        <f>IFERROR(__xludf.DUMMYFUNCTION("IFERROR(GOOGLEFINANCE(A676,""CHANGE""),)"),0.27)</f>
        <v>0.27</v>
      </c>
      <c r="D676" s="48">
        <f>IFERROR(__xludf.DUMMYFUNCTION("IFERROR(GOOGLEFINANCE(A676,""CHANGEPCT""),)"),0.81)</f>
        <v>0.81</v>
      </c>
      <c r="E676" s="48" t="str">
        <f t="shared" si="1"/>
        <v>0.81%</v>
      </c>
      <c r="F676" s="48">
        <f t="shared" si="2"/>
        <v>0.81</v>
      </c>
      <c r="G676" s="48" t="str">
        <f t="shared" si="3"/>
        <v/>
      </c>
      <c r="H676" s="48">
        <f>IFERROR(__xludf.DUMMYFUNCTION("IFERROR(GOOGLEFINANCE(A676,""PRICE""),)"),33.5)</f>
        <v>33.5</v>
      </c>
      <c r="I676" s="49">
        <f>IFERROR(__xludf.DUMMYFUNCTION("IFERROR(GOOGLEFINANCE(A676,""VOLUME""),)"),2673908.0)</f>
        <v>2673908</v>
      </c>
      <c r="J676" s="48" t="str">
        <f>IFERROR(__xludf.DUMMYFUNCTION("IFERROR(INDEX(SPLIT(A676,"":""),1,2),)"),"IOB")</f>
        <v>IOB</v>
      </c>
      <c r="K676" s="48">
        <f t="shared" si="4"/>
        <v>496</v>
      </c>
      <c r="L676" s="48" t="str">
        <f t="shared" si="5"/>
        <v/>
      </c>
      <c r="M676" s="48">
        <f t="shared" si="6"/>
        <v>134</v>
      </c>
      <c r="N676" s="50">
        <f>IFERROR(__xludf.DUMMYFUNCTION("IFERROR(GOOGLEFINANCE(A676,""TRADETIME""),)"),46269.64583333333)</f>
        <v>46269.64583</v>
      </c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</row>
    <row r="677" ht="15.75" customHeight="1">
      <c r="A677" s="51" t="s">
        <v>723</v>
      </c>
      <c r="B677" s="51" t="str">
        <f>IFERROR(__xludf.DUMMYFUNCTION("IFERROR(GOOGLEFINANCE(A677,""NAME""),)"),"Indian Oil Corporation Ltd")</f>
        <v>Indian Oil Corporation Ltd</v>
      </c>
      <c r="C677" s="51">
        <f>IFERROR(__xludf.DUMMYFUNCTION("IFERROR(GOOGLEFINANCE(A677,""CHANGE""),)"),-0.43)</f>
        <v>-0.43</v>
      </c>
      <c r="D677" s="51">
        <f>IFERROR(__xludf.DUMMYFUNCTION("IFERROR(GOOGLEFINANCE(A677,""CHANGEPCT""),)"),-0.31)</f>
        <v>-0.31</v>
      </c>
      <c r="E677" s="51" t="str">
        <f t="shared" si="1"/>
        <v>-0.31%</v>
      </c>
      <c r="F677" s="51" t="str">
        <f t="shared" si="2"/>
        <v/>
      </c>
      <c r="G677" s="51">
        <f t="shared" si="3"/>
        <v>-0.31</v>
      </c>
      <c r="H677" s="51">
        <f>IFERROR(__xludf.DUMMYFUNCTION("IFERROR(GOOGLEFINANCE(A677,""PRICE""),)"),137.37)</f>
        <v>137.37</v>
      </c>
      <c r="I677" s="52">
        <f>IFERROR(__xludf.DUMMYFUNCTION("IFERROR(GOOGLEFINANCE(A677,""VOLUME""),)"),4277697.0)</f>
        <v>4277697</v>
      </c>
      <c r="J677" s="51" t="str">
        <f>IFERROR(__xludf.DUMMYFUNCTION("IFERROR(INDEX(SPLIT(A677,"":""),1,2),)"),"IOC")</f>
        <v>IOC</v>
      </c>
      <c r="K677" s="51" t="str">
        <f t="shared" si="4"/>
        <v/>
      </c>
      <c r="L677" s="51">
        <f t="shared" si="5"/>
        <v>116</v>
      </c>
      <c r="M677" s="51">
        <f t="shared" si="6"/>
        <v>95</v>
      </c>
      <c r="N677" s="53">
        <f>IFERROR(__xludf.DUMMYFUNCTION("IFERROR(GOOGLEFINANCE(A677,""TRADETIME""),)"),46269.64583333333)</f>
        <v>46269.64583</v>
      </c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</row>
    <row r="678" ht="15.75" customHeight="1">
      <c r="A678" s="48" t="s">
        <v>724</v>
      </c>
      <c r="B678" s="48" t="str">
        <f>IFERROR(__xludf.DUMMYFUNCTION("IFERROR(GOOGLEFINANCE(A678,""NAME""),)"),"IOL Chemicals and Pharmaceuticals Ltd")</f>
        <v>IOL Chemicals and Pharmaceuticals Ltd</v>
      </c>
      <c r="C678" s="48">
        <f>IFERROR(__xludf.DUMMYFUNCTION("IFERROR(GOOGLEFINANCE(A678,""CHANGE""),)"),2.57)</f>
        <v>2.57</v>
      </c>
      <c r="D678" s="48">
        <f>IFERROR(__xludf.DUMMYFUNCTION("IFERROR(GOOGLEFINANCE(A678,""CHANGEPCT""),)"),1.31)</f>
        <v>1.31</v>
      </c>
      <c r="E678" s="48" t="str">
        <f t="shared" si="1"/>
        <v>1.31%</v>
      </c>
      <c r="F678" s="48">
        <f t="shared" si="2"/>
        <v>1.31</v>
      </c>
      <c r="G678" s="48" t="str">
        <f t="shared" si="3"/>
        <v/>
      </c>
      <c r="H678" s="48">
        <f>IFERROR(__xludf.DUMMYFUNCTION("IFERROR(GOOGLEFINANCE(A678,""PRICE""),)"),199.0)</f>
        <v>199</v>
      </c>
      <c r="I678" s="49">
        <f>IFERROR(__xludf.DUMMYFUNCTION("IFERROR(GOOGLEFINANCE(A678,""VOLUME""),)"),5291531.0)</f>
        <v>5291531</v>
      </c>
      <c r="J678" s="48" t="str">
        <f>IFERROR(__xludf.DUMMYFUNCTION("IFERROR(INDEX(SPLIT(A678,"":""),1,2),)"),"IOLCP")</f>
        <v>IOLCP</v>
      </c>
      <c r="K678" s="48">
        <f t="shared" si="4"/>
        <v>380</v>
      </c>
      <c r="L678" s="48" t="str">
        <f t="shared" si="5"/>
        <v/>
      </c>
      <c r="M678" s="48">
        <f t="shared" si="6"/>
        <v>85</v>
      </c>
      <c r="N678" s="50">
        <f>IFERROR(__xludf.DUMMYFUNCTION("IFERROR(GOOGLEFINANCE(A678,""TRADETIME""),)"),46269.64586805555)</f>
        <v>46269.64587</v>
      </c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</row>
    <row r="679" ht="15.75" customHeight="1">
      <c r="A679" s="51" t="s">
        <v>725</v>
      </c>
      <c r="B679" s="51" t="str">
        <f>IFERROR(__xludf.DUMMYFUNCTION("IFERROR(GOOGLEFINANCE(A679,""NAME""),)"),"IPCA Laboratories Ltd")</f>
        <v>IPCA Laboratories Ltd</v>
      </c>
      <c r="C679" s="51">
        <f>IFERROR(__xludf.DUMMYFUNCTION("IFERROR(GOOGLEFINANCE(A679,""CHANGE""),)"),8.9)</f>
        <v>8.9</v>
      </c>
      <c r="D679" s="51">
        <f>IFERROR(__xludf.DUMMYFUNCTION("IFERROR(GOOGLEFINANCE(A679,""CHANGEPCT""),)"),0.45)</f>
        <v>0.45</v>
      </c>
      <c r="E679" s="51" t="str">
        <f t="shared" si="1"/>
        <v>0.45%</v>
      </c>
      <c r="F679" s="51">
        <f t="shared" si="2"/>
        <v>0.45</v>
      </c>
      <c r="G679" s="51" t="str">
        <f t="shared" si="3"/>
        <v/>
      </c>
      <c r="H679" s="51">
        <f>IFERROR(__xludf.DUMMYFUNCTION("IFERROR(GOOGLEFINANCE(A679,""PRICE""),)"),1965.0)</f>
        <v>1965</v>
      </c>
      <c r="I679" s="52">
        <f>IFERROR(__xludf.DUMMYFUNCTION("IFERROR(GOOGLEFINANCE(A679,""VOLUME""),)"),80401.0)</f>
        <v>80401</v>
      </c>
      <c r="J679" s="51" t="str">
        <f>IFERROR(__xludf.DUMMYFUNCTION("IFERROR(INDEX(SPLIT(A679,"":""),1,2),)"),"IPCALAB")</f>
        <v>IPCALAB</v>
      </c>
      <c r="K679" s="51">
        <f t="shared" si="4"/>
        <v>609</v>
      </c>
      <c r="L679" s="51" t="str">
        <f t="shared" si="5"/>
        <v/>
      </c>
      <c r="M679" s="51">
        <f t="shared" si="6"/>
        <v>824</v>
      </c>
      <c r="N679" s="53">
        <f>IFERROR(__xludf.DUMMYFUNCTION("IFERROR(GOOGLEFINANCE(A679,""TRADETIME""),)"),46269.64583333333)</f>
        <v>46269.64583</v>
      </c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</row>
    <row r="680" ht="15.75" customHeight="1">
      <c r="A680" s="48" t="s">
        <v>726</v>
      </c>
      <c r="B680" s="48" t="str">
        <f>IFERROR(__xludf.DUMMYFUNCTION("IFERROR(GOOGLEFINANCE(A680,""NAME""),)"),"Irb Infrastructure Developers Ltd")</f>
        <v>Irb Infrastructure Developers Ltd</v>
      </c>
      <c r="C680" s="48">
        <f>IFERROR(__xludf.DUMMYFUNCTION("IFERROR(GOOGLEFINANCE(A680,""CHANGE""),)"),-0.01)</f>
        <v>-0.01</v>
      </c>
      <c r="D680" s="48">
        <f>IFERROR(__xludf.DUMMYFUNCTION("IFERROR(GOOGLEFINANCE(A680,""CHANGEPCT""),)"),-0.05)</f>
        <v>-0.05</v>
      </c>
      <c r="E680" s="48" t="str">
        <f t="shared" si="1"/>
        <v>-0.05%</v>
      </c>
      <c r="F680" s="48" t="str">
        <f t="shared" si="2"/>
        <v/>
      </c>
      <c r="G680" s="48">
        <f t="shared" si="3"/>
        <v>-0.05</v>
      </c>
      <c r="H680" s="48">
        <f>IFERROR(__xludf.DUMMYFUNCTION("IFERROR(GOOGLEFINANCE(A680,""PRICE""),)"),19.66)</f>
        <v>19.66</v>
      </c>
      <c r="I680" s="49">
        <f>IFERROR(__xludf.DUMMYFUNCTION("IFERROR(GOOGLEFINANCE(A680,""VOLUME""),)"),6862525.0)</f>
        <v>6862525</v>
      </c>
      <c r="J680" s="48" t="str">
        <f>IFERROR(__xludf.DUMMYFUNCTION("IFERROR(INDEX(SPLIT(A680,"":""),1,2),)"),"IRB")</f>
        <v>IRB</v>
      </c>
      <c r="K680" s="48" t="str">
        <f t="shared" si="4"/>
        <v/>
      </c>
      <c r="L680" s="48">
        <f t="shared" si="5"/>
        <v>14</v>
      </c>
      <c r="M680" s="48">
        <f t="shared" si="6"/>
        <v>66</v>
      </c>
      <c r="N680" s="50">
        <f>IFERROR(__xludf.DUMMYFUNCTION("IFERROR(GOOGLEFINANCE(A680,""TRADETIME""),)"),46269.64583333333)</f>
        <v>46269.64583</v>
      </c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</row>
    <row r="681" ht="15.75" customHeight="1">
      <c r="A681" s="51" t="s">
        <v>727</v>
      </c>
      <c r="B681" s="51" t="str">
        <f>IFERROR(__xludf.DUMMYFUNCTION("IFERROR(GOOGLEFINANCE(A681,""NAME""),)"),"Ircon International Ltd")</f>
        <v>Ircon International Ltd</v>
      </c>
      <c r="C681" s="51">
        <f>IFERROR(__xludf.DUMMYFUNCTION("IFERROR(GOOGLEFINANCE(A681,""CHANGE""),)"),0.46)</f>
        <v>0.46</v>
      </c>
      <c r="D681" s="51">
        <f>IFERROR(__xludf.DUMMYFUNCTION("IFERROR(GOOGLEFINANCE(A681,""CHANGEPCT""),)"),0.39)</f>
        <v>0.39</v>
      </c>
      <c r="E681" s="51" t="str">
        <f t="shared" si="1"/>
        <v>0.39%</v>
      </c>
      <c r="F681" s="51">
        <f t="shared" si="2"/>
        <v>0.39</v>
      </c>
      <c r="G681" s="51" t="str">
        <f t="shared" si="3"/>
        <v/>
      </c>
      <c r="H681" s="51">
        <f>IFERROR(__xludf.DUMMYFUNCTION("IFERROR(GOOGLEFINANCE(A681,""PRICE""),)"),119.15)</f>
        <v>119.15</v>
      </c>
      <c r="I681" s="52">
        <f>IFERROR(__xludf.DUMMYFUNCTION("IFERROR(GOOGLEFINANCE(A681,""VOLUME""),)"),1686344.0)</f>
        <v>1686344</v>
      </c>
      <c r="J681" s="51" t="str">
        <f>IFERROR(__xludf.DUMMYFUNCTION("IFERROR(INDEX(SPLIT(A681,"":""),1,2),)"),"IRCON")</f>
        <v>IRCON</v>
      </c>
      <c r="K681" s="51">
        <f t="shared" si="4"/>
        <v>625</v>
      </c>
      <c r="L681" s="51" t="str">
        <f t="shared" si="5"/>
        <v/>
      </c>
      <c r="M681" s="51">
        <f t="shared" si="6"/>
        <v>197</v>
      </c>
      <c r="N681" s="53">
        <f>IFERROR(__xludf.DUMMYFUNCTION("IFERROR(GOOGLEFINANCE(A681,""TRADETIME""),)"),46269.64583333333)</f>
        <v>46269.64583</v>
      </c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</row>
    <row r="682" ht="15.75" customHeight="1">
      <c r="A682" s="48" t="s">
        <v>728</v>
      </c>
      <c r="B682" s="48" t="str">
        <f>IFERROR(__xludf.DUMMYFUNCTION("IFERROR(GOOGLEFINANCE(A682,""NAME""),)"),"Indian Railway Ctrng nd Trsm Corp Ltd")</f>
        <v>Indian Railway Ctrng nd Trsm Corp Ltd</v>
      </c>
      <c r="C682" s="48">
        <f>IFERROR(__xludf.DUMMYFUNCTION("IFERROR(GOOGLEFINANCE(A682,""CHANGE""),)"),2.4)</f>
        <v>2.4</v>
      </c>
      <c r="D682" s="48">
        <f>IFERROR(__xludf.DUMMYFUNCTION("IFERROR(GOOGLEFINANCE(A682,""CHANGEPCT""),)"),0.51)</f>
        <v>0.51</v>
      </c>
      <c r="E682" s="48" t="str">
        <f t="shared" si="1"/>
        <v>0.51%</v>
      </c>
      <c r="F682" s="48">
        <f t="shared" si="2"/>
        <v>0.51</v>
      </c>
      <c r="G682" s="48" t="str">
        <f t="shared" si="3"/>
        <v/>
      </c>
      <c r="H682" s="48">
        <f>IFERROR(__xludf.DUMMYFUNCTION("IFERROR(GOOGLEFINANCE(A682,""PRICE""),)"),477.0)</f>
        <v>477</v>
      </c>
      <c r="I682" s="49">
        <f>IFERROR(__xludf.DUMMYFUNCTION("IFERROR(GOOGLEFINANCE(A682,""VOLUME""),)"),603706.0)</f>
        <v>603706</v>
      </c>
      <c r="J682" s="48" t="str">
        <f>IFERROR(__xludf.DUMMYFUNCTION("IFERROR(INDEX(SPLIT(A682,"":""),1,2),)"),"IRCTC")</f>
        <v>IRCTC</v>
      </c>
      <c r="K682" s="48">
        <f t="shared" si="4"/>
        <v>589</v>
      </c>
      <c r="L682" s="48" t="str">
        <f t="shared" si="5"/>
        <v/>
      </c>
      <c r="M682" s="48">
        <f t="shared" si="6"/>
        <v>357</v>
      </c>
      <c r="N682" s="50">
        <f>IFERROR(__xludf.DUMMYFUNCTION("IFERROR(GOOGLEFINANCE(A682,""TRADETIME""),)"),46269.64583333333)</f>
        <v>46269.64583</v>
      </c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</row>
    <row r="683" ht="15.75" customHeight="1">
      <c r="A683" s="51" t="s">
        <v>729</v>
      </c>
      <c r="B683" s="51" t="str">
        <f>IFERROR(__xludf.DUMMYFUNCTION("IFERROR(GOOGLEFINANCE(A683,""NAME""),)"),"Iris Clothings Ltd")</f>
        <v>Iris Clothings Ltd</v>
      </c>
      <c r="C683" s="51">
        <f>IFERROR(__xludf.DUMMYFUNCTION("IFERROR(GOOGLEFINANCE(A683,""CHANGE""),)"),3.82)</f>
        <v>3.82</v>
      </c>
      <c r="D683" s="51">
        <f>IFERROR(__xludf.DUMMYFUNCTION("IFERROR(GOOGLEFINANCE(A683,""CHANGEPCT""),)"),6.37)</f>
        <v>6.37</v>
      </c>
      <c r="E683" s="51" t="str">
        <f t="shared" si="1"/>
        <v>6.37%</v>
      </c>
      <c r="F683" s="51">
        <f t="shared" si="2"/>
        <v>6.37</v>
      </c>
      <c r="G683" s="51" t="str">
        <f t="shared" si="3"/>
        <v/>
      </c>
      <c r="H683" s="51">
        <f>IFERROR(__xludf.DUMMYFUNCTION("IFERROR(GOOGLEFINANCE(A683,""PRICE""),)"),63.8)</f>
        <v>63.8</v>
      </c>
      <c r="I683" s="52">
        <f>IFERROR(__xludf.DUMMYFUNCTION("IFERROR(GOOGLEFINANCE(A683,""VOLUME""),)"),2431238.0)</f>
        <v>2431238</v>
      </c>
      <c r="J683" s="51" t="str">
        <f>IFERROR(__xludf.DUMMYFUNCTION("IFERROR(INDEX(SPLIT(A683,"":""),1,2),)"),"IRISDOREME")</f>
        <v>IRISDOREME</v>
      </c>
      <c r="K683" s="51">
        <f t="shared" si="4"/>
        <v>29</v>
      </c>
      <c r="L683" s="51" t="str">
        <f t="shared" si="5"/>
        <v/>
      </c>
      <c r="M683" s="51">
        <f t="shared" si="6"/>
        <v>150</v>
      </c>
      <c r="N683" s="53">
        <f>IFERROR(__xludf.DUMMYFUNCTION("IFERROR(GOOGLEFINANCE(A683,""TRADETIME""),)"),46269.64583333333)</f>
        <v>46269.64583</v>
      </c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</row>
    <row r="684" ht="15.75" customHeight="1">
      <c r="A684" s="48" t="s">
        <v>730</v>
      </c>
      <c r="B684" s="48" t="str">
        <f>IFERROR(__xludf.DUMMYFUNCTION("IFERROR(GOOGLEFINANCE(A684,""NAME""),)"),"")</f>
        <v/>
      </c>
      <c r="C684" s="48" t="str">
        <f>IFERROR(__xludf.DUMMYFUNCTION("IFERROR(GOOGLEFINANCE(A684,""CHANGE""),)"),"")</f>
        <v/>
      </c>
      <c r="D684" s="48" t="str">
        <f>IFERROR(__xludf.DUMMYFUNCTION("IFERROR(GOOGLEFINANCE(A684,""CHANGEPCT""),)"),"")</f>
        <v/>
      </c>
      <c r="E684" s="48" t="str">
        <f t="shared" si="1"/>
        <v>%</v>
      </c>
      <c r="F684" s="48" t="str">
        <f t="shared" si="2"/>
        <v/>
      </c>
      <c r="G684" s="48" t="str">
        <f t="shared" si="3"/>
        <v/>
      </c>
      <c r="H684" s="48" t="str">
        <f>IFERROR(__xludf.DUMMYFUNCTION("IFERROR(GOOGLEFINANCE(A684,""PRICE""),)"),"")</f>
        <v/>
      </c>
      <c r="I684" s="49" t="str">
        <f>IFERROR(__xludf.DUMMYFUNCTION("IFERROR(GOOGLEFINANCE(A684,""VOLUME""),)"),"")</f>
        <v/>
      </c>
      <c r="J684" s="48" t="str">
        <f>IFERROR(__xludf.DUMMYFUNCTION("IFERROR(INDEX(SPLIT(A684,"":""),1,2),)"),"ISEC")</f>
        <v>ISEC</v>
      </c>
      <c r="K684" s="48" t="str">
        <f t="shared" si="4"/>
        <v/>
      </c>
      <c r="L684" s="48" t="str">
        <f t="shared" si="5"/>
        <v/>
      </c>
      <c r="M684" s="48">
        <f t="shared" si="6"/>
        <v>1456</v>
      </c>
      <c r="N684" s="50" t="str">
        <f>IFERROR(__xludf.DUMMYFUNCTION("IFERROR(GOOGLEFINANCE(A684,""TRADETIME""),)"),"")</f>
        <v/>
      </c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</row>
    <row r="685" ht="15.75" customHeight="1">
      <c r="A685" s="51" t="s">
        <v>731</v>
      </c>
      <c r="B685" s="51" t="str">
        <f>IFERROR(__xludf.DUMMYFUNCTION("IFERROR(GOOGLEFINANCE(A685,""NAME""),)"),"Intrasoft Technologies Ltd")</f>
        <v>Intrasoft Technologies Ltd</v>
      </c>
      <c r="C685" s="51">
        <f>IFERROR(__xludf.DUMMYFUNCTION("IFERROR(GOOGLEFINANCE(A685,""CHANGE""),)"),-2.02)</f>
        <v>-2.02</v>
      </c>
      <c r="D685" s="51">
        <f>IFERROR(__xludf.DUMMYFUNCTION("IFERROR(GOOGLEFINANCE(A685,""CHANGEPCT""),)"),-2.38)</f>
        <v>-2.38</v>
      </c>
      <c r="E685" s="51" t="str">
        <f t="shared" si="1"/>
        <v>-2.38%</v>
      </c>
      <c r="F685" s="51" t="str">
        <f t="shared" si="2"/>
        <v/>
      </c>
      <c r="G685" s="51">
        <f t="shared" si="3"/>
        <v>-2.38</v>
      </c>
      <c r="H685" s="51">
        <f>IFERROR(__xludf.DUMMYFUNCTION("IFERROR(GOOGLEFINANCE(A685,""PRICE""),)"),82.77)</f>
        <v>82.77</v>
      </c>
      <c r="I685" s="52">
        <f>IFERROR(__xludf.DUMMYFUNCTION("IFERROR(GOOGLEFINANCE(A685,""VOLUME""),)"),132771.0)</f>
        <v>132771</v>
      </c>
      <c r="J685" s="51" t="str">
        <f>IFERROR(__xludf.DUMMYFUNCTION("IFERROR(INDEX(SPLIT(A685,"":""),1,2),)"),"ISFT")</f>
        <v>ISFT</v>
      </c>
      <c r="K685" s="51" t="str">
        <f t="shared" si="4"/>
        <v/>
      </c>
      <c r="L685" s="51">
        <f t="shared" si="5"/>
        <v>565</v>
      </c>
      <c r="M685" s="51">
        <f t="shared" si="6"/>
        <v>715</v>
      </c>
      <c r="N685" s="53">
        <f>IFERROR(__xludf.DUMMYFUNCTION("IFERROR(GOOGLEFINANCE(A685,""TRADETIME""),)"),46269.64583333333)</f>
        <v>46269.64583</v>
      </c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</row>
    <row r="686" ht="15.75" customHeight="1">
      <c r="A686" s="48" t="s">
        <v>732</v>
      </c>
      <c r="B686" s="48" t="str">
        <f>IFERROR(__xludf.DUMMYFUNCTION("IFERROR(GOOGLEFINANCE(A686,""NAME""),)"),"")</f>
        <v/>
      </c>
      <c r="C686" s="48" t="str">
        <f>IFERROR(__xludf.DUMMYFUNCTION("IFERROR(GOOGLEFINANCE(A686,""CHANGE""),)"),"")</f>
        <v/>
      </c>
      <c r="D686" s="48" t="str">
        <f>IFERROR(__xludf.DUMMYFUNCTION("IFERROR(GOOGLEFINANCE(A686,""CHANGEPCT""),)"),"")</f>
        <v/>
      </c>
      <c r="E686" s="48" t="str">
        <f t="shared" si="1"/>
        <v>%</v>
      </c>
      <c r="F686" s="48" t="str">
        <f t="shared" si="2"/>
        <v/>
      </c>
      <c r="G686" s="48" t="str">
        <f t="shared" si="3"/>
        <v/>
      </c>
      <c r="H686" s="48" t="str">
        <f>IFERROR(__xludf.DUMMYFUNCTION("IFERROR(GOOGLEFINANCE(A686,""PRICE""),)"),"")</f>
        <v/>
      </c>
      <c r="I686" s="49" t="str">
        <f>IFERROR(__xludf.DUMMYFUNCTION("IFERROR(GOOGLEFINANCE(A686,""VOLUME""),)"),"")</f>
        <v/>
      </c>
      <c r="J686" s="48" t="str">
        <f>IFERROR(__xludf.DUMMYFUNCTION("IFERROR(INDEX(SPLIT(A686,"":""),1,2),)"),"ISMTLTD")</f>
        <v>ISMTLTD</v>
      </c>
      <c r="K686" s="48" t="str">
        <f t="shared" si="4"/>
        <v/>
      </c>
      <c r="L686" s="48" t="str">
        <f t="shared" si="5"/>
        <v/>
      </c>
      <c r="M686" s="48">
        <f t="shared" si="6"/>
        <v>1456</v>
      </c>
      <c r="N686" s="50" t="str">
        <f>IFERROR(__xludf.DUMMYFUNCTION("IFERROR(GOOGLEFINANCE(A686,""TRADETIME""),)"),"")</f>
        <v/>
      </c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</row>
    <row r="687" ht="15.75" customHeight="1">
      <c r="A687" s="51" t="s">
        <v>733</v>
      </c>
      <c r="B687" s="51" t="str">
        <f>IFERROR(__xludf.DUMMYFUNCTION("IFERROR(GOOGLEFINANCE(A687,""NAME""),)"),"ITC Ltd")</f>
        <v>ITC Ltd</v>
      </c>
      <c r="C687" s="51">
        <f>IFERROR(__xludf.DUMMYFUNCTION("IFERROR(GOOGLEFINANCE(A687,""CHANGE""),)"),1.75)</f>
        <v>1.75</v>
      </c>
      <c r="D687" s="51">
        <f>IFERROR(__xludf.DUMMYFUNCTION("IFERROR(GOOGLEFINANCE(A687,""CHANGEPCT""),)"),0.67)</f>
        <v>0.67</v>
      </c>
      <c r="E687" s="51" t="str">
        <f t="shared" si="1"/>
        <v>0.67%</v>
      </c>
      <c r="F687" s="51">
        <f t="shared" si="2"/>
        <v>0.67</v>
      </c>
      <c r="G687" s="51" t="str">
        <f t="shared" si="3"/>
        <v/>
      </c>
      <c r="H687" s="51">
        <f>IFERROR(__xludf.DUMMYFUNCTION("IFERROR(GOOGLEFINANCE(A687,""PRICE""),)"),264.75)</f>
        <v>264.75</v>
      </c>
      <c r="I687" s="52">
        <f>IFERROR(__xludf.DUMMYFUNCTION("IFERROR(GOOGLEFINANCE(A687,""VOLUME""),)"),9519153.0)</f>
        <v>9519153</v>
      </c>
      <c r="J687" s="51" t="str">
        <f>IFERROR(__xludf.DUMMYFUNCTION("IFERROR(INDEX(SPLIT(A687,"":""),1,2),)"),"ITC")</f>
        <v>ITC</v>
      </c>
      <c r="K687" s="51">
        <f t="shared" si="4"/>
        <v>538</v>
      </c>
      <c r="L687" s="51" t="str">
        <f t="shared" si="5"/>
        <v/>
      </c>
      <c r="M687" s="51">
        <f t="shared" si="6"/>
        <v>45</v>
      </c>
      <c r="N687" s="53">
        <f>IFERROR(__xludf.DUMMYFUNCTION("IFERROR(GOOGLEFINANCE(A687,""TRADETIME""),)"),46269.64583333333)</f>
        <v>46269.64583</v>
      </c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</row>
    <row r="688" ht="15.75" customHeight="1">
      <c r="A688" s="48" t="s">
        <v>734</v>
      </c>
      <c r="B688" s="48" t="str">
        <f>IFERROR(__xludf.DUMMYFUNCTION("IFERROR(GOOGLEFINANCE(A688,""NAME""),)"),"India Tourism Development Corp Ltd")</f>
        <v>India Tourism Development Corp Ltd</v>
      </c>
      <c r="C688" s="48">
        <f>IFERROR(__xludf.DUMMYFUNCTION("IFERROR(GOOGLEFINANCE(A688,""CHANGE""),)"),1.65)</f>
        <v>1.65</v>
      </c>
      <c r="D688" s="48">
        <f>IFERROR(__xludf.DUMMYFUNCTION("IFERROR(GOOGLEFINANCE(A688,""CHANGEPCT""),)"),0.26)</f>
        <v>0.26</v>
      </c>
      <c r="E688" s="48" t="str">
        <f t="shared" si="1"/>
        <v>0.26%</v>
      </c>
      <c r="F688" s="48">
        <f t="shared" si="2"/>
        <v>0.26</v>
      </c>
      <c r="G688" s="48" t="str">
        <f t="shared" si="3"/>
        <v/>
      </c>
      <c r="H688" s="48">
        <f>IFERROR(__xludf.DUMMYFUNCTION("IFERROR(GOOGLEFINANCE(A688,""PRICE""),)"),645.0)</f>
        <v>645</v>
      </c>
      <c r="I688" s="49">
        <f>IFERROR(__xludf.DUMMYFUNCTION("IFERROR(GOOGLEFINANCE(A688,""VOLUME""),)"),39915.0)</f>
        <v>39915</v>
      </c>
      <c r="J688" s="48" t="str">
        <f>IFERROR(__xludf.DUMMYFUNCTION("IFERROR(INDEX(SPLIT(A688,"":""),1,2),)"),"ITDC")</f>
        <v>ITDC</v>
      </c>
      <c r="K688" s="48">
        <f t="shared" si="4"/>
        <v>674</v>
      </c>
      <c r="L688" s="48" t="str">
        <f t="shared" si="5"/>
        <v/>
      </c>
      <c r="M688" s="48">
        <f t="shared" si="6"/>
        <v>1006</v>
      </c>
      <c r="N688" s="50">
        <f>IFERROR(__xludf.DUMMYFUNCTION("IFERROR(GOOGLEFINANCE(A688,""TRADETIME""),)"),46269.64583333333)</f>
        <v>46269.64583</v>
      </c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</row>
    <row r="689" ht="15.75" customHeight="1">
      <c r="A689" s="51" t="s">
        <v>735</v>
      </c>
      <c r="B689" s="51" t="str">
        <f>IFERROR(__xludf.DUMMYFUNCTION("IFERROR(GOOGLEFINANCE(A689,""NAME""),)"),"")</f>
        <v/>
      </c>
      <c r="C689" s="51" t="str">
        <f>IFERROR(__xludf.DUMMYFUNCTION("IFERROR(GOOGLEFINANCE(A689,""CHANGE""),)"),"")</f>
        <v/>
      </c>
      <c r="D689" s="51" t="str">
        <f>IFERROR(__xludf.DUMMYFUNCTION("IFERROR(GOOGLEFINANCE(A689,""CHANGEPCT""),)"),"")</f>
        <v/>
      </c>
      <c r="E689" s="51" t="str">
        <f t="shared" si="1"/>
        <v>%</v>
      </c>
      <c r="F689" s="51" t="str">
        <f t="shared" si="2"/>
        <v/>
      </c>
      <c r="G689" s="51" t="str">
        <f t="shared" si="3"/>
        <v/>
      </c>
      <c r="H689" s="51" t="str">
        <f>IFERROR(__xludf.DUMMYFUNCTION("IFERROR(GOOGLEFINANCE(A689,""PRICE""),)"),"")</f>
        <v/>
      </c>
      <c r="I689" s="52" t="str">
        <f>IFERROR(__xludf.DUMMYFUNCTION("IFERROR(GOOGLEFINANCE(A689,""VOLUME""),)"),"")</f>
        <v/>
      </c>
      <c r="J689" s="51" t="str">
        <f>IFERROR(__xludf.DUMMYFUNCTION("IFERROR(INDEX(SPLIT(A689,"":""),1,2),)"),"ITDCEM")</f>
        <v>ITDCEM</v>
      </c>
      <c r="K689" s="51" t="str">
        <f t="shared" si="4"/>
        <v/>
      </c>
      <c r="L689" s="51" t="str">
        <f t="shared" si="5"/>
        <v/>
      </c>
      <c r="M689" s="51">
        <f t="shared" si="6"/>
        <v>1456</v>
      </c>
      <c r="N689" s="53" t="str">
        <f>IFERROR(__xludf.DUMMYFUNCTION("IFERROR(GOOGLEFINANCE(A689,""TRADETIME""),)"),"")</f>
        <v/>
      </c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</row>
    <row r="690" ht="15.75" customHeight="1">
      <c r="A690" s="48" t="s">
        <v>736</v>
      </c>
      <c r="B690" s="48" t="str">
        <f>IFERROR(__xludf.DUMMYFUNCTION("IFERROR(GOOGLEFINANCE(A690,""NAME""),)"),"ITI Ltd")</f>
        <v>ITI Ltd</v>
      </c>
      <c r="C690" s="48">
        <f>IFERROR(__xludf.DUMMYFUNCTION("IFERROR(GOOGLEFINANCE(A690,""CHANGE""),)"),4.45)</f>
        <v>4.45</v>
      </c>
      <c r="D690" s="48">
        <f>IFERROR(__xludf.DUMMYFUNCTION("IFERROR(GOOGLEFINANCE(A690,""CHANGEPCT""),)"),1.66)</f>
        <v>1.66</v>
      </c>
      <c r="E690" s="48" t="str">
        <f t="shared" si="1"/>
        <v>1.66%</v>
      </c>
      <c r="F690" s="48">
        <f t="shared" si="2"/>
        <v>1.66</v>
      </c>
      <c r="G690" s="48" t="str">
        <f t="shared" si="3"/>
        <v/>
      </c>
      <c r="H690" s="48">
        <f>IFERROR(__xludf.DUMMYFUNCTION("IFERROR(GOOGLEFINANCE(A690,""PRICE""),)"),272.9)</f>
        <v>272.9</v>
      </c>
      <c r="I690" s="49">
        <f>IFERROR(__xludf.DUMMYFUNCTION("IFERROR(GOOGLEFINANCE(A690,""VOLUME""),)"),264152.0)</f>
        <v>264152</v>
      </c>
      <c r="J690" s="48" t="str">
        <f>IFERROR(__xludf.DUMMYFUNCTION("IFERROR(INDEX(SPLIT(A690,"":""),1,2),)"),"ITI")</f>
        <v>ITI</v>
      </c>
      <c r="K690" s="48">
        <f t="shared" si="4"/>
        <v>316</v>
      </c>
      <c r="L690" s="48" t="str">
        <f t="shared" si="5"/>
        <v/>
      </c>
      <c r="M690" s="48">
        <f t="shared" si="6"/>
        <v>554</v>
      </c>
      <c r="N690" s="50">
        <f>IFERROR(__xludf.DUMMYFUNCTION("IFERROR(GOOGLEFINANCE(A690,""TRADETIME""),)"),46269.64583333333)</f>
        <v>46269.64583</v>
      </c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</row>
    <row r="691" ht="15.75" customHeight="1">
      <c r="A691" s="51" t="s">
        <v>737</v>
      </c>
      <c r="B691" s="51" t="str">
        <f>IFERROR(__xludf.DUMMYFUNCTION("IFERROR(GOOGLEFINANCE(A691,""NAME""),)"),"IL&amp;FS Investment Managers Ltd")</f>
        <v>IL&amp;FS Investment Managers Ltd</v>
      </c>
      <c r="C691" s="51">
        <f>IFERROR(__xludf.DUMMYFUNCTION("IFERROR(GOOGLEFINANCE(A691,""CHANGE""),)"),0.15)</f>
        <v>0.15</v>
      </c>
      <c r="D691" s="51">
        <f>IFERROR(__xludf.DUMMYFUNCTION("IFERROR(GOOGLEFINANCE(A691,""CHANGEPCT""),)"),1.49)</f>
        <v>1.49</v>
      </c>
      <c r="E691" s="51" t="str">
        <f t="shared" si="1"/>
        <v>1.49%</v>
      </c>
      <c r="F691" s="51">
        <f t="shared" si="2"/>
        <v>1.49</v>
      </c>
      <c r="G691" s="51" t="str">
        <f t="shared" si="3"/>
        <v/>
      </c>
      <c r="H691" s="51">
        <f>IFERROR(__xludf.DUMMYFUNCTION("IFERROR(GOOGLEFINANCE(A691,""PRICE""),)"),10.24)</f>
        <v>10.24</v>
      </c>
      <c r="I691" s="52">
        <f>IFERROR(__xludf.DUMMYFUNCTION("IFERROR(GOOGLEFINANCE(A691,""VOLUME""),)"),1022586.0)</f>
        <v>1022586</v>
      </c>
      <c r="J691" s="51" t="str">
        <f>IFERROR(__xludf.DUMMYFUNCTION("IFERROR(INDEX(SPLIT(A691,"":""),1,2),)"),"IVC")</f>
        <v>IVC</v>
      </c>
      <c r="K691" s="51">
        <f t="shared" si="4"/>
        <v>348</v>
      </c>
      <c r="L691" s="51" t="str">
        <f t="shared" si="5"/>
        <v/>
      </c>
      <c r="M691" s="51">
        <f t="shared" si="6"/>
        <v>272</v>
      </c>
      <c r="N691" s="53">
        <f>IFERROR(__xludf.DUMMYFUNCTION("IFERROR(GOOGLEFINANCE(A691,""TRADETIME""),)"),46269.64583333333)</f>
        <v>46269.64583</v>
      </c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</row>
    <row r="692" ht="15.75" customHeight="1">
      <c r="A692" s="48" t="s">
        <v>738</v>
      </c>
      <c r="B692" s="48" t="str">
        <f>IFERROR(__xludf.DUMMYFUNCTION("IFERROR(GOOGLEFINANCE(A692,""NAME""),)"),"IVP Ltd")</f>
        <v>IVP Ltd</v>
      </c>
      <c r="C692" s="48">
        <f>IFERROR(__xludf.DUMMYFUNCTION("IFERROR(GOOGLEFINANCE(A692,""CHANGE""),)"),-3.25)</f>
        <v>-3.25</v>
      </c>
      <c r="D692" s="48">
        <f>IFERROR(__xludf.DUMMYFUNCTION("IFERROR(GOOGLEFINANCE(A692,""CHANGEPCT""),)"),-1.58)</f>
        <v>-1.58</v>
      </c>
      <c r="E692" s="48" t="str">
        <f t="shared" si="1"/>
        <v>-1.58%</v>
      </c>
      <c r="F692" s="48" t="str">
        <f t="shared" si="2"/>
        <v/>
      </c>
      <c r="G692" s="48">
        <f t="shared" si="3"/>
        <v>-1.58</v>
      </c>
      <c r="H692" s="48">
        <f>IFERROR(__xludf.DUMMYFUNCTION("IFERROR(GOOGLEFINANCE(A692,""PRICE""),)"),203.0)</f>
        <v>203</v>
      </c>
      <c r="I692" s="49">
        <f>IFERROR(__xludf.DUMMYFUNCTION("IFERROR(GOOGLEFINANCE(A692,""VOLUME""),)"),10358.0)</f>
        <v>10358</v>
      </c>
      <c r="J692" s="48" t="str">
        <f>IFERROR(__xludf.DUMMYFUNCTION("IFERROR(INDEX(SPLIT(A692,"":""),1,2),)"),"IVP")</f>
        <v>IVP</v>
      </c>
      <c r="K692" s="48" t="str">
        <f t="shared" si="4"/>
        <v/>
      </c>
      <c r="L692" s="48">
        <f t="shared" si="5"/>
        <v>466</v>
      </c>
      <c r="M692" s="48">
        <f t="shared" si="6"/>
        <v>1227</v>
      </c>
      <c r="N692" s="50">
        <f>IFERROR(__xludf.DUMMYFUNCTION("IFERROR(GOOGLEFINANCE(A692,""TRADETIME""),)"),46269.64583333333)</f>
        <v>46269.64583</v>
      </c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</row>
    <row r="693" ht="15.75" customHeight="1">
      <c r="A693" s="51" t="s">
        <v>739</v>
      </c>
      <c r="B693" s="51" t="str">
        <f>IFERROR(__xludf.DUMMYFUNCTION("IFERROR(GOOGLEFINANCE(A693,""NAME""),)"),"Izmo Ltd")</f>
        <v>Izmo Ltd</v>
      </c>
      <c r="C693" s="51">
        <f>IFERROR(__xludf.DUMMYFUNCTION("IFERROR(GOOGLEFINANCE(A693,""CHANGE""),)"),-19.35)</f>
        <v>-19.35</v>
      </c>
      <c r="D693" s="51">
        <f>IFERROR(__xludf.DUMMYFUNCTION("IFERROR(GOOGLEFINANCE(A693,""CHANGEPCT""),)"),-2.1)</f>
        <v>-2.1</v>
      </c>
      <c r="E693" s="51" t="str">
        <f t="shared" si="1"/>
        <v>-2.1%</v>
      </c>
      <c r="F693" s="51" t="str">
        <f t="shared" si="2"/>
        <v/>
      </c>
      <c r="G693" s="51">
        <f t="shared" si="3"/>
        <v>-2.1</v>
      </c>
      <c r="H693" s="51">
        <f>IFERROR(__xludf.DUMMYFUNCTION("IFERROR(GOOGLEFINANCE(A693,""PRICE""),)"),902.6)</f>
        <v>902.6</v>
      </c>
      <c r="I693" s="52">
        <f>IFERROR(__xludf.DUMMYFUNCTION("IFERROR(GOOGLEFINANCE(A693,""VOLUME""),)"),87266.0)</f>
        <v>87266</v>
      </c>
      <c r="J693" s="51" t="str">
        <f>IFERROR(__xludf.DUMMYFUNCTION("IFERROR(INDEX(SPLIT(A693,"":""),1,2),)"),"IZMO")</f>
        <v>IZMO</v>
      </c>
      <c r="K693" s="51" t="str">
        <f t="shared" si="4"/>
        <v/>
      </c>
      <c r="L693" s="51">
        <f t="shared" si="5"/>
        <v>539</v>
      </c>
      <c r="M693" s="51">
        <f t="shared" si="6"/>
        <v>809</v>
      </c>
      <c r="N693" s="53">
        <f>IFERROR(__xludf.DUMMYFUNCTION("IFERROR(GOOGLEFINANCE(A693,""TRADETIME""),)"),46269.64583333333)</f>
        <v>46269.64583</v>
      </c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</row>
    <row r="694" ht="15.75" customHeight="1">
      <c r="A694" s="48" t="s">
        <v>740</v>
      </c>
      <c r="B694" s="48" t="str">
        <f>IFERROR(__xludf.DUMMYFUNCTION("IFERROR(GOOGLEFINANCE(A694,""NAME""),)"),"Jammu and Kashmir Bank Ltd")</f>
        <v>Jammu and Kashmir Bank Ltd</v>
      </c>
      <c r="C694" s="48">
        <f>IFERROR(__xludf.DUMMYFUNCTION("IFERROR(GOOGLEFINANCE(A694,""CHANGE""),)"),0.44)</f>
        <v>0.44</v>
      </c>
      <c r="D694" s="48">
        <f>IFERROR(__xludf.DUMMYFUNCTION("IFERROR(GOOGLEFINANCE(A694,""CHANGEPCT""),)"),0.29)</f>
        <v>0.29</v>
      </c>
      <c r="E694" s="48" t="str">
        <f t="shared" si="1"/>
        <v>0.29%</v>
      </c>
      <c r="F694" s="48">
        <f t="shared" si="2"/>
        <v>0.29</v>
      </c>
      <c r="G694" s="48" t="str">
        <f t="shared" si="3"/>
        <v/>
      </c>
      <c r="H694" s="48">
        <f>IFERROR(__xludf.DUMMYFUNCTION("IFERROR(GOOGLEFINANCE(A694,""PRICE""),)"),150.3)</f>
        <v>150.3</v>
      </c>
      <c r="I694" s="49">
        <f>IFERROR(__xludf.DUMMYFUNCTION("IFERROR(GOOGLEFINANCE(A694,""VOLUME""),)"),1883250.0)</f>
        <v>1883250</v>
      </c>
      <c r="J694" s="48" t="str">
        <f>IFERROR(__xludf.DUMMYFUNCTION("IFERROR(INDEX(SPLIT(A694,"":""),1,2),)"),"J&amp;KBANK")</f>
        <v>J&amp;KBANK</v>
      </c>
      <c r="K694" s="48">
        <f t="shared" si="4"/>
        <v>665</v>
      </c>
      <c r="L694" s="48" t="str">
        <f t="shared" si="5"/>
        <v/>
      </c>
      <c r="M694" s="48">
        <f t="shared" si="6"/>
        <v>178</v>
      </c>
      <c r="N694" s="50">
        <f>IFERROR(__xludf.DUMMYFUNCTION("IFERROR(GOOGLEFINANCE(A694,""TRADETIME""),)"),46269.64583333333)</f>
        <v>46269.64583</v>
      </c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</row>
    <row r="695" ht="15.75" customHeight="1">
      <c r="A695" s="51" t="s">
        <v>741</v>
      </c>
      <c r="B695" s="51" t="str">
        <f>IFERROR(__xludf.DUMMYFUNCTION("IFERROR(GOOGLEFINANCE(A695,""NAME""),)"),"Jagran Prakashan Ltd")</f>
        <v>Jagran Prakashan Ltd</v>
      </c>
      <c r="C695" s="51">
        <f>IFERROR(__xludf.DUMMYFUNCTION("IFERROR(GOOGLEFINANCE(A695,""CHANGE""),)"),-0.25)</f>
        <v>-0.25</v>
      </c>
      <c r="D695" s="51">
        <f>IFERROR(__xludf.DUMMYFUNCTION("IFERROR(GOOGLEFINANCE(A695,""CHANGEPCT""),)"),-0.41)</f>
        <v>-0.41</v>
      </c>
      <c r="E695" s="51" t="str">
        <f t="shared" si="1"/>
        <v>-0.41%</v>
      </c>
      <c r="F695" s="51" t="str">
        <f t="shared" si="2"/>
        <v/>
      </c>
      <c r="G695" s="51">
        <f t="shared" si="3"/>
        <v>-0.41</v>
      </c>
      <c r="H695" s="51">
        <f>IFERROR(__xludf.DUMMYFUNCTION("IFERROR(GOOGLEFINANCE(A695,""PRICE""),)"),60.98)</f>
        <v>60.98</v>
      </c>
      <c r="I695" s="52">
        <f>IFERROR(__xludf.DUMMYFUNCTION("IFERROR(GOOGLEFINANCE(A695,""VOLUME""),)"),247379.0)</f>
        <v>247379</v>
      </c>
      <c r="J695" s="51" t="str">
        <f>IFERROR(__xludf.DUMMYFUNCTION("IFERROR(INDEX(SPLIT(A695,"":""),1,2),)"),"JAGRAN")</f>
        <v>JAGRAN</v>
      </c>
      <c r="K695" s="51" t="str">
        <f t="shared" si="4"/>
        <v/>
      </c>
      <c r="L695" s="51">
        <f t="shared" si="5"/>
        <v>158</v>
      </c>
      <c r="M695" s="51">
        <f t="shared" si="6"/>
        <v>571</v>
      </c>
      <c r="N695" s="53">
        <f>IFERROR(__xludf.DUMMYFUNCTION("IFERROR(GOOGLEFINANCE(A695,""TRADETIME""),)"),46269.64583333333)</f>
        <v>46269.64583</v>
      </c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</row>
    <row r="696" ht="15.75" customHeight="1">
      <c r="A696" s="48" t="s">
        <v>742</v>
      </c>
      <c r="B696" s="48" t="str">
        <f>IFERROR(__xludf.DUMMYFUNCTION("IFERROR(GOOGLEFINANCE(A696,""NAME""),)"),"Jagsonpal Pharmaceuticals Ltd")</f>
        <v>Jagsonpal Pharmaceuticals Ltd</v>
      </c>
      <c r="C696" s="48">
        <f>IFERROR(__xludf.DUMMYFUNCTION("IFERROR(GOOGLEFINANCE(A696,""CHANGE""),)"),-0.62)</f>
        <v>-0.62</v>
      </c>
      <c r="D696" s="48">
        <f>IFERROR(__xludf.DUMMYFUNCTION("IFERROR(GOOGLEFINANCE(A696,""CHANGEPCT""),)"),-0.26)</f>
        <v>-0.26</v>
      </c>
      <c r="E696" s="48" t="str">
        <f t="shared" si="1"/>
        <v>-0.26%</v>
      </c>
      <c r="F696" s="48" t="str">
        <f t="shared" si="2"/>
        <v/>
      </c>
      <c r="G696" s="48">
        <f t="shared" si="3"/>
        <v>-0.26</v>
      </c>
      <c r="H696" s="48">
        <f>IFERROR(__xludf.DUMMYFUNCTION("IFERROR(GOOGLEFINANCE(A696,""PRICE""),)"),242.4)</f>
        <v>242.4</v>
      </c>
      <c r="I696" s="49">
        <f>IFERROR(__xludf.DUMMYFUNCTION("IFERROR(GOOGLEFINANCE(A696,""VOLUME""),)"),96227.0)</f>
        <v>96227</v>
      </c>
      <c r="J696" s="48" t="str">
        <f>IFERROR(__xludf.DUMMYFUNCTION("IFERROR(INDEX(SPLIT(A696,"":""),1,2),)"),"JAGSNPHARM")</f>
        <v>JAGSNPHARM</v>
      </c>
      <c r="K696" s="48" t="str">
        <f t="shared" si="4"/>
        <v/>
      </c>
      <c r="L696" s="48">
        <f t="shared" si="5"/>
        <v>94</v>
      </c>
      <c r="M696" s="48">
        <f t="shared" si="6"/>
        <v>785</v>
      </c>
      <c r="N696" s="50">
        <f>IFERROR(__xludf.DUMMYFUNCTION("IFERROR(GOOGLEFINANCE(A696,""TRADETIME""),)"),46269.64583333333)</f>
        <v>46269.64583</v>
      </c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</row>
    <row r="697" ht="15.75" customHeight="1">
      <c r="A697" s="51" t="s">
        <v>743</v>
      </c>
      <c r="B697" s="51" t="str">
        <f>IFERROR(__xludf.DUMMYFUNCTION("IFERROR(GOOGLEFINANCE(A697,""NAME""),)"),"Jai Balaji Industries Ltd.")</f>
        <v>Jai Balaji Industries Ltd.</v>
      </c>
      <c r="C697" s="51">
        <f>IFERROR(__xludf.DUMMYFUNCTION("IFERROR(GOOGLEFINANCE(A697,""CHANGE""),)"),-1.15)</f>
        <v>-1.15</v>
      </c>
      <c r="D697" s="51">
        <f>IFERROR(__xludf.DUMMYFUNCTION("IFERROR(GOOGLEFINANCE(A697,""CHANGEPCT""),)"),-1.62)</f>
        <v>-1.62</v>
      </c>
      <c r="E697" s="51" t="str">
        <f t="shared" si="1"/>
        <v>-1.62%</v>
      </c>
      <c r="F697" s="51" t="str">
        <f t="shared" si="2"/>
        <v/>
      </c>
      <c r="G697" s="51">
        <f t="shared" si="3"/>
        <v>-1.62</v>
      </c>
      <c r="H697" s="51">
        <f>IFERROR(__xludf.DUMMYFUNCTION("IFERROR(GOOGLEFINANCE(A697,""PRICE""),)"),69.7)</f>
        <v>69.7</v>
      </c>
      <c r="I697" s="52">
        <f>IFERROR(__xludf.DUMMYFUNCTION("IFERROR(GOOGLEFINANCE(A697,""VOLUME""),)"),293778.0)</f>
        <v>293778</v>
      </c>
      <c r="J697" s="51" t="str">
        <f>IFERROR(__xludf.DUMMYFUNCTION("IFERROR(INDEX(SPLIT(A697,"":""),1,2),)"),"JAIBALAJI")</f>
        <v>JAIBALAJI</v>
      </c>
      <c r="K697" s="51" t="str">
        <f t="shared" si="4"/>
        <v/>
      </c>
      <c r="L697" s="51">
        <f t="shared" si="5"/>
        <v>473</v>
      </c>
      <c r="M697" s="51">
        <f t="shared" si="6"/>
        <v>524</v>
      </c>
      <c r="N697" s="53">
        <f>IFERROR(__xludf.DUMMYFUNCTION("IFERROR(GOOGLEFINANCE(A697,""TRADETIME""),)"),46269.64583333333)</f>
        <v>46269.64583</v>
      </c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</row>
    <row r="698" ht="15.75" customHeight="1">
      <c r="A698" s="48" t="s">
        <v>744</v>
      </c>
      <c r="B698" s="48" t="str">
        <f>IFERROR(__xludf.DUMMYFUNCTION("IFERROR(GOOGLEFINANCE(A698,""NAME""),)"),"Jai Corp Ltd")</f>
        <v>Jai Corp Ltd</v>
      </c>
      <c r="C698" s="48">
        <f>IFERROR(__xludf.DUMMYFUNCTION("IFERROR(GOOGLEFINANCE(A698,""CHANGE""),)"),0.54)</f>
        <v>0.54</v>
      </c>
      <c r="D698" s="48">
        <f>IFERROR(__xludf.DUMMYFUNCTION("IFERROR(GOOGLEFINANCE(A698,""CHANGEPCT""),)"),0.54)</f>
        <v>0.54</v>
      </c>
      <c r="E698" s="48" t="str">
        <f t="shared" si="1"/>
        <v>0.54%</v>
      </c>
      <c r="F698" s="48">
        <f t="shared" si="2"/>
        <v>0.54</v>
      </c>
      <c r="G698" s="48" t="str">
        <f t="shared" si="3"/>
        <v/>
      </c>
      <c r="H698" s="48">
        <f>IFERROR(__xludf.DUMMYFUNCTION("IFERROR(GOOGLEFINANCE(A698,""PRICE""),)"),99.69)</f>
        <v>99.69</v>
      </c>
      <c r="I698" s="49">
        <f>IFERROR(__xludf.DUMMYFUNCTION("IFERROR(GOOGLEFINANCE(A698,""VOLUME""),)"),246316.0)</f>
        <v>246316</v>
      </c>
      <c r="J698" s="48" t="str">
        <f>IFERROR(__xludf.DUMMYFUNCTION("IFERROR(INDEX(SPLIT(A698,"":""),1,2),)"),"JAICORPLTD")</f>
        <v>JAICORPLTD</v>
      </c>
      <c r="K698" s="48">
        <f t="shared" si="4"/>
        <v>577</v>
      </c>
      <c r="L698" s="48" t="str">
        <f t="shared" si="5"/>
        <v/>
      </c>
      <c r="M698" s="48">
        <f t="shared" si="6"/>
        <v>574</v>
      </c>
      <c r="N698" s="50">
        <f>IFERROR(__xludf.DUMMYFUNCTION("IFERROR(GOOGLEFINANCE(A698,""TRADETIME""),)"),46269.64583333333)</f>
        <v>46269.64583</v>
      </c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</row>
    <row r="699" ht="15.75" customHeight="1">
      <c r="A699" s="51" t="s">
        <v>745</v>
      </c>
      <c r="B699" s="51" t="str">
        <f>IFERROR(__xludf.DUMMYFUNCTION("IFERROR(GOOGLEFINANCE(A699,""NAME""),)"),"Jamna Auto Industries Ltd")</f>
        <v>Jamna Auto Industries Ltd</v>
      </c>
      <c r="C699" s="51">
        <f>IFERROR(__xludf.DUMMYFUNCTION("IFERROR(GOOGLEFINANCE(A699,""CHANGE""),)"),-0.54)</f>
        <v>-0.54</v>
      </c>
      <c r="D699" s="51">
        <f>IFERROR(__xludf.DUMMYFUNCTION("IFERROR(GOOGLEFINANCE(A699,""CHANGEPCT""),)"),-0.44)</f>
        <v>-0.44</v>
      </c>
      <c r="E699" s="51" t="str">
        <f t="shared" si="1"/>
        <v>-0.44%</v>
      </c>
      <c r="F699" s="51" t="str">
        <f t="shared" si="2"/>
        <v/>
      </c>
      <c r="G699" s="51">
        <f t="shared" si="3"/>
        <v>-0.44</v>
      </c>
      <c r="H699" s="51">
        <f>IFERROR(__xludf.DUMMYFUNCTION("IFERROR(GOOGLEFINANCE(A699,""PRICE""),)"),121.5)</f>
        <v>121.5</v>
      </c>
      <c r="I699" s="52">
        <f>IFERROR(__xludf.DUMMYFUNCTION("IFERROR(GOOGLEFINANCE(A699,""VOLUME""),)"),691775.0)</f>
        <v>691775</v>
      </c>
      <c r="J699" s="51" t="str">
        <f>IFERROR(__xludf.DUMMYFUNCTION("IFERROR(INDEX(SPLIT(A699,"":""),1,2),)"),"JAMNAAUTO")</f>
        <v>JAMNAAUTO</v>
      </c>
      <c r="K699" s="51" t="str">
        <f t="shared" si="4"/>
        <v/>
      </c>
      <c r="L699" s="51">
        <f t="shared" si="5"/>
        <v>170</v>
      </c>
      <c r="M699" s="51">
        <f t="shared" si="6"/>
        <v>332</v>
      </c>
      <c r="N699" s="53">
        <f>IFERROR(__xludf.DUMMYFUNCTION("IFERROR(GOOGLEFINANCE(A699,""TRADETIME""),)"),46269.64583333333)</f>
        <v>46269.64583</v>
      </c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</row>
    <row r="700" ht="15.75" customHeight="1">
      <c r="A700" s="48" t="s">
        <v>746</v>
      </c>
      <c r="B700" s="48" t="str">
        <f>IFERROR(__xludf.DUMMYFUNCTION("IFERROR(GOOGLEFINANCE(A700,""NAME""),)"),"Jash Engineering Ltd")</f>
        <v>Jash Engineering Ltd</v>
      </c>
      <c r="C700" s="48">
        <f>IFERROR(__xludf.DUMMYFUNCTION("IFERROR(GOOGLEFINANCE(A700,""CHANGE""),)"),16.35)</f>
        <v>16.35</v>
      </c>
      <c r="D700" s="48">
        <f>IFERROR(__xludf.DUMMYFUNCTION("IFERROR(GOOGLEFINANCE(A700,""CHANGEPCT""),)"),3.52)</f>
        <v>3.52</v>
      </c>
      <c r="E700" s="48" t="str">
        <f t="shared" si="1"/>
        <v>3.52%</v>
      </c>
      <c r="F700" s="48">
        <f t="shared" si="2"/>
        <v>3.52</v>
      </c>
      <c r="G700" s="48" t="str">
        <f t="shared" si="3"/>
        <v/>
      </c>
      <c r="H700" s="48">
        <f>IFERROR(__xludf.DUMMYFUNCTION("IFERROR(GOOGLEFINANCE(A700,""PRICE""),)"),480.5)</f>
        <v>480.5</v>
      </c>
      <c r="I700" s="49">
        <f>IFERROR(__xludf.DUMMYFUNCTION("IFERROR(GOOGLEFINANCE(A700,""VOLUME""),)"),280288.0)</f>
        <v>280288</v>
      </c>
      <c r="J700" s="48" t="str">
        <f>IFERROR(__xludf.DUMMYFUNCTION("IFERROR(INDEX(SPLIT(A700,"":""),1,2),)"),"JASH")</f>
        <v>JASH</v>
      </c>
      <c r="K700" s="48">
        <f t="shared" si="4"/>
        <v>139</v>
      </c>
      <c r="L700" s="48" t="str">
        <f t="shared" si="5"/>
        <v/>
      </c>
      <c r="M700" s="48">
        <f t="shared" si="6"/>
        <v>537</v>
      </c>
      <c r="N700" s="50">
        <f>IFERROR(__xludf.DUMMYFUNCTION("IFERROR(GOOGLEFINANCE(A700,""TRADETIME""),)"),46269.64583333333)</f>
        <v>46269.64583</v>
      </c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</row>
    <row r="701" ht="15.75" customHeight="1">
      <c r="A701" s="51" t="s">
        <v>747</v>
      </c>
      <c r="B701" s="51" t="str">
        <f>IFERROR(__xludf.DUMMYFUNCTION("IFERROR(GOOGLEFINANCE(A701,""NAME""),)"),"Jayant Agro-Organics Ltd")</f>
        <v>Jayant Agro-Organics Ltd</v>
      </c>
      <c r="C701" s="51">
        <f>IFERROR(__xludf.DUMMYFUNCTION("IFERROR(GOOGLEFINANCE(A701,""CHANGE""),)"),-1.83)</f>
        <v>-1.83</v>
      </c>
      <c r="D701" s="51">
        <f>IFERROR(__xludf.DUMMYFUNCTION("IFERROR(GOOGLEFINANCE(A701,""CHANGEPCT""),)"),-0.79)</f>
        <v>-0.79</v>
      </c>
      <c r="E701" s="51" t="str">
        <f t="shared" si="1"/>
        <v>-0.79%</v>
      </c>
      <c r="F701" s="51" t="str">
        <f t="shared" si="2"/>
        <v/>
      </c>
      <c r="G701" s="51">
        <f t="shared" si="3"/>
        <v>-0.79</v>
      </c>
      <c r="H701" s="51">
        <f>IFERROR(__xludf.DUMMYFUNCTION("IFERROR(GOOGLEFINANCE(A701,""PRICE""),)"),229.0)</f>
        <v>229</v>
      </c>
      <c r="I701" s="52">
        <f>IFERROR(__xludf.DUMMYFUNCTION("IFERROR(GOOGLEFINANCE(A701,""VOLUME""),)"),8025.0)</f>
        <v>8025</v>
      </c>
      <c r="J701" s="51" t="str">
        <f>IFERROR(__xludf.DUMMYFUNCTION("IFERROR(INDEX(SPLIT(A701,"":""),1,2),)"),"JAYAGROGN")</f>
        <v>JAYAGROGN</v>
      </c>
      <c r="K701" s="51" t="str">
        <f t="shared" si="4"/>
        <v/>
      </c>
      <c r="L701" s="51">
        <f t="shared" si="5"/>
        <v>296</v>
      </c>
      <c r="M701" s="51">
        <f t="shared" si="6"/>
        <v>1263</v>
      </c>
      <c r="N701" s="53">
        <f>IFERROR(__xludf.DUMMYFUNCTION("IFERROR(GOOGLEFINANCE(A701,""TRADETIME""),)"),46269.64583333333)</f>
        <v>46269.64583</v>
      </c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</row>
    <row r="702" ht="15.75" customHeight="1">
      <c r="A702" s="48" t="s">
        <v>748</v>
      </c>
      <c r="B702" s="48" t="str">
        <f>IFERROR(__xludf.DUMMYFUNCTION("IFERROR(GOOGLEFINANCE(A702,""NAME""),)"),"Jay Bharat Maruti Ltd")</f>
        <v>Jay Bharat Maruti Ltd</v>
      </c>
      <c r="C702" s="48">
        <f>IFERROR(__xludf.DUMMYFUNCTION("IFERROR(GOOGLEFINANCE(A702,""CHANGE""),)"),0.69)</f>
        <v>0.69</v>
      </c>
      <c r="D702" s="48">
        <f>IFERROR(__xludf.DUMMYFUNCTION("IFERROR(GOOGLEFINANCE(A702,""CHANGEPCT""),)"),0.57)</f>
        <v>0.57</v>
      </c>
      <c r="E702" s="48" t="str">
        <f t="shared" si="1"/>
        <v>0.57%</v>
      </c>
      <c r="F702" s="48">
        <f t="shared" si="2"/>
        <v>0.57</v>
      </c>
      <c r="G702" s="48" t="str">
        <f t="shared" si="3"/>
        <v/>
      </c>
      <c r="H702" s="48">
        <f>IFERROR(__xludf.DUMMYFUNCTION("IFERROR(GOOGLEFINANCE(A702,""PRICE""),)"),122.5)</f>
        <v>122.5</v>
      </c>
      <c r="I702" s="49">
        <f>IFERROR(__xludf.DUMMYFUNCTION("IFERROR(GOOGLEFINANCE(A702,""VOLUME""),)"),141098.0)</f>
        <v>141098</v>
      </c>
      <c r="J702" s="48" t="str">
        <f>IFERROR(__xludf.DUMMYFUNCTION("IFERROR(INDEX(SPLIT(A702,"":""),1,2),)"),"JAYBARMARU")</f>
        <v>JAYBARMARU</v>
      </c>
      <c r="K702" s="48">
        <f t="shared" si="4"/>
        <v>566</v>
      </c>
      <c r="L702" s="48" t="str">
        <f t="shared" si="5"/>
        <v/>
      </c>
      <c r="M702" s="48">
        <f t="shared" si="6"/>
        <v>703</v>
      </c>
      <c r="N702" s="50">
        <f>IFERROR(__xludf.DUMMYFUNCTION("IFERROR(GOOGLEFINANCE(A702,""TRADETIME""),)"),46269.64583333333)</f>
        <v>46269.64583</v>
      </c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</row>
    <row r="703" ht="15.75" customHeight="1">
      <c r="A703" s="51" t="s">
        <v>749</v>
      </c>
      <c r="B703" s="51" t="str">
        <f>IFERROR(__xludf.DUMMYFUNCTION("IFERROR(GOOGLEFINANCE(A703,""NAME""),)"),"Jayaswal Neco Industries Ltd")</f>
        <v>Jayaswal Neco Industries Ltd</v>
      </c>
      <c r="C703" s="51">
        <f>IFERROR(__xludf.DUMMYFUNCTION("IFERROR(GOOGLEFINANCE(A703,""CHANGE""),)"),-9.98)</f>
        <v>-9.98</v>
      </c>
      <c r="D703" s="51">
        <f>IFERROR(__xludf.DUMMYFUNCTION("IFERROR(GOOGLEFINANCE(A703,""CHANGEPCT""),)"),-10.11)</f>
        <v>-10.11</v>
      </c>
      <c r="E703" s="51" t="str">
        <f t="shared" si="1"/>
        <v>-10.11%</v>
      </c>
      <c r="F703" s="51" t="str">
        <f t="shared" si="2"/>
        <v/>
      </c>
      <c r="G703" s="51">
        <f t="shared" si="3"/>
        <v>-10.11</v>
      </c>
      <c r="H703" s="51">
        <f>IFERROR(__xludf.DUMMYFUNCTION("IFERROR(GOOGLEFINANCE(A703,""PRICE""),)"),88.7)</f>
        <v>88.7</v>
      </c>
      <c r="I703" s="52">
        <f>IFERROR(__xludf.DUMMYFUNCTION("IFERROR(GOOGLEFINANCE(A703,""VOLUME""),)"),4.9840056E7)</f>
        <v>49840056</v>
      </c>
      <c r="J703" s="51" t="str">
        <f>IFERROR(__xludf.DUMMYFUNCTION("IFERROR(INDEX(SPLIT(A703,"":""),1,2),)"),"JAYNECOIND")</f>
        <v>JAYNECOIND</v>
      </c>
      <c r="K703" s="51" t="str">
        <f t="shared" si="4"/>
        <v/>
      </c>
      <c r="L703" s="51">
        <f t="shared" si="5"/>
        <v>653</v>
      </c>
      <c r="M703" s="51">
        <f t="shared" si="6"/>
        <v>8</v>
      </c>
      <c r="N703" s="53">
        <f>IFERROR(__xludf.DUMMYFUNCTION("IFERROR(GOOGLEFINANCE(A703,""TRADETIME""),)"),46269.64583333333)</f>
        <v>46269.64583</v>
      </c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</row>
    <row r="704" ht="15.75" customHeight="1">
      <c r="A704" s="48" t="s">
        <v>750</v>
      </c>
      <c r="B704" s="48" t="str">
        <f>IFERROR(__xludf.DUMMYFUNCTION("IFERROR(GOOGLEFINANCE(A704,""NAME""),)"),"Jay Shree Tea and Industries Ltd")</f>
        <v>Jay Shree Tea and Industries Ltd</v>
      </c>
      <c r="C704" s="48">
        <f>IFERROR(__xludf.DUMMYFUNCTION("IFERROR(GOOGLEFINANCE(A704,""CHANGE""),)"),-0.13)</f>
        <v>-0.13</v>
      </c>
      <c r="D704" s="48">
        <f>IFERROR(__xludf.DUMMYFUNCTION("IFERROR(GOOGLEFINANCE(A704,""CHANGEPCT""),)"),-0.13)</f>
        <v>-0.13</v>
      </c>
      <c r="E704" s="48" t="str">
        <f t="shared" si="1"/>
        <v>-0.13%</v>
      </c>
      <c r="F704" s="48" t="str">
        <f t="shared" si="2"/>
        <v/>
      </c>
      <c r="G704" s="48">
        <f t="shared" si="3"/>
        <v>-0.13</v>
      </c>
      <c r="H704" s="48">
        <f>IFERROR(__xludf.DUMMYFUNCTION("IFERROR(GOOGLEFINANCE(A704,""PRICE""),)"),99.18)</f>
        <v>99.18</v>
      </c>
      <c r="I704" s="49">
        <f>IFERROR(__xludf.DUMMYFUNCTION("IFERROR(GOOGLEFINANCE(A704,""VOLUME""),)"),48814.0)</f>
        <v>48814</v>
      </c>
      <c r="J704" s="48" t="str">
        <f>IFERROR(__xludf.DUMMYFUNCTION("IFERROR(INDEX(SPLIT(A704,"":""),1,2),)"),"JAYSREETEA")</f>
        <v>JAYSREETEA</v>
      </c>
      <c r="K704" s="48" t="str">
        <f t="shared" si="4"/>
        <v/>
      </c>
      <c r="L704" s="48">
        <f t="shared" si="5"/>
        <v>44</v>
      </c>
      <c r="M704" s="48">
        <f t="shared" si="6"/>
        <v>952</v>
      </c>
      <c r="N704" s="50">
        <f>IFERROR(__xludf.DUMMYFUNCTION("IFERROR(GOOGLEFINANCE(A704,""TRADETIME""),)"),46269.64583333333)</f>
        <v>46269.64583</v>
      </c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</row>
    <row r="705" ht="15.75" customHeight="1">
      <c r="A705" s="51" t="s">
        <v>751</v>
      </c>
      <c r="B705" s="51" t="str">
        <f>IFERROR(__xludf.DUMMYFUNCTION("IFERROR(GOOGLEFINANCE(A705,""NAME""),)"),"")</f>
        <v/>
      </c>
      <c r="C705" s="51" t="str">
        <f>IFERROR(__xludf.DUMMYFUNCTION("IFERROR(GOOGLEFINANCE(A705,""CHANGE""),)"),"")</f>
        <v/>
      </c>
      <c r="D705" s="51" t="str">
        <f>IFERROR(__xludf.DUMMYFUNCTION("IFERROR(GOOGLEFINANCE(A705,""CHANGEPCT""),)"),"")</f>
        <v/>
      </c>
      <c r="E705" s="51" t="str">
        <f t="shared" si="1"/>
        <v>%</v>
      </c>
      <c r="F705" s="51" t="str">
        <f t="shared" si="2"/>
        <v/>
      </c>
      <c r="G705" s="51" t="str">
        <f t="shared" si="3"/>
        <v/>
      </c>
      <c r="H705" s="51" t="str">
        <f>IFERROR(__xludf.DUMMYFUNCTION("IFERROR(GOOGLEFINANCE(A705,""PRICE""),)"),"")</f>
        <v/>
      </c>
      <c r="I705" s="52" t="str">
        <f>IFERROR(__xludf.DUMMYFUNCTION("IFERROR(GOOGLEFINANCE(A705,""VOLUME""),)"),"")</f>
        <v/>
      </c>
      <c r="J705" s="51" t="str">
        <f>IFERROR(__xludf.DUMMYFUNCTION("IFERROR(INDEX(SPLIT(A705,"":""),1,2),)"),"JBCHEPHARM")</f>
        <v>JBCHEPHARM</v>
      </c>
      <c r="K705" s="51" t="str">
        <f t="shared" si="4"/>
        <v/>
      </c>
      <c r="L705" s="51" t="str">
        <f t="shared" si="5"/>
        <v/>
      </c>
      <c r="M705" s="51">
        <f t="shared" si="6"/>
        <v>1456</v>
      </c>
      <c r="N705" s="53" t="str">
        <f>IFERROR(__xludf.DUMMYFUNCTION("IFERROR(GOOGLEFINANCE(A705,""TRADETIME""),)"),"")</f>
        <v/>
      </c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</row>
    <row r="706" ht="15.75" customHeight="1">
      <c r="A706" s="48" t="s">
        <v>752</v>
      </c>
      <c r="B706" s="48" t="str">
        <f>IFERROR(__xludf.DUMMYFUNCTION("IFERROR(GOOGLEFINANCE(A706,""NAME""),)"),"")</f>
        <v/>
      </c>
      <c r="C706" s="48" t="str">
        <f>IFERROR(__xludf.DUMMYFUNCTION("IFERROR(GOOGLEFINANCE(A706,""CHANGE""),)"),"")</f>
        <v/>
      </c>
      <c r="D706" s="48" t="str">
        <f>IFERROR(__xludf.DUMMYFUNCTION("IFERROR(GOOGLEFINANCE(A706,""CHANGEPCT""),)"),"")</f>
        <v/>
      </c>
      <c r="E706" s="48" t="str">
        <f t="shared" si="1"/>
        <v>%</v>
      </c>
      <c r="F706" s="48" t="str">
        <f t="shared" si="2"/>
        <v/>
      </c>
      <c r="G706" s="48" t="str">
        <f t="shared" si="3"/>
        <v/>
      </c>
      <c r="H706" s="48" t="str">
        <f>IFERROR(__xludf.DUMMYFUNCTION("IFERROR(GOOGLEFINANCE(A706,""PRICE""),)"),"")</f>
        <v/>
      </c>
      <c r="I706" s="49" t="str">
        <f>IFERROR(__xludf.DUMMYFUNCTION("IFERROR(GOOGLEFINANCE(A706,""VOLUME""),)"),"")</f>
        <v/>
      </c>
      <c r="J706" s="48" t="str">
        <f>IFERROR(__xludf.DUMMYFUNCTION("IFERROR(INDEX(SPLIT(A706,"":""),1,2),)"),"JBFIND")</f>
        <v>JBFIND</v>
      </c>
      <c r="K706" s="48" t="str">
        <f t="shared" si="4"/>
        <v/>
      </c>
      <c r="L706" s="48" t="str">
        <f t="shared" si="5"/>
        <v/>
      </c>
      <c r="M706" s="48">
        <f t="shared" si="6"/>
        <v>1456</v>
      </c>
      <c r="N706" s="50" t="str">
        <f>IFERROR(__xludf.DUMMYFUNCTION("IFERROR(GOOGLEFINANCE(A706,""TRADETIME""),)"),"")</f>
        <v/>
      </c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</row>
    <row r="707" ht="15.75" customHeight="1">
      <c r="A707" s="51" t="s">
        <v>753</v>
      </c>
      <c r="B707" s="51" t="str">
        <f>IFERROR(__xludf.DUMMYFUNCTION("IFERROR(GOOGLEFINANCE(A707,""NAME""),)"),"Jbm Auto Ltd")</f>
        <v>Jbm Auto Ltd</v>
      </c>
      <c r="C707" s="51">
        <f>IFERROR(__xludf.DUMMYFUNCTION("IFERROR(GOOGLEFINANCE(A707,""CHANGE""),)"),-2.9)</f>
        <v>-2.9</v>
      </c>
      <c r="D707" s="51">
        <f>IFERROR(__xludf.DUMMYFUNCTION("IFERROR(GOOGLEFINANCE(A707,""CHANGEPCT""),)"),-0.46)</f>
        <v>-0.46</v>
      </c>
      <c r="E707" s="51" t="str">
        <f t="shared" si="1"/>
        <v>-0.46%</v>
      </c>
      <c r="F707" s="51" t="str">
        <f t="shared" si="2"/>
        <v/>
      </c>
      <c r="G707" s="51">
        <f t="shared" si="3"/>
        <v>-0.46</v>
      </c>
      <c r="H707" s="51">
        <f>IFERROR(__xludf.DUMMYFUNCTION("IFERROR(GOOGLEFINANCE(A707,""PRICE""),)"),626.2)</f>
        <v>626.2</v>
      </c>
      <c r="I707" s="52">
        <f>IFERROR(__xludf.DUMMYFUNCTION("IFERROR(GOOGLEFINANCE(A707,""VOLUME""),)"),146607.0)</f>
        <v>146607</v>
      </c>
      <c r="J707" s="51" t="str">
        <f>IFERROR(__xludf.DUMMYFUNCTION("IFERROR(INDEX(SPLIT(A707,"":""),1,2),)"),"JBMA")</f>
        <v>JBMA</v>
      </c>
      <c r="K707" s="51" t="str">
        <f t="shared" si="4"/>
        <v/>
      </c>
      <c r="L707" s="51">
        <f t="shared" si="5"/>
        <v>177</v>
      </c>
      <c r="M707" s="51">
        <f t="shared" si="6"/>
        <v>691</v>
      </c>
      <c r="N707" s="53">
        <f>IFERROR(__xludf.DUMMYFUNCTION("IFERROR(GOOGLEFINANCE(A707,""TRADETIME""),)"),46269.64583333333)</f>
        <v>46269.64583</v>
      </c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</row>
    <row r="708" ht="15.75" customHeight="1">
      <c r="A708" s="48" t="s">
        <v>754</v>
      </c>
      <c r="B708" s="48" t="str">
        <f>IFERROR(__xludf.DUMMYFUNCTION("IFERROR(GOOGLEFINANCE(A708,""NAME""),)"),"")</f>
        <v/>
      </c>
      <c r="C708" s="48" t="str">
        <f>IFERROR(__xludf.DUMMYFUNCTION("IFERROR(GOOGLEFINANCE(A708,""CHANGE""),)"),"")</f>
        <v/>
      </c>
      <c r="D708" s="48" t="str">
        <f>IFERROR(__xludf.DUMMYFUNCTION("IFERROR(GOOGLEFINANCE(A708,""CHANGEPCT""),)"),"")</f>
        <v/>
      </c>
      <c r="E708" s="48" t="str">
        <f t="shared" si="1"/>
        <v>%</v>
      </c>
      <c r="F708" s="48" t="str">
        <f t="shared" si="2"/>
        <v/>
      </c>
      <c r="G708" s="48" t="str">
        <f t="shared" si="3"/>
        <v/>
      </c>
      <c r="H708" s="48" t="str">
        <f>IFERROR(__xludf.DUMMYFUNCTION("IFERROR(GOOGLEFINANCE(A708,""PRICE""),)"),"")</f>
        <v/>
      </c>
      <c r="I708" s="49" t="str">
        <f>IFERROR(__xludf.DUMMYFUNCTION("IFERROR(GOOGLEFINANCE(A708,""VOLUME""),)"),"")</f>
        <v/>
      </c>
      <c r="J708" s="48" t="str">
        <f>IFERROR(__xludf.DUMMYFUNCTION("IFERROR(INDEX(SPLIT(A708,"":""),1,2),)"),"JCHAC")</f>
        <v>JCHAC</v>
      </c>
      <c r="K708" s="48" t="str">
        <f t="shared" si="4"/>
        <v/>
      </c>
      <c r="L708" s="48" t="str">
        <f t="shared" si="5"/>
        <v/>
      </c>
      <c r="M708" s="48">
        <f t="shared" si="6"/>
        <v>1456</v>
      </c>
      <c r="N708" s="50" t="str">
        <f>IFERROR(__xludf.DUMMYFUNCTION("IFERROR(GOOGLEFINANCE(A708,""TRADETIME""),)"),"")</f>
        <v/>
      </c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</row>
    <row r="709" ht="15.75" customHeight="1">
      <c r="A709" s="51" t="s">
        <v>755</v>
      </c>
      <c r="B709" s="51" t="str">
        <f>IFERROR(__xludf.DUMMYFUNCTION("IFERROR(GOOGLEFINANCE(A709,""NAME""),)"),"Kamat Hotels (India) Ltd")</f>
        <v>Kamat Hotels (India) Ltd</v>
      </c>
      <c r="C709" s="51">
        <f>IFERROR(__xludf.DUMMYFUNCTION("IFERROR(GOOGLEFINANCE(A709,""CHANGE""),)"),7.34)</f>
        <v>7.34</v>
      </c>
      <c r="D709" s="51">
        <f>IFERROR(__xludf.DUMMYFUNCTION("IFERROR(GOOGLEFINANCE(A709,""CHANGEPCT""),)"),3.37)</f>
        <v>3.37</v>
      </c>
      <c r="E709" s="51" t="str">
        <f t="shared" si="1"/>
        <v>3.37%</v>
      </c>
      <c r="F709" s="51">
        <f t="shared" si="2"/>
        <v>3.37</v>
      </c>
      <c r="G709" s="51" t="str">
        <f t="shared" si="3"/>
        <v/>
      </c>
      <c r="H709" s="51">
        <f>IFERROR(__xludf.DUMMYFUNCTION("IFERROR(GOOGLEFINANCE(A709,""PRICE""),)"),225.0)</f>
        <v>225</v>
      </c>
      <c r="I709" s="52">
        <f>IFERROR(__xludf.DUMMYFUNCTION("IFERROR(GOOGLEFINANCE(A709,""VOLUME""),)"),107699.0)</f>
        <v>107699</v>
      </c>
      <c r="J709" s="51" t="str">
        <f>IFERROR(__xludf.DUMMYFUNCTION("IFERROR(INDEX(SPLIT(A709,"":""),1,2),)"),"KAMATHOTEL")</f>
        <v>KAMATHOTEL</v>
      </c>
      <c r="K709" s="51">
        <f t="shared" si="4"/>
        <v>143</v>
      </c>
      <c r="L709" s="51" t="str">
        <f t="shared" si="5"/>
        <v/>
      </c>
      <c r="M709" s="51">
        <f t="shared" si="6"/>
        <v>753</v>
      </c>
      <c r="N709" s="53">
        <f>IFERROR(__xludf.DUMMYFUNCTION("IFERROR(GOOGLEFINANCE(A709,""TRADETIME""),)"),46269.64583333333)</f>
        <v>46269.64583</v>
      </c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</row>
    <row r="710" ht="15.75" customHeight="1">
      <c r="A710" s="48" t="s">
        <v>756</v>
      </c>
      <c r="B710" s="48" t="str">
        <f>IFERROR(__xludf.DUMMYFUNCTION("IFERROR(GOOGLEFINANCE(A710,""NAME""),)"),"JHS Svendgaard Laboratories Limited")</f>
        <v>JHS Svendgaard Laboratories Limited</v>
      </c>
      <c r="C710" s="48">
        <f>IFERROR(__xludf.DUMMYFUNCTION("IFERROR(GOOGLEFINANCE(A710,""CHANGE""),)"),0.09)</f>
        <v>0.09</v>
      </c>
      <c r="D710" s="48">
        <f>IFERROR(__xludf.DUMMYFUNCTION("IFERROR(GOOGLEFINANCE(A710,""CHANGEPCT""),)"),1.15)</f>
        <v>1.15</v>
      </c>
      <c r="E710" s="48" t="str">
        <f t="shared" si="1"/>
        <v>1.15%</v>
      </c>
      <c r="F710" s="48">
        <f t="shared" si="2"/>
        <v>1.15</v>
      </c>
      <c r="G710" s="48" t="str">
        <f t="shared" si="3"/>
        <v/>
      </c>
      <c r="H710" s="48">
        <f>IFERROR(__xludf.DUMMYFUNCTION("IFERROR(GOOGLEFINANCE(A710,""PRICE""),)"),7.95)</f>
        <v>7.95</v>
      </c>
      <c r="I710" s="49">
        <f>IFERROR(__xludf.DUMMYFUNCTION("IFERROR(GOOGLEFINANCE(A710,""VOLUME""),)"),45834.0)</f>
        <v>45834</v>
      </c>
      <c r="J710" s="48" t="str">
        <f>IFERROR(__xludf.DUMMYFUNCTION("IFERROR(INDEX(SPLIT(A710,"":""),1,2),)"),"JHS")</f>
        <v>JHS</v>
      </c>
      <c r="K710" s="48">
        <f t="shared" si="4"/>
        <v>418</v>
      </c>
      <c r="L710" s="48" t="str">
        <f t="shared" si="5"/>
        <v/>
      </c>
      <c r="M710" s="48">
        <f t="shared" si="6"/>
        <v>968</v>
      </c>
      <c r="N710" s="50">
        <f>IFERROR(__xludf.DUMMYFUNCTION("IFERROR(GOOGLEFINANCE(A710,""TRADETIME""),)"),46269.64583333333)</f>
        <v>46269.64583</v>
      </c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</row>
    <row r="711" ht="15.75" customHeight="1">
      <c r="A711" s="51" t="s">
        <v>757</v>
      </c>
      <c r="B711" s="51" t="str">
        <f>IFERROR(__xludf.DUMMYFUNCTION("IFERROR(GOOGLEFINANCE(A711,""NAME""),)"),"")</f>
        <v/>
      </c>
      <c r="C711" s="51" t="str">
        <f>IFERROR(__xludf.DUMMYFUNCTION("IFERROR(GOOGLEFINANCE(A711,""CHANGE""),)"),"")</f>
        <v/>
      </c>
      <c r="D711" s="51" t="str">
        <f>IFERROR(__xludf.DUMMYFUNCTION("IFERROR(GOOGLEFINANCE(A711,""CHANGEPCT""),)"),"")</f>
        <v/>
      </c>
      <c r="E711" s="51" t="str">
        <f t="shared" si="1"/>
        <v>%</v>
      </c>
      <c r="F711" s="51" t="str">
        <f t="shared" si="2"/>
        <v/>
      </c>
      <c r="G711" s="51" t="str">
        <f t="shared" si="3"/>
        <v/>
      </c>
      <c r="H711" s="51" t="str">
        <f>IFERROR(__xludf.DUMMYFUNCTION("IFERROR(GOOGLEFINANCE(A711,""PRICE""),)"),"")</f>
        <v/>
      </c>
      <c r="I711" s="52" t="str">
        <f>IFERROR(__xludf.DUMMYFUNCTION("IFERROR(GOOGLEFINANCE(A711,""VOLUME""),)"),"")</f>
        <v/>
      </c>
      <c r="J711" s="51" t="str">
        <f>IFERROR(__xludf.DUMMYFUNCTION("IFERROR(INDEX(SPLIT(A711,"":""),1,2),)"),"JIKIND")</f>
        <v>JIKIND</v>
      </c>
      <c r="K711" s="51" t="str">
        <f t="shared" si="4"/>
        <v/>
      </c>
      <c r="L711" s="51" t="str">
        <f t="shared" si="5"/>
        <v/>
      </c>
      <c r="M711" s="51">
        <f t="shared" si="6"/>
        <v>1456</v>
      </c>
      <c r="N711" s="53" t="str">
        <f>IFERROR(__xludf.DUMMYFUNCTION("IFERROR(GOOGLEFINANCE(A711,""TRADETIME""),)"),"")</f>
        <v/>
      </c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</row>
    <row r="712" ht="15.75" customHeight="1">
      <c r="A712" s="48" t="s">
        <v>758</v>
      </c>
      <c r="B712" s="48" t="str">
        <f>IFERROR(__xludf.DUMMYFUNCTION("IFERROR(GOOGLEFINANCE(A712,""NAME""),)"),"Jindal Photo Limited")</f>
        <v>Jindal Photo Limited</v>
      </c>
      <c r="C712" s="48">
        <f>IFERROR(__xludf.DUMMYFUNCTION("IFERROR(GOOGLEFINANCE(A712,""CHANGE""),)"),8.8)</f>
        <v>8.8</v>
      </c>
      <c r="D712" s="48">
        <f>IFERROR(__xludf.DUMMYFUNCTION("IFERROR(GOOGLEFINANCE(A712,""CHANGEPCT""),)"),0.86)</f>
        <v>0.86</v>
      </c>
      <c r="E712" s="48" t="str">
        <f t="shared" si="1"/>
        <v>0.86%</v>
      </c>
      <c r="F712" s="48">
        <f t="shared" si="2"/>
        <v>0.86</v>
      </c>
      <c r="G712" s="48" t="str">
        <f t="shared" si="3"/>
        <v/>
      </c>
      <c r="H712" s="48">
        <f>IFERROR(__xludf.DUMMYFUNCTION("IFERROR(GOOGLEFINANCE(A712,""PRICE""),)"),1035.0)</f>
        <v>1035</v>
      </c>
      <c r="I712" s="49">
        <f>IFERROR(__xludf.DUMMYFUNCTION("IFERROR(GOOGLEFINANCE(A712,""VOLUME""),)"),2011.0)</f>
        <v>2011</v>
      </c>
      <c r="J712" s="48" t="str">
        <f>IFERROR(__xludf.DUMMYFUNCTION("IFERROR(INDEX(SPLIT(A712,"":""),1,2),)"),"JINDALPHOT")</f>
        <v>JINDALPHOT</v>
      </c>
      <c r="K712" s="48">
        <f t="shared" si="4"/>
        <v>481</v>
      </c>
      <c r="L712" s="48" t="str">
        <f t="shared" si="5"/>
        <v/>
      </c>
      <c r="M712" s="48">
        <f t="shared" si="6"/>
        <v>1394</v>
      </c>
      <c r="N712" s="50">
        <f>IFERROR(__xludf.DUMMYFUNCTION("IFERROR(GOOGLEFINANCE(A712,""TRADETIME""),)"),46269.64583333333)</f>
        <v>46269.64583</v>
      </c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</row>
    <row r="713" ht="15.75" customHeight="1">
      <c r="A713" s="51" t="s">
        <v>759</v>
      </c>
      <c r="B713" s="51" t="str">
        <f>IFERROR(__xludf.DUMMYFUNCTION("IFERROR(GOOGLEFINANCE(A713,""NAME""),)"),"Jindal Poly Films Ltd")</f>
        <v>Jindal Poly Films Ltd</v>
      </c>
      <c r="C713" s="51">
        <f>IFERROR(__xludf.DUMMYFUNCTION("IFERROR(GOOGLEFINANCE(A713,""CHANGE""),)"),-10.6)</f>
        <v>-10.6</v>
      </c>
      <c r="D713" s="51">
        <f>IFERROR(__xludf.DUMMYFUNCTION("IFERROR(GOOGLEFINANCE(A713,""CHANGEPCT""),)"),-1.55)</f>
        <v>-1.55</v>
      </c>
      <c r="E713" s="51" t="str">
        <f t="shared" si="1"/>
        <v>-1.55%</v>
      </c>
      <c r="F713" s="51" t="str">
        <f t="shared" si="2"/>
        <v/>
      </c>
      <c r="G713" s="51">
        <f t="shared" si="3"/>
        <v>-1.55</v>
      </c>
      <c r="H713" s="51">
        <f>IFERROR(__xludf.DUMMYFUNCTION("IFERROR(GOOGLEFINANCE(A713,""PRICE""),)"),673.1)</f>
        <v>673.1</v>
      </c>
      <c r="I713" s="52">
        <f>IFERROR(__xludf.DUMMYFUNCTION("IFERROR(GOOGLEFINANCE(A713,""VOLUME""),)"),11895.0)</f>
        <v>11895</v>
      </c>
      <c r="J713" s="51" t="str">
        <f>IFERROR(__xludf.DUMMYFUNCTION("IFERROR(INDEX(SPLIT(A713,"":""),1,2),)"),"JINDALPOLY")</f>
        <v>JINDALPOLY</v>
      </c>
      <c r="K713" s="51" t="str">
        <f t="shared" si="4"/>
        <v/>
      </c>
      <c r="L713" s="51">
        <f t="shared" si="5"/>
        <v>461</v>
      </c>
      <c r="M713" s="51">
        <f t="shared" si="6"/>
        <v>1208</v>
      </c>
      <c r="N713" s="53">
        <f>IFERROR(__xludf.DUMMYFUNCTION("IFERROR(GOOGLEFINANCE(A713,""TRADETIME""),)"),46269.64583333333)</f>
        <v>46269.64583</v>
      </c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</row>
    <row r="714" ht="15.75" customHeight="1">
      <c r="A714" s="48" t="s">
        <v>760</v>
      </c>
      <c r="B714" s="48" t="str">
        <f>IFERROR(__xludf.DUMMYFUNCTION("IFERROR(GOOGLEFINANCE(A714,""NAME""),)"),"Jindal SAW Ltd")</f>
        <v>Jindal SAW Ltd</v>
      </c>
      <c r="C714" s="48">
        <f>IFERROR(__xludf.DUMMYFUNCTION("IFERROR(GOOGLEFINANCE(A714,""CHANGE""),)"),-5.85)</f>
        <v>-5.85</v>
      </c>
      <c r="D714" s="48">
        <f>IFERROR(__xludf.DUMMYFUNCTION("IFERROR(GOOGLEFINANCE(A714,""CHANGEPCT""),)"),-1.88)</f>
        <v>-1.88</v>
      </c>
      <c r="E714" s="48" t="str">
        <f t="shared" si="1"/>
        <v>-1.88%</v>
      </c>
      <c r="F714" s="48" t="str">
        <f t="shared" si="2"/>
        <v/>
      </c>
      <c r="G714" s="48">
        <f t="shared" si="3"/>
        <v>-1.88</v>
      </c>
      <c r="H714" s="48">
        <f>IFERROR(__xludf.DUMMYFUNCTION("IFERROR(GOOGLEFINANCE(A714,""PRICE""),)"),305.0)</f>
        <v>305</v>
      </c>
      <c r="I714" s="49">
        <f>IFERROR(__xludf.DUMMYFUNCTION("IFERROR(GOOGLEFINANCE(A714,""VOLUME""),)"),868641.0)</f>
        <v>868641</v>
      </c>
      <c r="J714" s="48" t="str">
        <f>IFERROR(__xludf.DUMMYFUNCTION("IFERROR(INDEX(SPLIT(A714,"":""),1,2),)"),"JINDALSAW")</f>
        <v>JINDALSAW</v>
      </c>
      <c r="K714" s="48" t="str">
        <f t="shared" si="4"/>
        <v/>
      </c>
      <c r="L714" s="48">
        <f t="shared" si="5"/>
        <v>503</v>
      </c>
      <c r="M714" s="48">
        <f t="shared" si="6"/>
        <v>297</v>
      </c>
      <c r="N714" s="50">
        <f>IFERROR(__xludf.DUMMYFUNCTION("IFERROR(GOOGLEFINANCE(A714,""TRADETIME""),)"),46269.64583333333)</f>
        <v>46269.64583</v>
      </c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</row>
    <row r="715" ht="15.75" customHeight="1">
      <c r="A715" s="51" t="s">
        <v>761</v>
      </c>
      <c r="B715" s="51" t="str">
        <f>IFERROR(__xludf.DUMMYFUNCTION("IFERROR(GOOGLEFINANCE(A715,""NAME""),)"),"Jindal Steel Ltd")</f>
        <v>Jindal Steel Ltd</v>
      </c>
      <c r="C715" s="51">
        <f>IFERROR(__xludf.DUMMYFUNCTION("IFERROR(GOOGLEFINANCE(A715,""CHANGE""),)"),18.8)</f>
        <v>18.8</v>
      </c>
      <c r="D715" s="51">
        <f>IFERROR(__xludf.DUMMYFUNCTION("IFERROR(GOOGLEFINANCE(A715,""CHANGEPCT""),)"),1.64)</f>
        <v>1.64</v>
      </c>
      <c r="E715" s="51" t="str">
        <f t="shared" si="1"/>
        <v>1.64%</v>
      </c>
      <c r="F715" s="51">
        <f t="shared" si="2"/>
        <v>1.64</v>
      </c>
      <c r="G715" s="51" t="str">
        <f t="shared" si="3"/>
        <v/>
      </c>
      <c r="H715" s="51">
        <f>IFERROR(__xludf.DUMMYFUNCTION("IFERROR(GOOGLEFINANCE(A715,""PRICE""),)"),1163.8)</f>
        <v>1163.8</v>
      </c>
      <c r="I715" s="52">
        <f>IFERROR(__xludf.DUMMYFUNCTION("IFERROR(GOOGLEFINANCE(A715,""VOLUME""),)"),893053.0)</f>
        <v>893053</v>
      </c>
      <c r="J715" s="51" t="str">
        <f>IFERROR(__xludf.DUMMYFUNCTION("IFERROR(INDEX(SPLIT(A715,"":""),1,2),)"),"JINDALSTEL")</f>
        <v>JINDALSTEL</v>
      </c>
      <c r="K715" s="51">
        <f t="shared" si="4"/>
        <v>319</v>
      </c>
      <c r="L715" s="51" t="str">
        <f t="shared" si="5"/>
        <v/>
      </c>
      <c r="M715" s="51">
        <f t="shared" si="6"/>
        <v>293</v>
      </c>
      <c r="N715" s="53">
        <f>IFERROR(__xludf.DUMMYFUNCTION("IFERROR(GOOGLEFINANCE(A715,""TRADETIME""),)"),46269.64583333333)</f>
        <v>46269.64583</v>
      </c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</row>
    <row r="716" ht="15.75" customHeight="1">
      <c r="A716" s="48" t="s">
        <v>762</v>
      </c>
      <c r="B716" s="48" t="str">
        <f>IFERROR(__xludf.DUMMYFUNCTION("IFERROR(GOOGLEFINANCE(A716,""NAME""),)"),"Jindal Drilling and Industries Ltd")</f>
        <v>Jindal Drilling and Industries Ltd</v>
      </c>
      <c r="C716" s="48">
        <f>IFERROR(__xludf.DUMMYFUNCTION("IFERROR(GOOGLEFINANCE(A716,""CHANGE""),)"),14.05)</f>
        <v>14.05</v>
      </c>
      <c r="D716" s="48">
        <f>IFERROR(__xludf.DUMMYFUNCTION("IFERROR(GOOGLEFINANCE(A716,""CHANGEPCT""),)"),2.16)</f>
        <v>2.16</v>
      </c>
      <c r="E716" s="48" t="str">
        <f t="shared" si="1"/>
        <v>2.16%</v>
      </c>
      <c r="F716" s="48">
        <f t="shared" si="2"/>
        <v>2.16</v>
      </c>
      <c r="G716" s="48" t="str">
        <f t="shared" si="3"/>
        <v/>
      </c>
      <c r="H716" s="48">
        <f>IFERROR(__xludf.DUMMYFUNCTION("IFERROR(GOOGLEFINANCE(A716,""PRICE""),)"),663.95)</f>
        <v>663.95</v>
      </c>
      <c r="I716" s="49">
        <f>IFERROR(__xludf.DUMMYFUNCTION("IFERROR(GOOGLEFINANCE(A716,""VOLUME""),)"),708720.0)</f>
        <v>708720</v>
      </c>
      <c r="J716" s="48" t="str">
        <f>IFERROR(__xludf.DUMMYFUNCTION("IFERROR(INDEX(SPLIT(A716,"":""),1,2),)"),"JINDRILL")</f>
        <v>JINDRILL</v>
      </c>
      <c r="K716" s="48">
        <f t="shared" si="4"/>
        <v>238</v>
      </c>
      <c r="L716" s="48" t="str">
        <f t="shared" si="5"/>
        <v/>
      </c>
      <c r="M716" s="48">
        <f t="shared" si="6"/>
        <v>326</v>
      </c>
      <c r="N716" s="50">
        <f>IFERROR(__xludf.DUMMYFUNCTION("IFERROR(GOOGLEFINANCE(A716,""TRADETIME""),)"),46269.64583333333)</f>
        <v>46269.64583</v>
      </c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</row>
    <row r="717" ht="15.75" customHeight="1">
      <c r="A717" s="51" t="s">
        <v>763</v>
      </c>
      <c r="B717" s="51" t="str">
        <f>IFERROR(__xludf.DUMMYFUNCTION("IFERROR(GOOGLEFINANCE(A717,""NAME""),)"),"Jindal Worldwide Ltd")</f>
        <v>Jindal Worldwide Ltd</v>
      </c>
      <c r="C717" s="51">
        <f>IFERROR(__xludf.DUMMYFUNCTION("IFERROR(GOOGLEFINANCE(A717,""CHANGE""),)"),9.63)</f>
        <v>9.63</v>
      </c>
      <c r="D717" s="51">
        <f>IFERROR(__xludf.DUMMYFUNCTION("IFERROR(GOOGLEFINANCE(A717,""CHANGEPCT""),)"),20.0)</f>
        <v>20</v>
      </c>
      <c r="E717" s="51" t="str">
        <f t="shared" si="1"/>
        <v>20%</v>
      </c>
      <c r="F717" s="51">
        <f t="shared" si="2"/>
        <v>20</v>
      </c>
      <c r="G717" s="51" t="str">
        <f t="shared" si="3"/>
        <v/>
      </c>
      <c r="H717" s="51">
        <f>IFERROR(__xludf.DUMMYFUNCTION("IFERROR(GOOGLEFINANCE(A717,""PRICE""),)"),57.78)</f>
        <v>57.78</v>
      </c>
      <c r="I717" s="52">
        <f>IFERROR(__xludf.DUMMYFUNCTION("IFERROR(GOOGLEFINANCE(A717,""VOLUME""),)"),1.88275533E8)</f>
        <v>188275533</v>
      </c>
      <c r="J717" s="51" t="str">
        <f>IFERROR(__xludf.DUMMYFUNCTION("IFERROR(INDEX(SPLIT(A717,"":""),1,2),)"),"JINDWORLD")</f>
        <v>JINDWORLD</v>
      </c>
      <c r="K717" s="51">
        <f t="shared" si="4"/>
        <v>1</v>
      </c>
      <c r="L717" s="51" t="str">
        <f t="shared" si="5"/>
        <v/>
      </c>
      <c r="M717" s="51">
        <f t="shared" si="6"/>
        <v>4</v>
      </c>
      <c r="N717" s="53">
        <f>IFERROR(__xludf.DUMMYFUNCTION("IFERROR(GOOGLEFINANCE(A717,""TRADETIME""),)"),46269.64586805555)</f>
        <v>46269.64587</v>
      </c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</row>
    <row r="718" ht="15.75" customHeight="1">
      <c r="A718" s="48" t="s">
        <v>764</v>
      </c>
      <c r="B718" s="48" t="str">
        <f>IFERROR(__xludf.DUMMYFUNCTION("IFERROR(GOOGLEFINANCE(A718,""NAME""),)"),"Jain Irrigation Systems Ord Shs DVR")</f>
        <v>Jain Irrigation Systems Ord Shs DVR</v>
      </c>
      <c r="C718" s="48">
        <f>IFERROR(__xludf.DUMMYFUNCTION("IFERROR(GOOGLEFINANCE(A718,""CHANGE""),)"),0.76)</f>
        <v>0.76</v>
      </c>
      <c r="D718" s="48">
        <f>IFERROR(__xludf.DUMMYFUNCTION("IFERROR(GOOGLEFINANCE(A718,""CHANGEPCT""),)"),3.61)</f>
        <v>3.61</v>
      </c>
      <c r="E718" s="48" t="str">
        <f t="shared" si="1"/>
        <v>3.61%</v>
      </c>
      <c r="F718" s="48">
        <f t="shared" si="2"/>
        <v>3.61</v>
      </c>
      <c r="G718" s="48" t="str">
        <f t="shared" si="3"/>
        <v/>
      </c>
      <c r="H718" s="48">
        <f>IFERROR(__xludf.DUMMYFUNCTION("IFERROR(GOOGLEFINANCE(A718,""PRICE""),)"),21.79)</f>
        <v>21.79</v>
      </c>
      <c r="I718" s="49">
        <f>IFERROR(__xludf.DUMMYFUNCTION("IFERROR(GOOGLEFINANCE(A718,""VOLUME""),)"),310219.0)</f>
        <v>310219</v>
      </c>
      <c r="J718" s="48" t="str">
        <f>IFERROR(__xludf.DUMMYFUNCTION("IFERROR(INDEX(SPLIT(A718,"":""),1,2),)"),"JISLDVREQS")</f>
        <v>JISLDVREQS</v>
      </c>
      <c r="K718" s="48">
        <f t="shared" si="4"/>
        <v>133</v>
      </c>
      <c r="L718" s="48" t="str">
        <f t="shared" si="5"/>
        <v/>
      </c>
      <c r="M718" s="48">
        <f t="shared" si="6"/>
        <v>502</v>
      </c>
      <c r="N718" s="50">
        <f>IFERROR(__xludf.DUMMYFUNCTION("IFERROR(GOOGLEFINANCE(A718,""TRADETIME""),)"),46269.64583333333)</f>
        <v>46269.64583</v>
      </c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</row>
    <row r="719" ht="15.75" customHeight="1">
      <c r="A719" s="51" t="s">
        <v>765</v>
      </c>
      <c r="B719" s="51" t="str">
        <f>IFERROR(__xludf.DUMMYFUNCTION("IFERROR(GOOGLEFINANCE(A719,""NAME""),)"),"Jain Irrigation Systems Ltd")</f>
        <v>Jain Irrigation Systems Ltd</v>
      </c>
      <c r="C719" s="51">
        <f>IFERROR(__xludf.DUMMYFUNCTION("IFERROR(GOOGLEFINANCE(A719,""CHANGE""),)"),3.04)</f>
        <v>3.04</v>
      </c>
      <c r="D719" s="51">
        <f>IFERROR(__xludf.DUMMYFUNCTION("IFERROR(GOOGLEFINANCE(A719,""CHANGEPCT""),)"),10.8)</f>
        <v>10.8</v>
      </c>
      <c r="E719" s="51" t="str">
        <f t="shared" si="1"/>
        <v>10.8%</v>
      </c>
      <c r="F719" s="51">
        <f t="shared" si="2"/>
        <v>10.8</v>
      </c>
      <c r="G719" s="51" t="str">
        <f t="shared" si="3"/>
        <v/>
      </c>
      <c r="H719" s="51">
        <f>IFERROR(__xludf.DUMMYFUNCTION("IFERROR(GOOGLEFINANCE(A719,""PRICE""),)"),31.2)</f>
        <v>31.2</v>
      </c>
      <c r="I719" s="52">
        <f>IFERROR(__xludf.DUMMYFUNCTION("IFERROR(GOOGLEFINANCE(A719,""VOLUME""),)"),2.9548721E7)</f>
        <v>29548721</v>
      </c>
      <c r="J719" s="51" t="str">
        <f>IFERROR(__xludf.DUMMYFUNCTION("IFERROR(INDEX(SPLIT(A719,"":""),1,2),)"),"JISLJALEQS")</f>
        <v>JISLJALEQS</v>
      </c>
      <c r="K719" s="51">
        <f t="shared" si="4"/>
        <v>8</v>
      </c>
      <c r="L719" s="51" t="str">
        <f t="shared" si="5"/>
        <v/>
      </c>
      <c r="M719" s="51">
        <f t="shared" si="6"/>
        <v>15</v>
      </c>
      <c r="N719" s="53">
        <f>IFERROR(__xludf.DUMMYFUNCTION("IFERROR(GOOGLEFINANCE(A719,""TRADETIME""),)"),46269.64583333333)</f>
        <v>46269.64583</v>
      </c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</row>
    <row r="720" ht="15.75" customHeight="1">
      <c r="A720" s="48" t="s">
        <v>766</v>
      </c>
      <c r="B720" s="48" t="str">
        <f>IFERROR(__xludf.DUMMYFUNCTION("IFERROR(GOOGLEFINANCE(A720,""NAME""),)"),"JITF Infralogistics Ltd")</f>
        <v>JITF Infralogistics Ltd</v>
      </c>
      <c r="C720" s="48">
        <f>IFERROR(__xludf.DUMMYFUNCTION("IFERROR(GOOGLEFINANCE(A720,""CHANGE""),)"),-5.65)</f>
        <v>-5.65</v>
      </c>
      <c r="D720" s="48">
        <f>IFERROR(__xludf.DUMMYFUNCTION("IFERROR(GOOGLEFINANCE(A720,""CHANGEPCT""),)"),-1.82)</f>
        <v>-1.82</v>
      </c>
      <c r="E720" s="48" t="str">
        <f t="shared" si="1"/>
        <v>-1.82%</v>
      </c>
      <c r="F720" s="48" t="str">
        <f t="shared" si="2"/>
        <v/>
      </c>
      <c r="G720" s="48">
        <f t="shared" si="3"/>
        <v>-1.82</v>
      </c>
      <c r="H720" s="48">
        <f>IFERROR(__xludf.DUMMYFUNCTION("IFERROR(GOOGLEFINANCE(A720,""PRICE""),)"),305.0)</f>
        <v>305</v>
      </c>
      <c r="I720" s="49">
        <f>IFERROR(__xludf.DUMMYFUNCTION("IFERROR(GOOGLEFINANCE(A720,""VOLUME""),)"),23808.0)</f>
        <v>23808</v>
      </c>
      <c r="J720" s="48" t="str">
        <f>IFERROR(__xludf.DUMMYFUNCTION("IFERROR(INDEX(SPLIT(A720,"":""),1,2),)"),"JITFINFRA")</f>
        <v>JITFINFRA</v>
      </c>
      <c r="K720" s="48" t="str">
        <f t="shared" si="4"/>
        <v/>
      </c>
      <c r="L720" s="48">
        <f t="shared" si="5"/>
        <v>495</v>
      </c>
      <c r="M720" s="48">
        <f t="shared" si="6"/>
        <v>1096</v>
      </c>
      <c r="N720" s="50">
        <f>IFERROR(__xludf.DUMMYFUNCTION("IFERROR(GOOGLEFINANCE(A720,""TRADETIME""),)"),46269.64583333333)</f>
        <v>46269.64583</v>
      </c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</row>
    <row r="721" ht="15.75" customHeight="1">
      <c r="A721" s="51" t="s">
        <v>767</v>
      </c>
      <c r="B721" s="51" t="str">
        <f>IFERROR(__xludf.DUMMYFUNCTION("IFERROR(GOOGLEFINANCE(A721,""NAME""),)"),"J K Cement Ltd")</f>
        <v>J K Cement Ltd</v>
      </c>
      <c r="C721" s="51">
        <f>IFERROR(__xludf.DUMMYFUNCTION("IFERROR(GOOGLEFINANCE(A721,""CHANGE""),)"),80.5)</f>
        <v>80.5</v>
      </c>
      <c r="D721" s="51">
        <f>IFERROR(__xludf.DUMMYFUNCTION("IFERROR(GOOGLEFINANCE(A721,""CHANGEPCT""),)"),1.6)</f>
        <v>1.6</v>
      </c>
      <c r="E721" s="51" t="str">
        <f t="shared" si="1"/>
        <v>1.6%</v>
      </c>
      <c r="F721" s="51">
        <f t="shared" si="2"/>
        <v>1.6</v>
      </c>
      <c r="G721" s="51" t="str">
        <f t="shared" si="3"/>
        <v/>
      </c>
      <c r="H721" s="51">
        <f>IFERROR(__xludf.DUMMYFUNCTION("IFERROR(GOOGLEFINANCE(A721,""PRICE""),)"),5120.0)</f>
        <v>5120</v>
      </c>
      <c r="I721" s="52">
        <f>IFERROR(__xludf.DUMMYFUNCTION("IFERROR(GOOGLEFINANCE(A721,""VOLUME""),)"),15032.0)</f>
        <v>15032</v>
      </c>
      <c r="J721" s="51" t="str">
        <f>IFERROR(__xludf.DUMMYFUNCTION("IFERROR(INDEX(SPLIT(A721,"":""),1,2),)"),"JKCEMENT")</f>
        <v>JKCEMENT</v>
      </c>
      <c r="K721" s="51">
        <f t="shared" si="4"/>
        <v>326</v>
      </c>
      <c r="L721" s="51" t="str">
        <f t="shared" si="5"/>
        <v/>
      </c>
      <c r="M721" s="51">
        <f t="shared" si="6"/>
        <v>1179</v>
      </c>
      <c r="N721" s="53">
        <f>IFERROR(__xludf.DUMMYFUNCTION("IFERROR(GOOGLEFINANCE(A721,""TRADETIME""),)"),46269.64583333333)</f>
        <v>46269.64583</v>
      </c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</row>
    <row r="722" ht="15.75" customHeight="1">
      <c r="A722" s="48" t="s">
        <v>768</v>
      </c>
      <c r="B722" s="48" t="str">
        <f>IFERROR(__xludf.DUMMYFUNCTION("IFERROR(GOOGLEFINANCE(A722,""NAME""),)"),"J Kumar Infraprojects Ltd")</f>
        <v>J Kumar Infraprojects Ltd</v>
      </c>
      <c r="C722" s="48">
        <f>IFERROR(__xludf.DUMMYFUNCTION("IFERROR(GOOGLEFINANCE(A722,""CHANGE""),)"),-1.05)</f>
        <v>-1.05</v>
      </c>
      <c r="D722" s="48">
        <f>IFERROR(__xludf.DUMMYFUNCTION("IFERROR(GOOGLEFINANCE(A722,""CHANGEPCT""),)"),-0.22)</f>
        <v>-0.22</v>
      </c>
      <c r="E722" s="48" t="str">
        <f t="shared" si="1"/>
        <v>-0.22%</v>
      </c>
      <c r="F722" s="48" t="str">
        <f t="shared" si="2"/>
        <v/>
      </c>
      <c r="G722" s="48">
        <f t="shared" si="3"/>
        <v>-0.22</v>
      </c>
      <c r="H722" s="48">
        <f>IFERROR(__xludf.DUMMYFUNCTION("IFERROR(GOOGLEFINANCE(A722,""PRICE""),)"),486.65)</f>
        <v>486.65</v>
      </c>
      <c r="I722" s="49">
        <f>IFERROR(__xludf.DUMMYFUNCTION("IFERROR(GOOGLEFINANCE(A722,""VOLUME""),)"),24845.0)</f>
        <v>24845</v>
      </c>
      <c r="J722" s="48" t="str">
        <f>IFERROR(__xludf.DUMMYFUNCTION("IFERROR(INDEX(SPLIT(A722,"":""),1,2),)"),"JKIL")</f>
        <v>JKIL</v>
      </c>
      <c r="K722" s="48" t="str">
        <f t="shared" si="4"/>
        <v/>
      </c>
      <c r="L722" s="48">
        <f t="shared" si="5"/>
        <v>79</v>
      </c>
      <c r="M722" s="48">
        <f t="shared" si="6"/>
        <v>1084</v>
      </c>
      <c r="N722" s="50">
        <f>IFERROR(__xludf.DUMMYFUNCTION("IFERROR(GOOGLEFINANCE(A722,""TRADETIME""),)"),46269.64583333333)</f>
        <v>46269.64583</v>
      </c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</row>
    <row r="723" ht="15.75" customHeight="1">
      <c r="A723" s="51" t="s">
        <v>769</v>
      </c>
      <c r="B723" s="51" t="str">
        <f>IFERROR(__xludf.DUMMYFUNCTION("IFERROR(GOOGLEFINANCE(A723,""NAME""),)"),"JK Lakshmi Cement Ltd")</f>
        <v>JK Lakshmi Cement Ltd</v>
      </c>
      <c r="C723" s="51">
        <f>IFERROR(__xludf.DUMMYFUNCTION("IFERROR(GOOGLEFINANCE(A723,""CHANGE""),)"),-0.4)</f>
        <v>-0.4</v>
      </c>
      <c r="D723" s="51">
        <f>IFERROR(__xludf.DUMMYFUNCTION("IFERROR(GOOGLEFINANCE(A723,""CHANGEPCT""),)"),-0.08)</f>
        <v>-0.08</v>
      </c>
      <c r="E723" s="51" t="str">
        <f t="shared" si="1"/>
        <v>-0.08%</v>
      </c>
      <c r="F723" s="51" t="str">
        <f t="shared" si="2"/>
        <v/>
      </c>
      <c r="G723" s="51">
        <f t="shared" si="3"/>
        <v>-0.08</v>
      </c>
      <c r="H723" s="51">
        <f>IFERROR(__xludf.DUMMYFUNCTION("IFERROR(GOOGLEFINANCE(A723,""PRICE""),)"),514.0)</f>
        <v>514</v>
      </c>
      <c r="I723" s="52">
        <f>IFERROR(__xludf.DUMMYFUNCTION("IFERROR(GOOGLEFINANCE(A723,""VOLUME""),)"),512153.0)</f>
        <v>512153</v>
      </c>
      <c r="J723" s="51" t="str">
        <f>IFERROR(__xludf.DUMMYFUNCTION("IFERROR(INDEX(SPLIT(A723,"":""),1,2),)"),"JKLAKSHMI")</f>
        <v>JKLAKSHMI</v>
      </c>
      <c r="K723" s="51" t="str">
        <f t="shared" si="4"/>
        <v/>
      </c>
      <c r="L723" s="51">
        <f t="shared" si="5"/>
        <v>24</v>
      </c>
      <c r="M723" s="51">
        <f t="shared" si="6"/>
        <v>388</v>
      </c>
      <c r="N723" s="53">
        <f>IFERROR(__xludf.DUMMYFUNCTION("IFERROR(GOOGLEFINANCE(A723,""TRADETIME""),)"),46269.64583333333)</f>
        <v>46269.64583</v>
      </c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</row>
    <row r="724" ht="15.75" customHeight="1">
      <c r="A724" s="48" t="s">
        <v>770</v>
      </c>
      <c r="B724" s="48" t="str">
        <f>IFERROR(__xludf.DUMMYFUNCTION("IFERROR(GOOGLEFINANCE(A724,""NAME""),)"),"JK Paper Ltd")</f>
        <v>JK Paper Ltd</v>
      </c>
      <c r="C724" s="48">
        <f>IFERROR(__xludf.DUMMYFUNCTION("IFERROR(GOOGLEFINANCE(A724,""CHANGE""),)"),-4.5)</f>
        <v>-4.5</v>
      </c>
      <c r="D724" s="48">
        <f>IFERROR(__xludf.DUMMYFUNCTION("IFERROR(GOOGLEFINANCE(A724,""CHANGEPCT""),)"),-1.1)</f>
        <v>-1.1</v>
      </c>
      <c r="E724" s="48" t="str">
        <f t="shared" si="1"/>
        <v>-1.1%</v>
      </c>
      <c r="F724" s="48" t="str">
        <f t="shared" si="2"/>
        <v/>
      </c>
      <c r="G724" s="48">
        <f t="shared" si="3"/>
        <v>-1.1</v>
      </c>
      <c r="H724" s="48">
        <f>IFERROR(__xludf.DUMMYFUNCTION("IFERROR(GOOGLEFINANCE(A724,""PRICE""),)"),405.65)</f>
        <v>405.65</v>
      </c>
      <c r="I724" s="49">
        <f>IFERROR(__xludf.DUMMYFUNCTION("IFERROR(GOOGLEFINANCE(A724,""VOLUME""),)"),381165.0)</f>
        <v>381165</v>
      </c>
      <c r="J724" s="48" t="str">
        <f>IFERROR(__xludf.DUMMYFUNCTION("IFERROR(INDEX(SPLIT(A724,"":""),1,2),)"),"JKPAPER")</f>
        <v>JKPAPER</v>
      </c>
      <c r="K724" s="48" t="str">
        <f t="shared" si="4"/>
        <v/>
      </c>
      <c r="L724" s="48">
        <f t="shared" si="5"/>
        <v>360</v>
      </c>
      <c r="M724" s="48">
        <f t="shared" si="6"/>
        <v>456</v>
      </c>
      <c r="N724" s="50">
        <f>IFERROR(__xludf.DUMMYFUNCTION("IFERROR(GOOGLEFINANCE(A724,""TRADETIME""),)"),46269.64583333333)</f>
        <v>46269.64583</v>
      </c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</row>
    <row r="725" ht="15.75" customHeight="1">
      <c r="A725" s="51" t="s">
        <v>771</v>
      </c>
      <c r="B725" s="51" t="str">
        <f>IFERROR(__xludf.DUMMYFUNCTION("IFERROR(GOOGLEFINANCE(A725,""NAME""),)"),"JK Tyre &amp; Industries Ltd")</f>
        <v>JK Tyre &amp; Industries Ltd</v>
      </c>
      <c r="C725" s="51">
        <f>IFERROR(__xludf.DUMMYFUNCTION("IFERROR(GOOGLEFINANCE(A725,""CHANGE""),)"),-1.0)</f>
        <v>-1</v>
      </c>
      <c r="D725" s="51">
        <f>IFERROR(__xludf.DUMMYFUNCTION("IFERROR(GOOGLEFINANCE(A725,""CHANGEPCT""),)"),-0.27)</f>
        <v>-0.27</v>
      </c>
      <c r="E725" s="51" t="str">
        <f t="shared" si="1"/>
        <v>-0.27%</v>
      </c>
      <c r="F725" s="51" t="str">
        <f t="shared" si="2"/>
        <v/>
      </c>
      <c r="G725" s="51">
        <f t="shared" si="3"/>
        <v>-0.27</v>
      </c>
      <c r="H725" s="51">
        <f>IFERROR(__xludf.DUMMYFUNCTION("IFERROR(GOOGLEFINANCE(A725,""PRICE""),)"),368.45)</f>
        <v>368.45</v>
      </c>
      <c r="I725" s="52">
        <f>IFERROR(__xludf.DUMMYFUNCTION("IFERROR(GOOGLEFINANCE(A725,""VOLUME""),)"),360957.0)</f>
        <v>360957</v>
      </c>
      <c r="J725" s="51" t="str">
        <f>IFERROR(__xludf.DUMMYFUNCTION("IFERROR(INDEX(SPLIT(A725,"":""),1,2),)"),"JKTYRE")</f>
        <v>JKTYRE</v>
      </c>
      <c r="K725" s="51" t="str">
        <f t="shared" si="4"/>
        <v/>
      </c>
      <c r="L725" s="51">
        <f t="shared" si="5"/>
        <v>98</v>
      </c>
      <c r="M725" s="51">
        <f t="shared" si="6"/>
        <v>464</v>
      </c>
      <c r="N725" s="53">
        <f>IFERROR(__xludf.DUMMYFUNCTION("IFERROR(GOOGLEFINANCE(A725,""TRADETIME""),)"),46269.64583333333)</f>
        <v>46269.64583</v>
      </c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</row>
    <row r="726" ht="15.75" customHeight="1">
      <c r="A726" s="48" t="s">
        <v>772</v>
      </c>
      <c r="B726" s="48" t="str">
        <f>IFERROR(__xludf.DUMMYFUNCTION("IFERROR(GOOGLEFINANCE(A726,""NAME""),)"),"Jullundur Motor Agency (Delhi) Ltd")</f>
        <v>Jullundur Motor Agency (Delhi) Ltd</v>
      </c>
      <c r="C726" s="48">
        <f>IFERROR(__xludf.DUMMYFUNCTION("IFERROR(GOOGLEFINANCE(A726,""CHANGE""),)"),-1.24)</f>
        <v>-1.24</v>
      </c>
      <c r="D726" s="48">
        <f>IFERROR(__xludf.DUMMYFUNCTION("IFERROR(GOOGLEFINANCE(A726,""CHANGEPCT""),)"),-1.34)</f>
        <v>-1.34</v>
      </c>
      <c r="E726" s="48" t="str">
        <f t="shared" si="1"/>
        <v>-1.34%</v>
      </c>
      <c r="F726" s="48" t="str">
        <f t="shared" si="2"/>
        <v/>
      </c>
      <c r="G726" s="48">
        <f t="shared" si="3"/>
        <v>-1.34</v>
      </c>
      <c r="H726" s="48">
        <f>IFERROR(__xludf.DUMMYFUNCTION("IFERROR(GOOGLEFINANCE(A726,""PRICE""),)"),91.0)</f>
        <v>91</v>
      </c>
      <c r="I726" s="49">
        <f>IFERROR(__xludf.DUMMYFUNCTION("IFERROR(GOOGLEFINANCE(A726,""VOLUME""),)"),7483.0)</f>
        <v>7483</v>
      </c>
      <c r="J726" s="48" t="str">
        <f>IFERROR(__xludf.DUMMYFUNCTION("IFERROR(INDEX(SPLIT(A726,"":""),1,2),)"),"JMA")</f>
        <v>JMA</v>
      </c>
      <c r="K726" s="48" t="str">
        <f t="shared" si="4"/>
        <v/>
      </c>
      <c r="L726" s="48">
        <f t="shared" si="5"/>
        <v>414</v>
      </c>
      <c r="M726" s="48">
        <f t="shared" si="6"/>
        <v>1273</v>
      </c>
      <c r="N726" s="50">
        <f>IFERROR(__xludf.DUMMYFUNCTION("IFERROR(GOOGLEFINANCE(A726,""TRADETIME""),)"),46269.64583333333)</f>
        <v>46269.64583</v>
      </c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</row>
    <row r="727" ht="15.75" customHeight="1">
      <c r="A727" s="51" t="s">
        <v>773</v>
      </c>
      <c r="B727" s="51" t="str">
        <f>IFERROR(__xludf.DUMMYFUNCTION("IFERROR(GOOGLEFINANCE(A727,""NAME""),)"),"Kernex Microsystems (India) Limited")</f>
        <v>Kernex Microsystems (India) Limited</v>
      </c>
      <c r="C727" s="51">
        <f>IFERROR(__xludf.DUMMYFUNCTION("IFERROR(GOOGLEFINANCE(A727,""CHANGE""),)"),105.0)</f>
        <v>105</v>
      </c>
      <c r="D727" s="51">
        <f>IFERROR(__xludf.DUMMYFUNCTION("IFERROR(GOOGLEFINANCE(A727,""CHANGEPCT""),)"),6.14)</f>
        <v>6.14</v>
      </c>
      <c r="E727" s="51" t="str">
        <f t="shared" si="1"/>
        <v>6.14%</v>
      </c>
      <c r="F727" s="51">
        <f t="shared" si="2"/>
        <v>6.14</v>
      </c>
      <c r="G727" s="51" t="str">
        <f t="shared" si="3"/>
        <v/>
      </c>
      <c r="H727" s="51">
        <f>IFERROR(__xludf.DUMMYFUNCTION("IFERROR(GOOGLEFINANCE(A727,""PRICE""),)"),1814.6)</f>
        <v>1814.6</v>
      </c>
      <c r="I727" s="52">
        <f>IFERROR(__xludf.DUMMYFUNCTION("IFERROR(GOOGLEFINANCE(A727,""VOLUME""),)"),852400.0)</f>
        <v>852400</v>
      </c>
      <c r="J727" s="51" t="str">
        <f>IFERROR(__xludf.DUMMYFUNCTION("IFERROR(INDEX(SPLIT(A727,"":""),1,2),)"),"KERNEX")</f>
        <v>KERNEX</v>
      </c>
      <c r="K727" s="51">
        <f t="shared" si="4"/>
        <v>33</v>
      </c>
      <c r="L727" s="51" t="str">
        <f t="shared" si="5"/>
        <v/>
      </c>
      <c r="M727" s="51">
        <f t="shared" si="6"/>
        <v>299</v>
      </c>
      <c r="N727" s="53">
        <f>IFERROR(__xludf.DUMMYFUNCTION("IFERROR(GOOGLEFINANCE(A727,""TRADETIME""),)"),46269.64583333333)</f>
        <v>46269.64583</v>
      </c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</row>
    <row r="728" ht="15.75" customHeight="1">
      <c r="A728" s="48" t="s">
        <v>774</v>
      </c>
      <c r="B728" s="48" t="str">
        <f>IFERROR(__xludf.DUMMYFUNCTION("IFERROR(GOOGLEFINANCE(A728,""NAME""),)"),"JM Financial Ltd")</f>
        <v>JM Financial Ltd</v>
      </c>
      <c r="C728" s="48">
        <f>IFERROR(__xludf.DUMMYFUNCTION("IFERROR(GOOGLEFINANCE(A728,""CHANGE""),)"),-2.53)</f>
        <v>-2.53</v>
      </c>
      <c r="D728" s="48">
        <f>IFERROR(__xludf.DUMMYFUNCTION("IFERROR(GOOGLEFINANCE(A728,""CHANGEPCT""),)"),-1.88)</f>
        <v>-1.88</v>
      </c>
      <c r="E728" s="48" t="str">
        <f t="shared" si="1"/>
        <v>-1.88%</v>
      </c>
      <c r="F728" s="48" t="str">
        <f t="shared" si="2"/>
        <v/>
      </c>
      <c r="G728" s="48">
        <f t="shared" si="3"/>
        <v>-1.88</v>
      </c>
      <c r="H728" s="48">
        <f>IFERROR(__xludf.DUMMYFUNCTION("IFERROR(GOOGLEFINANCE(A728,""PRICE""),)"),132.0)</f>
        <v>132</v>
      </c>
      <c r="I728" s="49">
        <f>IFERROR(__xludf.DUMMYFUNCTION("IFERROR(GOOGLEFINANCE(A728,""VOLUME""),)"),4507470.0)</f>
        <v>4507470</v>
      </c>
      <c r="J728" s="48" t="str">
        <f>IFERROR(__xludf.DUMMYFUNCTION("IFERROR(INDEX(SPLIT(A728,"":""),1,2),)"),"JMFINANCIL")</f>
        <v>JMFINANCIL</v>
      </c>
      <c r="K728" s="48" t="str">
        <f t="shared" si="4"/>
        <v/>
      </c>
      <c r="L728" s="48">
        <f t="shared" si="5"/>
        <v>504</v>
      </c>
      <c r="M728" s="48">
        <f t="shared" si="6"/>
        <v>90</v>
      </c>
      <c r="N728" s="50">
        <f>IFERROR(__xludf.DUMMYFUNCTION("IFERROR(GOOGLEFINANCE(A728,""TRADETIME""),)"),46269.64586805555)</f>
        <v>46269.64587</v>
      </c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</row>
    <row r="729" ht="15.75" customHeight="1">
      <c r="A729" s="51" t="s">
        <v>775</v>
      </c>
      <c r="B729" s="51" t="str">
        <f>IFERROR(__xludf.DUMMYFUNCTION("IFERROR(GOOGLEFINANCE(A729,""NAME""),)"),"Jocil Ltd")</f>
        <v>Jocil Ltd</v>
      </c>
      <c r="C729" s="51">
        <f>IFERROR(__xludf.DUMMYFUNCTION("IFERROR(GOOGLEFINANCE(A729,""CHANGE""),)"),2.11)</f>
        <v>2.11</v>
      </c>
      <c r="D729" s="51">
        <f>IFERROR(__xludf.DUMMYFUNCTION("IFERROR(GOOGLEFINANCE(A729,""CHANGEPCT""),)"),1.38)</f>
        <v>1.38</v>
      </c>
      <c r="E729" s="51" t="str">
        <f t="shared" si="1"/>
        <v>1.38%</v>
      </c>
      <c r="F729" s="51">
        <f t="shared" si="2"/>
        <v>1.38</v>
      </c>
      <c r="G729" s="51" t="str">
        <f t="shared" si="3"/>
        <v/>
      </c>
      <c r="H729" s="51">
        <f>IFERROR(__xludf.DUMMYFUNCTION("IFERROR(GOOGLEFINANCE(A729,""PRICE""),)"),155.0)</f>
        <v>155</v>
      </c>
      <c r="I729" s="52">
        <f>IFERROR(__xludf.DUMMYFUNCTION("IFERROR(GOOGLEFINANCE(A729,""VOLUME""),)"),8078.0)</f>
        <v>8078</v>
      </c>
      <c r="J729" s="51" t="str">
        <f>IFERROR(__xludf.DUMMYFUNCTION("IFERROR(INDEX(SPLIT(A729,"":""),1,2),)"),"JOCIL")</f>
        <v>JOCIL</v>
      </c>
      <c r="K729" s="51">
        <f t="shared" si="4"/>
        <v>363</v>
      </c>
      <c r="L729" s="51" t="str">
        <f t="shared" si="5"/>
        <v/>
      </c>
      <c r="M729" s="51">
        <f t="shared" si="6"/>
        <v>1261</v>
      </c>
      <c r="N729" s="53">
        <f>IFERROR(__xludf.DUMMYFUNCTION("IFERROR(GOOGLEFINANCE(A729,""TRADETIME""),)"),46269.64583333333)</f>
        <v>46269.64583</v>
      </c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</row>
    <row r="730" ht="15.75" customHeight="1">
      <c r="A730" s="48" t="s">
        <v>776</v>
      </c>
      <c r="B730" s="48" t="str">
        <f>IFERROR(__xludf.DUMMYFUNCTION("IFERROR(GOOGLEFINANCE(A730,""NAME""),)"),"")</f>
        <v/>
      </c>
      <c r="C730" s="48" t="str">
        <f>IFERROR(__xludf.DUMMYFUNCTION("IFERROR(GOOGLEFINANCE(A730,""CHANGE""),)"),"")</f>
        <v/>
      </c>
      <c r="D730" s="48" t="str">
        <f>IFERROR(__xludf.DUMMYFUNCTION("IFERROR(GOOGLEFINANCE(A730,""CHANGEPCT""),)"),"")</f>
        <v/>
      </c>
      <c r="E730" s="48" t="str">
        <f t="shared" si="1"/>
        <v>%</v>
      </c>
      <c r="F730" s="48" t="str">
        <f t="shared" si="2"/>
        <v/>
      </c>
      <c r="G730" s="48" t="str">
        <f t="shared" si="3"/>
        <v/>
      </c>
      <c r="H730" s="48" t="str">
        <f>IFERROR(__xludf.DUMMYFUNCTION("IFERROR(GOOGLEFINANCE(A730,""PRICE""),)"),"")</f>
        <v/>
      </c>
      <c r="I730" s="49" t="str">
        <f>IFERROR(__xludf.DUMMYFUNCTION("IFERROR(GOOGLEFINANCE(A730,""VOLUME""),)"),"")</f>
        <v/>
      </c>
      <c r="J730" s="48" t="str">
        <f>IFERROR(__xludf.DUMMYFUNCTION("IFERROR(INDEX(SPLIT(A730,"":""),1,2),)"),"JPASSOCIAT")</f>
        <v>JPASSOCIAT</v>
      </c>
      <c r="K730" s="48" t="str">
        <f t="shared" si="4"/>
        <v/>
      </c>
      <c r="L730" s="48" t="str">
        <f t="shared" si="5"/>
        <v/>
      </c>
      <c r="M730" s="48">
        <f t="shared" si="6"/>
        <v>1456</v>
      </c>
      <c r="N730" s="50" t="str">
        <f>IFERROR(__xludf.DUMMYFUNCTION("IFERROR(GOOGLEFINANCE(A730,""TRADETIME""),)"),"")</f>
        <v/>
      </c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</row>
    <row r="731" ht="15.75" customHeight="1">
      <c r="A731" s="51" t="s">
        <v>777</v>
      </c>
      <c r="B731" s="51" t="str">
        <f>IFERROR(__xludf.DUMMYFUNCTION("IFERROR(GOOGLEFINANCE(A731,""NAME""),)"),"")</f>
        <v/>
      </c>
      <c r="C731" s="51" t="str">
        <f>IFERROR(__xludf.DUMMYFUNCTION("IFERROR(GOOGLEFINANCE(A731,""CHANGE""),)"),"")</f>
        <v/>
      </c>
      <c r="D731" s="51" t="str">
        <f>IFERROR(__xludf.DUMMYFUNCTION("IFERROR(GOOGLEFINANCE(A731,""CHANGEPCT""),)"),"")</f>
        <v/>
      </c>
      <c r="E731" s="51" t="str">
        <f t="shared" si="1"/>
        <v>%</v>
      </c>
      <c r="F731" s="51" t="str">
        <f t="shared" si="2"/>
        <v/>
      </c>
      <c r="G731" s="51" t="str">
        <f t="shared" si="3"/>
        <v/>
      </c>
      <c r="H731" s="51" t="str">
        <f>IFERROR(__xludf.DUMMYFUNCTION("IFERROR(GOOGLEFINANCE(A731,""PRICE""),)"),"")</f>
        <v/>
      </c>
      <c r="I731" s="52" t="str">
        <f>IFERROR(__xludf.DUMMYFUNCTION("IFERROR(GOOGLEFINANCE(A731,""VOLUME""),)"),"")</f>
        <v/>
      </c>
      <c r="J731" s="51" t="str">
        <f>IFERROR(__xludf.DUMMYFUNCTION("IFERROR(INDEX(SPLIT(A731,"":""),1,2),)"),"JPINFRATEC")</f>
        <v>JPINFRATEC</v>
      </c>
      <c r="K731" s="51" t="str">
        <f t="shared" si="4"/>
        <v/>
      </c>
      <c r="L731" s="51" t="str">
        <f t="shared" si="5"/>
        <v/>
      </c>
      <c r="M731" s="51">
        <f t="shared" si="6"/>
        <v>1456</v>
      </c>
      <c r="N731" s="53" t="str">
        <f>IFERROR(__xludf.DUMMYFUNCTION("IFERROR(GOOGLEFINANCE(A731,""TRADETIME""),)"),"")</f>
        <v/>
      </c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</row>
    <row r="732" ht="15.75" customHeight="1">
      <c r="A732" s="48" t="s">
        <v>778</v>
      </c>
      <c r="B732" s="48" t="str">
        <f>IFERROR(__xludf.DUMMYFUNCTION("IFERROR(GOOGLEFINANCE(A732,""NAME""),)"),"Jaiprakash Power Ventures Ltd")</f>
        <v>Jaiprakash Power Ventures Ltd</v>
      </c>
      <c r="C732" s="48">
        <f>IFERROR(__xludf.DUMMYFUNCTION("IFERROR(GOOGLEFINANCE(A732,""CHANGE""),)"),0.22)</f>
        <v>0.22</v>
      </c>
      <c r="D732" s="48">
        <f>IFERROR(__xludf.DUMMYFUNCTION("IFERROR(GOOGLEFINANCE(A732,""CHANGEPCT""),)"),1.36)</f>
        <v>1.36</v>
      </c>
      <c r="E732" s="48" t="str">
        <f t="shared" si="1"/>
        <v>1.36%</v>
      </c>
      <c r="F732" s="48">
        <f t="shared" si="2"/>
        <v>1.36</v>
      </c>
      <c r="G732" s="48" t="str">
        <f t="shared" si="3"/>
        <v/>
      </c>
      <c r="H732" s="48">
        <f>IFERROR(__xludf.DUMMYFUNCTION("IFERROR(GOOGLEFINANCE(A732,""PRICE""),)"),16.36)</f>
        <v>16.36</v>
      </c>
      <c r="I732" s="49">
        <f>IFERROR(__xludf.DUMMYFUNCTION("IFERROR(GOOGLEFINANCE(A732,""VOLUME""),)"),3.0695821E7)</f>
        <v>30695821</v>
      </c>
      <c r="J732" s="48" t="str">
        <f>IFERROR(__xludf.DUMMYFUNCTION("IFERROR(INDEX(SPLIT(A732,"":""),1,2),)"),"JPPOWER")</f>
        <v>JPPOWER</v>
      </c>
      <c r="K732" s="48">
        <f t="shared" si="4"/>
        <v>368</v>
      </c>
      <c r="L732" s="48" t="str">
        <f t="shared" si="5"/>
        <v/>
      </c>
      <c r="M732" s="48">
        <f t="shared" si="6"/>
        <v>14</v>
      </c>
      <c r="N732" s="50">
        <f>IFERROR(__xludf.DUMMYFUNCTION("IFERROR(GOOGLEFINANCE(A732,""TRADETIME""),)"),46269.64586805555)</f>
        <v>46269.64587</v>
      </c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</row>
    <row r="733" ht="15.75" customHeight="1">
      <c r="A733" s="51" t="s">
        <v>779</v>
      </c>
      <c r="B733" s="51" t="str">
        <f>IFERROR(__xludf.DUMMYFUNCTION("IFERROR(GOOGLEFINANCE(A733,""NAME""),)"),"Jindal Stainless Ltd")</f>
        <v>Jindal Stainless Ltd</v>
      </c>
      <c r="C733" s="51">
        <f>IFERROR(__xludf.DUMMYFUNCTION("IFERROR(GOOGLEFINANCE(A733,""CHANGE""),)"),1.6)</f>
        <v>1.6</v>
      </c>
      <c r="D733" s="51">
        <f>IFERROR(__xludf.DUMMYFUNCTION("IFERROR(GOOGLEFINANCE(A733,""CHANGEPCT""),)"),0.22)</f>
        <v>0.22</v>
      </c>
      <c r="E733" s="51" t="str">
        <f t="shared" si="1"/>
        <v>0.22%</v>
      </c>
      <c r="F733" s="51">
        <f t="shared" si="2"/>
        <v>0.22</v>
      </c>
      <c r="G733" s="51" t="str">
        <f t="shared" si="3"/>
        <v/>
      </c>
      <c r="H733" s="51">
        <f>IFERROR(__xludf.DUMMYFUNCTION("IFERROR(GOOGLEFINANCE(A733,""PRICE""),)"),740.0)</f>
        <v>740</v>
      </c>
      <c r="I733" s="52">
        <f>IFERROR(__xludf.DUMMYFUNCTION("IFERROR(GOOGLEFINANCE(A733,""VOLUME""),)"),780597.0)</f>
        <v>780597</v>
      </c>
      <c r="J733" s="51" t="str">
        <f>IFERROR(__xludf.DUMMYFUNCTION("IFERROR(INDEX(SPLIT(A733,"":""),1,2),)"),"JSL")</f>
        <v>JSL</v>
      </c>
      <c r="K733" s="51">
        <f t="shared" si="4"/>
        <v>685</v>
      </c>
      <c r="L733" s="51" t="str">
        <f t="shared" si="5"/>
        <v/>
      </c>
      <c r="M733" s="51">
        <f t="shared" si="6"/>
        <v>312</v>
      </c>
      <c r="N733" s="53">
        <f>IFERROR(__xludf.DUMMYFUNCTION("IFERROR(GOOGLEFINANCE(A733,""TRADETIME""),)"),46269.64583333333)</f>
        <v>46269.64583</v>
      </c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</row>
    <row r="734" ht="15.75" customHeight="1">
      <c r="A734" s="48" t="s">
        <v>780</v>
      </c>
      <c r="B734" s="48" t="str">
        <f>IFERROR(__xludf.DUMMYFUNCTION("IFERROR(GOOGLEFINANCE(A734,""NAME""),)"),"")</f>
        <v/>
      </c>
      <c r="C734" s="48" t="str">
        <f>IFERROR(__xludf.DUMMYFUNCTION("IFERROR(GOOGLEFINANCE(A734,""CHANGE""),)"),"")</f>
        <v/>
      </c>
      <c r="D734" s="48" t="str">
        <f>IFERROR(__xludf.DUMMYFUNCTION("IFERROR(GOOGLEFINANCE(A734,""CHANGEPCT""),)"),"")</f>
        <v/>
      </c>
      <c r="E734" s="48" t="str">
        <f t="shared" si="1"/>
        <v>%</v>
      </c>
      <c r="F734" s="48" t="str">
        <f t="shared" si="2"/>
        <v/>
      </c>
      <c r="G734" s="48" t="str">
        <f t="shared" si="3"/>
        <v/>
      </c>
      <c r="H734" s="48" t="str">
        <f>IFERROR(__xludf.DUMMYFUNCTION("IFERROR(GOOGLEFINANCE(A734,""PRICE""),)"),"")</f>
        <v/>
      </c>
      <c r="I734" s="49" t="str">
        <f>IFERROR(__xludf.DUMMYFUNCTION("IFERROR(GOOGLEFINANCE(A734,""VOLUME""),)"),"")</f>
        <v/>
      </c>
      <c r="J734" s="48" t="str">
        <f>IFERROR(__xludf.DUMMYFUNCTION("IFERROR(INDEX(SPLIT(A734,"":""),1,2),)"),"JSLHISAR")</f>
        <v>JSLHISAR</v>
      </c>
      <c r="K734" s="48" t="str">
        <f t="shared" si="4"/>
        <v/>
      </c>
      <c r="L734" s="48" t="str">
        <f t="shared" si="5"/>
        <v/>
      </c>
      <c r="M734" s="48">
        <f t="shared" si="6"/>
        <v>1456</v>
      </c>
      <c r="N734" s="50" t="str">
        <f>IFERROR(__xludf.DUMMYFUNCTION("IFERROR(GOOGLEFINANCE(A734,""TRADETIME""),)"),"")</f>
        <v/>
      </c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</row>
    <row r="735" ht="15.75" customHeight="1">
      <c r="A735" s="51" t="s">
        <v>781</v>
      </c>
      <c r="B735" s="51" t="str">
        <f>IFERROR(__xludf.DUMMYFUNCTION("IFERROR(GOOGLEFINANCE(A735,""NAME""),)"),"JSW Energy Ltd")</f>
        <v>JSW Energy Ltd</v>
      </c>
      <c r="C735" s="51">
        <f>IFERROR(__xludf.DUMMYFUNCTION("IFERROR(GOOGLEFINANCE(A735,""CHANGE""),)"),0.5)</f>
        <v>0.5</v>
      </c>
      <c r="D735" s="51">
        <f>IFERROR(__xludf.DUMMYFUNCTION("IFERROR(GOOGLEFINANCE(A735,""CHANGEPCT""),)"),0.09)</f>
        <v>0.09</v>
      </c>
      <c r="E735" s="51" t="str">
        <f t="shared" si="1"/>
        <v>0.09%</v>
      </c>
      <c r="F735" s="51">
        <f t="shared" si="2"/>
        <v>0.09</v>
      </c>
      <c r="G735" s="51" t="str">
        <f t="shared" si="3"/>
        <v/>
      </c>
      <c r="H735" s="51">
        <f>IFERROR(__xludf.DUMMYFUNCTION("IFERROR(GOOGLEFINANCE(A735,""PRICE""),)"),540.0)</f>
        <v>540</v>
      </c>
      <c r="I735" s="52">
        <f>IFERROR(__xludf.DUMMYFUNCTION("IFERROR(GOOGLEFINANCE(A735,""VOLUME""),)"),2598872.0)</f>
        <v>2598872</v>
      </c>
      <c r="J735" s="51" t="str">
        <f>IFERROR(__xludf.DUMMYFUNCTION("IFERROR(INDEX(SPLIT(A735,"":""),1,2),)"),"JSWENERGY")</f>
        <v>JSWENERGY</v>
      </c>
      <c r="K735" s="51">
        <f t="shared" si="4"/>
        <v>744</v>
      </c>
      <c r="L735" s="51" t="str">
        <f t="shared" si="5"/>
        <v/>
      </c>
      <c r="M735" s="51">
        <f t="shared" si="6"/>
        <v>141</v>
      </c>
      <c r="N735" s="53">
        <f>IFERROR(__xludf.DUMMYFUNCTION("IFERROR(GOOGLEFINANCE(A735,""TRADETIME""),)"),46269.64583333333)</f>
        <v>46269.64583</v>
      </c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</row>
    <row r="736" ht="15.75" customHeight="1">
      <c r="A736" s="48" t="s">
        <v>782</v>
      </c>
      <c r="B736" s="48" t="str">
        <f>IFERROR(__xludf.DUMMYFUNCTION("IFERROR(GOOGLEFINANCE(A736,""NAME""),)"),"JSW Holdings Ltd")</f>
        <v>JSW Holdings Ltd</v>
      </c>
      <c r="C736" s="48">
        <f>IFERROR(__xludf.DUMMYFUNCTION("IFERROR(GOOGLEFINANCE(A736,""CHANGE""),)"),-50.0)</f>
        <v>-50</v>
      </c>
      <c r="D736" s="48">
        <f>IFERROR(__xludf.DUMMYFUNCTION("IFERROR(GOOGLEFINANCE(A736,""CHANGEPCT""),)"),-0.43)</f>
        <v>-0.43</v>
      </c>
      <c r="E736" s="48" t="str">
        <f t="shared" si="1"/>
        <v>-0.43%</v>
      </c>
      <c r="F736" s="48" t="str">
        <f t="shared" si="2"/>
        <v/>
      </c>
      <c r="G736" s="48">
        <f t="shared" si="3"/>
        <v>-0.43</v>
      </c>
      <c r="H736" s="48">
        <f>IFERROR(__xludf.DUMMYFUNCTION("IFERROR(GOOGLEFINANCE(A736,""PRICE""),)"),11540.0)</f>
        <v>11540</v>
      </c>
      <c r="I736" s="49">
        <f>IFERROR(__xludf.DUMMYFUNCTION("IFERROR(GOOGLEFINANCE(A736,""VOLUME""),)"),2952.0)</f>
        <v>2952</v>
      </c>
      <c r="J736" s="48" t="str">
        <f>IFERROR(__xludf.DUMMYFUNCTION("IFERROR(INDEX(SPLIT(A736,"":""),1,2),)"),"JSWHL")</f>
        <v>JSWHL</v>
      </c>
      <c r="K736" s="48" t="str">
        <f t="shared" si="4"/>
        <v/>
      </c>
      <c r="L736" s="48">
        <f t="shared" si="5"/>
        <v>165</v>
      </c>
      <c r="M736" s="48">
        <f t="shared" si="6"/>
        <v>1366</v>
      </c>
      <c r="N736" s="50">
        <f>IFERROR(__xludf.DUMMYFUNCTION("IFERROR(GOOGLEFINANCE(A736,""TRADETIME""),)"),46269.64583333333)</f>
        <v>46269.64583</v>
      </c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</row>
    <row r="737" ht="15.75" customHeight="1">
      <c r="A737" s="51" t="s">
        <v>783</v>
      </c>
      <c r="B737" s="51" t="str">
        <f>IFERROR(__xludf.DUMMYFUNCTION("IFERROR(GOOGLEFINANCE(A737,""NAME""),)"),"")</f>
        <v/>
      </c>
      <c r="C737" s="51" t="str">
        <f>IFERROR(__xludf.DUMMYFUNCTION("IFERROR(GOOGLEFINANCE(A737,""CHANGE""),)"),"")</f>
        <v/>
      </c>
      <c r="D737" s="51" t="str">
        <f>IFERROR(__xludf.DUMMYFUNCTION("IFERROR(GOOGLEFINANCE(A737,""CHANGEPCT""),)"),"")</f>
        <v/>
      </c>
      <c r="E737" s="51" t="str">
        <f t="shared" si="1"/>
        <v>%</v>
      </c>
      <c r="F737" s="51" t="str">
        <f t="shared" si="2"/>
        <v/>
      </c>
      <c r="G737" s="51" t="str">
        <f t="shared" si="3"/>
        <v/>
      </c>
      <c r="H737" s="51" t="str">
        <f>IFERROR(__xludf.DUMMYFUNCTION("IFERROR(GOOGLEFINANCE(A737,""PRICE""),)"),"")</f>
        <v/>
      </c>
      <c r="I737" s="52" t="str">
        <f>IFERROR(__xludf.DUMMYFUNCTION("IFERROR(GOOGLEFINANCE(A737,""VOLUME""),)"),"")</f>
        <v/>
      </c>
      <c r="J737" s="51" t="str">
        <f>IFERROR(__xludf.DUMMYFUNCTION("IFERROR(INDEX(SPLIT(A737,"":""),1,2),)"),"JSWISPL")</f>
        <v>JSWISPL</v>
      </c>
      <c r="K737" s="51" t="str">
        <f t="shared" si="4"/>
        <v/>
      </c>
      <c r="L737" s="51" t="str">
        <f t="shared" si="5"/>
        <v/>
      </c>
      <c r="M737" s="51">
        <f t="shared" si="6"/>
        <v>1456</v>
      </c>
      <c r="N737" s="53" t="str">
        <f>IFERROR(__xludf.DUMMYFUNCTION("IFERROR(GOOGLEFINANCE(A737,""TRADETIME""),)"),"")</f>
        <v/>
      </c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</row>
    <row r="738" ht="15.75" customHeight="1">
      <c r="A738" s="48" t="s">
        <v>784</v>
      </c>
      <c r="B738" s="48" t="str">
        <f>IFERROR(__xludf.DUMMYFUNCTION("IFERROR(GOOGLEFINANCE(A738,""NAME""),)"),"JSW Steel Ltd")</f>
        <v>JSW Steel Ltd</v>
      </c>
      <c r="C738" s="48">
        <f>IFERROR(__xludf.DUMMYFUNCTION("IFERROR(GOOGLEFINANCE(A738,""CHANGE""),)"),17.0)</f>
        <v>17</v>
      </c>
      <c r="D738" s="48">
        <f>IFERROR(__xludf.DUMMYFUNCTION("IFERROR(GOOGLEFINANCE(A738,""CHANGEPCT""),)"),1.3)</f>
        <v>1.3</v>
      </c>
      <c r="E738" s="48" t="str">
        <f t="shared" si="1"/>
        <v>1.3%</v>
      </c>
      <c r="F738" s="48">
        <f t="shared" si="2"/>
        <v>1.3</v>
      </c>
      <c r="G738" s="48" t="str">
        <f t="shared" si="3"/>
        <v/>
      </c>
      <c r="H738" s="48">
        <f>IFERROR(__xludf.DUMMYFUNCTION("IFERROR(GOOGLEFINANCE(A738,""PRICE""),)"),1325.0)</f>
        <v>1325</v>
      </c>
      <c r="I738" s="49">
        <f>IFERROR(__xludf.DUMMYFUNCTION("IFERROR(GOOGLEFINANCE(A738,""VOLUME""),)"),1094356.0)</f>
        <v>1094356</v>
      </c>
      <c r="J738" s="48" t="str">
        <f>IFERROR(__xludf.DUMMYFUNCTION("IFERROR(INDEX(SPLIT(A738,"":""),1,2),)"),"JSWSTEEL")</f>
        <v>JSWSTEEL</v>
      </c>
      <c r="K738" s="48">
        <f t="shared" si="4"/>
        <v>383</v>
      </c>
      <c r="L738" s="48" t="str">
        <f t="shared" si="5"/>
        <v/>
      </c>
      <c r="M738" s="48">
        <f t="shared" si="6"/>
        <v>258</v>
      </c>
      <c r="N738" s="50">
        <f>IFERROR(__xludf.DUMMYFUNCTION("IFERROR(GOOGLEFINANCE(A738,""TRADETIME""),)"),46269.64583333333)</f>
        <v>46269.64583</v>
      </c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</row>
    <row r="739" ht="15.75" customHeight="1">
      <c r="A739" s="51" t="s">
        <v>785</v>
      </c>
      <c r="B739" s="51" t="str">
        <f>IFERROR(__xludf.DUMMYFUNCTION("IFERROR(GOOGLEFINANCE(A739,""NAME""),)"),"JTEKT India Ltd")</f>
        <v>JTEKT India Ltd</v>
      </c>
      <c r="C739" s="51">
        <f>IFERROR(__xludf.DUMMYFUNCTION("IFERROR(GOOGLEFINANCE(A739,""CHANGE""),)"),-0.36)</f>
        <v>-0.36</v>
      </c>
      <c r="D739" s="51">
        <f>IFERROR(__xludf.DUMMYFUNCTION("IFERROR(GOOGLEFINANCE(A739,""CHANGEPCT""),)"),-0.3)</f>
        <v>-0.3</v>
      </c>
      <c r="E739" s="51" t="str">
        <f t="shared" si="1"/>
        <v>-0.3%</v>
      </c>
      <c r="F739" s="51" t="str">
        <f t="shared" si="2"/>
        <v/>
      </c>
      <c r="G739" s="51">
        <f t="shared" si="3"/>
        <v>-0.3</v>
      </c>
      <c r="H739" s="51">
        <f>IFERROR(__xludf.DUMMYFUNCTION("IFERROR(GOOGLEFINANCE(A739,""PRICE""),)"),121.46)</f>
        <v>121.46</v>
      </c>
      <c r="I739" s="52">
        <f>IFERROR(__xludf.DUMMYFUNCTION("IFERROR(GOOGLEFINANCE(A739,""VOLUME""),)"),143861.0)</f>
        <v>143861</v>
      </c>
      <c r="J739" s="51" t="str">
        <f>IFERROR(__xludf.DUMMYFUNCTION("IFERROR(INDEX(SPLIT(A739,"":""),1,2),)"),"JTEKTINDIA")</f>
        <v>JTEKTINDIA</v>
      </c>
      <c r="K739" s="51" t="str">
        <f t="shared" si="4"/>
        <v/>
      </c>
      <c r="L739" s="51">
        <f t="shared" si="5"/>
        <v>111</v>
      </c>
      <c r="M739" s="51">
        <f t="shared" si="6"/>
        <v>696</v>
      </c>
      <c r="N739" s="53">
        <f>IFERROR(__xludf.DUMMYFUNCTION("IFERROR(GOOGLEFINANCE(A739,""TRADETIME""),)"),46269.64583333333)</f>
        <v>46269.64583</v>
      </c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</row>
    <row r="740" ht="15.75" customHeight="1">
      <c r="A740" s="48" t="s">
        <v>786</v>
      </c>
      <c r="B740" s="48" t="str">
        <f>IFERROR(__xludf.DUMMYFUNCTION("IFERROR(GOOGLEFINANCE(A740,""NAME""),)"),"Jubilant FoodWorks Ltd")</f>
        <v>Jubilant FoodWorks Ltd</v>
      </c>
      <c r="C740" s="48">
        <f>IFERROR(__xludf.DUMMYFUNCTION("IFERROR(GOOGLEFINANCE(A740,""CHANGE""),)"),0.9)</f>
        <v>0.9</v>
      </c>
      <c r="D740" s="48">
        <f>IFERROR(__xludf.DUMMYFUNCTION("IFERROR(GOOGLEFINANCE(A740,""CHANGEPCT""),)"),0.19)</f>
        <v>0.19</v>
      </c>
      <c r="E740" s="48" t="str">
        <f t="shared" si="1"/>
        <v>0.19%</v>
      </c>
      <c r="F740" s="48">
        <f t="shared" si="2"/>
        <v>0.19</v>
      </c>
      <c r="G740" s="48" t="str">
        <f t="shared" si="3"/>
        <v/>
      </c>
      <c r="H740" s="48">
        <f>IFERROR(__xludf.DUMMYFUNCTION("IFERROR(GOOGLEFINANCE(A740,""PRICE""),)"),483.8)</f>
        <v>483.8</v>
      </c>
      <c r="I740" s="49">
        <f>IFERROR(__xludf.DUMMYFUNCTION("IFERROR(GOOGLEFINANCE(A740,""VOLUME""),)"),624576.0)</f>
        <v>624576</v>
      </c>
      <c r="J740" s="48" t="str">
        <f>IFERROR(__xludf.DUMMYFUNCTION("IFERROR(INDEX(SPLIT(A740,"":""),1,2),)"),"JUBLFOOD")</f>
        <v>JUBLFOOD</v>
      </c>
      <c r="K740" s="48">
        <f t="shared" si="4"/>
        <v>700</v>
      </c>
      <c r="L740" s="48" t="str">
        <f t="shared" si="5"/>
        <v/>
      </c>
      <c r="M740" s="48">
        <f t="shared" si="6"/>
        <v>348</v>
      </c>
      <c r="N740" s="50">
        <f>IFERROR(__xludf.DUMMYFUNCTION("IFERROR(GOOGLEFINANCE(A740,""TRADETIME""),)"),46269.64583333333)</f>
        <v>46269.64583</v>
      </c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</row>
    <row r="741" ht="15.75" customHeight="1">
      <c r="A741" s="51" t="s">
        <v>787</v>
      </c>
      <c r="B741" s="51" t="str">
        <f>IFERROR(__xludf.DUMMYFUNCTION("IFERROR(GOOGLEFINANCE(A741,""NAME""),)"),"")</f>
        <v/>
      </c>
      <c r="C741" s="51" t="str">
        <f>IFERROR(__xludf.DUMMYFUNCTION("IFERROR(GOOGLEFINANCE(A741,""CHANGE""),)"),"")</f>
        <v/>
      </c>
      <c r="D741" s="51" t="str">
        <f>IFERROR(__xludf.DUMMYFUNCTION("IFERROR(GOOGLEFINANCE(A741,""CHANGEPCT""),)"),"")</f>
        <v/>
      </c>
      <c r="E741" s="51" t="str">
        <f t="shared" si="1"/>
        <v>%</v>
      </c>
      <c r="F741" s="51" t="str">
        <f t="shared" si="2"/>
        <v/>
      </c>
      <c r="G741" s="51" t="str">
        <f t="shared" si="3"/>
        <v/>
      </c>
      <c r="H741" s="51" t="str">
        <f>IFERROR(__xludf.DUMMYFUNCTION("IFERROR(GOOGLEFINANCE(A741,""PRICE""),)"),"")</f>
        <v/>
      </c>
      <c r="I741" s="52" t="str">
        <f>IFERROR(__xludf.DUMMYFUNCTION("IFERROR(GOOGLEFINANCE(A741,""VOLUME""),)"),"")</f>
        <v/>
      </c>
      <c r="J741" s="51" t="str">
        <f>IFERROR(__xludf.DUMMYFUNCTION("IFERROR(INDEX(SPLIT(A741,"":""),1,2),)"),"JUBLINDS")</f>
        <v>JUBLINDS</v>
      </c>
      <c r="K741" s="51" t="str">
        <f t="shared" si="4"/>
        <v/>
      </c>
      <c r="L741" s="51" t="str">
        <f t="shared" si="5"/>
        <v/>
      </c>
      <c r="M741" s="51">
        <f t="shared" si="6"/>
        <v>1456</v>
      </c>
      <c r="N741" s="53" t="str">
        <f>IFERROR(__xludf.DUMMYFUNCTION("IFERROR(GOOGLEFINANCE(A741,""TRADETIME""),)"),"")</f>
        <v/>
      </c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</row>
    <row r="742" ht="15.75" customHeight="1">
      <c r="A742" s="48" t="s">
        <v>788</v>
      </c>
      <c r="B742" s="48" t="str">
        <f>IFERROR(__xludf.DUMMYFUNCTION("IFERROR(GOOGLEFINANCE(A742,""NAME""),)"),"")</f>
        <v/>
      </c>
      <c r="C742" s="48" t="str">
        <f>IFERROR(__xludf.DUMMYFUNCTION("IFERROR(GOOGLEFINANCE(A742,""CHANGE""),)"),"")</f>
        <v/>
      </c>
      <c r="D742" s="48" t="str">
        <f>IFERROR(__xludf.DUMMYFUNCTION("IFERROR(GOOGLEFINANCE(A742,""CHANGEPCT""),)"),"")</f>
        <v/>
      </c>
      <c r="E742" s="48" t="str">
        <f t="shared" si="1"/>
        <v>%</v>
      </c>
      <c r="F742" s="48" t="str">
        <f t="shared" si="2"/>
        <v/>
      </c>
      <c r="G742" s="48" t="str">
        <f t="shared" si="3"/>
        <v/>
      </c>
      <c r="H742" s="48" t="str">
        <f>IFERROR(__xludf.DUMMYFUNCTION("IFERROR(GOOGLEFINANCE(A742,""PRICE""),)"),"")</f>
        <v/>
      </c>
      <c r="I742" s="49" t="str">
        <f>IFERROR(__xludf.DUMMYFUNCTION("IFERROR(GOOGLEFINANCE(A742,""VOLUME""),)"),"")</f>
        <v/>
      </c>
      <c r="J742" s="48" t="str">
        <f>IFERROR(__xludf.DUMMYFUNCTION("IFERROR(INDEX(SPLIT(A742,"":""),1,2),)"),"WINPRO")</f>
        <v>WINPRO</v>
      </c>
      <c r="K742" s="48" t="str">
        <f t="shared" si="4"/>
        <v/>
      </c>
      <c r="L742" s="48" t="str">
        <f t="shared" si="5"/>
        <v/>
      </c>
      <c r="M742" s="48">
        <f t="shared" si="6"/>
        <v>1456</v>
      </c>
      <c r="N742" s="50" t="str">
        <f>IFERROR(__xludf.DUMMYFUNCTION("IFERROR(GOOGLEFINANCE(A742,""TRADETIME""),)"),"")</f>
        <v/>
      </c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</row>
    <row r="743" ht="15.75" customHeight="1">
      <c r="A743" s="51" t="s">
        <v>789</v>
      </c>
      <c r="B743" s="51" t="str">
        <f>IFERROR(__xludf.DUMMYFUNCTION("IFERROR(GOOGLEFINANCE(A743,""NAME""),)"),"Just Dial Ltd")</f>
        <v>Just Dial Ltd</v>
      </c>
      <c r="C743" s="51">
        <f>IFERROR(__xludf.DUMMYFUNCTION("IFERROR(GOOGLEFINANCE(A743,""CHANGE""),)"),-4.35)</f>
        <v>-4.35</v>
      </c>
      <c r="D743" s="51">
        <f>IFERROR(__xludf.DUMMYFUNCTION("IFERROR(GOOGLEFINANCE(A743,""CHANGEPCT""),)"),-0.62)</f>
        <v>-0.62</v>
      </c>
      <c r="E743" s="51" t="str">
        <f t="shared" si="1"/>
        <v>-0.62%</v>
      </c>
      <c r="F743" s="51" t="str">
        <f t="shared" si="2"/>
        <v/>
      </c>
      <c r="G743" s="51">
        <f t="shared" si="3"/>
        <v>-0.62</v>
      </c>
      <c r="H743" s="51">
        <f>IFERROR(__xludf.DUMMYFUNCTION("IFERROR(GOOGLEFINANCE(A743,""PRICE""),)"),693.0)</f>
        <v>693</v>
      </c>
      <c r="I743" s="52">
        <f>IFERROR(__xludf.DUMMYFUNCTION("IFERROR(GOOGLEFINANCE(A743,""VOLUME""),)"),106018.0)</f>
        <v>106018</v>
      </c>
      <c r="J743" s="51" t="str">
        <f>IFERROR(__xludf.DUMMYFUNCTION("IFERROR(INDEX(SPLIT(A743,"":""),1,2),)"),"JUSTDIAL")</f>
        <v>JUSTDIAL</v>
      </c>
      <c r="K743" s="51" t="str">
        <f t="shared" si="4"/>
        <v/>
      </c>
      <c r="L743" s="51">
        <f t="shared" si="5"/>
        <v>230</v>
      </c>
      <c r="M743" s="51">
        <f t="shared" si="6"/>
        <v>757</v>
      </c>
      <c r="N743" s="53">
        <f>IFERROR(__xludf.DUMMYFUNCTION("IFERROR(GOOGLEFINANCE(A743,""TRADETIME""),)"),46269.64583333333)</f>
        <v>46269.64583</v>
      </c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</row>
    <row r="744" ht="15.75" customHeight="1">
      <c r="A744" s="48" t="s">
        <v>790</v>
      </c>
      <c r="B744" s="48" t="str">
        <f>IFERROR(__xludf.DUMMYFUNCTION("IFERROR(GOOGLEFINANCE(A744,""NAME""),)"),"Jyothy Labs Ltd")</f>
        <v>Jyothy Labs Ltd</v>
      </c>
      <c r="C744" s="48">
        <f>IFERROR(__xludf.DUMMYFUNCTION("IFERROR(GOOGLEFINANCE(A744,""CHANGE""),)"),1.5)</f>
        <v>1.5</v>
      </c>
      <c r="D744" s="48">
        <f>IFERROR(__xludf.DUMMYFUNCTION("IFERROR(GOOGLEFINANCE(A744,""CHANGEPCT""),)"),0.75)</f>
        <v>0.75</v>
      </c>
      <c r="E744" s="48" t="str">
        <f t="shared" si="1"/>
        <v>0.75%</v>
      </c>
      <c r="F744" s="48">
        <f t="shared" si="2"/>
        <v>0.75</v>
      </c>
      <c r="G744" s="48" t="str">
        <f t="shared" si="3"/>
        <v/>
      </c>
      <c r="H744" s="48">
        <f>IFERROR(__xludf.DUMMYFUNCTION("IFERROR(GOOGLEFINANCE(A744,""PRICE""),)"),202.0)</f>
        <v>202</v>
      </c>
      <c r="I744" s="49">
        <f>IFERROR(__xludf.DUMMYFUNCTION("IFERROR(GOOGLEFINANCE(A744,""VOLUME""),)"),469980.0)</f>
        <v>469980</v>
      </c>
      <c r="J744" s="48" t="str">
        <f>IFERROR(__xludf.DUMMYFUNCTION("IFERROR(INDEX(SPLIT(A744,"":""),1,2),)"),"JYOTHYLAB")</f>
        <v>JYOTHYLAB</v>
      </c>
      <c r="K744" s="48">
        <f t="shared" si="4"/>
        <v>516</v>
      </c>
      <c r="L744" s="48" t="str">
        <f t="shared" si="5"/>
        <v/>
      </c>
      <c r="M744" s="48">
        <f t="shared" si="6"/>
        <v>412</v>
      </c>
      <c r="N744" s="50">
        <f>IFERROR(__xludf.DUMMYFUNCTION("IFERROR(GOOGLEFINANCE(A744,""TRADETIME""),)"),46269.64583333333)</f>
        <v>46269.64583</v>
      </c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</row>
    <row r="745" ht="15.75" customHeight="1">
      <c r="A745" s="51" t="s">
        <v>791</v>
      </c>
      <c r="B745" s="51" t="str">
        <f>IFERROR(__xludf.DUMMYFUNCTION("IFERROR(GOOGLEFINANCE(A745,""NAME""),)"),"Kabra Extrusion Technik Ltd")</f>
        <v>Kabra Extrusion Technik Ltd</v>
      </c>
      <c r="C745" s="51">
        <f>IFERROR(__xludf.DUMMYFUNCTION("IFERROR(GOOGLEFINANCE(A745,""CHANGE""),)"),15.2)</f>
        <v>15.2</v>
      </c>
      <c r="D745" s="51">
        <f>IFERROR(__xludf.DUMMYFUNCTION("IFERROR(GOOGLEFINANCE(A745,""CHANGEPCT""),)"),2.69)</f>
        <v>2.69</v>
      </c>
      <c r="E745" s="51" t="str">
        <f t="shared" si="1"/>
        <v>2.69%</v>
      </c>
      <c r="F745" s="51">
        <f t="shared" si="2"/>
        <v>2.69</v>
      </c>
      <c r="G745" s="51" t="str">
        <f t="shared" si="3"/>
        <v/>
      </c>
      <c r="H745" s="51">
        <f>IFERROR(__xludf.DUMMYFUNCTION("IFERROR(GOOGLEFINANCE(A745,""PRICE""),)"),580.0)</f>
        <v>580</v>
      </c>
      <c r="I745" s="52">
        <f>IFERROR(__xludf.DUMMYFUNCTION("IFERROR(GOOGLEFINANCE(A745,""VOLUME""),)"),130668.0)</f>
        <v>130668</v>
      </c>
      <c r="J745" s="51" t="str">
        <f>IFERROR(__xludf.DUMMYFUNCTION("IFERROR(INDEX(SPLIT(A745,"":""),1,2),)"),"KABRAEXTRU")</f>
        <v>KABRAEXTRU</v>
      </c>
      <c r="K745" s="51">
        <f t="shared" si="4"/>
        <v>184</v>
      </c>
      <c r="L745" s="51" t="str">
        <f t="shared" si="5"/>
        <v/>
      </c>
      <c r="M745" s="51">
        <f t="shared" si="6"/>
        <v>720</v>
      </c>
      <c r="N745" s="53">
        <f>IFERROR(__xludf.DUMMYFUNCTION("IFERROR(GOOGLEFINANCE(A745,""TRADETIME""),)"),46269.64583333333)</f>
        <v>46269.64583</v>
      </c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</row>
    <row r="746" ht="15.75" customHeight="1">
      <c r="A746" s="48" t="s">
        <v>792</v>
      </c>
      <c r="B746" s="48" t="str">
        <f>IFERROR(__xludf.DUMMYFUNCTION("IFERROR(GOOGLEFINANCE(A746,""NAME""),)"),"Kajaria Ceramics Ltd")</f>
        <v>Kajaria Ceramics Ltd</v>
      </c>
      <c r="C746" s="48">
        <f>IFERROR(__xludf.DUMMYFUNCTION("IFERROR(GOOGLEFINANCE(A746,""CHANGE""),)"),-25.6)</f>
        <v>-25.6</v>
      </c>
      <c r="D746" s="48">
        <f>IFERROR(__xludf.DUMMYFUNCTION("IFERROR(GOOGLEFINANCE(A746,""CHANGEPCT""),)"),-2.03)</f>
        <v>-2.03</v>
      </c>
      <c r="E746" s="48" t="str">
        <f t="shared" si="1"/>
        <v>-2.03%</v>
      </c>
      <c r="F746" s="48" t="str">
        <f t="shared" si="2"/>
        <v/>
      </c>
      <c r="G746" s="48">
        <f t="shared" si="3"/>
        <v>-2.03</v>
      </c>
      <c r="H746" s="48">
        <f>IFERROR(__xludf.DUMMYFUNCTION("IFERROR(GOOGLEFINANCE(A746,""PRICE""),)"),1235.0)</f>
        <v>1235</v>
      </c>
      <c r="I746" s="49">
        <f>IFERROR(__xludf.DUMMYFUNCTION("IFERROR(GOOGLEFINANCE(A746,""VOLUME""),)"),319639.0)</f>
        <v>319639</v>
      </c>
      <c r="J746" s="48" t="str">
        <f>IFERROR(__xludf.DUMMYFUNCTION("IFERROR(INDEX(SPLIT(A746,"":""),1,2),)"),"KAJARIACER")</f>
        <v>KAJARIACER</v>
      </c>
      <c r="K746" s="48" t="str">
        <f t="shared" si="4"/>
        <v/>
      </c>
      <c r="L746" s="48">
        <f t="shared" si="5"/>
        <v>536</v>
      </c>
      <c r="M746" s="48">
        <f t="shared" si="6"/>
        <v>495</v>
      </c>
      <c r="N746" s="50">
        <f>IFERROR(__xludf.DUMMYFUNCTION("IFERROR(GOOGLEFINANCE(A746,""TRADETIME""),)"),46269.64583333333)</f>
        <v>46269.64583</v>
      </c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</row>
    <row r="747" ht="15.75" customHeight="1">
      <c r="A747" s="51" t="s">
        <v>793</v>
      </c>
      <c r="B747" s="51" t="str">
        <f>IFERROR(__xludf.DUMMYFUNCTION("IFERROR(GOOGLEFINANCE(A747,""NAME""),)"),"Kakatiya Cement Sugar And Industries Ltd")</f>
        <v>Kakatiya Cement Sugar And Industries Ltd</v>
      </c>
      <c r="C747" s="51">
        <f>IFERROR(__xludf.DUMMYFUNCTION("IFERROR(GOOGLEFINANCE(A747,""CHANGE""),)"),-1.55)</f>
        <v>-1.55</v>
      </c>
      <c r="D747" s="51">
        <f>IFERROR(__xludf.DUMMYFUNCTION("IFERROR(GOOGLEFINANCE(A747,""CHANGEPCT""),)"),-1.4)</f>
        <v>-1.4</v>
      </c>
      <c r="E747" s="51" t="str">
        <f t="shared" si="1"/>
        <v>-1.4%</v>
      </c>
      <c r="F747" s="51" t="str">
        <f t="shared" si="2"/>
        <v/>
      </c>
      <c r="G747" s="51">
        <f t="shared" si="3"/>
        <v>-1.4</v>
      </c>
      <c r="H747" s="51">
        <f>IFERROR(__xludf.DUMMYFUNCTION("IFERROR(GOOGLEFINANCE(A747,""PRICE""),)"),109.12)</f>
        <v>109.12</v>
      </c>
      <c r="I747" s="52">
        <f>IFERROR(__xludf.DUMMYFUNCTION("IFERROR(GOOGLEFINANCE(A747,""VOLUME""),)"),2586.0)</f>
        <v>2586</v>
      </c>
      <c r="J747" s="51" t="str">
        <f>IFERROR(__xludf.DUMMYFUNCTION("IFERROR(INDEX(SPLIT(A747,"":""),1,2),)"),"KAKATCEM")</f>
        <v>KAKATCEM</v>
      </c>
      <c r="K747" s="51" t="str">
        <f t="shared" si="4"/>
        <v/>
      </c>
      <c r="L747" s="51">
        <f t="shared" si="5"/>
        <v>429</v>
      </c>
      <c r="M747" s="51">
        <f t="shared" si="6"/>
        <v>1376</v>
      </c>
      <c r="N747" s="53">
        <f>IFERROR(__xludf.DUMMYFUNCTION("IFERROR(GOOGLEFINANCE(A747,""TRADETIME""),)"),46269.64583333333)</f>
        <v>46269.64583</v>
      </c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</row>
    <row r="748" ht="15.75" customHeight="1">
      <c r="A748" s="48" t="s">
        <v>794</v>
      </c>
      <c r="B748" s="48" t="str">
        <f>IFERROR(__xludf.DUMMYFUNCTION("IFERROR(GOOGLEFINANCE(A748,""NAME""),)"),"")</f>
        <v/>
      </c>
      <c r="C748" s="48" t="str">
        <f>IFERROR(__xludf.DUMMYFUNCTION("IFERROR(GOOGLEFINANCE(A748,""CHANGE""),)"),"")</f>
        <v/>
      </c>
      <c r="D748" s="48" t="str">
        <f>IFERROR(__xludf.DUMMYFUNCTION("IFERROR(GOOGLEFINANCE(A748,""CHANGEPCT""),)"),"")</f>
        <v/>
      </c>
      <c r="E748" s="48" t="str">
        <f t="shared" si="1"/>
        <v>%</v>
      </c>
      <c r="F748" s="48" t="str">
        <f t="shared" si="2"/>
        <v/>
      </c>
      <c r="G748" s="48" t="str">
        <f t="shared" si="3"/>
        <v/>
      </c>
      <c r="H748" s="48" t="str">
        <f>IFERROR(__xludf.DUMMYFUNCTION("IFERROR(GOOGLEFINANCE(A748,""PRICE""),)"),"")</f>
        <v/>
      </c>
      <c r="I748" s="49" t="str">
        <f>IFERROR(__xludf.DUMMYFUNCTION("IFERROR(GOOGLEFINANCE(A748,""VOLUME""),)"),"")</f>
        <v/>
      </c>
      <c r="J748" s="48" t="str">
        <f>IFERROR(__xludf.DUMMYFUNCTION("IFERROR(INDEX(SPLIT(A748,"":""),1,2),)"),"KALPATPOWR")</f>
        <v>KALPATPOWR</v>
      </c>
      <c r="K748" s="48" t="str">
        <f t="shared" si="4"/>
        <v/>
      </c>
      <c r="L748" s="48" t="str">
        <f t="shared" si="5"/>
        <v/>
      </c>
      <c r="M748" s="48">
        <f t="shared" si="6"/>
        <v>1456</v>
      </c>
      <c r="N748" s="50" t="str">
        <f>IFERROR(__xludf.DUMMYFUNCTION("IFERROR(GOOGLEFINANCE(A748,""TRADETIME""),)"),"")</f>
        <v/>
      </c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</row>
    <row r="749" ht="15.75" customHeight="1">
      <c r="A749" s="51" t="s">
        <v>795</v>
      </c>
      <c r="B749" s="51" t="str">
        <f>IFERROR(__xludf.DUMMYFUNCTION("IFERROR(GOOGLEFINANCE(A749,""NAME""),)"),"Kalyani Forge Ltd")</f>
        <v>Kalyani Forge Ltd</v>
      </c>
      <c r="C749" s="51">
        <f>IFERROR(__xludf.DUMMYFUNCTION("IFERROR(GOOGLEFINANCE(A749,""CHANGE""),)"),-42.25)</f>
        <v>-42.25</v>
      </c>
      <c r="D749" s="51">
        <f>IFERROR(__xludf.DUMMYFUNCTION("IFERROR(GOOGLEFINANCE(A749,""CHANGEPCT""),)"),-3.75)</f>
        <v>-3.75</v>
      </c>
      <c r="E749" s="51" t="str">
        <f t="shared" si="1"/>
        <v>-3.75%</v>
      </c>
      <c r="F749" s="51" t="str">
        <f t="shared" si="2"/>
        <v/>
      </c>
      <c r="G749" s="51">
        <f t="shared" si="3"/>
        <v>-3.75</v>
      </c>
      <c r="H749" s="51">
        <f>IFERROR(__xludf.DUMMYFUNCTION("IFERROR(GOOGLEFINANCE(A749,""PRICE""),)"),1083.0)</f>
        <v>1083</v>
      </c>
      <c r="I749" s="52">
        <f>IFERROR(__xludf.DUMMYFUNCTION("IFERROR(GOOGLEFINANCE(A749,""VOLUME""),)"),8487.0)</f>
        <v>8487</v>
      </c>
      <c r="J749" s="51" t="str">
        <f>IFERROR(__xludf.DUMMYFUNCTION("IFERROR(INDEX(SPLIT(A749,"":""),1,2),)"),"KALYANIFRG")</f>
        <v>KALYANIFRG</v>
      </c>
      <c r="K749" s="51" t="str">
        <f t="shared" si="4"/>
        <v/>
      </c>
      <c r="L749" s="51">
        <f t="shared" si="5"/>
        <v>618</v>
      </c>
      <c r="M749" s="51">
        <f t="shared" si="6"/>
        <v>1253</v>
      </c>
      <c r="N749" s="53">
        <f>IFERROR(__xludf.DUMMYFUNCTION("IFERROR(GOOGLEFINANCE(A749,""TRADETIME""),)"),46269.64583333333)</f>
        <v>46269.64583</v>
      </c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</row>
    <row r="750" ht="15.75" customHeight="1">
      <c r="A750" s="48" t="s">
        <v>796</v>
      </c>
      <c r="B750" s="48" t="str">
        <f>IFERROR(__xludf.DUMMYFUNCTION("IFERROR(GOOGLEFINANCE(A750,""NAME""),)"),"Kilitch Drugs (India) Ltd")</f>
        <v>Kilitch Drugs (India) Ltd</v>
      </c>
      <c r="C750" s="48">
        <f>IFERROR(__xludf.DUMMYFUNCTION("IFERROR(GOOGLEFINANCE(A750,""CHANGE""),)"),8.43)</f>
        <v>8.43</v>
      </c>
      <c r="D750" s="48">
        <f>IFERROR(__xludf.DUMMYFUNCTION("IFERROR(GOOGLEFINANCE(A750,""CHANGEPCT""),)"),4.89)</f>
        <v>4.89</v>
      </c>
      <c r="E750" s="48" t="str">
        <f t="shared" si="1"/>
        <v>4.89%</v>
      </c>
      <c r="F750" s="48">
        <f t="shared" si="2"/>
        <v>4.89</v>
      </c>
      <c r="G750" s="48" t="str">
        <f t="shared" si="3"/>
        <v/>
      </c>
      <c r="H750" s="48">
        <f>IFERROR(__xludf.DUMMYFUNCTION("IFERROR(GOOGLEFINANCE(A750,""PRICE""),)"),180.95)</f>
        <v>180.95</v>
      </c>
      <c r="I750" s="49">
        <f>IFERROR(__xludf.DUMMYFUNCTION("IFERROR(GOOGLEFINANCE(A750,""VOLUME""),)"),33164.0)</f>
        <v>33164</v>
      </c>
      <c r="J750" s="48" t="str">
        <f>IFERROR(__xludf.DUMMYFUNCTION("IFERROR(INDEX(SPLIT(A750,"":""),1,2),)"),"KILITCH")</f>
        <v>KILITCH</v>
      </c>
      <c r="K750" s="48">
        <f t="shared" si="4"/>
        <v>80</v>
      </c>
      <c r="L750" s="48" t="str">
        <f t="shared" si="5"/>
        <v/>
      </c>
      <c r="M750" s="48">
        <f t="shared" si="6"/>
        <v>1034</v>
      </c>
      <c r="N750" s="50">
        <f>IFERROR(__xludf.DUMMYFUNCTION("IFERROR(GOOGLEFINANCE(A750,""TRADETIME""),)"),46269.64583333333)</f>
        <v>46269.64583</v>
      </c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</row>
    <row r="751" ht="15.75" customHeight="1">
      <c r="A751" s="51" t="s">
        <v>797</v>
      </c>
      <c r="B751" s="51" t="str">
        <f>IFERROR(__xludf.DUMMYFUNCTION("IFERROR(GOOGLEFINANCE(A751,""NAME""),)"),"Kamdhenu Ltd")</f>
        <v>Kamdhenu Ltd</v>
      </c>
      <c r="C751" s="51">
        <f>IFERROR(__xludf.DUMMYFUNCTION("IFERROR(GOOGLEFINANCE(A751,""CHANGE""),)"),0.53)</f>
        <v>0.53</v>
      </c>
      <c r="D751" s="51">
        <f>IFERROR(__xludf.DUMMYFUNCTION("IFERROR(GOOGLEFINANCE(A751,""CHANGEPCT""),)"),1.37)</f>
        <v>1.37</v>
      </c>
      <c r="E751" s="51" t="str">
        <f t="shared" si="1"/>
        <v>1.37%</v>
      </c>
      <c r="F751" s="51">
        <f t="shared" si="2"/>
        <v>1.37</v>
      </c>
      <c r="G751" s="51" t="str">
        <f t="shared" si="3"/>
        <v/>
      </c>
      <c r="H751" s="51">
        <f>IFERROR(__xludf.DUMMYFUNCTION("IFERROR(GOOGLEFINANCE(A751,""PRICE""),)"),39.3)</f>
        <v>39.3</v>
      </c>
      <c r="I751" s="52">
        <f>IFERROR(__xludf.DUMMYFUNCTION("IFERROR(GOOGLEFINANCE(A751,""VOLUME""),)"),1255794.0)</f>
        <v>1255794</v>
      </c>
      <c r="J751" s="51" t="str">
        <f>IFERROR(__xludf.DUMMYFUNCTION("IFERROR(INDEX(SPLIT(A751,"":""),1,2),)"),"KAMDHENU")</f>
        <v>KAMDHENU</v>
      </c>
      <c r="K751" s="51">
        <f t="shared" si="4"/>
        <v>366</v>
      </c>
      <c r="L751" s="51" t="str">
        <f t="shared" si="5"/>
        <v/>
      </c>
      <c r="M751" s="51">
        <f t="shared" si="6"/>
        <v>236</v>
      </c>
      <c r="N751" s="53">
        <f>IFERROR(__xludf.DUMMYFUNCTION("IFERROR(GOOGLEFINANCE(A751,""TRADETIME""),)"),46269.64583333333)</f>
        <v>46269.64583</v>
      </c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</row>
    <row r="752" ht="15.75" customHeight="1">
      <c r="A752" s="48" t="s">
        <v>798</v>
      </c>
      <c r="B752" s="48" t="str">
        <f>IFERROR(__xludf.DUMMYFUNCTION("IFERROR(GOOGLEFINANCE(A752,""NAME""),)"),"Kanani Industries Ltd")</f>
        <v>Kanani Industries Ltd</v>
      </c>
      <c r="C752" s="48">
        <f>IFERROR(__xludf.DUMMYFUNCTION("IFERROR(GOOGLEFINANCE(A752,""CHANGE""),)"),0.02)</f>
        <v>0.02</v>
      </c>
      <c r="D752" s="48">
        <f>IFERROR(__xludf.DUMMYFUNCTION("IFERROR(GOOGLEFINANCE(A752,""CHANGEPCT""),)"),1.32)</f>
        <v>1.32</v>
      </c>
      <c r="E752" s="48" t="str">
        <f t="shared" si="1"/>
        <v>1.32%</v>
      </c>
      <c r="F752" s="48">
        <f t="shared" si="2"/>
        <v>1.32</v>
      </c>
      <c r="G752" s="48" t="str">
        <f t="shared" si="3"/>
        <v/>
      </c>
      <c r="H752" s="48">
        <f>IFERROR(__xludf.DUMMYFUNCTION("IFERROR(GOOGLEFINANCE(A752,""PRICE""),)"),1.53)</f>
        <v>1.53</v>
      </c>
      <c r="I752" s="49">
        <f>IFERROR(__xludf.DUMMYFUNCTION("IFERROR(GOOGLEFINANCE(A752,""VOLUME""),)"),144024.0)</f>
        <v>144024</v>
      </c>
      <c r="J752" s="48" t="str">
        <f>IFERROR(__xludf.DUMMYFUNCTION("IFERROR(INDEX(SPLIT(A752,"":""),1,2),)"),"KANANIIND")</f>
        <v>KANANIIND</v>
      </c>
      <c r="K752" s="48">
        <f t="shared" si="4"/>
        <v>377</v>
      </c>
      <c r="L752" s="48" t="str">
        <f t="shared" si="5"/>
        <v/>
      </c>
      <c r="M752" s="48">
        <f t="shared" si="6"/>
        <v>694</v>
      </c>
      <c r="N752" s="50">
        <f>IFERROR(__xludf.DUMMYFUNCTION("IFERROR(GOOGLEFINANCE(A752,""TRADETIME""),)"),46269.64583333333)</f>
        <v>46269.64583</v>
      </c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</row>
    <row r="753" ht="15.75" customHeight="1">
      <c r="A753" s="51" t="s">
        <v>799</v>
      </c>
      <c r="B753" s="51" t="str">
        <f>IFERROR(__xludf.DUMMYFUNCTION("IFERROR(GOOGLEFINANCE(A753,""NAME""),)"),"Kanoria Chemicals and Industries Ltd")</f>
        <v>Kanoria Chemicals and Industries Ltd</v>
      </c>
      <c r="C753" s="51">
        <f>IFERROR(__xludf.DUMMYFUNCTION("IFERROR(GOOGLEFINANCE(A753,""CHANGE""),)"),-1.48)</f>
        <v>-1.48</v>
      </c>
      <c r="D753" s="51">
        <f>IFERROR(__xludf.DUMMYFUNCTION("IFERROR(GOOGLEFINANCE(A753,""CHANGEPCT""),)"),-0.95)</f>
        <v>-0.95</v>
      </c>
      <c r="E753" s="51" t="str">
        <f t="shared" si="1"/>
        <v>-0.95%</v>
      </c>
      <c r="F753" s="51" t="str">
        <f t="shared" si="2"/>
        <v/>
      </c>
      <c r="G753" s="51">
        <f t="shared" si="3"/>
        <v>-0.95</v>
      </c>
      <c r="H753" s="51">
        <f>IFERROR(__xludf.DUMMYFUNCTION("IFERROR(GOOGLEFINANCE(A753,""PRICE""),)"),154.2)</f>
        <v>154.2</v>
      </c>
      <c r="I753" s="52">
        <f>IFERROR(__xludf.DUMMYFUNCTION("IFERROR(GOOGLEFINANCE(A753,""VOLUME""),)"),14865.0)</f>
        <v>14865</v>
      </c>
      <c r="J753" s="51" t="str">
        <f>IFERROR(__xludf.DUMMYFUNCTION("IFERROR(INDEX(SPLIT(A753,"":""),1,2),)"),"KANORICHEM")</f>
        <v>KANORICHEM</v>
      </c>
      <c r="K753" s="51" t="str">
        <f t="shared" si="4"/>
        <v/>
      </c>
      <c r="L753" s="51">
        <f t="shared" si="5"/>
        <v>327</v>
      </c>
      <c r="M753" s="51">
        <f t="shared" si="6"/>
        <v>1180</v>
      </c>
      <c r="N753" s="53">
        <f>IFERROR(__xludf.DUMMYFUNCTION("IFERROR(GOOGLEFINANCE(A753,""TRADETIME""),)"),46269.64583333333)</f>
        <v>46269.64583</v>
      </c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</row>
    <row r="754" ht="15.75" customHeight="1">
      <c r="A754" s="48" t="s">
        <v>800</v>
      </c>
      <c r="B754" s="48" t="str">
        <f>IFERROR(__xludf.DUMMYFUNCTION("IFERROR(GOOGLEFINANCE(A754,""NAME""),)"),"Kanpur Plastipack Limited")</f>
        <v>Kanpur Plastipack Limited</v>
      </c>
      <c r="C754" s="48">
        <f>IFERROR(__xludf.DUMMYFUNCTION("IFERROR(GOOGLEFINANCE(A754,""CHANGE""),)"),-8.45)</f>
        <v>-8.45</v>
      </c>
      <c r="D754" s="48">
        <f>IFERROR(__xludf.DUMMYFUNCTION("IFERROR(GOOGLEFINANCE(A754,""CHANGEPCT""),)"),-3.3)</f>
        <v>-3.3</v>
      </c>
      <c r="E754" s="48" t="str">
        <f t="shared" si="1"/>
        <v>-3.3%</v>
      </c>
      <c r="F754" s="48" t="str">
        <f t="shared" si="2"/>
        <v/>
      </c>
      <c r="G754" s="48">
        <f t="shared" si="3"/>
        <v>-3.3</v>
      </c>
      <c r="H754" s="48">
        <f>IFERROR(__xludf.DUMMYFUNCTION("IFERROR(GOOGLEFINANCE(A754,""PRICE""),)"),247.95)</f>
        <v>247.95</v>
      </c>
      <c r="I754" s="49">
        <f>IFERROR(__xludf.DUMMYFUNCTION("IFERROR(GOOGLEFINANCE(A754,""VOLUME""),)"),11967.0)</f>
        <v>11967</v>
      </c>
      <c r="J754" s="48" t="str">
        <f>IFERROR(__xludf.DUMMYFUNCTION("IFERROR(INDEX(SPLIT(A754,"":""),1,2),)"),"KANPRPLA")</f>
        <v>KANPRPLA</v>
      </c>
      <c r="K754" s="48" t="str">
        <f t="shared" si="4"/>
        <v/>
      </c>
      <c r="L754" s="48">
        <f t="shared" si="5"/>
        <v>601</v>
      </c>
      <c r="M754" s="48">
        <f t="shared" si="6"/>
        <v>1207</v>
      </c>
      <c r="N754" s="50">
        <f>IFERROR(__xludf.DUMMYFUNCTION("IFERROR(GOOGLEFINANCE(A754,""TRADETIME""),)"),46269.64583333333)</f>
        <v>46269.64583</v>
      </c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</row>
    <row r="755" ht="15.75" customHeight="1">
      <c r="A755" s="51" t="s">
        <v>801</v>
      </c>
      <c r="B755" s="51" t="str">
        <f>IFERROR(__xludf.DUMMYFUNCTION("IFERROR(GOOGLEFINANCE(A755,""NAME""),)"),"Kansai Nerolac Paints Ltd")</f>
        <v>Kansai Nerolac Paints Ltd</v>
      </c>
      <c r="C755" s="51">
        <f>IFERROR(__xludf.DUMMYFUNCTION("IFERROR(GOOGLEFINANCE(A755,""CHANGE""),)"),-0.61)</f>
        <v>-0.61</v>
      </c>
      <c r="D755" s="51">
        <f>IFERROR(__xludf.DUMMYFUNCTION("IFERROR(GOOGLEFINANCE(A755,""CHANGEPCT""),)"),-0.31)</f>
        <v>-0.31</v>
      </c>
      <c r="E755" s="51" t="str">
        <f t="shared" si="1"/>
        <v>-0.31%</v>
      </c>
      <c r="F755" s="51" t="str">
        <f t="shared" si="2"/>
        <v/>
      </c>
      <c r="G755" s="51">
        <f t="shared" si="3"/>
        <v>-0.31</v>
      </c>
      <c r="H755" s="51">
        <f>IFERROR(__xludf.DUMMYFUNCTION("IFERROR(GOOGLEFINANCE(A755,""PRICE""),)"),194.5)</f>
        <v>194.5</v>
      </c>
      <c r="I755" s="52">
        <f>IFERROR(__xludf.DUMMYFUNCTION("IFERROR(GOOGLEFINANCE(A755,""VOLUME""),)"),2465067.0)</f>
        <v>2465067</v>
      </c>
      <c r="J755" s="51" t="str">
        <f>IFERROR(__xludf.DUMMYFUNCTION("IFERROR(INDEX(SPLIT(A755,"":""),1,2),)"),"KANSAINER")</f>
        <v>KANSAINER</v>
      </c>
      <c r="K755" s="51" t="str">
        <f t="shared" si="4"/>
        <v/>
      </c>
      <c r="L755" s="51">
        <f t="shared" si="5"/>
        <v>117</v>
      </c>
      <c r="M755" s="51">
        <f t="shared" si="6"/>
        <v>149</v>
      </c>
      <c r="N755" s="53">
        <f>IFERROR(__xludf.DUMMYFUNCTION("IFERROR(GOOGLEFINANCE(A755,""TRADETIME""),)"),46269.64586805555)</f>
        <v>46269.64587</v>
      </c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</row>
    <row r="756" ht="15.75" customHeight="1">
      <c r="A756" s="48" t="s">
        <v>802</v>
      </c>
      <c r="B756" s="48" t="str">
        <f>IFERROR(__xludf.DUMMYFUNCTION("IFERROR(GOOGLEFINANCE(A756,""NAME""),)"),"Kapston Services Ltd")</f>
        <v>Kapston Services Ltd</v>
      </c>
      <c r="C756" s="48">
        <f>IFERROR(__xludf.DUMMYFUNCTION("IFERROR(GOOGLEFINANCE(A756,""CHANGE""),)"),4.4)</f>
        <v>4.4</v>
      </c>
      <c r="D756" s="48">
        <f>IFERROR(__xludf.DUMMYFUNCTION("IFERROR(GOOGLEFINANCE(A756,""CHANGEPCT""),)"),0.76)</f>
        <v>0.76</v>
      </c>
      <c r="E756" s="48" t="str">
        <f t="shared" si="1"/>
        <v>0.76%</v>
      </c>
      <c r="F756" s="48">
        <f t="shared" si="2"/>
        <v>0.76</v>
      </c>
      <c r="G756" s="48" t="str">
        <f t="shared" si="3"/>
        <v/>
      </c>
      <c r="H756" s="48">
        <f>IFERROR(__xludf.DUMMYFUNCTION("IFERROR(GOOGLEFINANCE(A756,""PRICE""),)"),585.75)</f>
        <v>585.75</v>
      </c>
      <c r="I756" s="49">
        <f>IFERROR(__xludf.DUMMYFUNCTION("IFERROR(GOOGLEFINANCE(A756,""VOLUME""),)"),70957.0)</f>
        <v>70957</v>
      </c>
      <c r="J756" s="48" t="str">
        <f>IFERROR(__xludf.DUMMYFUNCTION("IFERROR(INDEX(SPLIT(A756,"":""),1,2),)"),"KAPSTON")</f>
        <v>KAPSTON</v>
      </c>
      <c r="K756" s="48">
        <f t="shared" si="4"/>
        <v>514</v>
      </c>
      <c r="L756" s="48" t="str">
        <f t="shared" si="5"/>
        <v/>
      </c>
      <c r="M756" s="48">
        <f t="shared" si="6"/>
        <v>859</v>
      </c>
      <c r="N756" s="50">
        <f>IFERROR(__xludf.DUMMYFUNCTION("IFERROR(GOOGLEFINANCE(A756,""TRADETIME""),)"),46269.64583333333)</f>
        <v>46269.64583</v>
      </c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</row>
    <row r="757" ht="15.75" customHeight="1">
      <c r="A757" s="51" t="s">
        <v>803</v>
      </c>
      <c r="B757" s="51" t="str">
        <f>IFERROR(__xludf.DUMMYFUNCTION("IFERROR(GOOGLEFINANCE(A757,""NAME""),)"),"")</f>
        <v/>
      </c>
      <c r="C757" s="51" t="str">
        <f>IFERROR(__xludf.DUMMYFUNCTION("IFERROR(GOOGLEFINANCE(A757,""CHANGE""),)"),"")</f>
        <v/>
      </c>
      <c r="D757" s="51" t="str">
        <f>IFERROR(__xludf.DUMMYFUNCTION("IFERROR(GOOGLEFINANCE(A757,""CHANGEPCT""),)"),"")</f>
        <v/>
      </c>
      <c r="E757" s="51" t="str">
        <f t="shared" si="1"/>
        <v>%</v>
      </c>
      <c r="F757" s="51" t="str">
        <f t="shared" si="2"/>
        <v/>
      </c>
      <c r="G757" s="51" t="str">
        <f t="shared" si="3"/>
        <v/>
      </c>
      <c r="H757" s="51" t="str">
        <f>IFERROR(__xludf.DUMMYFUNCTION("IFERROR(GOOGLEFINANCE(A757,""PRICE""),)"),"")</f>
        <v/>
      </c>
      <c r="I757" s="52" t="str">
        <f>IFERROR(__xludf.DUMMYFUNCTION("IFERROR(GOOGLEFINANCE(A757,""VOLUME""),)"),"")</f>
        <v/>
      </c>
      <c r="J757" s="51" t="str">
        <f>IFERROR(__xludf.DUMMYFUNCTION("IFERROR(INDEX(SPLIT(A757,"":""),1,2),)"),"KBCGLOBAL")</f>
        <v>KBCGLOBAL</v>
      </c>
      <c r="K757" s="51" t="str">
        <f t="shared" si="4"/>
        <v/>
      </c>
      <c r="L757" s="51" t="str">
        <f t="shared" si="5"/>
        <v/>
      </c>
      <c r="M757" s="51">
        <f t="shared" si="6"/>
        <v>1456</v>
      </c>
      <c r="N757" s="53" t="str">
        <f>IFERROR(__xludf.DUMMYFUNCTION("IFERROR(GOOGLEFINANCE(A757,""TRADETIME""),)"),"")</f>
        <v/>
      </c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</row>
    <row r="758" ht="15.75" customHeight="1">
      <c r="A758" s="48" t="s">
        <v>804</v>
      </c>
      <c r="B758" s="48" t="str">
        <f>IFERROR(__xludf.DUMMYFUNCTION("IFERROR(GOOGLEFINANCE(A758,""NAME""),)"),"Karma Energy Ltd")</f>
        <v>Karma Energy Ltd</v>
      </c>
      <c r="C758" s="48">
        <f>IFERROR(__xludf.DUMMYFUNCTION("IFERROR(GOOGLEFINANCE(A758,""CHANGE""),)"),-0.25)</f>
        <v>-0.25</v>
      </c>
      <c r="D758" s="48">
        <f>IFERROR(__xludf.DUMMYFUNCTION("IFERROR(GOOGLEFINANCE(A758,""CHANGEPCT""),)"),-0.66)</f>
        <v>-0.66</v>
      </c>
      <c r="E758" s="48" t="str">
        <f t="shared" si="1"/>
        <v>-0.66%</v>
      </c>
      <c r="F758" s="48" t="str">
        <f t="shared" si="2"/>
        <v/>
      </c>
      <c r="G758" s="48">
        <f t="shared" si="3"/>
        <v>-0.66</v>
      </c>
      <c r="H758" s="48">
        <f>IFERROR(__xludf.DUMMYFUNCTION("IFERROR(GOOGLEFINANCE(A758,""PRICE""),)"),37.45)</f>
        <v>37.45</v>
      </c>
      <c r="I758" s="49">
        <f>IFERROR(__xludf.DUMMYFUNCTION("IFERROR(GOOGLEFINANCE(A758,""VOLUME""),)"),4181.0)</f>
        <v>4181</v>
      </c>
      <c r="J758" s="48" t="str">
        <f>IFERROR(__xludf.DUMMYFUNCTION("IFERROR(INDEX(SPLIT(A758,"":""),1,2),)"),"KARMAENG")</f>
        <v>KARMAENG</v>
      </c>
      <c r="K758" s="48" t="str">
        <f t="shared" si="4"/>
        <v/>
      </c>
      <c r="L758" s="48">
        <f t="shared" si="5"/>
        <v>246</v>
      </c>
      <c r="M758" s="48">
        <f t="shared" si="6"/>
        <v>1344</v>
      </c>
      <c r="N758" s="50">
        <f>IFERROR(__xludf.DUMMYFUNCTION("IFERROR(GOOGLEFINANCE(A758,""TRADETIME""),)"),46269.64583333333)</f>
        <v>46269.64583</v>
      </c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</row>
    <row r="759" ht="15.75" customHeight="1">
      <c r="A759" s="51" t="s">
        <v>805</v>
      </c>
      <c r="B759" s="51" t="str">
        <f>IFERROR(__xludf.DUMMYFUNCTION("IFERROR(GOOGLEFINANCE(A759,""NAME""),)"),"Karur Vysya Bank Ltd")</f>
        <v>Karur Vysya Bank Ltd</v>
      </c>
      <c r="C759" s="51">
        <f>IFERROR(__xludf.DUMMYFUNCTION("IFERROR(GOOGLEFINANCE(A759,""CHANGE""),)"),-1.0)</f>
        <v>-1</v>
      </c>
      <c r="D759" s="51">
        <f>IFERROR(__xludf.DUMMYFUNCTION("IFERROR(GOOGLEFINANCE(A759,""CHANGEPCT""),)"),-0.29)</f>
        <v>-0.29</v>
      </c>
      <c r="E759" s="51" t="str">
        <f t="shared" si="1"/>
        <v>-0.29%</v>
      </c>
      <c r="F759" s="51" t="str">
        <f t="shared" si="2"/>
        <v/>
      </c>
      <c r="G759" s="51">
        <f t="shared" si="3"/>
        <v>-0.29</v>
      </c>
      <c r="H759" s="51">
        <f>IFERROR(__xludf.DUMMYFUNCTION("IFERROR(GOOGLEFINANCE(A759,""PRICE""),)"),349.0)</f>
        <v>349</v>
      </c>
      <c r="I759" s="52">
        <f>IFERROR(__xludf.DUMMYFUNCTION("IFERROR(GOOGLEFINANCE(A759,""VOLUME""),)"),955056.0)</f>
        <v>955056</v>
      </c>
      <c r="J759" s="51" t="str">
        <f>IFERROR(__xludf.DUMMYFUNCTION("IFERROR(INDEX(SPLIT(A759,"":""),1,2),)"),"KARURVYSYA")</f>
        <v>KARURVYSYA</v>
      </c>
      <c r="K759" s="51" t="str">
        <f t="shared" si="4"/>
        <v/>
      </c>
      <c r="L759" s="51">
        <f t="shared" si="5"/>
        <v>106</v>
      </c>
      <c r="M759" s="51">
        <f t="shared" si="6"/>
        <v>285</v>
      </c>
      <c r="N759" s="53">
        <f>IFERROR(__xludf.DUMMYFUNCTION("IFERROR(GOOGLEFINANCE(A759,""TRADETIME""),)"),46269.64585648148)</f>
        <v>46269.64586</v>
      </c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</row>
    <row r="760" ht="15.75" customHeight="1">
      <c r="A760" s="48" t="s">
        <v>806</v>
      </c>
      <c r="B760" s="48" t="str">
        <f>IFERROR(__xludf.DUMMYFUNCTION("IFERROR(GOOGLEFINANCE(A760,""NAME""),)"),"Kaushalya Infrastructure Dev Corp Ltd")</f>
        <v>Kaushalya Infrastructure Dev Corp Ltd</v>
      </c>
      <c r="C760" s="48">
        <f>IFERROR(__xludf.DUMMYFUNCTION("IFERROR(GOOGLEFINANCE(A760,""CHANGE""),)"),-14.0)</f>
        <v>-14</v>
      </c>
      <c r="D760" s="48">
        <f>IFERROR(__xludf.DUMMYFUNCTION("IFERROR(GOOGLEFINANCE(A760,""CHANGEPCT""),)"),-1.62)</f>
        <v>-1.62</v>
      </c>
      <c r="E760" s="48" t="str">
        <f t="shared" si="1"/>
        <v>-1.62%</v>
      </c>
      <c r="F760" s="48" t="str">
        <f t="shared" si="2"/>
        <v/>
      </c>
      <c r="G760" s="48">
        <f t="shared" si="3"/>
        <v>-1.62</v>
      </c>
      <c r="H760" s="48">
        <f>IFERROR(__xludf.DUMMYFUNCTION("IFERROR(GOOGLEFINANCE(A760,""PRICE""),)"),850.0)</f>
        <v>850</v>
      </c>
      <c r="I760" s="49">
        <f>IFERROR(__xludf.DUMMYFUNCTION("IFERROR(GOOGLEFINANCE(A760,""VOLUME""),)"),202.0)</f>
        <v>202</v>
      </c>
      <c r="J760" s="48" t="str">
        <f>IFERROR(__xludf.DUMMYFUNCTION("IFERROR(INDEX(SPLIT(A760,"":""),1,2),)"),"KAUSHALYA")</f>
        <v>KAUSHALYA</v>
      </c>
      <c r="K760" s="48" t="str">
        <f t="shared" si="4"/>
        <v/>
      </c>
      <c r="L760" s="48">
        <f t="shared" si="5"/>
        <v>474</v>
      </c>
      <c r="M760" s="48">
        <f t="shared" si="6"/>
        <v>1448</v>
      </c>
      <c r="N760" s="50">
        <f>IFERROR(__xludf.DUMMYFUNCTION("IFERROR(GOOGLEFINANCE(A760,""TRADETIME""),)"),46269.64583333333)</f>
        <v>46269.64583</v>
      </c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</row>
    <row r="761" ht="15.75" customHeight="1">
      <c r="A761" s="51" t="s">
        <v>807</v>
      </c>
      <c r="B761" s="51" t="str">
        <f>IFERROR(__xludf.DUMMYFUNCTION("IFERROR(GOOGLEFINANCE(A761,""NAME""),)"),"Kaya Ltd")</f>
        <v>Kaya Ltd</v>
      </c>
      <c r="C761" s="51">
        <f>IFERROR(__xludf.DUMMYFUNCTION("IFERROR(GOOGLEFINANCE(A761,""CHANGE""),)"),16.4)</f>
        <v>16.4</v>
      </c>
      <c r="D761" s="51">
        <f>IFERROR(__xludf.DUMMYFUNCTION("IFERROR(GOOGLEFINANCE(A761,""CHANGEPCT""),)"),4.99)</f>
        <v>4.99</v>
      </c>
      <c r="E761" s="51" t="str">
        <f t="shared" si="1"/>
        <v>4.99%</v>
      </c>
      <c r="F761" s="51">
        <f t="shared" si="2"/>
        <v>4.99</v>
      </c>
      <c r="G761" s="51" t="str">
        <f t="shared" si="3"/>
        <v/>
      </c>
      <c r="H761" s="51">
        <f>IFERROR(__xludf.DUMMYFUNCTION("IFERROR(GOOGLEFINANCE(A761,""PRICE""),)"),345.1)</f>
        <v>345.1</v>
      </c>
      <c r="I761" s="52">
        <f>IFERROR(__xludf.DUMMYFUNCTION("IFERROR(GOOGLEFINANCE(A761,""VOLUME""),)"),11466.0)</f>
        <v>11466</v>
      </c>
      <c r="J761" s="51" t="str">
        <f>IFERROR(__xludf.DUMMYFUNCTION("IFERROR(INDEX(SPLIT(A761,"":""),1,2),)"),"KAYA")</f>
        <v>KAYA</v>
      </c>
      <c r="K761" s="51">
        <f t="shared" si="4"/>
        <v>67</v>
      </c>
      <c r="L761" s="51" t="str">
        <f t="shared" si="5"/>
        <v/>
      </c>
      <c r="M761" s="51">
        <f t="shared" si="6"/>
        <v>1214</v>
      </c>
      <c r="N761" s="53">
        <f>IFERROR(__xludf.DUMMYFUNCTION("IFERROR(GOOGLEFINANCE(A761,""TRADETIME""),)"),46269.64583333333)</f>
        <v>46269.64583</v>
      </c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</row>
    <row r="762" ht="15.75" customHeight="1">
      <c r="A762" s="48" t="s">
        <v>808</v>
      </c>
      <c r="B762" s="48" t="str">
        <f>IFERROR(__xludf.DUMMYFUNCTION("IFERROR(GOOGLEFINANCE(A762,""NAME""),)"),"KCP Ltd")</f>
        <v>KCP Ltd</v>
      </c>
      <c r="C762" s="48">
        <f>IFERROR(__xludf.DUMMYFUNCTION("IFERROR(GOOGLEFINANCE(A762,""CHANGE""),)"),-5.97)</f>
        <v>-5.97</v>
      </c>
      <c r="D762" s="48">
        <f>IFERROR(__xludf.DUMMYFUNCTION("IFERROR(GOOGLEFINANCE(A762,""CHANGEPCT""),)"),-3.55)</f>
        <v>-3.55</v>
      </c>
      <c r="E762" s="48" t="str">
        <f t="shared" si="1"/>
        <v>-3.55%</v>
      </c>
      <c r="F762" s="48" t="str">
        <f t="shared" si="2"/>
        <v/>
      </c>
      <c r="G762" s="48">
        <f t="shared" si="3"/>
        <v>-3.55</v>
      </c>
      <c r="H762" s="48">
        <f>IFERROR(__xludf.DUMMYFUNCTION("IFERROR(GOOGLEFINANCE(A762,""PRICE""),)"),162.2)</f>
        <v>162.2</v>
      </c>
      <c r="I762" s="49">
        <f>IFERROR(__xludf.DUMMYFUNCTION("IFERROR(GOOGLEFINANCE(A762,""VOLUME""),)"),228887.0)</f>
        <v>228887</v>
      </c>
      <c r="J762" s="48" t="str">
        <f>IFERROR(__xludf.DUMMYFUNCTION("IFERROR(INDEX(SPLIT(A762,"":""),1,2),)"),"KCP")</f>
        <v>KCP</v>
      </c>
      <c r="K762" s="48" t="str">
        <f t="shared" si="4"/>
        <v/>
      </c>
      <c r="L762" s="48">
        <f t="shared" si="5"/>
        <v>612</v>
      </c>
      <c r="M762" s="48">
        <f t="shared" si="6"/>
        <v>589</v>
      </c>
      <c r="N762" s="50">
        <f>IFERROR(__xludf.DUMMYFUNCTION("IFERROR(GOOGLEFINANCE(A762,""TRADETIME""),)"),46269.64583333333)</f>
        <v>46269.64583</v>
      </c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</row>
    <row r="763" ht="15.75" customHeight="1">
      <c r="A763" s="51" t="s">
        <v>809</v>
      </c>
      <c r="B763" s="51" t="str">
        <f>IFERROR(__xludf.DUMMYFUNCTION("IFERROR(GOOGLEFINANCE(A763,""NAME""),)"),"KCP Sugar and Industries Corp Ltd")</f>
        <v>KCP Sugar and Industries Corp Ltd</v>
      </c>
      <c r="C763" s="51">
        <f>IFERROR(__xludf.DUMMYFUNCTION("IFERROR(GOOGLEFINANCE(A763,""CHANGE""),)"),0.22)</f>
        <v>0.22</v>
      </c>
      <c r="D763" s="51">
        <f>IFERROR(__xludf.DUMMYFUNCTION("IFERROR(GOOGLEFINANCE(A763,""CHANGEPCT""),)"),0.68)</f>
        <v>0.68</v>
      </c>
      <c r="E763" s="51" t="str">
        <f t="shared" si="1"/>
        <v>0.68%</v>
      </c>
      <c r="F763" s="51">
        <f t="shared" si="2"/>
        <v>0.68</v>
      </c>
      <c r="G763" s="51" t="str">
        <f t="shared" si="3"/>
        <v/>
      </c>
      <c r="H763" s="51">
        <f>IFERROR(__xludf.DUMMYFUNCTION("IFERROR(GOOGLEFINANCE(A763,""PRICE""),)"),32.5)</f>
        <v>32.5</v>
      </c>
      <c r="I763" s="52">
        <f>IFERROR(__xludf.DUMMYFUNCTION("IFERROR(GOOGLEFINANCE(A763,""VOLUME""),)"),194150.0)</f>
        <v>194150</v>
      </c>
      <c r="J763" s="51" t="str">
        <f>IFERROR(__xludf.DUMMYFUNCTION("IFERROR(INDEX(SPLIT(A763,"":""),1,2),)"),"KCPSUGIND")</f>
        <v>KCPSUGIND</v>
      </c>
      <c r="K763" s="51">
        <f t="shared" si="4"/>
        <v>535</v>
      </c>
      <c r="L763" s="51" t="str">
        <f t="shared" si="5"/>
        <v/>
      </c>
      <c r="M763" s="51">
        <f t="shared" si="6"/>
        <v>635</v>
      </c>
      <c r="N763" s="53">
        <f>IFERROR(__xludf.DUMMYFUNCTION("IFERROR(GOOGLEFINANCE(A763,""TRADETIME""),)"),46269.64585648148)</f>
        <v>46269.64586</v>
      </c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</row>
    <row r="764" ht="15.75" customHeight="1">
      <c r="A764" s="48" t="s">
        <v>810</v>
      </c>
      <c r="B764" s="48" t="str">
        <f>IFERROR(__xludf.DUMMYFUNCTION("IFERROR(GOOGLEFINANCE(A764,""NAME""),)"),"KDDL Ltd")</f>
        <v>KDDL Ltd</v>
      </c>
      <c r="C764" s="48">
        <f>IFERROR(__xludf.DUMMYFUNCTION("IFERROR(GOOGLEFINANCE(A764,""CHANGE""),)"),59.1)</f>
        <v>59.1</v>
      </c>
      <c r="D764" s="48">
        <f>IFERROR(__xludf.DUMMYFUNCTION("IFERROR(GOOGLEFINANCE(A764,""CHANGEPCT""),)"),1.53)</f>
        <v>1.53</v>
      </c>
      <c r="E764" s="48" t="str">
        <f t="shared" si="1"/>
        <v>1.53%</v>
      </c>
      <c r="F764" s="48">
        <f t="shared" si="2"/>
        <v>1.53</v>
      </c>
      <c r="G764" s="48" t="str">
        <f t="shared" si="3"/>
        <v/>
      </c>
      <c r="H764" s="48">
        <f>IFERROR(__xludf.DUMMYFUNCTION("IFERROR(GOOGLEFINANCE(A764,""PRICE""),)"),3914.4)</f>
        <v>3914.4</v>
      </c>
      <c r="I764" s="49">
        <f>IFERROR(__xludf.DUMMYFUNCTION("IFERROR(GOOGLEFINANCE(A764,""VOLUME""),)"),25376.0)</f>
        <v>25376</v>
      </c>
      <c r="J764" s="48" t="str">
        <f>IFERROR(__xludf.DUMMYFUNCTION("IFERROR(INDEX(SPLIT(A764,"":""),1,2),)"),"KDDL")</f>
        <v>KDDL</v>
      </c>
      <c r="K764" s="48">
        <f t="shared" si="4"/>
        <v>339</v>
      </c>
      <c r="L764" s="48" t="str">
        <f t="shared" si="5"/>
        <v/>
      </c>
      <c r="M764" s="48">
        <f t="shared" si="6"/>
        <v>1078</v>
      </c>
      <c r="N764" s="50">
        <f>IFERROR(__xludf.DUMMYFUNCTION("IFERROR(GOOGLEFINANCE(A764,""TRADETIME""),)"),46269.64583333333)</f>
        <v>46269.64583</v>
      </c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</row>
    <row r="765" ht="15.75" customHeight="1">
      <c r="A765" s="51" t="s">
        <v>811</v>
      </c>
      <c r="B765" s="51" t="str">
        <f>IFERROR(__xludf.DUMMYFUNCTION("IFERROR(GOOGLEFINANCE(A765,""NAME""),)"),"KEC International Ltd")</f>
        <v>KEC International Ltd</v>
      </c>
      <c r="C765" s="51">
        <f>IFERROR(__xludf.DUMMYFUNCTION("IFERROR(GOOGLEFINANCE(A765,""CHANGE""),)"),2.15)</f>
        <v>2.15</v>
      </c>
      <c r="D765" s="51">
        <f>IFERROR(__xludf.DUMMYFUNCTION("IFERROR(GOOGLEFINANCE(A765,""CHANGEPCT""),)"),0.53)</f>
        <v>0.53</v>
      </c>
      <c r="E765" s="51" t="str">
        <f t="shared" si="1"/>
        <v>0.53%</v>
      </c>
      <c r="F765" s="51">
        <f t="shared" si="2"/>
        <v>0.53</v>
      </c>
      <c r="G765" s="51" t="str">
        <f t="shared" si="3"/>
        <v/>
      </c>
      <c r="H765" s="51">
        <f>IFERROR(__xludf.DUMMYFUNCTION("IFERROR(GOOGLEFINANCE(A765,""PRICE""),)"),408.3)</f>
        <v>408.3</v>
      </c>
      <c r="I765" s="52">
        <f>IFERROR(__xludf.DUMMYFUNCTION("IFERROR(GOOGLEFINANCE(A765,""VOLUME""),)"),777483.0)</f>
        <v>777483</v>
      </c>
      <c r="J765" s="51" t="str">
        <f>IFERROR(__xludf.DUMMYFUNCTION("IFERROR(INDEX(SPLIT(A765,"":""),1,2),)"),"KEC")</f>
        <v>KEC</v>
      </c>
      <c r="K765" s="51">
        <f t="shared" si="4"/>
        <v>585</v>
      </c>
      <c r="L765" s="51" t="str">
        <f t="shared" si="5"/>
        <v/>
      </c>
      <c r="M765" s="51">
        <f t="shared" si="6"/>
        <v>313</v>
      </c>
      <c r="N765" s="53">
        <f>IFERROR(__xludf.DUMMYFUNCTION("IFERROR(GOOGLEFINANCE(A765,""TRADETIME""),)"),46269.64585648148)</f>
        <v>46269.64586</v>
      </c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</row>
    <row r="766" ht="15.75" customHeight="1">
      <c r="A766" s="48" t="s">
        <v>812</v>
      </c>
      <c r="B766" s="48" t="str">
        <f>IFERROR(__xludf.DUMMYFUNCTION("IFERROR(GOOGLEFINANCE(A766,""NAME""),)"),"Kirloskar Electric Company Ltd")</f>
        <v>Kirloskar Electric Company Ltd</v>
      </c>
      <c r="C766" s="48">
        <f>IFERROR(__xludf.DUMMYFUNCTION("IFERROR(GOOGLEFINANCE(A766,""CHANGE""),)"),1.5)</f>
        <v>1.5</v>
      </c>
      <c r="D766" s="48">
        <f>IFERROR(__xludf.DUMMYFUNCTION("IFERROR(GOOGLEFINANCE(A766,""CHANGEPCT""),)"),1.2)</f>
        <v>1.2</v>
      </c>
      <c r="E766" s="48" t="str">
        <f t="shared" si="1"/>
        <v>1.2%</v>
      </c>
      <c r="F766" s="48">
        <f t="shared" si="2"/>
        <v>1.2</v>
      </c>
      <c r="G766" s="48" t="str">
        <f t="shared" si="3"/>
        <v/>
      </c>
      <c r="H766" s="48">
        <f>IFERROR(__xludf.DUMMYFUNCTION("IFERROR(GOOGLEFINANCE(A766,""PRICE""),)"),126.7)</f>
        <v>126.7</v>
      </c>
      <c r="I766" s="49">
        <f>IFERROR(__xludf.DUMMYFUNCTION("IFERROR(GOOGLEFINANCE(A766,""VOLUME""),)"),55192.0)</f>
        <v>55192</v>
      </c>
      <c r="J766" s="48" t="str">
        <f>IFERROR(__xludf.DUMMYFUNCTION("IFERROR(INDEX(SPLIT(A766,"":""),1,2),)"),"KECL")</f>
        <v>KECL</v>
      </c>
      <c r="K766" s="48">
        <f t="shared" si="4"/>
        <v>406</v>
      </c>
      <c r="L766" s="48" t="str">
        <f t="shared" si="5"/>
        <v/>
      </c>
      <c r="M766" s="48">
        <f t="shared" si="6"/>
        <v>923</v>
      </c>
      <c r="N766" s="50">
        <f>IFERROR(__xludf.DUMMYFUNCTION("IFERROR(GOOGLEFINANCE(A766,""TRADETIME""),)"),46269.64583333333)</f>
        <v>46269.64583</v>
      </c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</row>
    <row r="767" ht="15.75" customHeight="1">
      <c r="A767" s="51" t="s">
        <v>813</v>
      </c>
      <c r="B767" s="51" t="str">
        <f>IFERROR(__xludf.DUMMYFUNCTION("IFERROR(GOOGLEFINANCE(A767,""NAME""),)"),"")</f>
        <v/>
      </c>
      <c r="C767" s="51" t="str">
        <f>IFERROR(__xludf.DUMMYFUNCTION("IFERROR(GOOGLEFINANCE(A767,""CHANGE""),)"),"")</f>
        <v/>
      </c>
      <c r="D767" s="51" t="str">
        <f>IFERROR(__xludf.DUMMYFUNCTION("IFERROR(GOOGLEFINANCE(A767,""CHANGEPCT""),)"),"")</f>
        <v/>
      </c>
      <c r="E767" s="51" t="str">
        <f t="shared" si="1"/>
        <v>%</v>
      </c>
      <c r="F767" s="51" t="str">
        <f t="shared" si="2"/>
        <v/>
      </c>
      <c r="G767" s="51" t="str">
        <f t="shared" si="3"/>
        <v/>
      </c>
      <c r="H767" s="51" t="str">
        <f>IFERROR(__xludf.DUMMYFUNCTION("IFERROR(GOOGLEFINANCE(A767,""PRICE""),)"),"")</f>
        <v/>
      </c>
      <c r="I767" s="52" t="str">
        <f>IFERROR(__xludf.DUMMYFUNCTION("IFERROR(GOOGLEFINANCE(A767,""VOLUME""),)"),"")</f>
        <v/>
      </c>
      <c r="J767" s="51" t="str">
        <f>IFERROR(__xludf.DUMMYFUNCTION("IFERROR(INDEX(SPLIT(A767,"":""),1,2),)"),"KEERTI")</f>
        <v>KEERTI</v>
      </c>
      <c r="K767" s="51" t="str">
        <f t="shared" si="4"/>
        <v/>
      </c>
      <c r="L767" s="51" t="str">
        <f t="shared" si="5"/>
        <v/>
      </c>
      <c r="M767" s="51">
        <f t="shared" si="6"/>
        <v>1456</v>
      </c>
      <c r="N767" s="53" t="str">
        <f>IFERROR(__xludf.DUMMYFUNCTION("IFERROR(GOOGLEFINANCE(A767,""TRADETIME""),)"),"")</f>
        <v/>
      </c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</row>
    <row r="768" ht="15.75" customHeight="1">
      <c r="A768" s="48" t="s">
        <v>814</v>
      </c>
      <c r="B768" s="48" t="str">
        <f>IFERROR(__xludf.DUMMYFUNCTION("IFERROR(GOOGLEFINANCE(A768,""NAME""),)"),"KEI Industries Ltd")</f>
        <v>KEI Industries Ltd</v>
      </c>
      <c r="C768" s="48">
        <f>IFERROR(__xludf.DUMMYFUNCTION("IFERROR(GOOGLEFINANCE(A768,""CHANGE""),)"),-467.0)</f>
        <v>-467</v>
      </c>
      <c r="D768" s="48">
        <f>IFERROR(__xludf.DUMMYFUNCTION("IFERROR(GOOGLEFINANCE(A768,""CHANGEPCT""),)"),-8.77)</f>
        <v>-8.77</v>
      </c>
      <c r="E768" s="48" t="str">
        <f t="shared" si="1"/>
        <v>-8.77%</v>
      </c>
      <c r="F768" s="48" t="str">
        <f t="shared" si="2"/>
        <v/>
      </c>
      <c r="G768" s="48">
        <f t="shared" si="3"/>
        <v>-8.77</v>
      </c>
      <c r="H768" s="48">
        <f>IFERROR(__xludf.DUMMYFUNCTION("IFERROR(GOOGLEFINANCE(A768,""PRICE""),)"),4860.0)</f>
        <v>4860</v>
      </c>
      <c r="I768" s="49">
        <f>IFERROR(__xludf.DUMMYFUNCTION("IFERROR(GOOGLEFINANCE(A768,""VOLUME""),)"),2381568.0)</f>
        <v>2381568</v>
      </c>
      <c r="J768" s="48" t="str">
        <f>IFERROR(__xludf.DUMMYFUNCTION("IFERROR(INDEX(SPLIT(A768,"":""),1,2),)"),"KEI")</f>
        <v>KEI</v>
      </c>
      <c r="K768" s="48" t="str">
        <f t="shared" si="4"/>
        <v/>
      </c>
      <c r="L768" s="48">
        <f t="shared" si="5"/>
        <v>651</v>
      </c>
      <c r="M768" s="48">
        <f t="shared" si="6"/>
        <v>153</v>
      </c>
      <c r="N768" s="50">
        <f>IFERROR(__xludf.DUMMYFUNCTION("IFERROR(GOOGLEFINANCE(A768,""TRADETIME""),)"),46269.64583333333)</f>
        <v>46269.64583</v>
      </c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</row>
    <row r="769" ht="15.75" customHeight="1">
      <c r="A769" s="51" t="s">
        <v>815</v>
      </c>
      <c r="B769" s="51" t="str">
        <f>IFERROR(__xludf.DUMMYFUNCTION("IFERROR(GOOGLEFINANCE(A769,""NAME""),)"),"Kellton Tech Solutions Ltd")</f>
        <v>Kellton Tech Solutions Ltd</v>
      </c>
      <c r="C769" s="51">
        <f>IFERROR(__xludf.DUMMYFUNCTION("IFERROR(GOOGLEFINANCE(A769,""CHANGE""),)"),-0.09)</f>
        <v>-0.09</v>
      </c>
      <c r="D769" s="51">
        <f>IFERROR(__xludf.DUMMYFUNCTION("IFERROR(GOOGLEFINANCE(A769,""CHANGEPCT""),)"),-0.64)</f>
        <v>-0.64</v>
      </c>
      <c r="E769" s="51" t="str">
        <f t="shared" si="1"/>
        <v>-0.64%</v>
      </c>
      <c r="F769" s="51" t="str">
        <f t="shared" si="2"/>
        <v/>
      </c>
      <c r="G769" s="51">
        <f t="shared" si="3"/>
        <v>-0.64</v>
      </c>
      <c r="H769" s="51">
        <f>IFERROR(__xludf.DUMMYFUNCTION("IFERROR(GOOGLEFINANCE(A769,""PRICE""),)"),13.9)</f>
        <v>13.9</v>
      </c>
      <c r="I769" s="52">
        <f>IFERROR(__xludf.DUMMYFUNCTION("IFERROR(GOOGLEFINANCE(A769,""VOLUME""),)"),2178042.0)</f>
        <v>2178042</v>
      </c>
      <c r="J769" s="51" t="str">
        <f>IFERROR(__xludf.DUMMYFUNCTION("IFERROR(INDEX(SPLIT(A769,"":""),1,2),)"),"KELLTONTEC")</f>
        <v>KELLTONTEC</v>
      </c>
      <c r="K769" s="51" t="str">
        <f t="shared" si="4"/>
        <v/>
      </c>
      <c r="L769" s="51">
        <f t="shared" si="5"/>
        <v>239</v>
      </c>
      <c r="M769" s="51">
        <f t="shared" si="6"/>
        <v>163</v>
      </c>
      <c r="N769" s="53">
        <f>IFERROR(__xludf.DUMMYFUNCTION("IFERROR(GOOGLEFINANCE(A769,""TRADETIME""),)"),46269.64585648148)</f>
        <v>46269.64586</v>
      </c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</row>
    <row r="770" ht="15.75" customHeight="1">
      <c r="A770" s="48" t="s">
        <v>816</v>
      </c>
      <c r="B770" s="48" t="str">
        <f>IFERROR(__xludf.DUMMYFUNCTION("IFERROR(GOOGLEFINANCE(A770,""NAME""),)"),"Kennametal India Ltd")</f>
        <v>Kennametal India Ltd</v>
      </c>
      <c r="C770" s="48">
        <f>IFERROR(__xludf.DUMMYFUNCTION("IFERROR(GOOGLEFINANCE(A770,""CHANGE""),)"),162.8)</f>
        <v>162.8</v>
      </c>
      <c r="D770" s="48">
        <f>IFERROR(__xludf.DUMMYFUNCTION("IFERROR(GOOGLEFINANCE(A770,""CHANGEPCT""),)"),3.59)</f>
        <v>3.59</v>
      </c>
      <c r="E770" s="48" t="str">
        <f t="shared" si="1"/>
        <v>3.59%</v>
      </c>
      <c r="F770" s="48">
        <f t="shared" si="2"/>
        <v>3.59</v>
      </c>
      <c r="G770" s="48" t="str">
        <f t="shared" si="3"/>
        <v/>
      </c>
      <c r="H770" s="48">
        <f>IFERROR(__xludf.DUMMYFUNCTION("IFERROR(GOOGLEFINANCE(A770,""PRICE""),)"),4695.0)</f>
        <v>4695</v>
      </c>
      <c r="I770" s="49">
        <f>IFERROR(__xludf.DUMMYFUNCTION("IFERROR(GOOGLEFINANCE(A770,""VOLUME""),)"),21846.0)</f>
        <v>21846</v>
      </c>
      <c r="J770" s="48" t="str">
        <f>IFERROR(__xludf.DUMMYFUNCTION("IFERROR(INDEX(SPLIT(A770,"":""),1,2),)"),"KENNAMET")</f>
        <v>KENNAMET</v>
      </c>
      <c r="K770" s="48">
        <f t="shared" si="4"/>
        <v>136</v>
      </c>
      <c r="L770" s="48" t="str">
        <f t="shared" si="5"/>
        <v/>
      </c>
      <c r="M770" s="48">
        <f t="shared" si="6"/>
        <v>1110</v>
      </c>
      <c r="N770" s="50">
        <f>IFERROR(__xludf.DUMMYFUNCTION("IFERROR(GOOGLEFINANCE(A770,""TRADETIME""),)"),46269.64583333333)</f>
        <v>46269.64583</v>
      </c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</row>
    <row r="771" ht="15.75" customHeight="1">
      <c r="A771" s="51" t="s">
        <v>817</v>
      </c>
      <c r="B771" s="51" t="str">
        <f>IFERROR(__xludf.DUMMYFUNCTION("IFERROR(GOOGLEFINANCE(A771,""NAME""),)"),"Kingfa Science and Technolgy (India) Ltd")</f>
        <v>Kingfa Science and Technolgy (India) Ltd</v>
      </c>
      <c r="C771" s="51">
        <f>IFERROR(__xludf.DUMMYFUNCTION("IFERROR(GOOGLEFINANCE(A771,""CHANGE""),)"),22.0)</f>
        <v>22</v>
      </c>
      <c r="D771" s="51">
        <f>IFERROR(__xludf.DUMMYFUNCTION("IFERROR(GOOGLEFINANCE(A771,""CHANGEPCT""),)"),0.37)</f>
        <v>0.37</v>
      </c>
      <c r="E771" s="51" t="str">
        <f t="shared" si="1"/>
        <v>0.37%</v>
      </c>
      <c r="F771" s="51">
        <f t="shared" si="2"/>
        <v>0.37</v>
      </c>
      <c r="G771" s="51" t="str">
        <f t="shared" si="3"/>
        <v/>
      </c>
      <c r="H771" s="51">
        <f>IFERROR(__xludf.DUMMYFUNCTION("IFERROR(GOOGLEFINANCE(A771,""PRICE""),)"),5910.0)</f>
        <v>5910</v>
      </c>
      <c r="I771" s="52">
        <f>IFERROR(__xludf.DUMMYFUNCTION("IFERROR(GOOGLEFINANCE(A771,""VOLUME""),)"),8112.0)</f>
        <v>8112</v>
      </c>
      <c r="J771" s="51" t="str">
        <f>IFERROR(__xludf.DUMMYFUNCTION("IFERROR(INDEX(SPLIT(A771,"":""),1,2),)"),"KINGFA")</f>
        <v>KINGFA</v>
      </c>
      <c r="K771" s="51">
        <f t="shared" si="4"/>
        <v>634</v>
      </c>
      <c r="L771" s="51" t="str">
        <f t="shared" si="5"/>
        <v/>
      </c>
      <c r="M771" s="51">
        <f t="shared" si="6"/>
        <v>1260</v>
      </c>
      <c r="N771" s="53">
        <f>IFERROR(__xludf.DUMMYFUNCTION("IFERROR(GOOGLEFINANCE(A771,""TRADETIME""),)"),46269.64583333333)</f>
        <v>46269.64583</v>
      </c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</row>
    <row r="772" ht="15.75" customHeight="1">
      <c r="A772" s="48" t="s">
        <v>818</v>
      </c>
      <c r="B772" s="48" t="str">
        <f>IFERROR(__xludf.DUMMYFUNCTION("IFERROR(GOOGLEFINANCE(A772,""NAME""),)"),"Kesoram Industries Ltd")</f>
        <v>Kesoram Industries Ltd</v>
      </c>
      <c r="C772" s="48">
        <f>IFERROR(__xludf.DUMMYFUNCTION("IFERROR(GOOGLEFINANCE(A772,""CHANGE""),)"),-0.15)</f>
        <v>-0.15</v>
      </c>
      <c r="D772" s="48">
        <f>IFERROR(__xludf.DUMMYFUNCTION("IFERROR(GOOGLEFINANCE(A772,""CHANGEPCT""),)"),-1.36)</f>
        <v>-1.36</v>
      </c>
      <c r="E772" s="48" t="str">
        <f t="shared" si="1"/>
        <v>-1.36%</v>
      </c>
      <c r="F772" s="48" t="str">
        <f t="shared" si="2"/>
        <v/>
      </c>
      <c r="G772" s="48">
        <f t="shared" si="3"/>
        <v>-1.36</v>
      </c>
      <c r="H772" s="48">
        <f>IFERROR(__xludf.DUMMYFUNCTION("IFERROR(GOOGLEFINANCE(A772,""PRICE""),)"),10.9)</f>
        <v>10.9</v>
      </c>
      <c r="I772" s="49">
        <f>IFERROR(__xludf.DUMMYFUNCTION("IFERROR(GOOGLEFINANCE(A772,""VOLUME""),)"),119860.0)</f>
        <v>119860</v>
      </c>
      <c r="J772" s="48" t="str">
        <f>IFERROR(__xludf.DUMMYFUNCTION("IFERROR(INDEX(SPLIT(A772,"":""),1,2),)"),"KESORAMIND")</f>
        <v>KESORAMIND</v>
      </c>
      <c r="K772" s="48" t="str">
        <f t="shared" si="4"/>
        <v/>
      </c>
      <c r="L772" s="48">
        <f t="shared" si="5"/>
        <v>420</v>
      </c>
      <c r="M772" s="48">
        <f t="shared" si="6"/>
        <v>736</v>
      </c>
      <c r="N772" s="50">
        <f>IFERROR(__xludf.DUMMYFUNCTION("IFERROR(GOOGLEFINANCE(A772,""TRADETIME""),)"),46269.64583333333)</f>
        <v>46269.64583</v>
      </c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</row>
    <row r="773" ht="15.75" customHeight="1">
      <c r="A773" s="51" t="s">
        <v>819</v>
      </c>
      <c r="B773" s="51" t="str">
        <f>IFERROR(__xludf.DUMMYFUNCTION("IFERROR(GOOGLEFINANCE(A773,""NAME""),)"),"Keynote Financial Services Ltd")</f>
        <v>Keynote Financial Services Ltd</v>
      </c>
      <c r="C773" s="51">
        <f>IFERROR(__xludf.DUMMYFUNCTION("IFERROR(GOOGLEFINANCE(A773,""CHANGE""),)"),-3.7)</f>
        <v>-3.7</v>
      </c>
      <c r="D773" s="51">
        <f>IFERROR(__xludf.DUMMYFUNCTION("IFERROR(GOOGLEFINANCE(A773,""CHANGEPCT""),)"),-1.49)</f>
        <v>-1.49</v>
      </c>
      <c r="E773" s="51" t="str">
        <f t="shared" si="1"/>
        <v>-1.49%</v>
      </c>
      <c r="F773" s="51" t="str">
        <f t="shared" si="2"/>
        <v/>
      </c>
      <c r="G773" s="51">
        <f t="shared" si="3"/>
        <v>-1.49</v>
      </c>
      <c r="H773" s="51">
        <f>IFERROR(__xludf.DUMMYFUNCTION("IFERROR(GOOGLEFINANCE(A773,""PRICE""),)"),245.0)</f>
        <v>245</v>
      </c>
      <c r="I773" s="52">
        <f>IFERROR(__xludf.DUMMYFUNCTION("IFERROR(GOOGLEFINANCE(A773,""VOLUME""),)"),2872.0)</f>
        <v>2872</v>
      </c>
      <c r="J773" s="51" t="str">
        <f>IFERROR(__xludf.DUMMYFUNCTION("IFERROR(INDEX(SPLIT(A773,"":""),1,2),)"),"KEYFINSERV")</f>
        <v>KEYFINSERV</v>
      </c>
      <c r="K773" s="51" t="str">
        <f t="shared" si="4"/>
        <v/>
      </c>
      <c r="L773" s="51">
        <f t="shared" si="5"/>
        <v>447</v>
      </c>
      <c r="M773" s="51">
        <f t="shared" si="6"/>
        <v>1370</v>
      </c>
      <c r="N773" s="53">
        <f>IFERROR(__xludf.DUMMYFUNCTION("IFERROR(GOOGLEFINANCE(A773,""TRADETIME""),)"),46269.64583333333)</f>
        <v>46269.64583</v>
      </c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</row>
    <row r="774" ht="15.75" customHeight="1">
      <c r="A774" s="48" t="s">
        <v>820</v>
      </c>
      <c r="B774" s="48" t="str">
        <f>IFERROR(__xludf.DUMMYFUNCTION("IFERROR(GOOGLEFINANCE(A774,""NAME""),)"),"Khadim India Limited")</f>
        <v>Khadim India Limited</v>
      </c>
      <c r="C774" s="48">
        <f>IFERROR(__xludf.DUMMYFUNCTION("IFERROR(GOOGLEFINANCE(A774,""CHANGE""),)"),2.3)</f>
        <v>2.3</v>
      </c>
      <c r="D774" s="48">
        <f>IFERROR(__xludf.DUMMYFUNCTION("IFERROR(GOOGLEFINANCE(A774,""CHANGEPCT""),)"),2.0)</f>
        <v>2</v>
      </c>
      <c r="E774" s="48" t="str">
        <f t="shared" si="1"/>
        <v>2%</v>
      </c>
      <c r="F774" s="48">
        <f t="shared" si="2"/>
        <v>2</v>
      </c>
      <c r="G774" s="48" t="str">
        <f t="shared" si="3"/>
        <v/>
      </c>
      <c r="H774" s="48">
        <f>IFERROR(__xludf.DUMMYFUNCTION("IFERROR(GOOGLEFINANCE(A774,""PRICE""),)"),117.3)</f>
        <v>117.3</v>
      </c>
      <c r="I774" s="49">
        <f>IFERROR(__xludf.DUMMYFUNCTION("IFERROR(GOOGLEFINANCE(A774,""VOLUME""),)"),15169.0)</f>
        <v>15169</v>
      </c>
      <c r="J774" s="48" t="str">
        <f>IFERROR(__xludf.DUMMYFUNCTION("IFERROR(INDEX(SPLIT(A774,"":""),1,2),)"),"KHADIM")</f>
        <v>KHADIM</v>
      </c>
      <c r="K774" s="48">
        <f t="shared" si="4"/>
        <v>256</v>
      </c>
      <c r="L774" s="48" t="str">
        <f t="shared" si="5"/>
        <v/>
      </c>
      <c r="M774" s="48">
        <f t="shared" si="6"/>
        <v>1174</v>
      </c>
      <c r="N774" s="50">
        <f>IFERROR(__xludf.DUMMYFUNCTION("IFERROR(GOOGLEFINANCE(A774,""TRADETIME""),)"),46269.64583333333)</f>
        <v>46269.64583</v>
      </c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</row>
    <row r="775" ht="15.75" customHeight="1">
      <c r="A775" s="51" t="s">
        <v>821</v>
      </c>
      <c r="B775" s="51" t="str">
        <f>IFERROR(__xludf.DUMMYFUNCTION("IFERROR(GOOGLEFINANCE(A775,""NAME""),)"),"Khaitan Chemicals And Fertilizers Ltd")</f>
        <v>Khaitan Chemicals And Fertilizers Ltd</v>
      </c>
      <c r="C775" s="51">
        <f>IFERROR(__xludf.DUMMYFUNCTION("IFERROR(GOOGLEFINANCE(A775,""CHANGE""),)"),0.07)</f>
        <v>0.07</v>
      </c>
      <c r="D775" s="51">
        <f>IFERROR(__xludf.DUMMYFUNCTION("IFERROR(GOOGLEFINANCE(A775,""CHANGEPCT""),)"),0.13)</f>
        <v>0.13</v>
      </c>
      <c r="E775" s="51" t="str">
        <f t="shared" si="1"/>
        <v>0.13%</v>
      </c>
      <c r="F775" s="51">
        <f t="shared" si="2"/>
        <v>0.13</v>
      </c>
      <c r="G775" s="51" t="str">
        <f t="shared" si="3"/>
        <v/>
      </c>
      <c r="H775" s="51">
        <f>IFERROR(__xludf.DUMMYFUNCTION("IFERROR(GOOGLEFINANCE(A775,""PRICE""),)"),54.9)</f>
        <v>54.9</v>
      </c>
      <c r="I775" s="52">
        <f>IFERROR(__xludf.DUMMYFUNCTION("IFERROR(GOOGLEFINANCE(A775,""VOLUME""),)"),94220.0)</f>
        <v>94220</v>
      </c>
      <c r="J775" s="51" t="str">
        <f>IFERROR(__xludf.DUMMYFUNCTION("IFERROR(INDEX(SPLIT(A775,"":""),1,2),)"),"KHAICHEM")</f>
        <v>KHAICHEM</v>
      </c>
      <c r="K775" s="51">
        <f t="shared" si="4"/>
        <v>730</v>
      </c>
      <c r="L775" s="51" t="str">
        <f t="shared" si="5"/>
        <v/>
      </c>
      <c r="M775" s="51">
        <f t="shared" si="6"/>
        <v>788</v>
      </c>
      <c r="N775" s="53">
        <f>IFERROR(__xludf.DUMMYFUNCTION("IFERROR(GOOGLEFINANCE(A775,""TRADETIME""),)"),46269.64583333333)</f>
        <v>46269.64583</v>
      </c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</row>
    <row r="776" ht="15.75" customHeight="1">
      <c r="A776" s="48" t="s">
        <v>822</v>
      </c>
      <c r="B776" s="48" t="str">
        <f>IFERROR(__xludf.DUMMYFUNCTION("IFERROR(GOOGLEFINANCE(A776,""NAME""),)"),"Khandwala Securities Ltd")</f>
        <v>Khandwala Securities Ltd</v>
      </c>
      <c r="C776" s="48">
        <f>IFERROR(__xludf.DUMMYFUNCTION("IFERROR(GOOGLEFINANCE(A776,""CHANGE""),)"),0.27)</f>
        <v>0.27</v>
      </c>
      <c r="D776" s="48">
        <f>IFERROR(__xludf.DUMMYFUNCTION("IFERROR(GOOGLEFINANCE(A776,""CHANGEPCT""),)"),1.49)</f>
        <v>1.49</v>
      </c>
      <c r="E776" s="48" t="str">
        <f t="shared" si="1"/>
        <v>1.49%</v>
      </c>
      <c r="F776" s="48">
        <f t="shared" si="2"/>
        <v>1.49</v>
      </c>
      <c r="G776" s="48" t="str">
        <f t="shared" si="3"/>
        <v/>
      </c>
      <c r="H776" s="48">
        <f>IFERROR(__xludf.DUMMYFUNCTION("IFERROR(GOOGLEFINANCE(A776,""PRICE""),)"),18.38)</f>
        <v>18.38</v>
      </c>
      <c r="I776" s="49">
        <f>IFERROR(__xludf.DUMMYFUNCTION("IFERROR(GOOGLEFINANCE(A776,""VOLUME""),)"),698.0)</f>
        <v>698</v>
      </c>
      <c r="J776" s="48" t="str">
        <f>IFERROR(__xludf.DUMMYFUNCTION("IFERROR(INDEX(SPLIT(A776,"":""),1,2),)"),"KHANDSE")</f>
        <v>KHANDSE</v>
      </c>
      <c r="K776" s="48">
        <f t="shared" si="4"/>
        <v>349</v>
      </c>
      <c r="L776" s="48" t="str">
        <f t="shared" si="5"/>
        <v/>
      </c>
      <c r="M776" s="48">
        <f t="shared" si="6"/>
        <v>1436</v>
      </c>
      <c r="N776" s="50">
        <f>IFERROR(__xludf.DUMMYFUNCTION("IFERROR(GOOGLEFINANCE(A776,""TRADETIME""),)"),46269.64583333333)</f>
        <v>46269.64583</v>
      </c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</row>
    <row r="777" ht="15.75" customHeight="1">
      <c r="A777" s="51" t="s">
        <v>823</v>
      </c>
      <c r="B777" s="51" t="str">
        <f>IFERROR(__xludf.DUMMYFUNCTION("IFERROR(GOOGLEFINANCE(A777,""NAME""),)"),"Kalyani Investment Company Ltd")</f>
        <v>Kalyani Investment Company Ltd</v>
      </c>
      <c r="C777" s="51">
        <f>IFERROR(__xludf.DUMMYFUNCTION("IFERROR(GOOGLEFINANCE(A777,""CHANGE""),)"),-12.5)</f>
        <v>-12.5</v>
      </c>
      <c r="D777" s="51">
        <f>IFERROR(__xludf.DUMMYFUNCTION("IFERROR(GOOGLEFINANCE(A777,""CHANGEPCT""),)"),-0.24)</f>
        <v>-0.24</v>
      </c>
      <c r="E777" s="51" t="str">
        <f t="shared" si="1"/>
        <v>-0.24%</v>
      </c>
      <c r="F777" s="51" t="str">
        <f t="shared" si="2"/>
        <v/>
      </c>
      <c r="G777" s="51">
        <f t="shared" si="3"/>
        <v>-0.24</v>
      </c>
      <c r="H777" s="51">
        <f>IFERROR(__xludf.DUMMYFUNCTION("IFERROR(GOOGLEFINANCE(A777,""PRICE""),)"),5200.0)</f>
        <v>5200</v>
      </c>
      <c r="I777" s="52">
        <f>IFERROR(__xludf.DUMMYFUNCTION("IFERROR(GOOGLEFINANCE(A777,""VOLUME""),)"),291.0)</f>
        <v>291</v>
      </c>
      <c r="J777" s="51" t="str">
        <f>IFERROR(__xludf.DUMMYFUNCTION("IFERROR(INDEX(SPLIT(A777,"":""),1,2),)"),"KICL")</f>
        <v>KICL</v>
      </c>
      <c r="K777" s="51" t="str">
        <f t="shared" si="4"/>
        <v/>
      </c>
      <c r="L777" s="51">
        <f t="shared" si="5"/>
        <v>88</v>
      </c>
      <c r="M777" s="51">
        <f t="shared" si="6"/>
        <v>1447</v>
      </c>
      <c r="N777" s="53">
        <f>IFERROR(__xludf.DUMMYFUNCTION("IFERROR(GOOGLEFINANCE(A777,""TRADETIME""),)"),46269.64583333333)</f>
        <v>46269.64583</v>
      </c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</row>
    <row r="778" ht="15.75" customHeight="1">
      <c r="A778" s="48" t="s">
        <v>824</v>
      </c>
      <c r="B778" s="48" t="str">
        <f>IFERROR(__xludf.DUMMYFUNCTION("IFERROR(GOOGLEFINANCE(A778,""NAME""),)"),"Man Industries (India) Ltd")</f>
        <v>Man Industries (India) Ltd</v>
      </c>
      <c r="C778" s="48">
        <f>IFERROR(__xludf.DUMMYFUNCTION("IFERROR(GOOGLEFINANCE(A778,""CHANGE""),)"),-7.5)</f>
        <v>-7.5</v>
      </c>
      <c r="D778" s="48">
        <f>IFERROR(__xludf.DUMMYFUNCTION("IFERROR(GOOGLEFINANCE(A778,""CHANGEPCT""),)"),-0.95)</f>
        <v>-0.95</v>
      </c>
      <c r="E778" s="48" t="str">
        <f t="shared" si="1"/>
        <v>-0.95%</v>
      </c>
      <c r="F778" s="48" t="str">
        <f t="shared" si="2"/>
        <v/>
      </c>
      <c r="G778" s="48">
        <f t="shared" si="3"/>
        <v>-0.95</v>
      </c>
      <c r="H778" s="48">
        <f>IFERROR(__xludf.DUMMYFUNCTION("IFERROR(GOOGLEFINANCE(A778,""PRICE""),)"),785.9)</f>
        <v>785.9</v>
      </c>
      <c r="I778" s="49">
        <f>IFERROR(__xludf.DUMMYFUNCTION("IFERROR(GOOGLEFINANCE(A778,""VOLUME""),)"),505736.0)</f>
        <v>505736</v>
      </c>
      <c r="J778" s="48" t="str">
        <f>IFERROR(__xludf.DUMMYFUNCTION("IFERROR(INDEX(SPLIT(A778,"":""),1,2),)"),"MANINDS")</f>
        <v>MANINDS</v>
      </c>
      <c r="K778" s="48" t="str">
        <f t="shared" si="4"/>
        <v/>
      </c>
      <c r="L778" s="48">
        <f t="shared" si="5"/>
        <v>328</v>
      </c>
      <c r="M778" s="48">
        <f t="shared" si="6"/>
        <v>390</v>
      </c>
      <c r="N778" s="50">
        <f>IFERROR(__xludf.DUMMYFUNCTION("IFERROR(GOOGLEFINANCE(A778,""TRADETIME""),)"),46269.64585648148)</f>
        <v>46269.64586</v>
      </c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</row>
    <row r="779" ht="15.75" customHeight="1">
      <c r="A779" s="51" t="s">
        <v>825</v>
      </c>
      <c r="B779" s="51" t="str">
        <f>IFERROR(__xludf.DUMMYFUNCTION("IFERROR(GOOGLEFINANCE(A779,""NAME""),)"),"Marine Electricals (India) Ltd")</f>
        <v>Marine Electricals (India) Ltd</v>
      </c>
      <c r="C779" s="51">
        <f>IFERROR(__xludf.DUMMYFUNCTION("IFERROR(GOOGLEFINANCE(A779,""CHANGE""),)"),0.1)</f>
        <v>0.1</v>
      </c>
      <c r="D779" s="51">
        <f>IFERROR(__xludf.DUMMYFUNCTION("IFERROR(GOOGLEFINANCE(A779,""CHANGEPCT""),)"),0.02)</f>
        <v>0.02</v>
      </c>
      <c r="E779" s="51" t="str">
        <f t="shared" si="1"/>
        <v>0.02%</v>
      </c>
      <c r="F779" s="51">
        <f t="shared" si="2"/>
        <v>0.02</v>
      </c>
      <c r="G779" s="51" t="str">
        <f t="shared" si="3"/>
        <v/>
      </c>
      <c r="H779" s="51">
        <f>IFERROR(__xludf.DUMMYFUNCTION("IFERROR(GOOGLEFINANCE(A779,""PRICE""),)"),430.5)</f>
        <v>430.5</v>
      </c>
      <c r="I779" s="52">
        <f>IFERROR(__xludf.DUMMYFUNCTION("IFERROR(GOOGLEFINANCE(A779,""VOLUME""),)"),826123.0)</f>
        <v>826123</v>
      </c>
      <c r="J779" s="51" t="str">
        <f>IFERROR(__xludf.DUMMYFUNCTION("IFERROR(INDEX(SPLIT(A779,"":""),1,2),)"),"MARINE")</f>
        <v>MARINE</v>
      </c>
      <c r="K779" s="51">
        <f t="shared" si="4"/>
        <v>774</v>
      </c>
      <c r="L779" s="51" t="str">
        <f t="shared" si="5"/>
        <v/>
      </c>
      <c r="M779" s="51">
        <f t="shared" si="6"/>
        <v>306</v>
      </c>
      <c r="N779" s="53">
        <f>IFERROR(__xludf.DUMMYFUNCTION("IFERROR(GOOGLEFINANCE(A779,""TRADETIME""),)"),46269.64583333333)</f>
        <v>46269.64583</v>
      </c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</row>
    <row r="780" ht="15.75" customHeight="1">
      <c r="A780" s="48" t="s">
        <v>826</v>
      </c>
      <c r="B780" s="48" t="str">
        <f>IFERROR(__xludf.DUMMYFUNCTION("IFERROR(GOOGLEFINANCE(A780,""NAME""),)"),"KIOCL Ltd")</f>
        <v>KIOCL Ltd</v>
      </c>
      <c r="C780" s="48">
        <f>IFERROR(__xludf.DUMMYFUNCTION("IFERROR(GOOGLEFINANCE(A780,""CHANGE""),)"),1.35)</f>
        <v>1.35</v>
      </c>
      <c r="D780" s="48">
        <f>IFERROR(__xludf.DUMMYFUNCTION("IFERROR(GOOGLEFINANCE(A780,""CHANGEPCT""),)"),0.35)</f>
        <v>0.35</v>
      </c>
      <c r="E780" s="48" t="str">
        <f t="shared" si="1"/>
        <v>0.35%</v>
      </c>
      <c r="F780" s="48">
        <f t="shared" si="2"/>
        <v>0.35</v>
      </c>
      <c r="G780" s="48" t="str">
        <f t="shared" si="3"/>
        <v/>
      </c>
      <c r="H780" s="48">
        <f>IFERROR(__xludf.DUMMYFUNCTION("IFERROR(GOOGLEFINANCE(A780,""PRICE""),)"),381.9)</f>
        <v>381.9</v>
      </c>
      <c r="I780" s="49">
        <f>IFERROR(__xludf.DUMMYFUNCTION("IFERROR(GOOGLEFINANCE(A780,""VOLUME""),)"),57868.0)</f>
        <v>57868</v>
      </c>
      <c r="J780" s="48" t="str">
        <f>IFERROR(__xludf.DUMMYFUNCTION("IFERROR(INDEX(SPLIT(A780,"":""),1,2),)"),"KIOCL")</f>
        <v>KIOCL</v>
      </c>
      <c r="K780" s="48">
        <f t="shared" si="4"/>
        <v>643</v>
      </c>
      <c r="L780" s="48" t="str">
        <f t="shared" si="5"/>
        <v/>
      </c>
      <c r="M780" s="48">
        <f t="shared" si="6"/>
        <v>908</v>
      </c>
      <c r="N780" s="50">
        <f>IFERROR(__xludf.DUMMYFUNCTION("IFERROR(GOOGLEFINANCE(A780,""TRADETIME""),)"),46269.64583333333)</f>
        <v>46269.64583</v>
      </c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</row>
    <row r="781" ht="15.75" customHeight="1">
      <c r="A781" s="51" t="s">
        <v>827</v>
      </c>
      <c r="B781" s="51" t="str">
        <f>IFERROR(__xludf.DUMMYFUNCTION("IFERROR(GOOGLEFINANCE(A781,""NAME""),)"),"Kiri Industries Ltd")</f>
        <v>Kiri Industries Ltd</v>
      </c>
      <c r="C781" s="51">
        <f>IFERROR(__xludf.DUMMYFUNCTION("IFERROR(GOOGLEFINANCE(A781,""CHANGE""),)"),-17.95)</f>
        <v>-17.95</v>
      </c>
      <c r="D781" s="51">
        <f>IFERROR(__xludf.DUMMYFUNCTION("IFERROR(GOOGLEFINANCE(A781,""CHANGEPCT""),)"),-3.1)</f>
        <v>-3.1</v>
      </c>
      <c r="E781" s="51" t="str">
        <f t="shared" si="1"/>
        <v>-3.1%</v>
      </c>
      <c r="F781" s="51" t="str">
        <f t="shared" si="2"/>
        <v/>
      </c>
      <c r="G781" s="51">
        <f t="shared" si="3"/>
        <v>-3.1</v>
      </c>
      <c r="H781" s="51">
        <f>IFERROR(__xludf.DUMMYFUNCTION("IFERROR(GOOGLEFINANCE(A781,""PRICE""),)"),561.0)</f>
        <v>561</v>
      </c>
      <c r="I781" s="52">
        <f>IFERROR(__xludf.DUMMYFUNCTION("IFERROR(GOOGLEFINANCE(A781,""VOLUME""),)"),2243746.0)</f>
        <v>2243746</v>
      </c>
      <c r="J781" s="51" t="str">
        <f>IFERROR(__xludf.DUMMYFUNCTION("IFERROR(INDEX(SPLIT(A781,"":""),1,2),)"),"KIRIINDUS")</f>
        <v>KIRIINDUS</v>
      </c>
      <c r="K781" s="51" t="str">
        <f t="shared" si="4"/>
        <v/>
      </c>
      <c r="L781" s="51">
        <f t="shared" si="5"/>
        <v>593</v>
      </c>
      <c r="M781" s="51">
        <f t="shared" si="6"/>
        <v>159</v>
      </c>
      <c r="N781" s="53">
        <f>IFERROR(__xludf.DUMMYFUNCTION("IFERROR(GOOGLEFINANCE(A781,""TRADETIME""),)"),46269.64585648148)</f>
        <v>46269.64586</v>
      </c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</row>
    <row r="782" ht="15.75" customHeight="1">
      <c r="A782" s="48" t="s">
        <v>828</v>
      </c>
      <c r="B782" s="48" t="str">
        <f>IFERROR(__xludf.DUMMYFUNCTION("IFERROR(GOOGLEFINANCE(A782,""NAME""),)"),"Kirloskar Ferrous Industries Ltd")</f>
        <v>Kirloskar Ferrous Industries Ltd</v>
      </c>
      <c r="C782" s="48">
        <f>IFERROR(__xludf.DUMMYFUNCTION("IFERROR(GOOGLEFINANCE(A782,""CHANGE""),)"),8.15)</f>
        <v>8.15</v>
      </c>
      <c r="D782" s="48">
        <f>IFERROR(__xludf.DUMMYFUNCTION("IFERROR(GOOGLEFINANCE(A782,""CHANGEPCT""),)"),1.79)</f>
        <v>1.79</v>
      </c>
      <c r="E782" s="48" t="str">
        <f t="shared" si="1"/>
        <v>1.79%</v>
      </c>
      <c r="F782" s="48">
        <f t="shared" si="2"/>
        <v>1.79</v>
      </c>
      <c r="G782" s="48" t="str">
        <f t="shared" si="3"/>
        <v/>
      </c>
      <c r="H782" s="48">
        <f>IFERROR(__xludf.DUMMYFUNCTION("IFERROR(GOOGLEFINANCE(A782,""PRICE""),)"),462.7)</f>
        <v>462.7</v>
      </c>
      <c r="I782" s="49">
        <f>IFERROR(__xludf.DUMMYFUNCTION("IFERROR(GOOGLEFINANCE(A782,""VOLUME""),)"),242037.0)</f>
        <v>242037</v>
      </c>
      <c r="J782" s="48" t="str">
        <f>IFERROR(__xludf.DUMMYFUNCTION("IFERROR(INDEX(SPLIT(A782,"":""),1,2),)"),"KIRLFER")</f>
        <v>KIRLFER</v>
      </c>
      <c r="K782" s="48">
        <f t="shared" si="4"/>
        <v>298</v>
      </c>
      <c r="L782" s="48" t="str">
        <f t="shared" si="5"/>
        <v/>
      </c>
      <c r="M782" s="48">
        <f t="shared" si="6"/>
        <v>578</v>
      </c>
      <c r="N782" s="50">
        <f>IFERROR(__xludf.DUMMYFUNCTION("IFERROR(GOOGLEFINANCE(A782,""TRADETIME""),)"),46269.64583333333)</f>
        <v>46269.64583</v>
      </c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</row>
    <row r="783" ht="15.75" customHeight="1">
      <c r="A783" s="51" t="s">
        <v>829</v>
      </c>
      <c r="B783" s="51" t="str">
        <f>IFERROR(__xludf.DUMMYFUNCTION("IFERROR(GOOGLEFINANCE(A783,""NAME""),)"),"Kirloskar Brothers Ltd")</f>
        <v>Kirloskar Brothers Ltd</v>
      </c>
      <c r="C783" s="51">
        <f>IFERROR(__xludf.DUMMYFUNCTION("IFERROR(GOOGLEFINANCE(A783,""CHANGE""),)"),-14.3)</f>
        <v>-14.3</v>
      </c>
      <c r="D783" s="51">
        <f>IFERROR(__xludf.DUMMYFUNCTION("IFERROR(GOOGLEFINANCE(A783,""CHANGEPCT""),)"),-0.76)</f>
        <v>-0.76</v>
      </c>
      <c r="E783" s="51" t="str">
        <f t="shared" si="1"/>
        <v>-0.76%</v>
      </c>
      <c r="F783" s="51" t="str">
        <f t="shared" si="2"/>
        <v/>
      </c>
      <c r="G783" s="51">
        <f t="shared" si="3"/>
        <v>-0.76</v>
      </c>
      <c r="H783" s="51">
        <f>IFERROR(__xludf.DUMMYFUNCTION("IFERROR(GOOGLEFINANCE(A783,""PRICE""),)"),1867.0)</f>
        <v>1867</v>
      </c>
      <c r="I783" s="52">
        <f>IFERROR(__xludf.DUMMYFUNCTION("IFERROR(GOOGLEFINANCE(A783,""VOLUME""),)"),19160.0)</f>
        <v>19160</v>
      </c>
      <c r="J783" s="51" t="str">
        <f>IFERROR(__xludf.DUMMYFUNCTION("IFERROR(INDEX(SPLIT(A783,"":""),1,2),)"),"KIRLOSBROS")</f>
        <v>KIRLOSBROS</v>
      </c>
      <c r="K783" s="51" t="str">
        <f t="shared" si="4"/>
        <v/>
      </c>
      <c r="L783" s="51">
        <f t="shared" si="5"/>
        <v>287</v>
      </c>
      <c r="M783" s="51">
        <f t="shared" si="6"/>
        <v>1129</v>
      </c>
      <c r="N783" s="53">
        <f>IFERROR(__xludf.DUMMYFUNCTION("IFERROR(GOOGLEFINANCE(A783,""TRADETIME""),)"),46269.64583333333)</f>
        <v>46269.64583</v>
      </c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</row>
    <row r="784" ht="15.75" customHeight="1">
      <c r="A784" s="48" t="s">
        <v>830</v>
      </c>
      <c r="B784" s="48" t="str">
        <f>IFERROR(__xludf.DUMMYFUNCTION("IFERROR(GOOGLEFINANCE(A784,""NAME""),)"),"Kirloskar Oil Engines Ltd")</f>
        <v>Kirloskar Oil Engines Ltd</v>
      </c>
      <c r="C784" s="48">
        <f>IFERROR(__xludf.DUMMYFUNCTION("IFERROR(GOOGLEFINANCE(A784,""CHANGE""),)"),-75.6)</f>
        <v>-75.6</v>
      </c>
      <c r="D784" s="48">
        <f>IFERROR(__xludf.DUMMYFUNCTION("IFERROR(GOOGLEFINANCE(A784,""CHANGEPCT""),)"),-3.33)</f>
        <v>-3.33</v>
      </c>
      <c r="E784" s="48" t="str">
        <f t="shared" si="1"/>
        <v>-3.33%</v>
      </c>
      <c r="F784" s="48" t="str">
        <f t="shared" si="2"/>
        <v/>
      </c>
      <c r="G784" s="48">
        <f t="shared" si="3"/>
        <v>-3.33</v>
      </c>
      <c r="H784" s="48">
        <f>IFERROR(__xludf.DUMMYFUNCTION("IFERROR(GOOGLEFINANCE(A784,""PRICE""),)"),2192.0)</f>
        <v>2192</v>
      </c>
      <c r="I784" s="49">
        <f>IFERROR(__xludf.DUMMYFUNCTION("IFERROR(GOOGLEFINANCE(A784,""VOLUME""),)"),365394.0)</f>
        <v>365394</v>
      </c>
      <c r="J784" s="48" t="str">
        <f>IFERROR(__xludf.DUMMYFUNCTION("IFERROR(INDEX(SPLIT(A784,"":""),1,2),)"),"KIRLOSENG")</f>
        <v>KIRLOSENG</v>
      </c>
      <c r="K784" s="48" t="str">
        <f t="shared" si="4"/>
        <v/>
      </c>
      <c r="L784" s="48">
        <f t="shared" si="5"/>
        <v>602</v>
      </c>
      <c r="M784" s="48">
        <f t="shared" si="6"/>
        <v>461</v>
      </c>
      <c r="N784" s="50">
        <f>IFERROR(__xludf.DUMMYFUNCTION("IFERROR(GOOGLEFINANCE(A784,""TRADETIME""),)"),46269.64585648148)</f>
        <v>46269.64586</v>
      </c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</row>
    <row r="785" ht="15.75" customHeight="1">
      <c r="A785" s="51" t="s">
        <v>831</v>
      </c>
      <c r="B785" s="51" t="str">
        <f>IFERROR(__xludf.DUMMYFUNCTION("IFERROR(GOOGLEFINANCE(A785,""NAME""),)"),"Kirloskar Industries Ltd")</f>
        <v>Kirloskar Industries Ltd</v>
      </c>
      <c r="C785" s="51">
        <f>IFERROR(__xludf.DUMMYFUNCTION("IFERROR(GOOGLEFINANCE(A785,""CHANGE""),)"),-4.7)</f>
        <v>-4.7</v>
      </c>
      <c r="D785" s="51">
        <f>IFERROR(__xludf.DUMMYFUNCTION("IFERROR(GOOGLEFINANCE(A785,""CHANGEPCT""),)"),-0.13)</f>
        <v>-0.13</v>
      </c>
      <c r="E785" s="51" t="str">
        <f t="shared" si="1"/>
        <v>-0.13%</v>
      </c>
      <c r="F785" s="51" t="str">
        <f t="shared" si="2"/>
        <v/>
      </c>
      <c r="G785" s="51">
        <f t="shared" si="3"/>
        <v>-0.13</v>
      </c>
      <c r="H785" s="51">
        <f>IFERROR(__xludf.DUMMYFUNCTION("IFERROR(GOOGLEFINANCE(A785,""PRICE""),)"),3720.0)</f>
        <v>3720</v>
      </c>
      <c r="I785" s="52">
        <f>IFERROR(__xludf.DUMMYFUNCTION("IFERROR(GOOGLEFINANCE(A785,""VOLUME""),)"),7463.0)</f>
        <v>7463</v>
      </c>
      <c r="J785" s="51" t="str">
        <f>IFERROR(__xludf.DUMMYFUNCTION("IFERROR(INDEX(SPLIT(A785,"":""),1,2),)"),"KIRLOSIND")</f>
        <v>KIRLOSIND</v>
      </c>
      <c r="K785" s="51" t="str">
        <f t="shared" si="4"/>
        <v/>
      </c>
      <c r="L785" s="51">
        <f t="shared" si="5"/>
        <v>45</v>
      </c>
      <c r="M785" s="51">
        <f t="shared" si="6"/>
        <v>1276</v>
      </c>
      <c r="N785" s="53">
        <f>IFERROR(__xludf.DUMMYFUNCTION("IFERROR(GOOGLEFINANCE(A785,""TRADETIME""),)"),46269.64583333333)</f>
        <v>46269.64583</v>
      </c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</row>
    <row r="786" ht="15.75" customHeight="1">
      <c r="A786" s="48" t="s">
        <v>832</v>
      </c>
      <c r="B786" s="48" t="str">
        <f>IFERROR(__xludf.DUMMYFUNCTION("IFERROR(GOOGLEFINANCE(A786,""NAME""),)"),"Kitex Garments Ltd")</f>
        <v>Kitex Garments Ltd</v>
      </c>
      <c r="C786" s="48">
        <f>IFERROR(__xludf.DUMMYFUNCTION("IFERROR(GOOGLEFINANCE(A786,""CHANGE""),)"),5.96)</f>
        <v>5.96</v>
      </c>
      <c r="D786" s="48">
        <f>IFERROR(__xludf.DUMMYFUNCTION("IFERROR(GOOGLEFINANCE(A786,""CHANGEPCT""),)"),4.82)</f>
        <v>4.82</v>
      </c>
      <c r="E786" s="48" t="str">
        <f t="shared" si="1"/>
        <v>4.82%</v>
      </c>
      <c r="F786" s="48">
        <f t="shared" si="2"/>
        <v>4.82</v>
      </c>
      <c r="G786" s="48" t="str">
        <f t="shared" si="3"/>
        <v/>
      </c>
      <c r="H786" s="48">
        <f>IFERROR(__xludf.DUMMYFUNCTION("IFERROR(GOOGLEFINANCE(A786,""PRICE""),)"),129.6)</f>
        <v>129.6</v>
      </c>
      <c r="I786" s="49">
        <f>IFERROR(__xludf.DUMMYFUNCTION("IFERROR(GOOGLEFINANCE(A786,""VOLUME""),)"),679715.0)</f>
        <v>679715</v>
      </c>
      <c r="J786" s="48" t="str">
        <f>IFERROR(__xludf.DUMMYFUNCTION("IFERROR(INDEX(SPLIT(A786,"":""),1,2),)"),"KITEX")</f>
        <v>KITEX</v>
      </c>
      <c r="K786" s="48">
        <f t="shared" si="4"/>
        <v>84</v>
      </c>
      <c r="L786" s="48" t="str">
        <f t="shared" si="5"/>
        <v/>
      </c>
      <c r="M786" s="48">
        <f t="shared" si="6"/>
        <v>336</v>
      </c>
      <c r="N786" s="50">
        <f>IFERROR(__xludf.DUMMYFUNCTION("IFERROR(GOOGLEFINANCE(A786,""TRADETIME""),)"),46269.64583333333)</f>
        <v>46269.64583</v>
      </c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</row>
    <row r="787" ht="15.75" customHeight="1">
      <c r="A787" s="51" t="s">
        <v>833</v>
      </c>
      <c r="B787" s="51" t="str">
        <f>IFERROR(__xludf.DUMMYFUNCTION("IFERROR(GOOGLEFINANCE(A787,""NAME""),)"),"Kewal Kiran Clothing Limited")</f>
        <v>Kewal Kiran Clothing Limited</v>
      </c>
      <c r="C787" s="51">
        <f>IFERROR(__xludf.DUMMYFUNCTION("IFERROR(GOOGLEFINANCE(A787,""CHANGE""),)"),6.2)</f>
        <v>6.2</v>
      </c>
      <c r="D787" s="51">
        <f>IFERROR(__xludf.DUMMYFUNCTION("IFERROR(GOOGLEFINANCE(A787,""CHANGEPCT""),)"),1.23)</f>
        <v>1.23</v>
      </c>
      <c r="E787" s="51" t="str">
        <f t="shared" si="1"/>
        <v>1.23%</v>
      </c>
      <c r="F787" s="51">
        <f t="shared" si="2"/>
        <v>1.23</v>
      </c>
      <c r="G787" s="51" t="str">
        <f t="shared" si="3"/>
        <v/>
      </c>
      <c r="H787" s="51">
        <f>IFERROR(__xludf.DUMMYFUNCTION("IFERROR(GOOGLEFINANCE(A787,""PRICE""),)"),510.0)</f>
        <v>510</v>
      </c>
      <c r="I787" s="52">
        <f>IFERROR(__xludf.DUMMYFUNCTION("IFERROR(GOOGLEFINANCE(A787,""VOLUME""),)"),34214.0)</f>
        <v>34214</v>
      </c>
      <c r="J787" s="51" t="str">
        <f>IFERROR(__xludf.DUMMYFUNCTION("IFERROR(INDEX(SPLIT(A787,"":""),1,2),)"),"KKCL")</f>
        <v>KKCL</v>
      </c>
      <c r="K787" s="51">
        <f t="shared" si="4"/>
        <v>397</v>
      </c>
      <c r="L787" s="51" t="str">
        <f t="shared" si="5"/>
        <v/>
      </c>
      <c r="M787" s="51">
        <f t="shared" si="6"/>
        <v>1031</v>
      </c>
      <c r="N787" s="53">
        <f>IFERROR(__xludf.DUMMYFUNCTION("IFERROR(GOOGLEFINANCE(A787,""TRADETIME""),)"),46269.64585648148)</f>
        <v>46269.64586</v>
      </c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</row>
    <row r="788" ht="15.75" customHeight="1">
      <c r="A788" s="48" t="s">
        <v>834</v>
      </c>
      <c r="B788" s="48" t="str">
        <f>IFERROR(__xludf.DUMMYFUNCTION("IFERROR(GOOGLEFINANCE(A788,""NAME""),)"),"K M Sugar Mills Ltd")</f>
        <v>K M Sugar Mills Ltd</v>
      </c>
      <c r="C788" s="48">
        <f>IFERROR(__xludf.DUMMYFUNCTION("IFERROR(GOOGLEFINANCE(A788,""CHANGE""),)"),-1.45)</f>
        <v>-1.45</v>
      </c>
      <c r="D788" s="48">
        <f>IFERROR(__xludf.DUMMYFUNCTION("IFERROR(GOOGLEFINANCE(A788,""CHANGEPCT""),)"),-4.53)</f>
        <v>-4.53</v>
      </c>
      <c r="E788" s="48" t="str">
        <f t="shared" si="1"/>
        <v>-4.53%</v>
      </c>
      <c r="F788" s="48" t="str">
        <f t="shared" si="2"/>
        <v/>
      </c>
      <c r="G788" s="48">
        <f t="shared" si="3"/>
        <v>-4.53</v>
      </c>
      <c r="H788" s="48">
        <f>IFERROR(__xludf.DUMMYFUNCTION("IFERROR(GOOGLEFINANCE(A788,""PRICE""),)"),30.55)</f>
        <v>30.55</v>
      </c>
      <c r="I788" s="49">
        <f>IFERROR(__xludf.DUMMYFUNCTION("IFERROR(GOOGLEFINANCE(A788,""VOLUME""),)"),302618.0)</f>
        <v>302618</v>
      </c>
      <c r="J788" s="48" t="str">
        <f>IFERROR(__xludf.DUMMYFUNCTION("IFERROR(INDEX(SPLIT(A788,"":""),1,2),)"),"KMSUGAR")</f>
        <v>KMSUGAR</v>
      </c>
      <c r="K788" s="48" t="str">
        <f t="shared" si="4"/>
        <v/>
      </c>
      <c r="L788" s="48">
        <f t="shared" si="5"/>
        <v>631</v>
      </c>
      <c r="M788" s="48">
        <f t="shared" si="6"/>
        <v>514</v>
      </c>
      <c r="N788" s="50">
        <f>IFERROR(__xludf.DUMMYFUNCTION("IFERROR(GOOGLEFINANCE(A788,""TRADETIME""),)"),46269.64585648148)</f>
        <v>46269.64586</v>
      </c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</row>
    <row r="789" ht="15.75" customHeight="1">
      <c r="A789" s="51" t="s">
        <v>835</v>
      </c>
      <c r="B789" s="51" t="str">
        <f>IFERROR(__xludf.DUMMYFUNCTION("IFERROR(GOOGLEFINANCE(A789,""NAME""),)"),"KNR Constructions Ltd")</f>
        <v>KNR Constructions Ltd</v>
      </c>
      <c r="C789" s="51">
        <f>IFERROR(__xludf.DUMMYFUNCTION("IFERROR(GOOGLEFINANCE(A789,""CHANGE""),)"),5.52)</f>
        <v>5.52</v>
      </c>
      <c r="D789" s="51">
        <f>IFERROR(__xludf.DUMMYFUNCTION("IFERROR(GOOGLEFINANCE(A789,""CHANGEPCT""),)"),4.63)</f>
        <v>4.63</v>
      </c>
      <c r="E789" s="51" t="str">
        <f t="shared" si="1"/>
        <v>4.63%</v>
      </c>
      <c r="F789" s="51">
        <f t="shared" si="2"/>
        <v>4.63</v>
      </c>
      <c r="G789" s="51" t="str">
        <f t="shared" si="3"/>
        <v/>
      </c>
      <c r="H789" s="51">
        <f>IFERROR(__xludf.DUMMYFUNCTION("IFERROR(GOOGLEFINANCE(A789,""PRICE""),)"),124.79)</f>
        <v>124.79</v>
      </c>
      <c r="I789" s="52">
        <f>IFERROR(__xludf.DUMMYFUNCTION("IFERROR(GOOGLEFINANCE(A789,""VOLUME""),)"),2626704.0)</f>
        <v>2626704</v>
      </c>
      <c r="J789" s="51" t="str">
        <f>IFERROR(__xludf.DUMMYFUNCTION("IFERROR(INDEX(SPLIT(A789,"":""),1,2),)"),"KNRCON")</f>
        <v>KNRCON</v>
      </c>
      <c r="K789" s="51">
        <f t="shared" si="4"/>
        <v>92</v>
      </c>
      <c r="L789" s="51" t="str">
        <f t="shared" si="5"/>
        <v/>
      </c>
      <c r="M789" s="51">
        <f t="shared" si="6"/>
        <v>137</v>
      </c>
      <c r="N789" s="53">
        <f>IFERROR(__xludf.DUMMYFUNCTION("IFERROR(GOOGLEFINANCE(A789,""TRADETIME""),)"),46269.64583333333)</f>
        <v>46269.64583</v>
      </c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</row>
    <row r="790" ht="15.75" customHeight="1">
      <c r="A790" s="48" t="s">
        <v>836</v>
      </c>
      <c r="B790" s="48" t="str">
        <f>IFERROR(__xludf.DUMMYFUNCTION("IFERROR(GOOGLEFINANCE(A790,""NAME""),)"),"Kokuyo Camlin Ltd")</f>
        <v>Kokuyo Camlin Ltd</v>
      </c>
      <c r="C790" s="48">
        <f>IFERROR(__xludf.DUMMYFUNCTION("IFERROR(GOOGLEFINANCE(A790,""CHANGE""),)"),1.8)</f>
        <v>1.8</v>
      </c>
      <c r="D790" s="48">
        <f>IFERROR(__xludf.DUMMYFUNCTION("IFERROR(GOOGLEFINANCE(A790,""CHANGEPCT""),)"),2.29)</f>
        <v>2.29</v>
      </c>
      <c r="E790" s="48" t="str">
        <f t="shared" si="1"/>
        <v>2.29%</v>
      </c>
      <c r="F790" s="48">
        <f t="shared" si="2"/>
        <v>2.29</v>
      </c>
      <c r="G790" s="48" t="str">
        <f t="shared" si="3"/>
        <v/>
      </c>
      <c r="H790" s="48">
        <f>IFERROR(__xludf.DUMMYFUNCTION("IFERROR(GOOGLEFINANCE(A790,""PRICE""),)"),80.24)</f>
        <v>80.24</v>
      </c>
      <c r="I790" s="49">
        <f>IFERROR(__xludf.DUMMYFUNCTION("IFERROR(GOOGLEFINANCE(A790,""VOLUME""),)"),40527.0)</f>
        <v>40527</v>
      </c>
      <c r="J790" s="48" t="str">
        <f>IFERROR(__xludf.DUMMYFUNCTION("IFERROR(INDEX(SPLIT(A790,"":""),1,2),)"),"KOKUYOCMLN")</f>
        <v>KOKUYOCMLN</v>
      </c>
      <c r="K790" s="48">
        <f t="shared" si="4"/>
        <v>223</v>
      </c>
      <c r="L790" s="48" t="str">
        <f t="shared" si="5"/>
        <v/>
      </c>
      <c r="M790" s="48">
        <f t="shared" si="6"/>
        <v>1003</v>
      </c>
      <c r="N790" s="50">
        <f>IFERROR(__xludf.DUMMYFUNCTION("IFERROR(GOOGLEFINANCE(A790,""TRADETIME""),)"),46269.64583333333)</f>
        <v>46269.64583</v>
      </c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</row>
    <row r="791" ht="15.75" customHeight="1">
      <c r="A791" s="51" t="s">
        <v>837</v>
      </c>
      <c r="B791" s="51" t="str">
        <f>IFERROR(__xludf.DUMMYFUNCTION("IFERROR(GOOGLEFINANCE(A791,""NAME""),)"),"Kolte-Patil Developers Ltd")</f>
        <v>Kolte-Patil Developers Ltd</v>
      </c>
      <c r="C791" s="51">
        <f>IFERROR(__xludf.DUMMYFUNCTION("IFERROR(GOOGLEFINANCE(A791,""CHANGE""),)"),-8.05)</f>
        <v>-8.05</v>
      </c>
      <c r="D791" s="51">
        <f>IFERROR(__xludf.DUMMYFUNCTION("IFERROR(GOOGLEFINANCE(A791,""CHANGEPCT""),)"),-1.79)</f>
        <v>-1.79</v>
      </c>
      <c r="E791" s="51" t="str">
        <f t="shared" si="1"/>
        <v>-1.79%</v>
      </c>
      <c r="F791" s="51" t="str">
        <f t="shared" si="2"/>
        <v/>
      </c>
      <c r="G791" s="51">
        <f t="shared" si="3"/>
        <v>-1.79</v>
      </c>
      <c r="H791" s="51">
        <f>IFERROR(__xludf.DUMMYFUNCTION("IFERROR(GOOGLEFINANCE(A791,""PRICE""),)"),441.5)</f>
        <v>441.5</v>
      </c>
      <c r="I791" s="52">
        <f>IFERROR(__xludf.DUMMYFUNCTION("IFERROR(GOOGLEFINANCE(A791,""VOLUME""),)"),72213.0)</f>
        <v>72213</v>
      </c>
      <c r="J791" s="51" t="str">
        <f>IFERROR(__xludf.DUMMYFUNCTION("IFERROR(INDEX(SPLIT(A791,"":""),1,2),)"),"KOLTEPATIL")</f>
        <v>KOLTEPATIL</v>
      </c>
      <c r="K791" s="51" t="str">
        <f t="shared" si="4"/>
        <v/>
      </c>
      <c r="L791" s="51">
        <f t="shared" si="5"/>
        <v>493</v>
      </c>
      <c r="M791" s="51">
        <f t="shared" si="6"/>
        <v>855</v>
      </c>
      <c r="N791" s="53">
        <f>IFERROR(__xludf.DUMMYFUNCTION("IFERROR(GOOGLEFINANCE(A791,""TRADETIME""),)"),46269.64583333333)</f>
        <v>46269.64583</v>
      </c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</row>
    <row r="792" ht="15.75" customHeight="1">
      <c r="A792" s="48" t="s">
        <v>838</v>
      </c>
      <c r="B792" s="48" t="str">
        <f>IFERROR(__xludf.DUMMYFUNCTION("IFERROR(GOOGLEFINANCE(A792,""NAME""),)"),"Kopran Ltd")</f>
        <v>Kopran Ltd</v>
      </c>
      <c r="C792" s="48">
        <f>IFERROR(__xludf.DUMMYFUNCTION("IFERROR(GOOGLEFINANCE(A792,""CHANGE""),)"),0.76)</f>
        <v>0.76</v>
      </c>
      <c r="D792" s="48">
        <f>IFERROR(__xludf.DUMMYFUNCTION("IFERROR(GOOGLEFINANCE(A792,""CHANGEPCT""),)"),0.33)</f>
        <v>0.33</v>
      </c>
      <c r="E792" s="48" t="str">
        <f t="shared" si="1"/>
        <v>0.33%</v>
      </c>
      <c r="F792" s="48">
        <f t="shared" si="2"/>
        <v>0.33</v>
      </c>
      <c r="G792" s="48" t="str">
        <f t="shared" si="3"/>
        <v/>
      </c>
      <c r="H792" s="48">
        <f>IFERROR(__xludf.DUMMYFUNCTION("IFERROR(GOOGLEFINANCE(A792,""PRICE""),)"),233.0)</f>
        <v>233</v>
      </c>
      <c r="I792" s="49">
        <f>IFERROR(__xludf.DUMMYFUNCTION("IFERROR(GOOGLEFINANCE(A792,""VOLUME""),)"),661197.0)</f>
        <v>661197</v>
      </c>
      <c r="J792" s="48" t="str">
        <f>IFERROR(__xludf.DUMMYFUNCTION("IFERROR(INDEX(SPLIT(A792,"":""),1,2),)"),"KOPRAN")</f>
        <v>KOPRAN</v>
      </c>
      <c r="K792" s="48">
        <f t="shared" si="4"/>
        <v>651</v>
      </c>
      <c r="L792" s="48" t="str">
        <f t="shared" si="5"/>
        <v/>
      </c>
      <c r="M792" s="48">
        <f t="shared" si="6"/>
        <v>340</v>
      </c>
      <c r="N792" s="50">
        <f>IFERROR(__xludf.DUMMYFUNCTION("IFERROR(GOOGLEFINANCE(A792,""TRADETIME""),)"),46269.64583333333)</f>
        <v>46269.64583</v>
      </c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</row>
    <row r="793" ht="15.75" customHeight="1">
      <c r="A793" s="51" t="s">
        <v>839</v>
      </c>
      <c r="B793" s="51" t="str">
        <f>IFERROR(__xludf.DUMMYFUNCTION("IFERROR(GOOGLEFINANCE(A793,""NAME""),)"),"Kotak Mahindra Bank Ltd Fully Paid Ord. Shrs")</f>
        <v>Kotak Mahindra Bank Ltd Fully Paid Ord. Shrs</v>
      </c>
      <c r="C793" s="51">
        <f>IFERROR(__xludf.DUMMYFUNCTION("IFERROR(GOOGLEFINANCE(A793,""CHANGE""),)"),3.55)</f>
        <v>3.55</v>
      </c>
      <c r="D793" s="51">
        <f>IFERROR(__xludf.DUMMYFUNCTION("IFERROR(GOOGLEFINANCE(A793,""CHANGEPCT""),)"),0.84)</f>
        <v>0.84</v>
      </c>
      <c r="E793" s="51" t="str">
        <f t="shared" si="1"/>
        <v>0.84%</v>
      </c>
      <c r="F793" s="51">
        <f t="shared" si="2"/>
        <v>0.84</v>
      </c>
      <c r="G793" s="51" t="str">
        <f t="shared" si="3"/>
        <v/>
      </c>
      <c r="H793" s="51">
        <f>IFERROR(__xludf.DUMMYFUNCTION("IFERROR(GOOGLEFINANCE(A793,""PRICE""),)"),424.7)</f>
        <v>424.7</v>
      </c>
      <c r="I793" s="52">
        <f>IFERROR(__xludf.DUMMYFUNCTION("IFERROR(GOOGLEFINANCE(A793,""VOLUME""),)"),9408316.0)</f>
        <v>9408316</v>
      </c>
      <c r="J793" s="51" t="str">
        <f>IFERROR(__xludf.DUMMYFUNCTION("IFERROR(INDEX(SPLIT(A793,"":""),1,2),)"),"KOTAKBANK")</f>
        <v>KOTAKBANK</v>
      </c>
      <c r="K793" s="51">
        <f t="shared" si="4"/>
        <v>488</v>
      </c>
      <c r="L793" s="51" t="str">
        <f t="shared" si="5"/>
        <v/>
      </c>
      <c r="M793" s="51">
        <f t="shared" si="6"/>
        <v>46</v>
      </c>
      <c r="N793" s="53">
        <f>IFERROR(__xludf.DUMMYFUNCTION("IFERROR(GOOGLEFINANCE(A793,""TRADETIME""),)"),46269.64583333333)</f>
        <v>46269.64583</v>
      </c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</row>
    <row r="794" ht="15.75" customHeight="1">
      <c r="A794" s="48" t="s">
        <v>840</v>
      </c>
      <c r="B794" s="48" t="str">
        <f>IFERROR(__xludf.DUMMYFUNCTION("IFERROR(GOOGLEFINANCE(A794,""NAME""),)"),"Kothari Sugars and Chemicals Ltd")</f>
        <v>Kothari Sugars and Chemicals Ltd</v>
      </c>
      <c r="C794" s="48">
        <f>IFERROR(__xludf.DUMMYFUNCTION("IFERROR(GOOGLEFINANCE(A794,""CHANGE""),)"),-0.7)</f>
        <v>-0.7</v>
      </c>
      <c r="D794" s="48">
        <f>IFERROR(__xludf.DUMMYFUNCTION("IFERROR(GOOGLEFINANCE(A794,""CHANGEPCT""),)"),-2.29)</f>
        <v>-2.29</v>
      </c>
      <c r="E794" s="48" t="str">
        <f t="shared" si="1"/>
        <v>-2.29%</v>
      </c>
      <c r="F794" s="48" t="str">
        <f t="shared" si="2"/>
        <v/>
      </c>
      <c r="G794" s="48">
        <f t="shared" si="3"/>
        <v>-2.29</v>
      </c>
      <c r="H794" s="48">
        <f>IFERROR(__xludf.DUMMYFUNCTION("IFERROR(GOOGLEFINANCE(A794,""PRICE""),)"),29.83)</f>
        <v>29.83</v>
      </c>
      <c r="I794" s="49">
        <f>IFERROR(__xludf.DUMMYFUNCTION("IFERROR(GOOGLEFINANCE(A794,""VOLUME""),)"),27875.0)</f>
        <v>27875</v>
      </c>
      <c r="J794" s="48" t="str">
        <f>IFERROR(__xludf.DUMMYFUNCTION("IFERROR(INDEX(SPLIT(A794,"":""),1,2),)"),"KOTARISUG")</f>
        <v>KOTARISUG</v>
      </c>
      <c r="K794" s="48" t="str">
        <f t="shared" si="4"/>
        <v/>
      </c>
      <c r="L794" s="48">
        <f t="shared" si="5"/>
        <v>558</v>
      </c>
      <c r="M794" s="48">
        <f t="shared" si="6"/>
        <v>1067</v>
      </c>
      <c r="N794" s="50">
        <f>IFERROR(__xludf.DUMMYFUNCTION("IFERROR(GOOGLEFINANCE(A794,""TRADETIME""),)"),46269.64583333333)</f>
        <v>46269.64583</v>
      </c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</row>
    <row r="795" ht="15.75" customHeight="1">
      <c r="A795" s="51" t="s">
        <v>841</v>
      </c>
      <c r="B795" s="51" t="str">
        <f>IFERROR(__xludf.DUMMYFUNCTION("IFERROR(GOOGLEFINANCE(A795,""NAME""),)"),"Kothari Petrochemicals Ltd")</f>
        <v>Kothari Petrochemicals Ltd</v>
      </c>
      <c r="C795" s="51">
        <f>IFERROR(__xludf.DUMMYFUNCTION("IFERROR(GOOGLEFINANCE(A795,""CHANGE""),)"),1.48)</f>
        <v>1.48</v>
      </c>
      <c r="D795" s="51">
        <f>IFERROR(__xludf.DUMMYFUNCTION("IFERROR(GOOGLEFINANCE(A795,""CHANGEPCT""),)"),1.15)</f>
        <v>1.15</v>
      </c>
      <c r="E795" s="51" t="str">
        <f t="shared" si="1"/>
        <v>1.15%</v>
      </c>
      <c r="F795" s="51">
        <f t="shared" si="2"/>
        <v>1.15</v>
      </c>
      <c r="G795" s="51" t="str">
        <f t="shared" si="3"/>
        <v/>
      </c>
      <c r="H795" s="51">
        <f>IFERROR(__xludf.DUMMYFUNCTION("IFERROR(GOOGLEFINANCE(A795,""PRICE""),)"),130.5)</f>
        <v>130.5</v>
      </c>
      <c r="I795" s="52">
        <f>IFERROR(__xludf.DUMMYFUNCTION("IFERROR(GOOGLEFINANCE(A795,""VOLUME""),)"),51588.0)</f>
        <v>51588</v>
      </c>
      <c r="J795" s="51" t="str">
        <f>IFERROR(__xludf.DUMMYFUNCTION("IFERROR(INDEX(SPLIT(A795,"":""),1,2),)"),"KOTHARIPET")</f>
        <v>KOTHARIPET</v>
      </c>
      <c r="K795" s="51">
        <f t="shared" si="4"/>
        <v>419</v>
      </c>
      <c r="L795" s="51" t="str">
        <f t="shared" si="5"/>
        <v/>
      </c>
      <c r="M795" s="51">
        <f t="shared" si="6"/>
        <v>935</v>
      </c>
      <c r="N795" s="53">
        <f>IFERROR(__xludf.DUMMYFUNCTION("IFERROR(GOOGLEFINANCE(A795,""TRADETIME""),)"),46269.64583333333)</f>
        <v>46269.64583</v>
      </c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</row>
    <row r="796" ht="15.75" customHeight="1">
      <c r="A796" s="48" t="s">
        <v>842</v>
      </c>
      <c r="B796" s="48" t="str">
        <f>IFERROR(__xludf.DUMMYFUNCTION("IFERROR(GOOGLEFINANCE(A796,""NAME""),)"),"Kothari Products Ltd")</f>
        <v>Kothari Products Ltd</v>
      </c>
      <c r="C796" s="48">
        <f>IFERROR(__xludf.DUMMYFUNCTION("IFERROR(GOOGLEFINANCE(A796,""CHANGE""),)"),-0.32)</f>
        <v>-0.32</v>
      </c>
      <c r="D796" s="48">
        <f>IFERROR(__xludf.DUMMYFUNCTION("IFERROR(GOOGLEFINANCE(A796,""CHANGEPCT""),)"),-0.47)</f>
        <v>-0.47</v>
      </c>
      <c r="E796" s="48" t="str">
        <f t="shared" si="1"/>
        <v>-0.47%</v>
      </c>
      <c r="F796" s="48" t="str">
        <f t="shared" si="2"/>
        <v/>
      </c>
      <c r="G796" s="48">
        <f t="shared" si="3"/>
        <v>-0.47</v>
      </c>
      <c r="H796" s="48">
        <f>IFERROR(__xludf.DUMMYFUNCTION("IFERROR(GOOGLEFINANCE(A796,""PRICE""),)"),67.26)</f>
        <v>67.26</v>
      </c>
      <c r="I796" s="49">
        <f>IFERROR(__xludf.DUMMYFUNCTION("IFERROR(GOOGLEFINANCE(A796,""VOLUME""),)"),3862.0)</f>
        <v>3862</v>
      </c>
      <c r="J796" s="48" t="str">
        <f>IFERROR(__xludf.DUMMYFUNCTION("IFERROR(INDEX(SPLIT(A796,"":""),1,2),)"),"KOTHARIPRO")</f>
        <v>KOTHARIPRO</v>
      </c>
      <c r="K796" s="48" t="str">
        <f t="shared" si="4"/>
        <v/>
      </c>
      <c r="L796" s="48">
        <f t="shared" si="5"/>
        <v>182</v>
      </c>
      <c r="M796" s="48">
        <f t="shared" si="6"/>
        <v>1351</v>
      </c>
      <c r="N796" s="50">
        <f>IFERROR(__xludf.DUMMYFUNCTION("IFERROR(GOOGLEFINANCE(A796,""TRADETIME""),)"),46269.64583333333)</f>
        <v>46269.64583</v>
      </c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</row>
    <row r="797" ht="15.75" customHeight="1">
      <c r="A797" s="51" t="s">
        <v>843</v>
      </c>
      <c r="B797" s="51" t="str">
        <f>IFERROR(__xludf.DUMMYFUNCTION("IFERROR(GOOGLEFINANCE(A797,""NAME""),)"),"KPIT Technologies Ltd")</f>
        <v>KPIT Technologies Ltd</v>
      </c>
      <c r="C797" s="51">
        <f>IFERROR(__xludf.DUMMYFUNCTION("IFERROR(GOOGLEFINANCE(A797,""CHANGE""),)"),-7.8)</f>
        <v>-7.8</v>
      </c>
      <c r="D797" s="51">
        <f>IFERROR(__xludf.DUMMYFUNCTION("IFERROR(GOOGLEFINANCE(A797,""CHANGEPCT""),)"),-1.34)</f>
        <v>-1.34</v>
      </c>
      <c r="E797" s="51" t="str">
        <f t="shared" si="1"/>
        <v>-1.34%</v>
      </c>
      <c r="F797" s="51" t="str">
        <f t="shared" si="2"/>
        <v/>
      </c>
      <c r="G797" s="51">
        <f t="shared" si="3"/>
        <v>-1.34</v>
      </c>
      <c r="H797" s="51">
        <f>IFERROR(__xludf.DUMMYFUNCTION("IFERROR(GOOGLEFINANCE(A797,""PRICE""),)"),575.7)</f>
        <v>575.7</v>
      </c>
      <c r="I797" s="52">
        <f>IFERROR(__xludf.DUMMYFUNCTION("IFERROR(GOOGLEFINANCE(A797,""VOLUME""),)"),1239906.0)</f>
        <v>1239906</v>
      </c>
      <c r="J797" s="51" t="str">
        <f>IFERROR(__xludf.DUMMYFUNCTION("IFERROR(INDEX(SPLIT(A797,"":""),1,2),)"),"KPITTECH")</f>
        <v>KPITTECH</v>
      </c>
      <c r="K797" s="51" t="str">
        <f t="shared" si="4"/>
        <v/>
      </c>
      <c r="L797" s="51">
        <f t="shared" si="5"/>
        <v>415</v>
      </c>
      <c r="M797" s="51">
        <f t="shared" si="6"/>
        <v>238</v>
      </c>
      <c r="N797" s="53">
        <f>IFERROR(__xludf.DUMMYFUNCTION("IFERROR(GOOGLEFINANCE(A797,""TRADETIME""),)"),46269.64583333333)</f>
        <v>46269.64583</v>
      </c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</row>
    <row r="798" ht="15.75" customHeight="1">
      <c r="A798" s="48" t="s">
        <v>844</v>
      </c>
      <c r="B798" s="48" t="str">
        <f>IFERROR(__xludf.DUMMYFUNCTION("IFERROR(GOOGLEFINANCE(A798,""NAME""),)"),"KPR Mill Ltd")</f>
        <v>KPR Mill Ltd</v>
      </c>
      <c r="C798" s="48">
        <f>IFERROR(__xludf.DUMMYFUNCTION("IFERROR(GOOGLEFINANCE(A798,""CHANGE""),)"),8.6)</f>
        <v>8.6</v>
      </c>
      <c r="D798" s="48">
        <f>IFERROR(__xludf.DUMMYFUNCTION("IFERROR(GOOGLEFINANCE(A798,""CHANGEPCT""),)"),0.73)</f>
        <v>0.73</v>
      </c>
      <c r="E798" s="48" t="str">
        <f t="shared" si="1"/>
        <v>0.73%</v>
      </c>
      <c r="F798" s="48">
        <f t="shared" si="2"/>
        <v>0.73</v>
      </c>
      <c r="G798" s="48" t="str">
        <f t="shared" si="3"/>
        <v/>
      </c>
      <c r="H798" s="48">
        <f>IFERROR(__xludf.DUMMYFUNCTION("IFERROR(GOOGLEFINANCE(A798,""PRICE""),)"),1184.0)</f>
        <v>1184</v>
      </c>
      <c r="I798" s="49">
        <f>IFERROR(__xludf.DUMMYFUNCTION("IFERROR(GOOGLEFINANCE(A798,""VOLUME""),)"),199902.0)</f>
        <v>199902</v>
      </c>
      <c r="J798" s="48" t="str">
        <f>IFERROR(__xludf.DUMMYFUNCTION("IFERROR(INDEX(SPLIT(A798,"":""),1,2),)"),"KPRMILL")</f>
        <v>KPRMILL</v>
      </c>
      <c r="K798" s="48">
        <f t="shared" si="4"/>
        <v>523</v>
      </c>
      <c r="L798" s="48" t="str">
        <f t="shared" si="5"/>
        <v/>
      </c>
      <c r="M798" s="48">
        <f t="shared" si="6"/>
        <v>627</v>
      </c>
      <c r="N798" s="50">
        <f>IFERROR(__xludf.DUMMYFUNCTION("IFERROR(GOOGLEFINANCE(A798,""TRADETIME""),)"),46269.64583333333)</f>
        <v>46269.64583</v>
      </c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</row>
    <row r="799" ht="15.75" customHeight="1">
      <c r="A799" s="51" t="s">
        <v>845</v>
      </c>
      <c r="B799" s="51" t="str">
        <f>IFERROR(__xludf.DUMMYFUNCTION("IFERROR(GOOGLEFINANCE(A799,""NAME""),)"),"KRBL Ltd")</f>
        <v>KRBL Ltd</v>
      </c>
      <c r="C799" s="51">
        <f>IFERROR(__xludf.DUMMYFUNCTION("IFERROR(GOOGLEFINANCE(A799,""CHANGE""),)"),-3.45)</f>
        <v>-3.45</v>
      </c>
      <c r="D799" s="51">
        <f>IFERROR(__xludf.DUMMYFUNCTION("IFERROR(GOOGLEFINANCE(A799,""CHANGEPCT""),)"),-0.81)</f>
        <v>-0.81</v>
      </c>
      <c r="E799" s="51" t="str">
        <f t="shared" si="1"/>
        <v>-0.81%</v>
      </c>
      <c r="F799" s="51" t="str">
        <f t="shared" si="2"/>
        <v/>
      </c>
      <c r="G799" s="51">
        <f t="shared" si="3"/>
        <v>-0.81</v>
      </c>
      <c r="H799" s="51">
        <f>IFERROR(__xludf.DUMMYFUNCTION("IFERROR(GOOGLEFINANCE(A799,""PRICE""),)"),421.45)</f>
        <v>421.45</v>
      </c>
      <c r="I799" s="52">
        <f>IFERROR(__xludf.DUMMYFUNCTION("IFERROR(GOOGLEFINANCE(A799,""VOLUME""),)"),313910.0)</f>
        <v>313910</v>
      </c>
      <c r="J799" s="51" t="str">
        <f>IFERROR(__xludf.DUMMYFUNCTION("IFERROR(INDEX(SPLIT(A799,"":""),1,2),)"),"KRBL")</f>
        <v>KRBL</v>
      </c>
      <c r="K799" s="51" t="str">
        <f t="shared" si="4"/>
        <v/>
      </c>
      <c r="L799" s="51">
        <f t="shared" si="5"/>
        <v>300</v>
      </c>
      <c r="M799" s="51">
        <f t="shared" si="6"/>
        <v>498</v>
      </c>
      <c r="N799" s="53">
        <f>IFERROR(__xludf.DUMMYFUNCTION("IFERROR(GOOGLEFINANCE(A799,""TRADETIME""),)"),46269.64585648148)</f>
        <v>46269.64586</v>
      </c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</row>
    <row r="800" ht="15.75" customHeight="1">
      <c r="A800" s="48" t="s">
        <v>846</v>
      </c>
      <c r="B800" s="48" t="str">
        <f>IFERROR(__xludf.DUMMYFUNCTION("IFERROR(GOOGLEFINANCE(A800,""NAME""),)"),"Krebs Biochemicals And Industries Ltd")</f>
        <v>Krebs Biochemicals And Industries Ltd</v>
      </c>
      <c r="C800" s="48">
        <f>IFERROR(__xludf.DUMMYFUNCTION("IFERROR(GOOGLEFINANCE(A800,""CHANGE""),)"),0.64)</f>
        <v>0.64</v>
      </c>
      <c r="D800" s="48">
        <f>IFERROR(__xludf.DUMMYFUNCTION("IFERROR(GOOGLEFINANCE(A800,""CHANGEPCT""),)"),1.17)</f>
        <v>1.17</v>
      </c>
      <c r="E800" s="48" t="str">
        <f t="shared" si="1"/>
        <v>1.17%</v>
      </c>
      <c r="F800" s="48">
        <f t="shared" si="2"/>
        <v>1.17</v>
      </c>
      <c r="G800" s="48" t="str">
        <f t="shared" si="3"/>
        <v/>
      </c>
      <c r="H800" s="48">
        <f>IFERROR(__xludf.DUMMYFUNCTION("IFERROR(GOOGLEFINANCE(A800,""PRICE""),)"),55.14)</f>
        <v>55.14</v>
      </c>
      <c r="I800" s="49">
        <f>IFERROR(__xludf.DUMMYFUNCTION("IFERROR(GOOGLEFINANCE(A800,""VOLUME""),)"),5830.0)</f>
        <v>5830</v>
      </c>
      <c r="J800" s="48" t="str">
        <f>IFERROR(__xludf.DUMMYFUNCTION("IFERROR(INDEX(SPLIT(A800,"":""),1,2),)"),"KREBSBIO")</f>
        <v>KREBSBIO</v>
      </c>
      <c r="K800" s="48">
        <f t="shared" si="4"/>
        <v>414</v>
      </c>
      <c r="L800" s="48" t="str">
        <f t="shared" si="5"/>
        <v/>
      </c>
      <c r="M800" s="48">
        <f t="shared" si="6"/>
        <v>1311</v>
      </c>
      <c r="N800" s="50">
        <f>IFERROR(__xludf.DUMMYFUNCTION("IFERROR(GOOGLEFINANCE(A800,""TRADETIME""),)"),46269.64583333333)</f>
        <v>46269.64583</v>
      </c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</row>
    <row r="801" ht="15.75" customHeight="1">
      <c r="A801" s="51" t="s">
        <v>847</v>
      </c>
      <c r="B801" s="51" t="str">
        <f>IFERROR(__xludf.DUMMYFUNCTION("IFERROR(GOOGLEFINANCE(A801,""NAME""),)"),"Kridhan Infra Ltd")</f>
        <v>Kridhan Infra Ltd</v>
      </c>
      <c r="C801" s="51">
        <f>IFERROR(__xludf.DUMMYFUNCTION("IFERROR(GOOGLEFINANCE(A801,""CHANGE""),)"),0.03)</f>
        <v>0.03</v>
      </c>
      <c r="D801" s="51">
        <f>IFERROR(__xludf.DUMMYFUNCTION("IFERROR(GOOGLEFINANCE(A801,""CHANGEPCT""),)"),1.49)</f>
        <v>1.49</v>
      </c>
      <c r="E801" s="51" t="str">
        <f t="shared" si="1"/>
        <v>1.49%</v>
      </c>
      <c r="F801" s="51">
        <f t="shared" si="2"/>
        <v>1.49</v>
      </c>
      <c r="G801" s="51" t="str">
        <f t="shared" si="3"/>
        <v/>
      </c>
      <c r="H801" s="51">
        <f>IFERROR(__xludf.DUMMYFUNCTION("IFERROR(GOOGLEFINANCE(A801,""PRICE""),)"),2.04)</f>
        <v>2.04</v>
      </c>
      <c r="I801" s="52">
        <f>IFERROR(__xludf.DUMMYFUNCTION("IFERROR(GOOGLEFINANCE(A801,""VOLUME""),)"),20638.0)</f>
        <v>20638</v>
      </c>
      <c r="J801" s="51" t="str">
        <f>IFERROR(__xludf.DUMMYFUNCTION("IFERROR(INDEX(SPLIT(A801,"":""),1,2),)"),"KRIDHANINF")</f>
        <v>KRIDHANINF</v>
      </c>
      <c r="K801" s="51">
        <f t="shared" si="4"/>
        <v>350</v>
      </c>
      <c r="L801" s="51" t="str">
        <f t="shared" si="5"/>
        <v/>
      </c>
      <c r="M801" s="51">
        <f t="shared" si="6"/>
        <v>1119</v>
      </c>
      <c r="N801" s="53">
        <f>IFERROR(__xludf.DUMMYFUNCTION("IFERROR(GOOGLEFINANCE(A801,""TRADETIME""),)"),46269.64583333333)</f>
        <v>46269.64583</v>
      </c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</row>
    <row r="802" ht="15.75" customHeight="1">
      <c r="A802" s="48" t="s">
        <v>848</v>
      </c>
      <c r="B802" s="48" t="str">
        <f>IFERROR(__xludf.DUMMYFUNCTION("IFERROR(GOOGLEFINANCE(A802,""NAME""),)"),"Krishana Phoschem Ltd")</f>
        <v>Krishana Phoschem Ltd</v>
      </c>
      <c r="C802" s="48">
        <f>IFERROR(__xludf.DUMMYFUNCTION("IFERROR(GOOGLEFINANCE(A802,""CHANGE""),)"),-0.91)</f>
        <v>-0.91</v>
      </c>
      <c r="D802" s="48">
        <f>IFERROR(__xludf.DUMMYFUNCTION("IFERROR(GOOGLEFINANCE(A802,""CHANGEPCT""),)"),-0.49)</f>
        <v>-0.49</v>
      </c>
      <c r="E802" s="48" t="str">
        <f t="shared" si="1"/>
        <v>-0.49%</v>
      </c>
      <c r="F802" s="48" t="str">
        <f t="shared" si="2"/>
        <v/>
      </c>
      <c r="G802" s="48">
        <f t="shared" si="3"/>
        <v>-0.49</v>
      </c>
      <c r="H802" s="48">
        <f>IFERROR(__xludf.DUMMYFUNCTION("IFERROR(GOOGLEFINANCE(A802,""PRICE""),)"),185.46)</f>
        <v>185.46</v>
      </c>
      <c r="I802" s="49">
        <f>IFERROR(__xludf.DUMMYFUNCTION("IFERROR(GOOGLEFINANCE(A802,""VOLUME""),)"),525256.0)</f>
        <v>525256</v>
      </c>
      <c r="J802" s="48" t="str">
        <f>IFERROR(__xludf.DUMMYFUNCTION("IFERROR(INDEX(SPLIT(A802,"":""),1,2),)"),"KRISHANA")</f>
        <v>KRISHANA</v>
      </c>
      <c r="K802" s="48" t="str">
        <f t="shared" si="4"/>
        <v/>
      </c>
      <c r="L802" s="48">
        <f t="shared" si="5"/>
        <v>193</v>
      </c>
      <c r="M802" s="48">
        <f t="shared" si="6"/>
        <v>383</v>
      </c>
      <c r="N802" s="50">
        <f>IFERROR(__xludf.DUMMYFUNCTION("IFERROR(GOOGLEFINANCE(A802,""TRADETIME""),)"),46269.64583333333)</f>
        <v>46269.64583</v>
      </c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</row>
    <row r="803" ht="15.75" customHeight="1">
      <c r="A803" s="51" t="s">
        <v>849</v>
      </c>
      <c r="B803" s="51" t="str">
        <f>IFERROR(__xludf.DUMMYFUNCTION("IFERROR(GOOGLEFINANCE(A803,""NAME""),)"),"KSB Ltd")</f>
        <v>KSB Ltd</v>
      </c>
      <c r="C803" s="51">
        <f>IFERROR(__xludf.DUMMYFUNCTION("IFERROR(GOOGLEFINANCE(A803,""CHANGE""),)"),4.4)</f>
        <v>4.4</v>
      </c>
      <c r="D803" s="51">
        <f>IFERROR(__xludf.DUMMYFUNCTION("IFERROR(GOOGLEFINANCE(A803,""CHANGEPCT""),)"),0.54)</f>
        <v>0.54</v>
      </c>
      <c r="E803" s="51" t="str">
        <f t="shared" si="1"/>
        <v>0.54%</v>
      </c>
      <c r="F803" s="51">
        <f t="shared" si="2"/>
        <v>0.54</v>
      </c>
      <c r="G803" s="51" t="str">
        <f t="shared" si="3"/>
        <v/>
      </c>
      <c r="H803" s="51">
        <f>IFERROR(__xludf.DUMMYFUNCTION("IFERROR(GOOGLEFINANCE(A803,""PRICE""),)"),815.0)</f>
        <v>815</v>
      </c>
      <c r="I803" s="52">
        <f>IFERROR(__xludf.DUMMYFUNCTION("IFERROR(GOOGLEFINANCE(A803,""VOLUME""),)"),89128.0)</f>
        <v>89128</v>
      </c>
      <c r="J803" s="51" t="str">
        <f>IFERROR(__xludf.DUMMYFUNCTION("IFERROR(INDEX(SPLIT(A803,"":""),1,2),)"),"KSB")</f>
        <v>KSB</v>
      </c>
      <c r="K803" s="51">
        <f t="shared" si="4"/>
        <v>578</v>
      </c>
      <c r="L803" s="51" t="str">
        <f t="shared" si="5"/>
        <v/>
      </c>
      <c r="M803" s="51">
        <f t="shared" si="6"/>
        <v>800</v>
      </c>
      <c r="N803" s="53">
        <f>IFERROR(__xludf.DUMMYFUNCTION("IFERROR(GOOGLEFINANCE(A803,""TRADETIME""),)"),46269.64583333333)</f>
        <v>46269.64583</v>
      </c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</row>
    <row r="804" ht="15.75" customHeight="1">
      <c r="A804" s="48" t="s">
        <v>850</v>
      </c>
      <c r="B804" s="48" t="str">
        <f>IFERROR(__xludf.DUMMYFUNCTION("IFERROR(GOOGLEFINANCE(A804,""NAME""),)"),"Kaveri Seed Company Ltd")</f>
        <v>Kaveri Seed Company Ltd</v>
      </c>
      <c r="C804" s="48">
        <f>IFERROR(__xludf.DUMMYFUNCTION("IFERROR(GOOGLEFINANCE(A804,""CHANGE""),)"),0.2)</f>
        <v>0.2</v>
      </c>
      <c r="D804" s="48">
        <f>IFERROR(__xludf.DUMMYFUNCTION("IFERROR(GOOGLEFINANCE(A804,""CHANGEPCT""),)"),0.03)</f>
        <v>0.03</v>
      </c>
      <c r="E804" s="48" t="str">
        <f t="shared" si="1"/>
        <v>0.03%</v>
      </c>
      <c r="F804" s="48">
        <f t="shared" si="2"/>
        <v>0.03</v>
      </c>
      <c r="G804" s="48" t="str">
        <f t="shared" si="3"/>
        <v/>
      </c>
      <c r="H804" s="48">
        <f>IFERROR(__xludf.DUMMYFUNCTION("IFERROR(GOOGLEFINANCE(A804,""PRICE""),)"),745.0)</f>
        <v>745</v>
      </c>
      <c r="I804" s="49">
        <f>IFERROR(__xludf.DUMMYFUNCTION("IFERROR(GOOGLEFINANCE(A804,""VOLUME""),)"),46257.0)</f>
        <v>46257</v>
      </c>
      <c r="J804" s="48" t="str">
        <f>IFERROR(__xludf.DUMMYFUNCTION("IFERROR(INDEX(SPLIT(A804,"":""),1,2),)"),"KSCL")</f>
        <v>KSCL</v>
      </c>
      <c r="K804" s="48">
        <f t="shared" si="4"/>
        <v>766</v>
      </c>
      <c r="L804" s="48" t="str">
        <f t="shared" si="5"/>
        <v/>
      </c>
      <c r="M804" s="48">
        <f t="shared" si="6"/>
        <v>965</v>
      </c>
      <c r="N804" s="50">
        <f>IFERROR(__xludf.DUMMYFUNCTION("IFERROR(GOOGLEFINANCE(A804,""TRADETIME""),)"),46269.64583333333)</f>
        <v>46269.64583</v>
      </c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</row>
    <row r="805" ht="15.75" customHeight="1">
      <c r="A805" s="51" t="s">
        <v>851</v>
      </c>
      <c r="B805" s="51" t="str">
        <f>IFERROR(__xludf.DUMMYFUNCTION("IFERROR(GOOGLEFINANCE(A805,""NAME""),)"),"Kalyani Steels Ltd")</f>
        <v>Kalyani Steels Ltd</v>
      </c>
      <c r="C805" s="51">
        <f>IFERROR(__xludf.DUMMYFUNCTION("IFERROR(GOOGLEFINANCE(A805,""CHANGE""),)"),-14.2)</f>
        <v>-14.2</v>
      </c>
      <c r="D805" s="51">
        <f>IFERROR(__xludf.DUMMYFUNCTION("IFERROR(GOOGLEFINANCE(A805,""CHANGEPCT""),)"),-1.49)</f>
        <v>-1.49</v>
      </c>
      <c r="E805" s="51" t="str">
        <f t="shared" si="1"/>
        <v>-1.49%</v>
      </c>
      <c r="F805" s="51" t="str">
        <f t="shared" si="2"/>
        <v/>
      </c>
      <c r="G805" s="51">
        <f t="shared" si="3"/>
        <v>-1.49</v>
      </c>
      <c r="H805" s="51">
        <f>IFERROR(__xludf.DUMMYFUNCTION("IFERROR(GOOGLEFINANCE(A805,""PRICE""),)"),936.0)</f>
        <v>936</v>
      </c>
      <c r="I805" s="52">
        <f>IFERROR(__xludf.DUMMYFUNCTION("IFERROR(GOOGLEFINANCE(A805,""VOLUME""),)"),67652.0)</f>
        <v>67652</v>
      </c>
      <c r="J805" s="51" t="str">
        <f>IFERROR(__xludf.DUMMYFUNCTION("IFERROR(INDEX(SPLIT(A805,"":""),1,2),)"),"KSL")</f>
        <v>KSL</v>
      </c>
      <c r="K805" s="51" t="str">
        <f t="shared" si="4"/>
        <v/>
      </c>
      <c r="L805" s="51">
        <f t="shared" si="5"/>
        <v>448</v>
      </c>
      <c r="M805" s="51">
        <f t="shared" si="6"/>
        <v>868</v>
      </c>
      <c r="N805" s="53">
        <f>IFERROR(__xludf.DUMMYFUNCTION("IFERROR(GOOGLEFINANCE(A805,""TRADETIME""),)"),46269.64583333333)</f>
        <v>46269.64583</v>
      </c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</row>
    <row r="806" ht="15.75" customHeight="1">
      <c r="A806" s="48" t="s">
        <v>852</v>
      </c>
      <c r="B806" s="48" t="str">
        <f>IFERROR(__xludf.DUMMYFUNCTION("IFERROR(GOOGLEFINANCE(A806,""NAME""),)"),"Karnataka Bank Ltd")</f>
        <v>Karnataka Bank Ltd</v>
      </c>
      <c r="C806" s="48">
        <f>IFERROR(__xludf.DUMMYFUNCTION("IFERROR(GOOGLEFINANCE(A806,""CHANGE""),)"),0.25)</f>
        <v>0.25</v>
      </c>
      <c r="D806" s="48">
        <f>IFERROR(__xludf.DUMMYFUNCTION("IFERROR(GOOGLEFINANCE(A806,""CHANGEPCT""),)"),0.07)</f>
        <v>0.07</v>
      </c>
      <c r="E806" s="48" t="str">
        <f t="shared" si="1"/>
        <v>0.07%</v>
      </c>
      <c r="F806" s="48">
        <f t="shared" si="2"/>
        <v>0.07</v>
      </c>
      <c r="G806" s="48" t="str">
        <f t="shared" si="3"/>
        <v/>
      </c>
      <c r="H806" s="48">
        <f>IFERROR(__xludf.DUMMYFUNCTION("IFERROR(GOOGLEFINANCE(A806,""PRICE""),)"),340.0)</f>
        <v>340</v>
      </c>
      <c r="I806" s="49">
        <f>IFERROR(__xludf.DUMMYFUNCTION("IFERROR(GOOGLEFINANCE(A806,""VOLUME""),)"),1919012.0)</f>
        <v>1919012</v>
      </c>
      <c r="J806" s="48" t="str">
        <f>IFERROR(__xludf.DUMMYFUNCTION("IFERROR(INDEX(SPLIT(A806,"":""),1,2),)"),"KTKBANK")</f>
        <v>KTKBANK</v>
      </c>
      <c r="K806" s="48">
        <f t="shared" si="4"/>
        <v>752</v>
      </c>
      <c r="L806" s="48" t="str">
        <f t="shared" si="5"/>
        <v/>
      </c>
      <c r="M806" s="48">
        <f t="shared" si="6"/>
        <v>176</v>
      </c>
      <c r="N806" s="50">
        <f>IFERROR(__xludf.DUMMYFUNCTION("IFERROR(GOOGLEFINANCE(A806,""TRADETIME""),)"),46269.64583333333)</f>
        <v>46269.64583</v>
      </c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</row>
    <row r="807" ht="15.75" customHeight="1">
      <c r="A807" s="51" t="s">
        <v>853</v>
      </c>
      <c r="B807" s="51" t="str">
        <f>IFERROR(__xludf.DUMMYFUNCTION("IFERROR(GOOGLEFINANCE(A807,""NAME""),)"),"Kuantum Papers Ltd")</f>
        <v>Kuantum Papers Ltd</v>
      </c>
      <c r="C807" s="51">
        <f>IFERROR(__xludf.DUMMYFUNCTION("IFERROR(GOOGLEFINANCE(A807,""CHANGE""),)"),-0.52)</f>
        <v>-0.52</v>
      </c>
      <c r="D807" s="51">
        <f>IFERROR(__xludf.DUMMYFUNCTION("IFERROR(GOOGLEFINANCE(A807,""CHANGEPCT""),)"),-0.69)</f>
        <v>-0.69</v>
      </c>
      <c r="E807" s="51" t="str">
        <f t="shared" si="1"/>
        <v>-0.69%</v>
      </c>
      <c r="F807" s="51" t="str">
        <f t="shared" si="2"/>
        <v/>
      </c>
      <c r="G807" s="51">
        <f t="shared" si="3"/>
        <v>-0.69</v>
      </c>
      <c r="H807" s="51">
        <f>IFERROR(__xludf.DUMMYFUNCTION("IFERROR(GOOGLEFINANCE(A807,""PRICE""),)"),74.64)</f>
        <v>74.64</v>
      </c>
      <c r="I807" s="52">
        <f>IFERROR(__xludf.DUMMYFUNCTION("IFERROR(GOOGLEFINANCE(A807,""VOLUME""),)"),61468.0)</f>
        <v>61468</v>
      </c>
      <c r="J807" s="51" t="str">
        <f>IFERROR(__xludf.DUMMYFUNCTION("IFERROR(INDEX(SPLIT(A807,"":""),1,2),)"),"KUANTUM")</f>
        <v>KUANTUM</v>
      </c>
      <c r="K807" s="51" t="str">
        <f t="shared" si="4"/>
        <v/>
      </c>
      <c r="L807" s="51">
        <f t="shared" si="5"/>
        <v>260</v>
      </c>
      <c r="M807" s="51">
        <f t="shared" si="6"/>
        <v>896</v>
      </c>
      <c r="N807" s="53">
        <f>IFERROR(__xludf.DUMMYFUNCTION("IFERROR(GOOGLEFINANCE(A807,""TRADETIME""),)"),46269.64583333333)</f>
        <v>46269.64583</v>
      </c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</row>
    <row r="808" ht="15.75" customHeight="1">
      <c r="A808" s="48" t="s">
        <v>854</v>
      </c>
      <c r="B808" s="48" t="str">
        <f>IFERROR(__xludf.DUMMYFUNCTION("IFERROR(GOOGLEFINANCE(A808,""NAME""),)"),"")</f>
        <v/>
      </c>
      <c r="C808" s="48" t="str">
        <f>IFERROR(__xludf.DUMMYFUNCTION("IFERROR(GOOGLEFINANCE(A808,""CHANGE""),)"),"")</f>
        <v/>
      </c>
      <c r="D808" s="48" t="str">
        <f>IFERROR(__xludf.DUMMYFUNCTION("IFERROR(GOOGLEFINANCE(A808,""CHANGEPCT""),)"),"")</f>
        <v/>
      </c>
      <c r="E808" s="48" t="str">
        <f t="shared" si="1"/>
        <v>%</v>
      </c>
      <c r="F808" s="48" t="str">
        <f t="shared" si="2"/>
        <v/>
      </c>
      <c r="G808" s="48" t="str">
        <f t="shared" si="3"/>
        <v/>
      </c>
      <c r="H808" s="48" t="str">
        <f>IFERROR(__xludf.DUMMYFUNCTION("IFERROR(GOOGLEFINANCE(A808,""PRICE""),)"),"")</f>
        <v/>
      </c>
      <c r="I808" s="49" t="str">
        <f>IFERROR(__xludf.DUMMYFUNCTION("IFERROR(GOOGLEFINANCE(A808,""VOLUME""),)"),"")</f>
        <v/>
      </c>
      <c r="J808" s="48" t="str">
        <f>IFERROR(__xludf.DUMMYFUNCTION("IFERROR(INDEX(SPLIT(A808,"":""),1,2),)"),"L&amp;TFH")</f>
        <v>L&amp;TFH</v>
      </c>
      <c r="K808" s="48" t="str">
        <f t="shared" si="4"/>
        <v/>
      </c>
      <c r="L808" s="48" t="str">
        <f t="shared" si="5"/>
        <v/>
      </c>
      <c r="M808" s="48">
        <f t="shared" si="6"/>
        <v>1456</v>
      </c>
      <c r="N808" s="50" t="str">
        <f>IFERROR(__xludf.DUMMYFUNCTION("IFERROR(GOOGLEFINANCE(A808,""TRADETIME""),)"),"")</f>
        <v/>
      </c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</row>
    <row r="809" ht="15.75" customHeight="1">
      <c r="A809" s="51" t="s">
        <v>855</v>
      </c>
      <c r="B809" s="51" t="str">
        <f>IFERROR(__xludf.DUMMYFUNCTION("IFERROR(GOOGLEFINANCE(A809,""NAME""),)"),"Lakshmi Precision Screws Ltd")</f>
        <v>Lakshmi Precision Screws Ltd</v>
      </c>
      <c r="C809" s="51">
        <f>IFERROR(__xludf.DUMMYFUNCTION("IFERROR(GOOGLEFINANCE(A809,""CHANGE""),)"),0.23)</f>
        <v>0.23</v>
      </c>
      <c r="D809" s="51">
        <f>IFERROR(__xludf.DUMMYFUNCTION("IFERROR(GOOGLEFINANCE(A809,""CHANGEPCT""),)"),4.81)</f>
        <v>4.81</v>
      </c>
      <c r="E809" s="51" t="str">
        <f t="shared" si="1"/>
        <v>4.81%</v>
      </c>
      <c r="F809" s="51">
        <f t="shared" si="2"/>
        <v>4.81</v>
      </c>
      <c r="G809" s="51" t="str">
        <f t="shared" si="3"/>
        <v/>
      </c>
      <c r="H809" s="51">
        <f>IFERROR(__xludf.DUMMYFUNCTION("IFERROR(GOOGLEFINANCE(A809,""PRICE""),)"),5.01)</f>
        <v>5.01</v>
      </c>
      <c r="I809" s="52">
        <f>IFERROR(__xludf.DUMMYFUNCTION("IFERROR(GOOGLEFINANCE(A809,""VOLUME""),)"),3002.0)</f>
        <v>3002</v>
      </c>
      <c r="J809" s="51" t="str">
        <f>IFERROR(__xludf.DUMMYFUNCTION("IFERROR(INDEX(SPLIT(A809,"":""),1,2),)"),"LAKPRE")</f>
        <v>LAKPRE</v>
      </c>
      <c r="K809" s="51">
        <f t="shared" si="4"/>
        <v>85</v>
      </c>
      <c r="L809" s="51" t="str">
        <f t="shared" si="5"/>
        <v/>
      </c>
      <c r="M809" s="51">
        <f t="shared" si="6"/>
        <v>1363</v>
      </c>
      <c r="N809" s="53">
        <f>IFERROR(__xludf.DUMMYFUNCTION("IFERROR(GOOGLEFINANCE(A809,""TRADETIME""),)"),46269.64583333333)</f>
        <v>46269.64583</v>
      </c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</row>
    <row r="810" ht="15.75" customHeight="1">
      <c r="A810" s="48" t="s">
        <v>856</v>
      </c>
      <c r="B810" s="48" t="str">
        <f>IFERROR(__xludf.DUMMYFUNCTION("IFERROR(GOOGLEFINANCE(A810,""NAME""),)"),"Dr. Lal PathLabs Ltd")</f>
        <v>Dr. Lal PathLabs Ltd</v>
      </c>
      <c r="C810" s="48">
        <f>IFERROR(__xludf.DUMMYFUNCTION("IFERROR(GOOGLEFINANCE(A810,""CHANGE""),)"),-30.2)</f>
        <v>-30.2</v>
      </c>
      <c r="D810" s="48">
        <f>IFERROR(__xludf.DUMMYFUNCTION("IFERROR(GOOGLEFINANCE(A810,""CHANGEPCT""),)"),-1.57)</f>
        <v>-1.57</v>
      </c>
      <c r="E810" s="48" t="str">
        <f t="shared" si="1"/>
        <v>-1.57%</v>
      </c>
      <c r="F810" s="48" t="str">
        <f t="shared" si="2"/>
        <v/>
      </c>
      <c r="G810" s="48">
        <f t="shared" si="3"/>
        <v>-1.57</v>
      </c>
      <c r="H810" s="48">
        <f>IFERROR(__xludf.DUMMYFUNCTION("IFERROR(GOOGLEFINANCE(A810,""PRICE""),)"),1895.0)</f>
        <v>1895</v>
      </c>
      <c r="I810" s="49">
        <f>IFERROR(__xludf.DUMMYFUNCTION("IFERROR(GOOGLEFINANCE(A810,""VOLUME""),)"),288144.0)</f>
        <v>288144</v>
      </c>
      <c r="J810" s="48" t="str">
        <f>IFERROR(__xludf.DUMMYFUNCTION("IFERROR(INDEX(SPLIT(A810,"":""),1,2),)"),"LALPATHLAB")</f>
        <v>LALPATHLAB</v>
      </c>
      <c r="K810" s="48" t="str">
        <f t="shared" si="4"/>
        <v/>
      </c>
      <c r="L810" s="48">
        <f t="shared" si="5"/>
        <v>463</v>
      </c>
      <c r="M810" s="48">
        <f t="shared" si="6"/>
        <v>532</v>
      </c>
      <c r="N810" s="50">
        <f>IFERROR(__xludf.DUMMYFUNCTION("IFERROR(GOOGLEFINANCE(A810,""TRADETIME""),)"),46269.64583333333)</f>
        <v>46269.64583</v>
      </c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</row>
    <row r="811" ht="15.75" customHeight="1">
      <c r="A811" s="51" t="s">
        <v>857</v>
      </c>
      <c r="B811" s="51" t="str">
        <f>IFERROR(__xludf.DUMMYFUNCTION("IFERROR(GOOGLEFINANCE(A811,""NAME""),)"),"Lambodhara Textiles Ltd")</f>
        <v>Lambodhara Textiles Ltd</v>
      </c>
      <c r="C811" s="51">
        <f>IFERROR(__xludf.DUMMYFUNCTION("IFERROR(GOOGLEFINANCE(A811,""CHANGE""),)"),-2.97)</f>
        <v>-2.97</v>
      </c>
      <c r="D811" s="51">
        <f>IFERROR(__xludf.DUMMYFUNCTION("IFERROR(GOOGLEFINANCE(A811,""CHANGEPCT""),)"),-2.16)</f>
        <v>-2.16</v>
      </c>
      <c r="E811" s="51" t="str">
        <f t="shared" si="1"/>
        <v>-2.16%</v>
      </c>
      <c r="F811" s="51" t="str">
        <f t="shared" si="2"/>
        <v/>
      </c>
      <c r="G811" s="51">
        <f t="shared" si="3"/>
        <v>-2.16</v>
      </c>
      <c r="H811" s="51">
        <f>IFERROR(__xludf.DUMMYFUNCTION("IFERROR(GOOGLEFINANCE(A811,""PRICE""),)"),134.5)</f>
        <v>134.5</v>
      </c>
      <c r="I811" s="52">
        <f>IFERROR(__xludf.DUMMYFUNCTION("IFERROR(GOOGLEFINANCE(A811,""VOLUME""),)"),4467.0)</f>
        <v>4467</v>
      </c>
      <c r="J811" s="51" t="str">
        <f>IFERROR(__xludf.DUMMYFUNCTION("IFERROR(INDEX(SPLIT(A811,"":""),1,2),)"),"LAMBODHARA")</f>
        <v>LAMBODHARA</v>
      </c>
      <c r="K811" s="51" t="str">
        <f t="shared" si="4"/>
        <v/>
      </c>
      <c r="L811" s="51">
        <f t="shared" si="5"/>
        <v>546</v>
      </c>
      <c r="M811" s="51">
        <f t="shared" si="6"/>
        <v>1336</v>
      </c>
      <c r="N811" s="53">
        <f>IFERROR(__xludf.DUMMYFUNCTION("IFERROR(GOOGLEFINANCE(A811,""TRADETIME""),)"),46269.64583333333)</f>
        <v>46269.64583</v>
      </c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</row>
    <row r="812" ht="15.75" customHeight="1">
      <c r="A812" s="48" t="s">
        <v>858</v>
      </c>
      <c r="B812" s="48" t="str">
        <f>IFERROR(__xludf.DUMMYFUNCTION("IFERROR(GOOGLEFINANCE(A812,""NAME""),)"),"La Opala RG Ltd")</f>
        <v>La Opala RG Ltd</v>
      </c>
      <c r="C812" s="48">
        <f>IFERROR(__xludf.DUMMYFUNCTION("IFERROR(GOOGLEFINANCE(A812,""CHANGE""),)"),1.47)</f>
        <v>1.47</v>
      </c>
      <c r="D812" s="48">
        <f>IFERROR(__xludf.DUMMYFUNCTION("IFERROR(GOOGLEFINANCE(A812,""CHANGEPCT""),)"),0.86)</f>
        <v>0.86</v>
      </c>
      <c r="E812" s="48" t="str">
        <f t="shared" si="1"/>
        <v>0.86%</v>
      </c>
      <c r="F812" s="48">
        <f t="shared" si="2"/>
        <v>0.86</v>
      </c>
      <c r="G812" s="48" t="str">
        <f t="shared" si="3"/>
        <v/>
      </c>
      <c r="H812" s="48">
        <f>IFERROR(__xludf.DUMMYFUNCTION("IFERROR(GOOGLEFINANCE(A812,""PRICE""),)"),173.02)</f>
        <v>173.02</v>
      </c>
      <c r="I812" s="49">
        <f>IFERROR(__xludf.DUMMYFUNCTION("IFERROR(GOOGLEFINANCE(A812,""VOLUME""),)"),75699.0)</f>
        <v>75699</v>
      </c>
      <c r="J812" s="48" t="str">
        <f>IFERROR(__xludf.DUMMYFUNCTION("IFERROR(INDEX(SPLIT(A812,"":""),1,2),)"),"LAOPALA")</f>
        <v>LAOPALA</v>
      </c>
      <c r="K812" s="48">
        <f t="shared" si="4"/>
        <v>482</v>
      </c>
      <c r="L812" s="48" t="str">
        <f t="shared" si="5"/>
        <v/>
      </c>
      <c r="M812" s="48">
        <f t="shared" si="6"/>
        <v>841</v>
      </c>
      <c r="N812" s="50">
        <f>IFERROR(__xludf.DUMMYFUNCTION("IFERROR(GOOGLEFINANCE(A812,""TRADETIME""),)"),46269.64583333333)</f>
        <v>46269.64583</v>
      </c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</row>
    <row r="813" ht="15.75" customHeight="1">
      <c r="A813" s="51" t="s">
        <v>859</v>
      </c>
      <c r="B813" s="51" t="str">
        <f>IFERROR(__xludf.DUMMYFUNCTION("IFERROR(GOOGLEFINANCE(A813,""NAME""),)"),"Lasa Supergenerics Ltd")</f>
        <v>Lasa Supergenerics Ltd</v>
      </c>
      <c r="C813" s="51">
        <f>IFERROR(__xludf.DUMMYFUNCTION("IFERROR(GOOGLEFINANCE(A813,""CHANGE""),)"),-0.13)</f>
        <v>-0.13</v>
      </c>
      <c r="D813" s="51">
        <f>IFERROR(__xludf.DUMMYFUNCTION("IFERROR(GOOGLEFINANCE(A813,""CHANGEPCT""),)"),-1.91)</f>
        <v>-1.91</v>
      </c>
      <c r="E813" s="51" t="str">
        <f t="shared" si="1"/>
        <v>-1.91%</v>
      </c>
      <c r="F813" s="51" t="str">
        <f t="shared" si="2"/>
        <v/>
      </c>
      <c r="G813" s="51">
        <f t="shared" si="3"/>
        <v>-1.91</v>
      </c>
      <c r="H813" s="51">
        <f>IFERROR(__xludf.DUMMYFUNCTION("IFERROR(GOOGLEFINANCE(A813,""PRICE""),)"),6.69)</f>
        <v>6.69</v>
      </c>
      <c r="I813" s="52">
        <f>IFERROR(__xludf.DUMMYFUNCTION("IFERROR(GOOGLEFINANCE(A813,""VOLUME""),)"),24575.0)</f>
        <v>24575</v>
      </c>
      <c r="J813" s="51" t="str">
        <f>IFERROR(__xludf.DUMMYFUNCTION("IFERROR(INDEX(SPLIT(A813,"":""),1,2),)"),"LASA")</f>
        <v>LASA</v>
      </c>
      <c r="K813" s="51" t="str">
        <f t="shared" si="4"/>
        <v/>
      </c>
      <c r="L813" s="51">
        <f t="shared" si="5"/>
        <v>511</v>
      </c>
      <c r="M813" s="51">
        <f t="shared" si="6"/>
        <v>1087</v>
      </c>
      <c r="N813" s="53">
        <f>IFERROR(__xludf.DUMMYFUNCTION("IFERROR(GOOGLEFINANCE(A813,""TRADETIME""),)"),46269.64583333333)</f>
        <v>46269.64583</v>
      </c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</row>
    <row r="814" ht="15.75" customHeight="1">
      <c r="A814" s="48" t="s">
        <v>860</v>
      </c>
      <c r="B814" s="48" t="str">
        <f>IFERROR(__xludf.DUMMYFUNCTION("IFERROR(GOOGLEFINANCE(A814,""NAME""),)"),"Laurus Labs Ltd")</f>
        <v>Laurus Labs Ltd</v>
      </c>
      <c r="C814" s="48">
        <f>IFERROR(__xludf.DUMMYFUNCTION("IFERROR(GOOGLEFINANCE(A814,""CHANGE""),)"),-26.2)</f>
        <v>-26.2</v>
      </c>
      <c r="D814" s="48">
        <f>IFERROR(__xludf.DUMMYFUNCTION("IFERROR(GOOGLEFINANCE(A814,""CHANGEPCT""),)"),-1.4)</f>
        <v>-1.4</v>
      </c>
      <c r="E814" s="48" t="str">
        <f t="shared" si="1"/>
        <v>-1.4%</v>
      </c>
      <c r="F814" s="48" t="str">
        <f t="shared" si="2"/>
        <v/>
      </c>
      <c r="G814" s="48">
        <f t="shared" si="3"/>
        <v>-1.4</v>
      </c>
      <c r="H814" s="48">
        <f>IFERROR(__xludf.DUMMYFUNCTION("IFERROR(GOOGLEFINANCE(A814,""PRICE""),)"),1842.3)</f>
        <v>1842.3</v>
      </c>
      <c r="I814" s="49">
        <f>IFERROR(__xludf.DUMMYFUNCTION("IFERROR(GOOGLEFINANCE(A814,""VOLUME""),)"),1075943.0)</f>
        <v>1075943</v>
      </c>
      <c r="J814" s="48" t="str">
        <f>IFERROR(__xludf.DUMMYFUNCTION("IFERROR(INDEX(SPLIT(A814,"":""),1,2),)"),"LAURUSLABS")</f>
        <v>LAURUSLABS</v>
      </c>
      <c r="K814" s="48" t="str">
        <f t="shared" si="4"/>
        <v/>
      </c>
      <c r="L814" s="48">
        <f t="shared" si="5"/>
        <v>430</v>
      </c>
      <c r="M814" s="48">
        <f t="shared" si="6"/>
        <v>260</v>
      </c>
      <c r="N814" s="50">
        <f>IFERROR(__xludf.DUMMYFUNCTION("IFERROR(GOOGLEFINANCE(A814,""TRADETIME""),)"),46269.64583333333)</f>
        <v>46269.64583</v>
      </c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</row>
    <row r="815" ht="15.75" customHeight="1">
      <c r="A815" s="51" t="s">
        <v>861</v>
      </c>
      <c r="B815" s="51" t="str">
        <f>IFERROR(__xludf.DUMMYFUNCTION("IFERROR(GOOGLEFINANCE(A815,""NAME""),)"),"")</f>
        <v/>
      </c>
      <c r="C815" s="51" t="str">
        <f>IFERROR(__xludf.DUMMYFUNCTION("IFERROR(GOOGLEFINANCE(A815,""CHANGE""),)"),"")</f>
        <v/>
      </c>
      <c r="D815" s="51" t="str">
        <f>IFERROR(__xludf.DUMMYFUNCTION("IFERROR(GOOGLEFINANCE(A815,""CHANGEPCT""),)"),"")</f>
        <v/>
      </c>
      <c r="E815" s="51" t="str">
        <f t="shared" si="1"/>
        <v>%</v>
      </c>
      <c r="F815" s="51" t="str">
        <f t="shared" si="2"/>
        <v/>
      </c>
      <c r="G815" s="51" t="str">
        <f t="shared" si="3"/>
        <v/>
      </c>
      <c r="H815" s="51" t="str">
        <f>IFERROR(__xludf.DUMMYFUNCTION("IFERROR(GOOGLEFINANCE(A815,""PRICE""),)"),"")</f>
        <v/>
      </c>
      <c r="I815" s="52" t="str">
        <f>IFERROR(__xludf.DUMMYFUNCTION("IFERROR(GOOGLEFINANCE(A815,""VOLUME""),)"),"")</f>
        <v/>
      </c>
      <c r="J815" s="51" t="str">
        <f>IFERROR(__xludf.DUMMYFUNCTION("IFERROR(INDEX(SPLIT(A815,"":""),1,2),)"),"LAXMIMACH")</f>
        <v>LAXMIMACH</v>
      </c>
      <c r="K815" s="51" t="str">
        <f t="shared" si="4"/>
        <v/>
      </c>
      <c r="L815" s="51" t="str">
        <f t="shared" si="5"/>
        <v/>
      </c>
      <c r="M815" s="51">
        <f t="shared" si="6"/>
        <v>1456</v>
      </c>
      <c r="N815" s="53" t="str">
        <f>IFERROR(__xludf.DUMMYFUNCTION("IFERROR(GOOGLEFINANCE(A815,""TRADETIME""),)"),"")</f>
        <v/>
      </c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</row>
    <row r="816" ht="15.75" customHeight="1">
      <c r="A816" s="48" t="s">
        <v>862</v>
      </c>
      <c r="B816" s="48" t="str">
        <f>IFERROR(__xludf.DUMMYFUNCTION("IFERROR(GOOGLEFINANCE(A816,""NAME""),)"),"Lemon Tree Hotels Limited")</f>
        <v>Lemon Tree Hotels Limited</v>
      </c>
      <c r="C816" s="48">
        <f>IFERROR(__xludf.DUMMYFUNCTION("IFERROR(GOOGLEFINANCE(A816,""CHANGE""),)"),0.11)</f>
        <v>0.11</v>
      </c>
      <c r="D816" s="48">
        <f>IFERROR(__xludf.DUMMYFUNCTION("IFERROR(GOOGLEFINANCE(A816,""CHANGEPCT""),)"),0.1)</f>
        <v>0.1</v>
      </c>
      <c r="E816" s="48" t="str">
        <f t="shared" si="1"/>
        <v>0.1%</v>
      </c>
      <c r="F816" s="48">
        <f t="shared" si="2"/>
        <v>0.1</v>
      </c>
      <c r="G816" s="48" t="str">
        <f t="shared" si="3"/>
        <v/>
      </c>
      <c r="H816" s="48">
        <f>IFERROR(__xludf.DUMMYFUNCTION("IFERROR(GOOGLEFINANCE(A816,""PRICE""),)"),105.0)</f>
        <v>105</v>
      </c>
      <c r="I816" s="49">
        <f>IFERROR(__xludf.DUMMYFUNCTION("IFERROR(GOOGLEFINANCE(A816,""VOLUME""),)"),3464757.0)</f>
        <v>3464757</v>
      </c>
      <c r="J816" s="48" t="str">
        <f>IFERROR(__xludf.DUMMYFUNCTION("IFERROR(INDEX(SPLIT(A816,"":""),1,2),)"),"LEMONTREE")</f>
        <v>LEMONTREE</v>
      </c>
      <c r="K816" s="48">
        <f t="shared" si="4"/>
        <v>742</v>
      </c>
      <c r="L816" s="48" t="str">
        <f t="shared" si="5"/>
        <v/>
      </c>
      <c r="M816" s="48">
        <f t="shared" si="6"/>
        <v>118</v>
      </c>
      <c r="N816" s="50">
        <f>IFERROR(__xludf.DUMMYFUNCTION("IFERROR(GOOGLEFINANCE(A816,""TRADETIME""),)"),46269.64585648148)</f>
        <v>46269.64586</v>
      </c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</row>
    <row r="817" ht="15.75" customHeight="1">
      <c r="A817" s="51" t="s">
        <v>863</v>
      </c>
      <c r="B817" s="51" t="str">
        <f>IFERROR(__xludf.DUMMYFUNCTION("IFERROR(GOOGLEFINANCE(A817,""NAME""),)"),"Lakshmi Finance and Industrial Corp Ltd")</f>
        <v>Lakshmi Finance and Industrial Corp Ltd</v>
      </c>
      <c r="C817" s="51">
        <f>IFERROR(__xludf.DUMMYFUNCTION("IFERROR(GOOGLEFINANCE(A817,""CHANGE""),)"),-0.68)</f>
        <v>-0.68</v>
      </c>
      <c r="D817" s="51">
        <f>IFERROR(__xludf.DUMMYFUNCTION("IFERROR(GOOGLEFINANCE(A817,""CHANGEPCT""),)"),-0.5)</f>
        <v>-0.5</v>
      </c>
      <c r="E817" s="51" t="str">
        <f t="shared" si="1"/>
        <v>-0.5%</v>
      </c>
      <c r="F817" s="51" t="str">
        <f t="shared" si="2"/>
        <v/>
      </c>
      <c r="G817" s="51">
        <f t="shared" si="3"/>
        <v>-0.5</v>
      </c>
      <c r="H817" s="51">
        <f>IFERROR(__xludf.DUMMYFUNCTION("IFERROR(GOOGLEFINANCE(A817,""PRICE""),)"),134.6)</f>
        <v>134.6</v>
      </c>
      <c r="I817" s="52">
        <f>IFERROR(__xludf.DUMMYFUNCTION("IFERROR(GOOGLEFINANCE(A817,""VOLUME""),)"),387.0)</f>
        <v>387</v>
      </c>
      <c r="J817" s="51" t="str">
        <f>IFERROR(__xludf.DUMMYFUNCTION("IFERROR(INDEX(SPLIT(A817,"":""),1,2),)"),"LFIC")</f>
        <v>LFIC</v>
      </c>
      <c r="K817" s="51" t="str">
        <f t="shared" si="4"/>
        <v/>
      </c>
      <c r="L817" s="51">
        <f t="shared" si="5"/>
        <v>195</v>
      </c>
      <c r="M817" s="51">
        <f t="shared" si="6"/>
        <v>1444</v>
      </c>
      <c r="N817" s="53">
        <f>IFERROR(__xludf.DUMMYFUNCTION("IFERROR(GOOGLEFINANCE(A817,""TRADETIME""),)"),46269.64583333333)</f>
        <v>46269.64583</v>
      </c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</row>
    <row r="818" ht="15.75" customHeight="1">
      <c r="A818" s="48" t="s">
        <v>864</v>
      </c>
      <c r="B818" s="48" t="str">
        <f>IFERROR(__xludf.DUMMYFUNCTION("IFERROR(GOOGLEFINANCE(A818,""NAME""),)"),"LG Balakrishnan &amp; Bros Ltd")</f>
        <v>LG Balakrishnan &amp; Bros Ltd</v>
      </c>
      <c r="C818" s="48">
        <f>IFERROR(__xludf.DUMMYFUNCTION("IFERROR(GOOGLEFINANCE(A818,""CHANGE""),)"),-16.8)</f>
        <v>-16.8</v>
      </c>
      <c r="D818" s="48">
        <f>IFERROR(__xludf.DUMMYFUNCTION("IFERROR(GOOGLEFINANCE(A818,""CHANGEPCT""),)"),-0.98)</f>
        <v>-0.98</v>
      </c>
      <c r="E818" s="48" t="str">
        <f t="shared" si="1"/>
        <v>-0.98%</v>
      </c>
      <c r="F818" s="48" t="str">
        <f t="shared" si="2"/>
        <v/>
      </c>
      <c r="G818" s="48">
        <f t="shared" si="3"/>
        <v>-0.98</v>
      </c>
      <c r="H818" s="48">
        <f>IFERROR(__xludf.DUMMYFUNCTION("IFERROR(GOOGLEFINANCE(A818,""PRICE""),)"),1699.4)</f>
        <v>1699.4</v>
      </c>
      <c r="I818" s="49">
        <f>IFERROR(__xludf.DUMMYFUNCTION("IFERROR(GOOGLEFINANCE(A818,""VOLUME""),)"),50384.0)</f>
        <v>50384</v>
      </c>
      <c r="J818" s="48" t="str">
        <f>IFERROR(__xludf.DUMMYFUNCTION("IFERROR(INDEX(SPLIT(A818,"":""),1,2),)"),"LGBBROSLTD")</f>
        <v>LGBBROSLTD</v>
      </c>
      <c r="K818" s="48" t="str">
        <f t="shared" si="4"/>
        <v/>
      </c>
      <c r="L818" s="48">
        <f t="shared" si="5"/>
        <v>335</v>
      </c>
      <c r="M818" s="48">
        <f t="shared" si="6"/>
        <v>943</v>
      </c>
      <c r="N818" s="50">
        <f>IFERROR(__xludf.DUMMYFUNCTION("IFERROR(GOOGLEFINANCE(A818,""TRADETIME""),)"),46269.64583333333)</f>
        <v>46269.64583</v>
      </c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</row>
    <row r="819" ht="15.75" customHeight="1">
      <c r="A819" s="51" t="s">
        <v>865</v>
      </c>
      <c r="B819" s="51" t="str">
        <f>IFERROR(__xludf.DUMMYFUNCTION("IFERROR(GOOGLEFINANCE(A819,""NAME""),)"),"")</f>
        <v/>
      </c>
      <c r="C819" s="51" t="str">
        <f>IFERROR(__xludf.DUMMYFUNCTION("IFERROR(GOOGLEFINANCE(A819,""CHANGE""),)"),"")</f>
        <v/>
      </c>
      <c r="D819" s="51" t="str">
        <f>IFERROR(__xludf.DUMMYFUNCTION("IFERROR(GOOGLEFINANCE(A819,""CHANGEPCT""),)"),"")</f>
        <v/>
      </c>
      <c r="E819" s="51" t="str">
        <f t="shared" si="1"/>
        <v>%</v>
      </c>
      <c r="F819" s="51" t="str">
        <f t="shared" si="2"/>
        <v/>
      </c>
      <c r="G819" s="51" t="str">
        <f t="shared" si="3"/>
        <v/>
      </c>
      <c r="H819" s="51" t="str">
        <f>IFERROR(__xludf.DUMMYFUNCTION("IFERROR(GOOGLEFINANCE(A819,""PRICE""),)"),"")</f>
        <v/>
      </c>
      <c r="I819" s="52" t="str">
        <f>IFERROR(__xludf.DUMMYFUNCTION("IFERROR(GOOGLEFINANCE(A819,""VOLUME""),)"),"")</f>
        <v/>
      </c>
      <c r="J819" s="51" t="str">
        <f>IFERROR(__xludf.DUMMYFUNCTION("IFERROR(INDEX(SPLIT(A819,"":""),1,2),)"),"LGBFORGE")</f>
        <v>LGBFORGE</v>
      </c>
      <c r="K819" s="51" t="str">
        <f t="shared" si="4"/>
        <v/>
      </c>
      <c r="L819" s="51" t="str">
        <f t="shared" si="5"/>
        <v/>
      </c>
      <c r="M819" s="51">
        <f t="shared" si="6"/>
        <v>1456</v>
      </c>
      <c r="N819" s="53" t="str">
        <f>IFERROR(__xludf.DUMMYFUNCTION("IFERROR(GOOGLEFINANCE(A819,""TRADETIME""),)"),"")</f>
        <v/>
      </c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</row>
    <row r="820" ht="15.75" customHeight="1">
      <c r="A820" s="48" t="s">
        <v>866</v>
      </c>
      <c r="B820" s="48" t="str">
        <f>IFERROR(__xludf.DUMMYFUNCTION("IFERROR(GOOGLEFINANCE(A820,""NAME""),)"),"Libas Consumer Products Ltd")</f>
        <v>Libas Consumer Products Ltd</v>
      </c>
      <c r="C820" s="48">
        <f>IFERROR(__xludf.DUMMYFUNCTION("IFERROR(GOOGLEFINANCE(A820,""CHANGE""),)"),-0.08)</f>
        <v>-0.08</v>
      </c>
      <c r="D820" s="48">
        <f>IFERROR(__xludf.DUMMYFUNCTION("IFERROR(GOOGLEFINANCE(A820,""CHANGEPCT""),)"),-0.76)</f>
        <v>-0.76</v>
      </c>
      <c r="E820" s="48" t="str">
        <f t="shared" si="1"/>
        <v>-0.76%</v>
      </c>
      <c r="F820" s="48" t="str">
        <f t="shared" si="2"/>
        <v/>
      </c>
      <c r="G820" s="48">
        <f t="shared" si="3"/>
        <v>-0.76</v>
      </c>
      <c r="H820" s="48">
        <f>IFERROR(__xludf.DUMMYFUNCTION("IFERROR(GOOGLEFINANCE(A820,""PRICE""),)"),10.4)</f>
        <v>10.4</v>
      </c>
      <c r="I820" s="49">
        <f>IFERROR(__xludf.DUMMYFUNCTION("IFERROR(GOOGLEFINANCE(A820,""VOLUME""),)"),19725.0)</f>
        <v>19725</v>
      </c>
      <c r="J820" s="48" t="str">
        <f>IFERROR(__xludf.DUMMYFUNCTION("IFERROR(INDEX(SPLIT(A820,"":""),1,2),)"),"LIBAS")</f>
        <v>LIBAS</v>
      </c>
      <c r="K820" s="48" t="str">
        <f t="shared" si="4"/>
        <v/>
      </c>
      <c r="L820" s="48">
        <f t="shared" si="5"/>
        <v>288</v>
      </c>
      <c r="M820" s="48">
        <f t="shared" si="6"/>
        <v>1125</v>
      </c>
      <c r="N820" s="50">
        <f>IFERROR(__xludf.DUMMYFUNCTION("IFERROR(GOOGLEFINANCE(A820,""TRADETIME""),)"),46269.64583333333)</f>
        <v>46269.64583</v>
      </c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</row>
    <row r="821" ht="15.75" customHeight="1">
      <c r="A821" s="51" t="s">
        <v>867</v>
      </c>
      <c r="B821" s="51" t="str">
        <f>IFERROR(__xludf.DUMMYFUNCTION("IFERROR(GOOGLEFINANCE(A821,""NAME""),)"),"Liberty Shoes Ltd")</f>
        <v>Liberty Shoes Ltd</v>
      </c>
      <c r="C821" s="51">
        <f>IFERROR(__xludf.DUMMYFUNCTION("IFERROR(GOOGLEFINANCE(A821,""CHANGE""),)"),-1.8)</f>
        <v>-1.8</v>
      </c>
      <c r="D821" s="51">
        <f>IFERROR(__xludf.DUMMYFUNCTION("IFERROR(GOOGLEFINANCE(A821,""CHANGEPCT""),)"),-0.77)</f>
        <v>-0.77</v>
      </c>
      <c r="E821" s="51" t="str">
        <f t="shared" si="1"/>
        <v>-0.77%</v>
      </c>
      <c r="F821" s="51" t="str">
        <f t="shared" si="2"/>
        <v/>
      </c>
      <c r="G821" s="51">
        <f t="shared" si="3"/>
        <v>-0.77</v>
      </c>
      <c r="H821" s="51">
        <f>IFERROR(__xludf.DUMMYFUNCTION("IFERROR(GOOGLEFINANCE(A821,""PRICE""),)"),232.5)</f>
        <v>232.5</v>
      </c>
      <c r="I821" s="52">
        <f>IFERROR(__xludf.DUMMYFUNCTION("IFERROR(GOOGLEFINANCE(A821,""VOLUME""),)"),15371.0)</f>
        <v>15371</v>
      </c>
      <c r="J821" s="51" t="str">
        <f>IFERROR(__xludf.DUMMYFUNCTION("IFERROR(INDEX(SPLIT(A821,"":""),1,2),)"),"LIBERTSHOE")</f>
        <v>LIBERTSHOE</v>
      </c>
      <c r="K821" s="51" t="str">
        <f t="shared" si="4"/>
        <v/>
      </c>
      <c r="L821" s="51">
        <f t="shared" si="5"/>
        <v>293</v>
      </c>
      <c r="M821" s="51">
        <f t="shared" si="6"/>
        <v>1172</v>
      </c>
      <c r="N821" s="53">
        <f>IFERROR(__xludf.DUMMYFUNCTION("IFERROR(GOOGLEFINANCE(A821,""TRADETIME""),)"),46269.64583333333)</f>
        <v>46269.64583</v>
      </c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</row>
    <row r="822" ht="15.75" customHeight="1">
      <c r="A822" s="48" t="s">
        <v>868</v>
      </c>
      <c r="B822" s="48" t="str">
        <f>IFERROR(__xludf.DUMMYFUNCTION("IFERROR(GOOGLEFINANCE(A822,""NAME""),)"),"LIC Housing Finance Ltd")</f>
        <v>LIC Housing Finance Ltd</v>
      </c>
      <c r="C822" s="48">
        <f>IFERROR(__xludf.DUMMYFUNCTION("IFERROR(GOOGLEFINANCE(A822,""CHANGE""),)"),12.25)</f>
        <v>12.25</v>
      </c>
      <c r="D822" s="48">
        <f>IFERROR(__xludf.DUMMYFUNCTION("IFERROR(GOOGLEFINANCE(A822,""CHANGEPCT""),)"),2.21)</f>
        <v>2.21</v>
      </c>
      <c r="E822" s="48" t="str">
        <f t="shared" si="1"/>
        <v>2.21%</v>
      </c>
      <c r="F822" s="48">
        <f t="shared" si="2"/>
        <v>2.21</v>
      </c>
      <c r="G822" s="48" t="str">
        <f t="shared" si="3"/>
        <v/>
      </c>
      <c r="H822" s="48">
        <f>IFERROR(__xludf.DUMMYFUNCTION("IFERROR(GOOGLEFINANCE(A822,""PRICE""),)"),566.25)</f>
        <v>566.25</v>
      </c>
      <c r="I822" s="49">
        <f>IFERROR(__xludf.DUMMYFUNCTION("IFERROR(GOOGLEFINANCE(A822,""VOLUME""),)"),7126780.0)</f>
        <v>7126780</v>
      </c>
      <c r="J822" s="48" t="str">
        <f>IFERROR(__xludf.DUMMYFUNCTION("IFERROR(INDEX(SPLIT(A822,"":""),1,2),)"),"LICHSGFIN")</f>
        <v>LICHSGFIN</v>
      </c>
      <c r="K822" s="48">
        <f t="shared" si="4"/>
        <v>232</v>
      </c>
      <c r="L822" s="48" t="str">
        <f t="shared" si="5"/>
        <v/>
      </c>
      <c r="M822" s="48">
        <f t="shared" si="6"/>
        <v>63</v>
      </c>
      <c r="N822" s="50">
        <f>IFERROR(__xludf.DUMMYFUNCTION("IFERROR(GOOGLEFINANCE(A822,""TRADETIME""),)"),46269.64583333333)</f>
        <v>46269.64583</v>
      </c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</row>
    <row r="823" ht="15.75" customHeight="1">
      <c r="A823" s="51" t="s">
        <v>869</v>
      </c>
      <c r="B823" s="51" t="str">
        <f>IFERROR(__xludf.DUMMYFUNCTION("IFERROR(GOOGLEFINANCE(A823,""NAME""),)"),"Likhitha Infrastructure Ltd")</f>
        <v>Likhitha Infrastructure Ltd</v>
      </c>
      <c r="C823" s="51">
        <f>IFERROR(__xludf.DUMMYFUNCTION("IFERROR(GOOGLEFINANCE(A823,""CHANGE""),)"),0.35)</f>
        <v>0.35</v>
      </c>
      <c r="D823" s="51">
        <f>IFERROR(__xludf.DUMMYFUNCTION("IFERROR(GOOGLEFINANCE(A823,""CHANGEPCT""),)"),0.17)</f>
        <v>0.17</v>
      </c>
      <c r="E823" s="51" t="str">
        <f t="shared" si="1"/>
        <v>0.17%</v>
      </c>
      <c r="F823" s="51">
        <f t="shared" si="2"/>
        <v>0.17</v>
      </c>
      <c r="G823" s="51" t="str">
        <f t="shared" si="3"/>
        <v/>
      </c>
      <c r="H823" s="51">
        <f>IFERROR(__xludf.DUMMYFUNCTION("IFERROR(GOOGLEFINANCE(A823,""PRICE""),)"),203.25)</f>
        <v>203.25</v>
      </c>
      <c r="I823" s="52">
        <f>IFERROR(__xludf.DUMMYFUNCTION("IFERROR(GOOGLEFINANCE(A823,""VOLUME""),)"),27488.0)</f>
        <v>27488</v>
      </c>
      <c r="J823" s="51" t="str">
        <f>IFERROR(__xludf.DUMMYFUNCTION("IFERROR(INDEX(SPLIT(A823,"":""),1,2),)"),"LIKHITHA")</f>
        <v>LIKHITHA</v>
      </c>
      <c r="K823" s="51">
        <f t="shared" si="4"/>
        <v>711</v>
      </c>
      <c r="L823" s="51" t="str">
        <f t="shared" si="5"/>
        <v/>
      </c>
      <c r="M823" s="51">
        <f t="shared" si="6"/>
        <v>1069</v>
      </c>
      <c r="N823" s="53">
        <f>IFERROR(__xludf.DUMMYFUNCTION("IFERROR(GOOGLEFINANCE(A823,""TRADETIME""),)"),46269.64583333333)</f>
        <v>46269.64583</v>
      </c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</row>
    <row r="824" ht="15.75" customHeight="1">
      <c r="A824" s="48" t="s">
        <v>870</v>
      </c>
      <c r="B824" s="48" t="str">
        <f>IFERROR(__xludf.DUMMYFUNCTION("IFERROR(GOOGLEFINANCE(A824,""NAME""),)"),"Lincoln Pharmaceuticals Ltd")</f>
        <v>Lincoln Pharmaceuticals Ltd</v>
      </c>
      <c r="C824" s="48">
        <f>IFERROR(__xludf.DUMMYFUNCTION("IFERROR(GOOGLEFINANCE(A824,""CHANGE""),)"),0.35)</f>
        <v>0.35</v>
      </c>
      <c r="D824" s="48">
        <f>IFERROR(__xludf.DUMMYFUNCTION("IFERROR(GOOGLEFINANCE(A824,""CHANGEPCT""),)"),0.06)</f>
        <v>0.06</v>
      </c>
      <c r="E824" s="48" t="str">
        <f t="shared" si="1"/>
        <v>0.06%</v>
      </c>
      <c r="F824" s="48">
        <f t="shared" si="2"/>
        <v>0.06</v>
      </c>
      <c r="G824" s="48" t="str">
        <f t="shared" si="3"/>
        <v/>
      </c>
      <c r="H824" s="48">
        <f>IFERROR(__xludf.DUMMYFUNCTION("IFERROR(GOOGLEFINANCE(A824,""PRICE""),)"),623.0)</f>
        <v>623</v>
      </c>
      <c r="I824" s="49">
        <f>IFERROR(__xludf.DUMMYFUNCTION("IFERROR(GOOGLEFINANCE(A824,""VOLUME""),)"),29091.0)</f>
        <v>29091</v>
      </c>
      <c r="J824" s="48" t="str">
        <f>IFERROR(__xludf.DUMMYFUNCTION("IFERROR(INDEX(SPLIT(A824,"":""),1,2),)"),"LINCOLN")</f>
        <v>LINCOLN</v>
      </c>
      <c r="K824" s="48">
        <f t="shared" si="4"/>
        <v>755</v>
      </c>
      <c r="L824" s="48" t="str">
        <f t="shared" si="5"/>
        <v/>
      </c>
      <c r="M824" s="48">
        <f t="shared" si="6"/>
        <v>1061</v>
      </c>
      <c r="N824" s="50">
        <f>IFERROR(__xludf.DUMMYFUNCTION("IFERROR(GOOGLEFINANCE(A824,""TRADETIME""),)"),46269.64585648148)</f>
        <v>46269.64586</v>
      </c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</row>
    <row r="825" ht="15.75" customHeight="1">
      <c r="A825" s="51" t="s">
        <v>871</v>
      </c>
      <c r="B825" s="51" t="str">
        <f>IFERROR(__xludf.DUMMYFUNCTION("IFERROR(GOOGLEFINANCE(A825,""NAME""),)"),"Linc Ltd")</f>
        <v>Linc Ltd</v>
      </c>
      <c r="C825" s="51">
        <f>IFERROR(__xludf.DUMMYFUNCTION("IFERROR(GOOGLEFINANCE(A825,""CHANGE""),)"),0.34)</f>
        <v>0.34</v>
      </c>
      <c r="D825" s="51">
        <f>IFERROR(__xludf.DUMMYFUNCTION("IFERROR(GOOGLEFINANCE(A825,""CHANGEPCT""),)"),0.36)</f>
        <v>0.36</v>
      </c>
      <c r="E825" s="51" t="str">
        <f t="shared" si="1"/>
        <v>0.36%</v>
      </c>
      <c r="F825" s="51">
        <f t="shared" si="2"/>
        <v>0.36</v>
      </c>
      <c r="G825" s="51" t="str">
        <f t="shared" si="3"/>
        <v/>
      </c>
      <c r="H825" s="51">
        <f>IFERROR(__xludf.DUMMYFUNCTION("IFERROR(GOOGLEFINANCE(A825,""PRICE""),)"),95.03)</f>
        <v>95.03</v>
      </c>
      <c r="I825" s="52">
        <f>IFERROR(__xludf.DUMMYFUNCTION("IFERROR(GOOGLEFINANCE(A825,""VOLUME""),)"),7202.0)</f>
        <v>7202</v>
      </c>
      <c r="J825" s="51" t="str">
        <f>IFERROR(__xludf.DUMMYFUNCTION("IFERROR(INDEX(SPLIT(A825,"":""),1,2),)"),"LINC")</f>
        <v>LINC</v>
      </c>
      <c r="K825" s="51">
        <f t="shared" si="4"/>
        <v>639</v>
      </c>
      <c r="L825" s="51" t="str">
        <f t="shared" si="5"/>
        <v/>
      </c>
      <c r="M825" s="51">
        <f t="shared" si="6"/>
        <v>1281</v>
      </c>
      <c r="N825" s="53">
        <f>IFERROR(__xludf.DUMMYFUNCTION("IFERROR(GOOGLEFINANCE(A825,""TRADETIME""),)"),46269.64583333333)</f>
        <v>46269.64583</v>
      </c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</row>
    <row r="826" ht="15.75" customHeight="1">
      <c r="A826" s="48" t="s">
        <v>872</v>
      </c>
      <c r="B826" s="48" t="str">
        <f>IFERROR(__xludf.DUMMYFUNCTION("IFERROR(GOOGLEFINANCE(A826,""NAME""),)"),"Linde India Ltd")</f>
        <v>Linde India Ltd</v>
      </c>
      <c r="C826" s="48">
        <f>IFERROR(__xludf.DUMMYFUNCTION("IFERROR(GOOGLEFINANCE(A826,""CHANGE""),)"),-5.0)</f>
        <v>-5</v>
      </c>
      <c r="D826" s="48">
        <f>IFERROR(__xludf.DUMMYFUNCTION("IFERROR(GOOGLEFINANCE(A826,""CHANGEPCT""),)"),-0.08)</f>
        <v>-0.08</v>
      </c>
      <c r="E826" s="48" t="str">
        <f t="shared" si="1"/>
        <v>-0.08%</v>
      </c>
      <c r="F826" s="48" t="str">
        <f t="shared" si="2"/>
        <v/>
      </c>
      <c r="G826" s="48">
        <f t="shared" si="3"/>
        <v>-0.08</v>
      </c>
      <c r="H826" s="48">
        <f>IFERROR(__xludf.DUMMYFUNCTION("IFERROR(GOOGLEFINANCE(A826,""PRICE""),)"),6368.0)</f>
        <v>6368</v>
      </c>
      <c r="I826" s="49">
        <f>IFERROR(__xludf.DUMMYFUNCTION("IFERROR(GOOGLEFINANCE(A826,""VOLUME""),)"),9490.0)</f>
        <v>9490</v>
      </c>
      <c r="J826" s="48" t="str">
        <f>IFERROR(__xludf.DUMMYFUNCTION("IFERROR(INDEX(SPLIT(A826,"":""),1,2),)"),"LINDEINDIA")</f>
        <v>LINDEINDIA</v>
      </c>
      <c r="K826" s="48" t="str">
        <f t="shared" si="4"/>
        <v/>
      </c>
      <c r="L826" s="48">
        <f t="shared" si="5"/>
        <v>25</v>
      </c>
      <c r="M826" s="48">
        <f t="shared" si="6"/>
        <v>1239</v>
      </c>
      <c r="N826" s="50">
        <f>IFERROR(__xludf.DUMMYFUNCTION("IFERROR(GOOGLEFINANCE(A826,""TRADETIME""),)"),46269.64585648148)</f>
        <v>46269.64586</v>
      </c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</row>
    <row r="827" ht="15.75" customHeight="1">
      <c r="A827" s="51" t="s">
        <v>873</v>
      </c>
      <c r="B827" s="51" t="str">
        <f>IFERROR(__xludf.DUMMYFUNCTION("IFERROR(GOOGLEFINANCE(A827,""NAME""),)"),"Lokesh Machines Ltd")</f>
        <v>Lokesh Machines Ltd</v>
      </c>
      <c r="C827" s="51">
        <f>IFERROR(__xludf.DUMMYFUNCTION("IFERROR(GOOGLEFINANCE(A827,""CHANGE""),)"),6.7)</f>
        <v>6.7</v>
      </c>
      <c r="D827" s="51">
        <f>IFERROR(__xludf.DUMMYFUNCTION("IFERROR(GOOGLEFINANCE(A827,""CHANGEPCT""),)"),1.86)</f>
        <v>1.86</v>
      </c>
      <c r="E827" s="51" t="str">
        <f t="shared" si="1"/>
        <v>1.86%</v>
      </c>
      <c r="F827" s="51">
        <f t="shared" si="2"/>
        <v>1.86</v>
      </c>
      <c r="G827" s="51" t="str">
        <f t="shared" si="3"/>
        <v/>
      </c>
      <c r="H827" s="51">
        <f>IFERROR(__xludf.DUMMYFUNCTION("IFERROR(GOOGLEFINANCE(A827,""PRICE""),)"),367.0)</f>
        <v>367</v>
      </c>
      <c r="I827" s="52">
        <f>IFERROR(__xludf.DUMMYFUNCTION("IFERROR(GOOGLEFINANCE(A827,""VOLUME""),)"),56473.0)</f>
        <v>56473</v>
      </c>
      <c r="J827" s="51" t="str">
        <f>IFERROR(__xludf.DUMMYFUNCTION("IFERROR(INDEX(SPLIT(A827,"":""),1,2),)"),"LOKESHMACH")</f>
        <v>LOKESHMACH</v>
      </c>
      <c r="K827" s="51">
        <f t="shared" si="4"/>
        <v>286</v>
      </c>
      <c r="L827" s="51" t="str">
        <f t="shared" si="5"/>
        <v/>
      </c>
      <c r="M827" s="51">
        <f t="shared" si="6"/>
        <v>915</v>
      </c>
      <c r="N827" s="53">
        <f>IFERROR(__xludf.DUMMYFUNCTION("IFERROR(GOOGLEFINANCE(A827,""TRADETIME""),)"),46269.64583333333)</f>
        <v>46269.64583</v>
      </c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</row>
    <row r="828" ht="15.75" customHeight="1">
      <c r="A828" s="48" t="s">
        <v>874</v>
      </c>
      <c r="B828" s="48" t="str">
        <f>IFERROR(__xludf.DUMMYFUNCTION("IFERROR(GOOGLEFINANCE(A828,""NAME""),)"),"Lotus Eye Hospital and Institute Ltd")</f>
        <v>Lotus Eye Hospital and Institute Ltd</v>
      </c>
      <c r="C828" s="48">
        <f>IFERROR(__xludf.DUMMYFUNCTION("IFERROR(GOOGLEFINANCE(A828,""CHANGE""),)"),-0.78)</f>
        <v>-0.78</v>
      </c>
      <c r="D828" s="48">
        <f>IFERROR(__xludf.DUMMYFUNCTION("IFERROR(GOOGLEFINANCE(A828,""CHANGEPCT""),)"),-0.71)</f>
        <v>-0.71</v>
      </c>
      <c r="E828" s="48" t="str">
        <f t="shared" si="1"/>
        <v>-0.71%</v>
      </c>
      <c r="F828" s="48" t="str">
        <f t="shared" si="2"/>
        <v/>
      </c>
      <c r="G828" s="48">
        <f t="shared" si="3"/>
        <v>-0.71</v>
      </c>
      <c r="H828" s="48">
        <f>IFERROR(__xludf.DUMMYFUNCTION("IFERROR(GOOGLEFINANCE(A828,""PRICE""),)"),108.5)</f>
        <v>108.5</v>
      </c>
      <c r="I828" s="49">
        <f>IFERROR(__xludf.DUMMYFUNCTION("IFERROR(GOOGLEFINANCE(A828,""VOLUME""),)"),8350.0)</f>
        <v>8350</v>
      </c>
      <c r="J828" s="48" t="str">
        <f>IFERROR(__xludf.DUMMYFUNCTION("IFERROR(INDEX(SPLIT(A828,"":""),1,2),)"),"LOTUSEYE")</f>
        <v>LOTUSEYE</v>
      </c>
      <c r="K828" s="48" t="str">
        <f t="shared" si="4"/>
        <v/>
      </c>
      <c r="L828" s="48">
        <f t="shared" si="5"/>
        <v>272</v>
      </c>
      <c r="M828" s="48">
        <f t="shared" si="6"/>
        <v>1256</v>
      </c>
      <c r="N828" s="50">
        <f>IFERROR(__xludf.DUMMYFUNCTION("IFERROR(GOOGLEFINANCE(A828,""TRADETIME""),)"),46269.64586805555)</f>
        <v>46269.64587</v>
      </c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</row>
    <row r="829" ht="15.75" customHeight="1">
      <c r="A829" s="51" t="s">
        <v>875</v>
      </c>
      <c r="B829" s="51" t="str">
        <f>IFERROR(__xludf.DUMMYFUNCTION("IFERROR(GOOGLEFINANCE(A829,""NAME""),)"),"Lovable Lingerie Ltd")</f>
        <v>Lovable Lingerie Ltd</v>
      </c>
      <c r="C829" s="51">
        <f>IFERROR(__xludf.DUMMYFUNCTION("IFERROR(GOOGLEFINANCE(A829,""CHANGE""),)"),-1.21)</f>
        <v>-1.21</v>
      </c>
      <c r="D829" s="51">
        <f>IFERROR(__xludf.DUMMYFUNCTION("IFERROR(GOOGLEFINANCE(A829,""CHANGEPCT""),)"),-1.68)</f>
        <v>-1.68</v>
      </c>
      <c r="E829" s="51" t="str">
        <f t="shared" si="1"/>
        <v>-1.68%</v>
      </c>
      <c r="F829" s="51" t="str">
        <f t="shared" si="2"/>
        <v/>
      </c>
      <c r="G829" s="51">
        <f t="shared" si="3"/>
        <v>-1.68</v>
      </c>
      <c r="H829" s="51">
        <f>IFERROR(__xludf.DUMMYFUNCTION("IFERROR(GOOGLEFINANCE(A829,""PRICE""),)"),71.0)</f>
        <v>71</v>
      </c>
      <c r="I829" s="52">
        <f>IFERROR(__xludf.DUMMYFUNCTION("IFERROR(GOOGLEFINANCE(A829,""VOLUME""),)"),5969.0)</f>
        <v>5969</v>
      </c>
      <c r="J829" s="51" t="str">
        <f>IFERROR(__xludf.DUMMYFUNCTION("IFERROR(INDEX(SPLIT(A829,"":""),1,2),)"),"LOVABLE")</f>
        <v>LOVABLE</v>
      </c>
      <c r="K829" s="51" t="str">
        <f t="shared" si="4"/>
        <v/>
      </c>
      <c r="L829" s="51">
        <f t="shared" si="5"/>
        <v>480</v>
      </c>
      <c r="M829" s="51">
        <f t="shared" si="6"/>
        <v>1307</v>
      </c>
      <c r="N829" s="53">
        <f>IFERROR(__xludf.DUMMYFUNCTION("IFERROR(GOOGLEFINANCE(A829,""TRADETIME""),)"),46269.64583333333)</f>
        <v>46269.64583</v>
      </c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</row>
    <row r="830" ht="15.75" customHeight="1">
      <c r="A830" s="48" t="s">
        <v>876</v>
      </c>
      <c r="B830" s="48" t="str">
        <f>IFERROR(__xludf.DUMMYFUNCTION("IFERROR(GOOGLEFINANCE(A830,""NAME""),)"),"Landmark Property Development Co Ltd")</f>
        <v>Landmark Property Development Co Ltd</v>
      </c>
      <c r="C830" s="48">
        <f>IFERROR(__xludf.DUMMYFUNCTION("IFERROR(GOOGLEFINANCE(A830,""CHANGE""),)"),-0.03)</f>
        <v>-0.03</v>
      </c>
      <c r="D830" s="48">
        <f>IFERROR(__xludf.DUMMYFUNCTION("IFERROR(GOOGLEFINANCE(A830,""CHANGEPCT""),)"),-0.45)</f>
        <v>-0.45</v>
      </c>
      <c r="E830" s="48" t="str">
        <f t="shared" si="1"/>
        <v>-0.45%</v>
      </c>
      <c r="F830" s="48" t="str">
        <f t="shared" si="2"/>
        <v/>
      </c>
      <c r="G830" s="48">
        <f t="shared" si="3"/>
        <v>-0.45</v>
      </c>
      <c r="H830" s="48">
        <f>IFERROR(__xludf.DUMMYFUNCTION("IFERROR(GOOGLEFINANCE(A830,""PRICE""),)"),6.66)</f>
        <v>6.66</v>
      </c>
      <c r="I830" s="49">
        <f>IFERROR(__xludf.DUMMYFUNCTION("IFERROR(GOOGLEFINANCE(A830,""VOLUME""),)"),41802.0)</f>
        <v>41802</v>
      </c>
      <c r="J830" s="48" t="str">
        <f>IFERROR(__xludf.DUMMYFUNCTION("IFERROR(INDEX(SPLIT(A830,"":""),1,2),)"),"LPDC")</f>
        <v>LPDC</v>
      </c>
      <c r="K830" s="48" t="str">
        <f t="shared" si="4"/>
        <v/>
      </c>
      <c r="L830" s="48">
        <f t="shared" si="5"/>
        <v>172</v>
      </c>
      <c r="M830" s="48">
        <f t="shared" si="6"/>
        <v>993</v>
      </c>
      <c r="N830" s="50">
        <f>IFERROR(__xludf.DUMMYFUNCTION("IFERROR(GOOGLEFINANCE(A830,""TRADETIME""),)"),46269.64583333333)</f>
        <v>46269.64583</v>
      </c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</row>
    <row r="831" ht="15.75" customHeight="1">
      <c r="A831" s="51" t="s">
        <v>877</v>
      </c>
      <c r="B831" s="51" t="str">
        <f>IFERROR(__xludf.DUMMYFUNCTION("IFERROR(GOOGLEFINANCE(A831,""NAME""),)"),"")</f>
        <v/>
      </c>
      <c r="C831" s="51" t="str">
        <f>IFERROR(__xludf.DUMMYFUNCTION("IFERROR(GOOGLEFINANCE(A831,""CHANGE""),)"),"")</f>
        <v/>
      </c>
      <c r="D831" s="51" t="str">
        <f>IFERROR(__xludf.DUMMYFUNCTION("IFERROR(GOOGLEFINANCE(A831,""CHANGEPCT""),)"),"")</f>
        <v/>
      </c>
      <c r="E831" s="51" t="str">
        <f t="shared" si="1"/>
        <v>%</v>
      </c>
      <c r="F831" s="51" t="str">
        <f t="shared" si="2"/>
        <v/>
      </c>
      <c r="G831" s="51" t="str">
        <f t="shared" si="3"/>
        <v/>
      </c>
      <c r="H831" s="51" t="str">
        <f>IFERROR(__xludf.DUMMYFUNCTION("IFERROR(GOOGLEFINANCE(A831,""PRICE""),)"),"")</f>
        <v/>
      </c>
      <c r="I831" s="52" t="str">
        <f>IFERROR(__xludf.DUMMYFUNCTION("IFERROR(GOOGLEFINANCE(A831,""VOLUME""),)"),"")</f>
        <v/>
      </c>
      <c r="J831" s="51" t="str">
        <f>IFERROR(__xludf.DUMMYFUNCTION("IFERROR(INDEX(SPLIT(A831,"":""),1,2),)"),"LSIL")</f>
        <v>LSIL</v>
      </c>
      <c r="K831" s="51" t="str">
        <f t="shared" si="4"/>
        <v/>
      </c>
      <c r="L831" s="51" t="str">
        <f t="shared" si="5"/>
        <v/>
      </c>
      <c r="M831" s="51">
        <f t="shared" si="6"/>
        <v>1456</v>
      </c>
      <c r="N831" s="53" t="str">
        <f>IFERROR(__xludf.DUMMYFUNCTION("IFERROR(GOOGLEFINANCE(A831,""TRADETIME""),)"),"")</f>
        <v/>
      </c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</row>
    <row r="832" ht="15.75" customHeight="1">
      <c r="A832" s="48" t="s">
        <v>878</v>
      </c>
      <c r="B832" s="48" t="str">
        <f>IFERROR(__xludf.DUMMYFUNCTION("IFERROR(GOOGLEFINANCE(A832,""NAME""),)"),"Larsen and Toubro Ltd")</f>
        <v>Larsen and Toubro Ltd</v>
      </c>
      <c r="C832" s="48">
        <f>IFERROR(__xludf.DUMMYFUNCTION("IFERROR(GOOGLEFINANCE(A832,""CHANGE""),)"),11.6)</f>
        <v>11.6</v>
      </c>
      <c r="D832" s="48">
        <f>IFERROR(__xludf.DUMMYFUNCTION("IFERROR(GOOGLEFINANCE(A832,""CHANGEPCT""),)"),0.29)</f>
        <v>0.29</v>
      </c>
      <c r="E832" s="48" t="str">
        <f t="shared" si="1"/>
        <v>0.29%</v>
      </c>
      <c r="F832" s="48">
        <f t="shared" si="2"/>
        <v>0.29</v>
      </c>
      <c r="G832" s="48" t="str">
        <f t="shared" si="3"/>
        <v/>
      </c>
      <c r="H832" s="48">
        <f>IFERROR(__xludf.DUMMYFUNCTION("IFERROR(GOOGLEFINANCE(A832,""PRICE""),)"),3986.6)</f>
        <v>3986.6</v>
      </c>
      <c r="I832" s="49">
        <f>IFERROR(__xludf.DUMMYFUNCTION("IFERROR(GOOGLEFINANCE(A832,""VOLUME""),)"),1319056.0)</f>
        <v>1319056</v>
      </c>
      <c r="J832" s="48" t="str">
        <f>IFERROR(__xludf.DUMMYFUNCTION("IFERROR(INDEX(SPLIT(A832,"":""),1,2),)"),"LT")</f>
        <v>LT</v>
      </c>
      <c r="K832" s="48">
        <f t="shared" si="4"/>
        <v>666</v>
      </c>
      <c r="L832" s="48" t="str">
        <f t="shared" si="5"/>
        <v/>
      </c>
      <c r="M832" s="48">
        <f t="shared" si="6"/>
        <v>225</v>
      </c>
      <c r="N832" s="50">
        <f>IFERROR(__xludf.DUMMYFUNCTION("IFERROR(GOOGLEFINANCE(A832,""TRADETIME""),)"),46269.64583333333)</f>
        <v>46269.64583</v>
      </c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</row>
    <row r="833" ht="15.75" customHeight="1">
      <c r="A833" s="51" t="s">
        <v>879</v>
      </c>
      <c r="B833" s="51" t="str">
        <f>IFERROR(__xludf.DUMMYFUNCTION("IFERROR(GOOGLEFINANCE(A833,""NAME""),)"),"")</f>
        <v/>
      </c>
      <c r="C833" s="51" t="str">
        <f>IFERROR(__xludf.DUMMYFUNCTION("IFERROR(GOOGLEFINANCE(A833,""CHANGE""),)"),"")</f>
        <v/>
      </c>
      <c r="D833" s="51" t="str">
        <f>IFERROR(__xludf.DUMMYFUNCTION("IFERROR(GOOGLEFINANCE(A833,""CHANGEPCT""),)"),"")</f>
        <v/>
      </c>
      <c r="E833" s="51" t="str">
        <f t="shared" si="1"/>
        <v>%</v>
      </c>
      <c r="F833" s="51" t="str">
        <f t="shared" si="2"/>
        <v/>
      </c>
      <c r="G833" s="51" t="str">
        <f t="shared" si="3"/>
        <v/>
      </c>
      <c r="H833" s="51" t="str">
        <f>IFERROR(__xludf.DUMMYFUNCTION("IFERROR(GOOGLEFINANCE(A833,""PRICE""),)"),"")</f>
        <v/>
      </c>
      <c r="I833" s="52" t="str">
        <f>IFERROR(__xludf.DUMMYFUNCTION("IFERROR(GOOGLEFINANCE(A833,""VOLUME""),)"),"")</f>
        <v/>
      </c>
      <c r="J833" s="51" t="str">
        <f>IFERROR(__xludf.DUMMYFUNCTION("IFERROR(INDEX(SPLIT(A833,"":""),1,2),)"),"LTIM")</f>
        <v>LTIM</v>
      </c>
      <c r="K833" s="51" t="str">
        <f t="shared" si="4"/>
        <v/>
      </c>
      <c r="L833" s="51" t="str">
        <f t="shared" si="5"/>
        <v/>
      </c>
      <c r="M833" s="51">
        <f t="shared" si="6"/>
        <v>1456</v>
      </c>
      <c r="N833" s="53" t="str">
        <f>IFERROR(__xludf.DUMMYFUNCTION("IFERROR(GOOGLEFINANCE(A833,""TRADETIME""),)"),"")</f>
        <v/>
      </c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</row>
    <row r="834" ht="15.75" customHeight="1">
      <c r="A834" s="48" t="s">
        <v>880</v>
      </c>
      <c r="B834" s="48" t="str">
        <f>IFERROR(__xludf.DUMMYFUNCTION("IFERROR(GOOGLEFINANCE(A834,""NAME""),)"),"L&amp;T Technology Services Ltd")</f>
        <v>L&amp;T Technology Services Ltd</v>
      </c>
      <c r="C834" s="48">
        <f>IFERROR(__xludf.DUMMYFUNCTION("IFERROR(GOOGLEFINANCE(A834,""CHANGE""),)"),-19.0)</f>
        <v>-19</v>
      </c>
      <c r="D834" s="48">
        <f>IFERROR(__xludf.DUMMYFUNCTION("IFERROR(GOOGLEFINANCE(A834,""CHANGEPCT""),)"),-0.54)</f>
        <v>-0.54</v>
      </c>
      <c r="E834" s="48" t="str">
        <f t="shared" si="1"/>
        <v>-0.54%</v>
      </c>
      <c r="F834" s="48" t="str">
        <f t="shared" si="2"/>
        <v/>
      </c>
      <c r="G834" s="48">
        <f t="shared" si="3"/>
        <v>-0.54</v>
      </c>
      <c r="H834" s="48">
        <f>IFERROR(__xludf.DUMMYFUNCTION("IFERROR(GOOGLEFINANCE(A834,""PRICE""),)"),3482.2)</f>
        <v>3482.2</v>
      </c>
      <c r="I834" s="49">
        <f>IFERROR(__xludf.DUMMYFUNCTION("IFERROR(GOOGLEFINANCE(A834,""VOLUME""),)"),51558.0)</f>
        <v>51558</v>
      </c>
      <c r="J834" s="48" t="str">
        <f>IFERROR(__xludf.DUMMYFUNCTION("IFERROR(INDEX(SPLIT(A834,"":""),1,2),)"),"LTTS")</f>
        <v>LTTS</v>
      </c>
      <c r="K834" s="48" t="str">
        <f t="shared" si="4"/>
        <v/>
      </c>
      <c r="L834" s="48">
        <f t="shared" si="5"/>
        <v>209</v>
      </c>
      <c r="M834" s="48">
        <f t="shared" si="6"/>
        <v>936</v>
      </c>
      <c r="N834" s="50">
        <f>IFERROR(__xludf.DUMMYFUNCTION("IFERROR(GOOGLEFINANCE(A834,""TRADETIME""),)"),46269.64583333333)</f>
        <v>46269.64583</v>
      </c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</row>
    <row r="835" ht="15.75" customHeight="1">
      <c r="A835" s="51" t="s">
        <v>881</v>
      </c>
      <c r="B835" s="51" t="str">
        <f>IFERROR(__xludf.DUMMYFUNCTION("IFERROR(GOOGLEFINANCE(A835,""NAME""),)"),"Lumax Industries Ltd")</f>
        <v>Lumax Industries Ltd</v>
      </c>
      <c r="C835" s="51">
        <f>IFERROR(__xludf.DUMMYFUNCTION("IFERROR(GOOGLEFINANCE(A835,""CHANGE""),)"),-202.5)</f>
        <v>-202.5</v>
      </c>
      <c r="D835" s="51">
        <f>IFERROR(__xludf.DUMMYFUNCTION("IFERROR(GOOGLEFINANCE(A835,""CHANGEPCT""),)"),-3.17)</f>
        <v>-3.17</v>
      </c>
      <c r="E835" s="51" t="str">
        <f t="shared" si="1"/>
        <v>-3.17%</v>
      </c>
      <c r="F835" s="51" t="str">
        <f t="shared" si="2"/>
        <v/>
      </c>
      <c r="G835" s="51">
        <f t="shared" si="3"/>
        <v>-3.17</v>
      </c>
      <c r="H835" s="51">
        <f>IFERROR(__xludf.DUMMYFUNCTION("IFERROR(GOOGLEFINANCE(A835,""PRICE""),)"),6178.0)</f>
        <v>6178</v>
      </c>
      <c r="I835" s="52">
        <f>IFERROR(__xludf.DUMMYFUNCTION("IFERROR(GOOGLEFINANCE(A835,""VOLUME""),)"),15590.0)</f>
        <v>15590</v>
      </c>
      <c r="J835" s="51" t="str">
        <f>IFERROR(__xludf.DUMMYFUNCTION("IFERROR(INDEX(SPLIT(A835,"":""),1,2),)"),"LUMAXIND")</f>
        <v>LUMAXIND</v>
      </c>
      <c r="K835" s="51" t="str">
        <f t="shared" si="4"/>
        <v/>
      </c>
      <c r="L835" s="51">
        <f t="shared" si="5"/>
        <v>596</v>
      </c>
      <c r="M835" s="51">
        <f t="shared" si="6"/>
        <v>1169</v>
      </c>
      <c r="N835" s="53">
        <f>IFERROR(__xludf.DUMMYFUNCTION("IFERROR(GOOGLEFINANCE(A835,""TRADETIME""),)"),46269.64583333333)</f>
        <v>46269.64583</v>
      </c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</row>
    <row r="836" ht="15.75" customHeight="1">
      <c r="A836" s="48" t="s">
        <v>882</v>
      </c>
      <c r="B836" s="48" t="str">
        <f>IFERROR(__xludf.DUMMYFUNCTION("IFERROR(GOOGLEFINANCE(A836,""NAME""),)"),"Lumax AutoTechnologies Ltd")</f>
        <v>Lumax AutoTechnologies Ltd</v>
      </c>
      <c r="C836" s="48">
        <f>IFERROR(__xludf.DUMMYFUNCTION("IFERROR(GOOGLEFINANCE(A836,""CHANGE""),)"),-30.7)</f>
        <v>-30.7</v>
      </c>
      <c r="D836" s="48">
        <f>IFERROR(__xludf.DUMMYFUNCTION("IFERROR(GOOGLEFINANCE(A836,""CHANGEPCT""),)"),-1.55)</f>
        <v>-1.55</v>
      </c>
      <c r="E836" s="48" t="str">
        <f t="shared" si="1"/>
        <v>-1.55%</v>
      </c>
      <c r="F836" s="48" t="str">
        <f t="shared" si="2"/>
        <v/>
      </c>
      <c r="G836" s="48">
        <f t="shared" si="3"/>
        <v>-1.55</v>
      </c>
      <c r="H836" s="48">
        <f>IFERROR(__xludf.DUMMYFUNCTION("IFERROR(GOOGLEFINANCE(A836,""PRICE""),)"),1954.7)</f>
        <v>1954.7</v>
      </c>
      <c r="I836" s="49">
        <f>IFERROR(__xludf.DUMMYFUNCTION("IFERROR(GOOGLEFINANCE(A836,""VOLUME""),)"),81128.0)</f>
        <v>81128</v>
      </c>
      <c r="J836" s="48" t="str">
        <f>IFERROR(__xludf.DUMMYFUNCTION("IFERROR(INDEX(SPLIT(A836,"":""),1,2),)"),"LUMAXTECH")</f>
        <v>LUMAXTECH</v>
      </c>
      <c r="K836" s="48" t="str">
        <f t="shared" si="4"/>
        <v/>
      </c>
      <c r="L836" s="48">
        <f t="shared" si="5"/>
        <v>462</v>
      </c>
      <c r="M836" s="48">
        <f t="shared" si="6"/>
        <v>823</v>
      </c>
      <c r="N836" s="50">
        <f>IFERROR(__xludf.DUMMYFUNCTION("IFERROR(GOOGLEFINANCE(A836,""TRADETIME""),)"),46269.64583333333)</f>
        <v>46269.64583</v>
      </c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</row>
    <row r="837" ht="15.75" customHeight="1">
      <c r="A837" s="51" t="s">
        <v>883</v>
      </c>
      <c r="B837" s="51" t="str">
        <f>IFERROR(__xludf.DUMMYFUNCTION("IFERROR(GOOGLEFINANCE(A837,""NAME""),)"),"Lupin Ltd")</f>
        <v>Lupin Ltd</v>
      </c>
      <c r="C837" s="51">
        <f>IFERROR(__xludf.DUMMYFUNCTION("IFERROR(GOOGLEFINANCE(A837,""CHANGE""),)"),-24.2)</f>
        <v>-24.2</v>
      </c>
      <c r="D837" s="51">
        <f>IFERROR(__xludf.DUMMYFUNCTION("IFERROR(GOOGLEFINANCE(A837,""CHANGEPCT""),)"),-1.14)</f>
        <v>-1.14</v>
      </c>
      <c r="E837" s="51" t="str">
        <f t="shared" si="1"/>
        <v>-1.14%</v>
      </c>
      <c r="F837" s="51" t="str">
        <f t="shared" si="2"/>
        <v/>
      </c>
      <c r="G837" s="51">
        <f t="shared" si="3"/>
        <v>-1.14</v>
      </c>
      <c r="H837" s="51">
        <f>IFERROR(__xludf.DUMMYFUNCTION("IFERROR(GOOGLEFINANCE(A837,""PRICE""),)"),2107.8)</f>
        <v>2107.8</v>
      </c>
      <c r="I837" s="52">
        <f>IFERROR(__xludf.DUMMYFUNCTION("IFERROR(GOOGLEFINANCE(A837,""VOLUME""),)"),862828.0)</f>
        <v>862828</v>
      </c>
      <c r="J837" s="51" t="str">
        <f>IFERROR(__xludf.DUMMYFUNCTION("IFERROR(INDEX(SPLIT(A837,"":""),1,2),)"),"LUPIN")</f>
        <v>LUPIN</v>
      </c>
      <c r="K837" s="51" t="str">
        <f t="shared" si="4"/>
        <v/>
      </c>
      <c r="L837" s="51">
        <f t="shared" si="5"/>
        <v>368</v>
      </c>
      <c r="M837" s="51">
        <f t="shared" si="6"/>
        <v>298</v>
      </c>
      <c r="N837" s="53">
        <f>IFERROR(__xludf.DUMMYFUNCTION("IFERROR(GOOGLEFINANCE(A837,""TRADETIME""),)"),46269.64583333333)</f>
        <v>46269.64583</v>
      </c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</row>
    <row r="838" ht="15.75" customHeight="1">
      <c r="A838" s="48" t="s">
        <v>884</v>
      </c>
      <c r="B838" s="48" t="str">
        <f>IFERROR(__xludf.DUMMYFUNCTION("IFERROR(GOOGLEFINANCE(A838,""NAME""),)"),"Lux Industries Ltd")</f>
        <v>Lux Industries Ltd</v>
      </c>
      <c r="C838" s="48">
        <f>IFERROR(__xludf.DUMMYFUNCTION("IFERROR(GOOGLEFINANCE(A838,""CHANGE""),)"),-0.5)</f>
        <v>-0.5</v>
      </c>
      <c r="D838" s="48">
        <f>IFERROR(__xludf.DUMMYFUNCTION("IFERROR(GOOGLEFINANCE(A838,""CHANGEPCT""),)"),-0.04)</f>
        <v>-0.04</v>
      </c>
      <c r="E838" s="48" t="str">
        <f t="shared" si="1"/>
        <v>-0.04%</v>
      </c>
      <c r="F838" s="48" t="str">
        <f t="shared" si="2"/>
        <v/>
      </c>
      <c r="G838" s="48">
        <f t="shared" si="3"/>
        <v>-0.04</v>
      </c>
      <c r="H838" s="48">
        <f>IFERROR(__xludf.DUMMYFUNCTION("IFERROR(GOOGLEFINANCE(A838,""PRICE""),)"),1171.2)</f>
        <v>1171.2</v>
      </c>
      <c r="I838" s="49">
        <f>IFERROR(__xludf.DUMMYFUNCTION("IFERROR(GOOGLEFINANCE(A838,""VOLUME""),)"),9331.0)</f>
        <v>9331</v>
      </c>
      <c r="J838" s="48" t="str">
        <f>IFERROR(__xludf.DUMMYFUNCTION("IFERROR(INDEX(SPLIT(A838,"":""),1,2),)"),"LUXIND")</f>
        <v>LUXIND</v>
      </c>
      <c r="K838" s="48" t="str">
        <f t="shared" si="4"/>
        <v/>
      </c>
      <c r="L838" s="48">
        <f t="shared" si="5"/>
        <v>12</v>
      </c>
      <c r="M838" s="48">
        <f t="shared" si="6"/>
        <v>1240</v>
      </c>
      <c r="N838" s="50">
        <f>IFERROR(__xludf.DUMMYFUNCTION("IFERROR(GOOGLEFINANCE(A838,""TRADETIME""),)"),46269.64583333333)</f>
        <v>46269.64583</v>
      </c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</row>
    <row r="839" ht="15.75" customHeight="1">
      <c r="A839" s="51" t="s">
        <v>885</v>
      </c>
      <c r="B839" s="51" t="str">
        <f>IFERROR(__xludf.DUMMYFUNCTION("IFERROR(GOOGLEFINANCE(A839,""NAME""),)"),"Lyka Labs Ltd")</f>
        <v>Lyka Labs Ltd</v>
      </c>
      <c r="C839" s="51">
        <f>IFERROR(__xludf.DUMMYFUNCTION("IFERROR(GOOGLEFINANCE(A839,""CHANGE""),)"),1.53)</f>
        <v>1.53</v>
      </c>
      <c r="D839" s="51">
        <f>IFERROR(__xludf.DUMMYFUNCTION("IFERROR(GOOGLEFINANCE(A839,""CHANGEPCT""),)"),1.99)</f>
        <v>1.99</v>
      </c>
      <c r="E839" s="51" t="str">
        <f t="shared" si="1"/>
        <v>1.99%</v>
      </c>
      <c r="F839" s="51">
        <f t="shared" si="2"/>
        <v>1.99</v>
      </c>
      <c r="G839" s="51" t="str">
        <f t="shared" si="3"/>
        <v/>
      </c>
      <c r="H839" s="51">
        <f>IFERROR(__xludf.DUMMYFUNCTION("IFERROR(GOOGLEFINANCE(A839,""PRICE""),)"),78.36)</f>
        <v>78.36</v>
      </c>
      <c r="I839" s="52">
        <f>IFERROR(__xludf.DUMMYFUNCTION("IFERROR(GOOGLEFINANCE(A839,""VOLUME""),)"),31844.0)</f>
        <v>31844</v>
      </c>
      <c r="J839" s="51" t="str">
        <f>IFERROR(__xludf.DUMMYFUNCTION("IFERROR(INDEX(SPLIT(A839,"":""),1,2),)"),"LYKALABS")</f>
        <v>LYKALABS</v>
      </c>
      <c r="K839" s="51">
        <f t="shared" si="4"/>
        <v>260</v>
      </c>
      <c r="L839" s="51" t="str">
        <f t="shared" si="5"/>
        <v/>
      </c>
      <c r="M839" s="51">
        <f t="shared" si="6"/>
        <v>1040</v>
      </c>
      <c r="N839" s="53">
        <f>IFERROR(__xludf.DUMMYFUNCTION("IFERROR(GOOGLEFINANCE(A839,""TRADETIME""),)"),46269.64583333333)</f>
        <v>46269.64583</v>
      </c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</row>
    <row r="840" ht="15.75" customHeight="1">
      <c r="A840" s="48" t="s">
        <v>886</v>
      </c>
      <c r="B840" s="48" t="str">
        <f>IFERROR(__xludf.DUMMYFUNCTION("IFERROR(GOOGLEFINANCE(A840,""NAME""),)"),"")</f>
        <v/>
      </c>
      <c r="C840" s="48" t="str">
        <f>IFERROR(__xludf.DUMMYFUNCTION("IFERROR(GOOGLEFINANCE(A840,""CHANGE""),)"),"")</f>
        <v/>
      </c>
      <c r="D840" s="48" t="str">
        <f>IFERROR(__xludf.DUMMYFUNCTION("IFERROR(GOOGLEFINANCE(A840,""CHANGEPCT""),)"),"")</f>
        <v/>
      </c>
      <c r="E840" s="48" t="str">
        <f t="shared" si="1"/>
        <v>%</v>
      </c>
      <c r="F840" s="48" t="str">
        <f t="shared" si="2"/>
        <v/>
      </c>
      <c r="G840" s="48" t="str">
        <f t="shared" si="3"/>
        <v/>
      </c>
      <c r="H840" s="48" t="str">
        <f>IFERROR(__xludf.DUMMYFUNCTION("IFERROR(GOOGLEFINANCE(A840,""PRICE""),)"),"")</f>
        <v/>
      </c>
      <c r="I840" s="49" t="str">
        <f>IFERROR(__xludf.DUMMYFUNCTION("IFERROR(GOOGLEFINANCE(A840,""VOLUME""),)"),"")</f>
        <v/>
      </c>
      <c r="J840" s="48" t="str">
        <f>IFERROR(__xludf.DUMMYFUNCTION("IFERROR(INDEX(SPLIT(A840,"":""),1,2),)"),"LYPSAGEMS")</f>
        <v>LYPSAGEMS</v>
      </c>
      <c r="K840" s="48" t="str">
        <f t="shared" si="4"/>
        <v/>
      </c>
      <c r="L840" s="48" t="str">
        <f t="shared" si="5"/>
        <v/>
      </c>
      <c r="M840" s="48">
        <f t="shared" si="6"/>
        <v>1456</v>
      </c>
      <c r="N840" s="50" t="str">
        <f>IFERROR(__xludf.DUMMYFUNCTION("IFERROR(GOOGLEFINANCE(A840,""TRADETIME""),)"),"")</f>
        <v/>
      </c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</row>
    <row r="841" ht="15.75" customHeight="1">
      <c r="A841" s="51" t="s">
        <v>887</v>
      </c>
      <c r="B841" s="51" t="str">
        <f>IFERROR(__xludf.DUMMYFUNCTION("IFERROR(GOOGLEFINANCE(A841,""NAME""),)"),"Mahindra And Mahindra Ltd")</f>
        <v>Mahindra And Mahindra Ltd</v>
      </c>
      <c r="C841" s="51">
        <f>IFERROR(__xludf.DUMMYFUNCTION("IFERROR(GOOGLEFINANCE(A841,""CHANGE""),)"),25.0)</f>
        <v>25</v>
      </c>
      <c r="D841" s="51">
        <f>IFERROR(__xludf.DUMMYFUNCTION("IFERROR(GOOGLEFINANCE(A841,""CHANGEPCT""),)"),0.79)</f>
        <v>0.79</v>
      </c>
      <c r="E841" s="51" t="str">
        <f t="shared" si="1"/>
        <v>0.79%</v>
      </c>
      <c r="F841" s="51">
        <f t="shared" si="2"/>
        <v>0.79</v>
      </c>
      <c r="G841" s="51" t="str">
        <f t="shared" si="3"/>
        <v/>
      </c>
      <c r="H841" s="51">
        <f>IFERROR(__xludf.DUMMYFUNCTION("IFERROR(GOOGLEFINANCE(A841,""PRICE""),)"),3175.0)</f>
        <v>3175</v>
      </c>
      <c r="I841" s="52">
        <f>IFERROR(__xludf.DUMMYFUNCTION("IFERROR(GOOGLEFINANCE(A841,""VOLUME""),)"),1489449.0)</f>
        <v>1489449</v>
      </c>
      <c r="J841" s="51" t="str">
        <f>IFERROR(__xludf.DUMMYFUNCTION("IFERROR(INDEX(SPLIT(A841,"":""),1,2),)"),"M&amp;M")</f>
        <v>M&amp;M</v>
      </c>
      <c r="K841" s="51">
        <f t="shared" si="4"/>
        <v>504</v>
      </c>
      <c r="L841" s="51" t="str">
        <f t="shared" si="5"/>
        <v/>
      </c>
      <c r="M841" s="51">
        <f t="shared" si="6"/>
        <v>211</v>
      </c>
      <c r="N841" s="53">
        <f>IFERROR(__xludf.DUMMYFUNCTION("IFERROR(GOOGLEFINANCE(A841,""TRADETIME""),)"),46269.64583333333)</f>
        <v>46269.64583</v>
      </c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</row>
    <row r="842" ht="15.75" customHeight="1">
      <c r="A842" s="48" t="s">
        <v>888</v>
      </c>
      <c r="B842" s="48" t="str">
        <f>IFERROR(__xludf.DUMMYFUNCTION("IFERROR(GOOGLEFINANCE(A842,""NAME""),)"),"Mahindra and Mahindra Financial Svcs Ltd")</f>
        <v>Mahindra and Mahindra Financial Svcs Ltd</v>
      </c>
      <c r="C842" s="48">
        <f>IFERROR(__xludf.DUMMYFUNCTION("IFERROR(GOOGLEFINANCE(A842,""CHANGE""),)"),-1.3)</f>
        <v>-1.3</v>
      </c>
      <c r="D842" s="48">
        <f>IFERROR(__xludf.DUMMYFUNCTION("IFERROR(GOOGLEFINANCE(A842,""CHANGEPCT""),)"),-0.35)</f>
        <v>-0.35</v>
      </c>
      <c r="E842" s="48" t="str">
        <f t="shared" si="1"/>
        <v>-0.35%</v>
      </c>
      <c r="F842" s="48" t="str">
        <f t="shared" si="2"/>
        <v/>
      </c>
      <c r="G842" s="48">
        <f t="shared" si="3"/>
        <v>-0.35</v>
      </c>
      <c r="H842" s="48">
        <f>IFERROR(__xludf.DUMMYFUNCTION("IFERROR(GOOGLEFINANCE(A842,""PRICE""),)"),374.75)</f>
        <v>374.75</v>
      </c>
      <c r="I842" s="49">
        <f>IFERROR(__xludf.DUMMYFUNCTION("IFERROR(GOOGLEFINANCE(A842,""VOLUME""),)"),2628655.0)</f>
        <v>2628655</v>
      </c>
      <c r="J842" s="48" t="str">
        <f>IFERROR(__xludf.DUMMYFUNCTION("IFERROR(INDEX(SPLIT(A842,"":""),1,2),)"),"M&amp;MFIN")</f>
        <v>M&amp;MFIN</v>
      </c>
      <c r="K842" s="48" t="str">
        <f t="shared" si="4"/>
        <v/>
      </c>
      <c r="L842" s="48">
        <f t="shared" si="5"/>
        <v>134</v>
      </c>
      <c r="M842" s="48">
        <f t="shared" si="6"/>
        <v>136</v>
      </c>
      <c r="N842" s="50">
        <f>IFERROR(__xludf.DUMMYFUNCTION("IFERROR(GOOGLEFINANCE(A842,""TRADETIME""),)"),46269.64585648148)</f>
        <v>46269.64586</v>
      </c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</row>
    <row r="843" ht="15.75" customHeight="1">
      <c r="A843" s="51" t="s">
        <v>889</v>
      </c>
      <c r="B843" s="51" t="str">
        <f>IFERROR(__xludf.DUMMYFUNCTION("IFERROR(GOOGLEFINANCE(A843,""NAME""),)"),"Maan Aluminium Ltd")</f>
        <v>Maan Aluminium Ltd</v>
      </c>
      <c r="C843" s="51">
        <f>IFERROR(__xludf.DUMMYFUNCTION("IFERROR(GOOGLEFINANCE(A843,""CHANGE""),)"),-2.95)</f>
        <v>-2.95</v>
      </c>
      <c r="D843" s="51">
        <f>IFERROR(__xludf.DUMMYFUNCTION("IFERROR(GOOGLEFINANCE(A843,""CHANGEPCT""),)"),-2.44)</f>
        <v>-2.44</v>
      </c>
      <c r="E843" s="51" t="str">
        <f t="shared" si="1"/>
        <v>-2.44%</v>
      </c>
      <c r="F843" s="51" t="str">
        <f t="shared" si="2"/>
        <v/>
      </c>
      <c r="G843" s="51">
        <f t="shared" si="3"/>
        <v>-2.44</v>
      </c>
      <c r="H843" s="51">
        <f>IFERROR(__xludf.DUMMYFUNCTION("IFERROR(GOOGLEFINANCE(A843,""PRICE""),)"),117.82)</f>
        <v>117.82</v>
      </c>
      <c r="I843" s="52">
        <f>IFERROR(__xludf.DUMMYFUNCTION("IFERROR(GOOGLEFINANCE(A843,""VOLUME""),)"),74246.0)</f>
        <v>74246</v>
      </c>
      <c r="J843" s="51" t="str">
        <f>IFERROR(__xludf.DUMMYFUNCTION("IFERROR(INDEX(SPLIT(A843,"":""),1,2),)"),"MAANALU")</f>
        <v>MAANALU</v>
      </c>
      <c r="K843" s="51" t="str">
        <f t="shared" si="4"/>
        <v/>
      </c>
      <c r="L843" s="51">
        <f t="shared" si="5"/>
        <v>569</v>
      </c>
      <c r="M843" s="51">
        <f t="shared" si="6"/>
        <v>845</v>
      </c>
      <c r="N843" s="53">
        <f>IFERROR(__xludf.DUMMYFUNCTION("IFERROR(GOOGLEFINANCE(A843,""TRADETIME""),)"),46269.64583333333)</f>
        <v>46269.64583</v>
      </c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</row>
    <row r="844" ht="15.75" customHeight="1">
      <c r="A844" s="48" t="s">
        <v>890</v>
      </c>
      <c r="B844" s="48" t="str">
        <f>IFERROR(__xludf.DUMMYFUNCTION("IFERROR(GOOGLEFINANCE(A844,""NAME""),)"),"Macpower CNC Machines Ltd")</f>
        <v>Macpower CNC Machines Ltd</v>
      </c>
      <c r="C844" s="48">
        <f>IFERROR(__xludf.DUMMYFUNCTION("IFERROR(GOOGLEFINANCE(A844,""CHANGE""),)"),-38.1)</f>
        <v>-38.1</v>
      </c>
      <c r="D844" s="48">
        <f>IFERROR(__xludf.DUMMYFUNCTION("IFERROR(GOOGLEFINANCE(A844,""CHANGEPCT""),)"),-1.96)</f>
        <v>-1.96</v>
      </c>
      <c r="E844" s="48" t="str">
        <f t="shared" si="1"/>
        <v>-1.96%</v>
      </c>
      <c r="F844" s="48" t="str">
        <f t="shared" si="2"/>
        <v/>
      </c>
      <c r="G844" s="48">
        <f t="shared" si="3"/>
        <v>-1.96</v>
      </c>
      <c r="H844" s="48">
        <f>IFERROR(__xludf.DUMMYFUNCTION("IFERROR(GOOGLEFINANCE(A844,""PRICE""),)"),1906.0)</f>
        <v>1906</v>
      </c>
      <c r="I844" s="49">
        <f>IFERROR(__xludf.DUMMYFUNCTION("IFERROR(GOOGLEFINANCE(A844,""VOLUME""),)"),38330.0)</f>
        <v>38330</v>
      </c>
      <c r="J844" s="48" t="str">
        <f>IFERROR(__xludf.DUMMYFUNCTION("IFERROR(INDEX(SPLIT(A844,"":""),1,2),)"),"MACPOWER")</f>
        <v>MACPOWER</v>
      </c>
      <c r="K844" s="48" t="str">
        <f t="shared" si="4"/>
        <v/>
      </c>
      <c r="L844" s="48">
        <f t="shared" si="5"/>
        <v>521</v>
      </c>
      <c r="M844" s="48">
        <f t="shared" si="6"/>
        <v>1010</v>
      </c>
      <c r="N844" s="50">
        <f>IFERROR(__xludf.DUMMYFUNCTION("IFERROR(GOOGLEFINANCE(A844,""TRADETIME""),)"),46269.64583333333)</f>
        <v>46269.64583</v>
      </c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</row>
    <row r="845" ht="15.75" customHeight="1">
      <c r="A845" s="51" t="s">
        <v>891</v>
      </c>
      <c r="B845" s="51" t="str">
        <f>IFERROR(__xludf.DUMMYFUNCTION("IFERROR(GOOGLEFINANCE(A845,""NAME""),)"),"Madhav Marbles and Granites Ltd")</f>
        <v>Madhav Marbles and Granites Ltd</v>
      </c>
      <c r="C845" s="51">
        <f>IFERROR(__xludf.DUMMYFUNCTION("IFERROR(GOOGLEFINANCE(A845,""CHANGE""),)"),0.91)</f>
        <v>0.91</v>
      </c>
      <c r="D845" s="51">
        <f>IFERROR(__xludf.DUMMYFUNCTION("IFERROR(GOOGLEFINANCE(A845,""CHANGEPCT""),)"),2.61)</f>
        <v>2.61</v>
      </c>
      <c r="E845" s="51" t="str">
        <f t="shared" si="1"/>
        <v>2.61%</v>
      </c>
      <c r="F845" s="51">
        <f t="shared" si="2"/>
        <v>2.61</v>
      </c>
      <c r="G845" s="51" t="str">
        <f t="shared" si="3"/>
        <v/>
      </c>
      <c r="H845" s="51">
        <f>IFERROR(__xludf.DUMMYFUNCTION("IFERROR(GOOGLEFINANCE(A845,""PRICE""),)"),35.75)</f>
        <v>35.75</v>
      </c>
      <c r="I845" s="52">
        <f>IFERROR(__xludf.DUMMYFUNCTION("IFERROR(GOOGLEFINANCE(A845,""VOLUME""),)"),6274.0)</f>
        <v>6274</v>
      </c>
      <c r="J845" s="51" t="str">
        <f>IFERROR(__xludf.DUMMYFUNCTION("IFERROR(INDEX(SPLIT(A845,"":""),1,2),)"),"MADHAV")</f>
        <v>MADHAV</v>
      </c>
      <c r="K845" s="51">
        <f t="shared" si="4"/>
        <v>190</v>
      </c>
      <c r="L845" s="51" t="str">
        <f t="shared" si="5"/>
        <v/>
      </c>
      <c r="M845" s="51">
        <f t="shared" si="6"/>
        <v>1301</v>
      </c>
      <c r="N845" s="53">
        <f>IFERROR(__xludf.DUMMYFUNCTION("IFERROR(GOOGLEFINANCE(A845,""TRADETIME""),)"),46269.64583333333)</f>
        <v>46269.64583</v>
      </c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</row>
    <row r="846" ht="15.75" customHeight="1">
      <c r="A846" s="48" t="s">
        <v>892</v>
      </c>
      <c r="B846" s="48" t="str">
        <f>IFERROR(__xludf.DUMMYFUNCTION("IFERROR(GOOGLEFINANCE(A846,""NAME""),)"),"Madhucon Projects Ltd")</f>
        <v>Madhucon Projects Ltd</v>
      </c>
      <c r="C846" s="48">
        <f>IFERROR(__xludf.DUMMYFUNCTION("IFERROR(GOOGLEFINANCE(A846,""CHANGE""),)"),-0.21)</f>
        <v>-0.21</v>
      </c>
      <c r="D846" s="48">
        <f>IFERROR(__xludf.DUMMYFUNCTION("IFERROR(GOOGLEFINANCE(A846,""CHANGEPCT""),)"),-4.37)</f>
        <v>-4.37</v>
      </c>
      <c r="E846" s="48" t="str">
        <f t="shared" si="1"/>
        <v>-4.37%</v>
      </c>
      <c r="F846" s="48" t="str">
        <f t="shared" si="2"/>
        <v/>
      </c>
      <c r="G846" s="48">
        <f t="shared" si="3"/>
        <v>-4.37</v>
      </c>
      <c r="H846" s="48">
        <f>IFERROR(__xludf.DUMMYFUNCTION("IFERROR(GOOGLEFINANCE(A846,""PRICE""),)"),4.6)</f>
        <v>4.6</v>
      </c>
      <c r="I846" s="49">
        <f>IFERROR(__xludf.DUMMYFUNCTION("IFERROR(GOOGLEFINANCE(A846,""VOLUME""),)"),34348.0)</f>
        <v>34348</v>
      </c>
      <c r="J846" s="48" t="str">
        <f>IFERROR(__xludf.DUMMYFUNCTION("IFERROR(INDEX(SPLIT(A846,"":""),1,2),)"),"MADHUCON")</f>
        <v>MADHUCON</v>
      </c>
      <c r="K846" s="48" t="str">
        <f t="shared" si="4"/>
        <v/>
      </c>
      <c r="L846" s="48">
        <f t="shared" si="5"/>
        <v>630</v>
      </c>
      <c r="M846" s="48">
        <f t="shared" si="6"/>
        <v>1029</v>
      </c>
      <c r="N846" s="50">
        <f>IFERROR(__xludf.DUMMYFUNCTION("IFERROR(GOOGLEFINANCE(A846,""TRADETIME""),)"),46269.64583333333)</f>
        <v>46269.64583</v>
      </c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</row>
    <row r="847" ht="15.75" customHeight="1">
      <c r="A847" s="51" t="s">
        <v>893</v>
      </c>
      <c r="B847" s="51" t="str">
        <f>IFERROR(__xludf.DUMMYFUNCTION("IFERROR(GOOGLEFINANCE(A847,""NAME""),)"),"Madras Fertilizers Ltd")</f>
        <v>Madras Fertilizers Ltd</v>
      </c>
      <c r="C847" s="51">
        <f>IFERROR(__xludf.DUMMYFUNCTION("IFERROR(GOOGLEFINANCE(A847,""CHANGE""),)"),-0.04)</f>
        <v>-0.04</v>
      </c>
      <c r="D847" s="51">
        <f>IFERROR(__xludf.DUMMYFUNCTION("IFERROR(GOOGLEFINANCE(A847,""CHANGEPCT""),)"),-0.06)</f>
        <v>-0.06</v>
      </c>
      <c r="E847" s="51" t="str">
        <f t="shared" si="1"/>
        <v>-0.06%</v>
      </c>
      <c r="F847" s="51" t="str">
        <f t="shared" si="2"/>
        <v/>
      </c>
      <c r="G847" s="51">
        <f t="shared" si="3"/>
        <v>-0.06</v>
      </c>
      <c r="H847" s="51">
        <f>IFERROR(__xludf.DUMMYFUNCTION("IFERROR(GOOGLEFINANCE(A847,""PRICE""),)"),65.09)</f>
        <v>65.09</v>
      </c>
      <c r="I847" s="52">
        <f>IFERROR(__xludf.DUMMYFUNCTION("IFERROR(GOOGLEFINANCE(A847,""VOLUME""),)"),26810.0)</f>
        <v>26810</v>
      </c>
      <c r="J847" s="51" t="str">
        <f>IFERROR(__xludf.DUMMYFUNCTION("IFERROR(INDEX(SPLIT(A847,"":""),1,2),)"),"MADRASFERT")</f>
        <v>MADRASFERT</v>
      </c>
      <c r="K847" s="51" t="str">
        <f t="shared" si="4"/>
        <v/>
      </c>
      <c r="L847" s="51">
        <f t="shared" si="5"/>
        <v>18</v>
      </c>
      <c r="M847" s="51">
        <f t="shared" si="6"/>
        <v>1075</v>
      </c>
      <c r="N847" s="53">
        <f>IFERROR(__xludf.DUMMYFUNCTION("IFERROR(GOOGLEFINANCE(A847,""TRADETIME""),)"),46269.64583333333)</f>
        <v>46269.64583</v>
      </c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</row>
    <row r="848" ht="15.75" customHeight="1">
      <c r="A848" s="48" t="s">
        <v>894</v>
      </c>
      <c r="B848" s="48" t="str">
        <f>IFERROR(__xludf.DUMMYFUNCTION("IFERROR(GOOGLEFINANCE(A848,""NAME""),)"),"Magadh Sugar &amp; Energy Ltd")</f>
        <v>Magadh Sugar &amp; Energy Ltd</v>
      </c>
      <c r="C848" s="48">
        <f>IFERROR(__xludf.DUMMYFUNCTION("IFERROR(GOOGLEFINANCE(A848,""CHANGE""),)"),-14.7)</f>
        <v>-14.7</v>
      </c>
      <c r="D848" s="48">
        <f>IFERROR(__xludf.DUMMYFUNCTION("IFERROR(GOOGLEFINANCE(A848,""CHANGEPCT""),)"),-2.59)</f>
        <v>-2.59</v>
      </c>
      <c r="E848" s="48" t="str">
        <f t="shared" si="1"/>
        <v>-2.59%</v>
      </c>
      <c r="F848" s="48" t="str">
        <f t="shared" si="2"/>
        <v/>
      </c>
      <c r="G848" s="48">
        <f t="shared" si="3"/>
        <v>-2.59</v>
      </c>
      <c r="H848" s="48">
        <f>IFERROR(__xludf.DUMMYFUNCTION("IFERROR(GOOGLEFINANCE(A848,""PRICE""),)"),552.0)</f>
        <v>552</v>
      </c>
      <c r="I848" s="49">
        <f>IFERROR(__xludf.DUMMYFUNCTION("IFERROR(GOOGLEFINANCE(A848,""VOLUME""),)"),19463.0)</f>
        <v>19463</v>
      </c>
      <c r="J848" s="48" t="str">
        <f>IFERROR(__xludf.DUMMYFUNCTION("IFERROR(INDEX(SPLIT(A848,"":""),1,2),)"),"MAGADSUGAR")</f>
        <v>MAGADSUGAR</v>
      </c>
      <c r="K848" s="48" t="str">
        <f t="shared" si="4"/>
        <v/>
      </c>
      <c r="L848" s="48">
        <f t="shared" si="5"/>
        <v>577</v>
      </c>
      <c r="M848" s="48">
        <f t="shared" si="6"/>
        <v>1128</v>
      </c>
      <c r="N848" s="50">
        <f>IFERROR(__xludf.DUMMYFUNCTION("IFERROR(GOOGLEFINANCE(A848,""TRADETIME""),)"),46269.64583333333)</f>
        <v>46269.64583</v>
      </c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</row>
    <row r="849" ht="15.75" customHeight="1">
      <c r="A849" s="51" t="s">
        <v>895</v>
      </c>
      <c r="B849" s="51" t="str">
        <f>IFERROR(__xludf.DUMMYFUNCTION("IFERROR(GOOGLEFINANCE(A849,""NAME""),)"),"Poonawalla Fincorp Ltd")</f>
        <v>Poonawalla Fincorp Ltd</v>
      </c>
      <c r="C849" s="51">
        <f>IFERROR(__xludf.DUMMYFUNCTION("IFERROR(GOOGLEFINANCE(A849,""CHANGE""),)"),2.95)</f>
        <v>2.95</v>
      </c>
      <c r="D849" s="51">
        <f>IFERROR(__xludf.DUMMYFUNCTION("IFERROR(GOOGLEFINANCE(A849,""CHANGEPCT""),)"),0.63)</f>
        <v>0.63</v>
      </c>
      <c r="E849" s="51" t="str">
        <f t="shared" si="1"/>
        <v>0.63%</v>
      </c>
      <c r="F849" s="51">
        <f t="shared" si="2"/>
        <v>0.63</v>
      </c>
      <c r="G849" s="51" t="str">
        <f t="shared" si="3"/>
        <v/>
      </c>
      <c r="H849" s="51">
        <f>IFERROR(__xludf.DUMMYFUNCTION("IFERROR(GOOGLEFINANCE(A849,""PRICE""),)"),468.05)</f>
        <v>468.05</v>
      </c>
      <c r="I849" s="52">
        <f>IFERROR(__xludf.DUMMYFUNCTION("IFERROR(GOOGLEFINANCE(A849,""VOLUME""),)"),713159.0)</f>
        <v>713159</v>
      </c>
      <c r="J849" s="51" t="str">
        <f>IFERROR(__xludf.DUMMYFUNCTION("IFERROR(INDEX(SPLIT(A849,"":""),1,2),)"),"POONAWALLA")</f>
        <v>POONAWALLA</v>
      </c>
      <c r="K849" s="51">
        <f t="shared" si="4"/>
        <v>552</v>
      </c>
      <c r="L849" s="51" t="str">
        <f t="shared" si="5"/>
        <v/>
      </c>
      <c r="M849" s="51">
        <f t="shared" si="6"/>
        <v>325</v>
      </c>
      <c r="N849" s="53">
        <f>IFERROR(__xludf.DUMMYFUNCTION("IFERROR(GOOGLEFINANCE(A849,""TRADETIME""),)"),46269.64585648148)</f>
        <v>46269.64586</v>
      </c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</row>
    <row r="850" ht="15.75" customHeight="1">
      <c r="A850" s="48" t="s">
        <v>896</v>
      </c>
      <c r="B850" s="48" t="str">
        <f>IFERROR(__xludf.DUMMYFUNCTION("IFERROR(GOOGLEFINANCE(A850,""NAME""),)"),"Magnum Ventures Ltd")</f>
        <v>Magnum Ventures Ltd</v>
      </c>
      <c r="C850" s="48">
        <f>IFERROR(__xludf.DUMMYFUNCTION("IFERROR(GOOGLEFINANCE(A850,""CHANGE""),)"),0.0)</f>
        <v>0</v>
      </c>
      <c r="D850" s="48">
        <f>IFERROR(__xludf.DUMMYFUNCTION("IFERROR(GOOGLEFINANCE(A850,""CHANGEPCT""),)"),0.0)</f>
        <v>0</v>
      </c>
      <c r="E850" s="48" t="str">
        <f t="shared" si="1"/>
        <v>0%</v>
      </c>
      <c r="F850" s="48" t="str">
        <f t="shared" si="2"/>
        <v/>
      </c>
      <c r="G850" s="48" t="str">
        <f t="shared" si="3"/>
        <v/>
      </c>
      <c r="H850" s="48">
        <f>IFERROR(__xludf.DUMMYFUNCTION("IFERROR(GOOGLEFINANCE(A850,""PRICE""),)"),19.0)</f>
        <v>19</v>
      </c>
      <c r="I850" s="49">
        <f>IFERROR(__xludf.DUMMYFUNCTION("IFERROR(GOOGLEFINANCE(A850,""VOLUME""),)"),7566.0)</f>
        <v>7566</v>
      </c>
      <c r="J850" s="48" t="str">
        <f>IFERROR(__xludf.DUMMYFUNCTION("IFERROR(INDEX(SPLIT(A850,"":""),1,2),)"),"MAGNUM")</f>
        <v>MAGNUM</v>
      </c>
      <c r="K850" s="48" t="str">
        <f t="shared" si="4"/>
        <v/>
      </c>
      <c r="L850" s="48" t="str">
        <f t="shared" si="5"/>
        <v/>
      </c>
      <c r="M850" s="48">
        <f t="shared" si="6"/>
        <v>1270</v>
      </c>
      <c r="N850" s="50">
        <f>IFERROR(__xludf.DUMMYFUNCTION("IFERROR(GOOGLEFINANCE(A850,""TRADETIME""),)"),46269.64583333333)</f>
        <v>46269.64583</v>
      </c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</row>
    <row r="851" ht="15.75" customHeight="1">
      <c r="A851" s="51" t="s">
        <v>897</v>
      </c>
      <c r="B851" s="51" t="str">
        <f>IFERROR(__xludf.DUMMYFUNCTION("IFERROR(GOOGLEFINANCE(A851,""NAME""),)"),"Bank of Maharashtra Ltd")</f>
        <v>Bank of Maharashtra Ltd</v>
      </c>
      <c r="C851" s="51">
        <f>IFERROR(__xludf.DUMMYFUNCTION("IFERROR(GOOGLEFINANCE(A851,""CHANGE""),)"),-0.37)</f>
        <v>-0.37</v>
      </c>
      <c r="D851" s="51">
        <f>IFERROR(__xludf.DUMMYFUNCTION("IFERROR(GOOGLEFINANCE(A851,""CHANGEPCT""),)"),-0.43)</f>
        <v>-0.43</v>
      </c>
      <c r="E851" s="51" t="str">
        <f t="shared" si="1"/>
        <v>-0.43%</v>
      </c>
      <c r="F851" s="51" t="str">
        <f t="shared" si="2"/>
        <v/>
      </c>
      <c r="G851" s="51">
        <f t="shared" si="3"/>
        <v>-0.43</v>
      </c>
      <c r="H851" s="51">
        <f>IFERROR(__xludf.DUMMYFUNCTION("IFERROR(GOOGLEFINANCE(A851,""PRICE""),)"),85.95)</f>
        <v>85.95</v>
      </c>
      <c r="I851" s="52">
        <f>IFERROR(__xludf.DUMMYFUNCTION("IFERROR(GOOGLEFINANCE(A851,""VOLUME""),)"),1.3802528E7)</f>
        <v>13802528</v>
      </c>
      <c r="J851" s="51" t="str">
        <f>IFERROR(__xludf.DUMMYFUNCTION("IFERROR(INDEX(SPLIT(A851,"":""),1,2),)"),"MAHABANK")</f>
        <v>MAHABANK</v>
      </c>
      <c r="K851" s="51" t="str">
        <f t="shared" si="4"/>
        <v/>
      </c>
      <c r="L851" s="51">
        <f t="shared" si="5"/>
        <v>166</v>
      </c>
      <c r="M851" s="51">
        <f t="shared" si="6"/>
        <v>30</v>
      </c>
      <c r="N851" s="53">
        <f>IFERROR(__xludf.DUMMYFUNCTION("IFERROR(GOOGLEFINANCE(A851,""TRADETIME""),)"),46269.64583333333)</f>
        <v>46269.64583</v>
      </c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</row>
    <row r="852" ht="15.75" customHeight="1">
      <c r="A852" s="48" t="s">
        <v>898</v>
      </c>
      <c r="B852" s="48" t="str">
        <f>IFERROR(__xludf.DUMMYFUNCTION("IFERROR(GOOGLEFINANCE(A852,""NAME""),)"),"Maha Rashtra Apex Corporation Ltd")</f>
        <v>Maha Rashtra Apex Corporation Ltd</v>
      </c>
      <c r="C852" s="48">
        <f>IFERROR(__xludf.DUMMYFUNCTION("IFERROR(GOOGLEFINANCE(A852,""CHANGE""),)"),-1.71)</f>
        <v>-1.71</v>
      </c>
      <c r="D852" s="48">
        <f>IFERROR(__xludf.DUMMYFUNCTION("IFERROR(GOOGLEFINANCE(A852,""CHANGEPCT""),)"),-3.13)</f>
        <v>-3.13</v>
      </c>
      <c r="E852" s="48" t="str">
        <f t="shared" si="1"/>
        <v>-3.13%</v>
      </c>
      <c r="F852" s="48" t="str">
        <f t="shared" si="2"/>
        <v/>
      </c>
      <c r="G852" s="48">
        <f t="shared" si="3"/>
        <v>-3.13</v>
      </c>
      <c r="H852" s="48">
        <f>IFERROR(__xludf.DUMMYFUNCTION("IFERROR(GOOGLEFINANCE(A852,""PRICE""),)"),53.01)</f>
        <v>53.01</v>
      </c>
      <c r="I852" s="49">
        <f>IFERROR(__xludf.DUMMYFUNCTION("IFERROR(GOOGLEFINANCE(A852,""VOLUME""),)"),6664.0)</f>
        <v>6664</v>
      </c>
      <c r="J852" s="48" t="str">
        <f>IFERROR(__xludf.DUMMYFUNCTION("IFERROR(INDEX(SPLIT(A852,"":""),1,2),)"),"MAHAPEXLTD")</f>
        <v>MAHAPEXLTD</v>
      </c>
      <c r="K852" s="48" t="str">
        <f t="shared" si="4"/>
        <v/>
      </c>
      <c r="L852" s="48">
        <f t="shared" si="5"/>
        <v>595</v>
      </c>
      <c r="M852" s="48">
        <f t="shared" si="6"/>
        <v>1294</v>
      </c>
      <c r="N852" s="50">
        <f>IFERROR(__xludf.DUMMYFUNCTION("IFERROR(GOOGLEFINANCE(A852,""TRADETIME""),)"),46269.64583333333)</f>
        <v>46269.64583</v>
      </c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</row>
    <row r="853" ht="15.75" customHeight="1">
      <c r="A853" s="51" t="s">
        <v>899</v>
      </c>
      <c r="B853" s="51" t="str">
        <f>IFERROR(__xludf.DUMMYFUNCTION("IFERROR(GOOGLEFINANCE(A853,""NAME""),)"),"Mahamaya Steel Industries Ltd")</f>
        <v>Mahamaya Steel Industries Ltd</v>
      </c>
      <c r="C853" s="51">
        <f>IFERROR(__xludf.DUMMYFUNCTION("IFERROR(GOOGLEFINANCE(A853,""CHANGE""),)"),-27.2)</f>
        <v>-27.2</v>
      </c>
      <c r="D853" s="51">
        <f>IFERROR(__xludf.DUMMYFUNCTION("IFERROR(GOOGLEFINANCE(A853,""CHANGEPCT""),)"),-2.16)</f>
        <v>-2.16</v>
      </c>
      <c r="E853" s="51" t="str">
        <f t="shared" si="1"/>
        <v>-2.16%</v>
      </c>
      <c r="F853" s="51" t="str">
        <f t="shared" si="2"/>
        <v/>
      </c>
      <c r="G853" s="51">
        <f t="shared" si="3"/>
        <v>-2.16</v>
      </c>
      <c r="H853" s="51">
        <f>IFERROR(__xludf.DUMMYFUNCTION("IFERROR(GOOGLEFINANCE(A853,""PRICE""),)"),1231.0)</f>
        <v>1231</v>
      </c>
      <c r="I853" s="52">
        <f>IFERROR(__xludf.DUMMYFUNCTION("IFERROR(GOOGLEFINANCE(A853,""VOLUME""),)"),10107.0)</f>
        <v>10107</v>
      </c>
      <c r="J853" s="51" t="str">
        <f>IFERROR(__xludf.DUMMYFUNCTION("IFERROR(INDEX(SPLIT(A853,"":""),1,2),)"),"MAHASTEEL")</f>
        <v>MAHASTEEL</v>
      </c>
      <c r="K853" s="51" t="str">
        <f t="shared" si="4"/>
        <v/>
      </c>
      <c r="L853" s="51">
        <f t="shared" si="5"/>
        <v>547</v>
      </c>
      <c r="M853" s="51">
        <f t="shared" si="6"/>
        <v>1234</v>
      </c>
      <c r="N853" s="53">
        <f>IFERROR(__xludf.DUMMYFUNCTION("IFERROR(GOOGLEFINANCE(A853,""TRADETIME""),)"),46269.64583333333)</f>
        <v>46269.64583</v>
      </c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</row>
    <row r="854" ht="15.75" customHeight="1">
      <c r="A854" s="48" t="s">
        <v>900</v>
      </c>
      <c r="B854" s="48" t="str">
        <f>IFERROR(__xludf.DUMMYFUNCTION("IFERROR(GOOGLEFINANCE(A854,""NAME""),)"),"Mahindra EPC Irrigation Ltd")</f>
        <v>Mahindra EPC Irrigation Ltd</v>
      </c>
      <c r="C854" s="48">
        <f>IFERROR(__xludf.DUMMYFUNCTION("IFERROR(GOOGLEFINANCE(A854,""CHANGE""),)"),-0.03)</f>
        <v>-0.03</v>
      </c>
      <c r="D854" s="48">
        <f>IFERROR(__xludf.DUMMYFUNCTION("IFERROR(GOOGLEFINANCE(A854,""CHANGEPCT""),)"),-0.03)</f>
        <v>-0.03</v>
      </c>
      <c r="E854" s="48" t="str">
        <f t="shared" si="1"/>
        <v>-0.03%</v>
      </c>
      <c r="F854" s="48" t="str">
        <f t="shared" si="2"/>
        <v/>
      </c>
      <c r="G854" s="48">
        <f t="shared" si="3"/>
        <v>-0.03</v>
      </c>
      <c r="H854" s="48">
        <f>IFERROR(__xludf.DUMMYFUNCTION("IFERROR(GOOGLEFINANCE(A854,""PRICE""),)"),103.22)</f>
        <v>103.22</v>
      </c>
      <c r="I854" s="49">
        <f>IFERROR(__xludf.DUMMYFUNCTION("IFERROR(GOOGLEFINANCE(A854,""VOLUME""),)"),7636.0)</f>
        <v>7636</v>
      </c>
      <c r="J854" s="48" t="str">
        <f>IFERROR(__xludf.DUMMYFUNCTION("IFERROR(INDEX(SPLIT(A854,"":""),1,2),)"),"MAHEPC")</f>
        <v>MAHEPC</v>
      </c>
      <c r="K854" s="48" t="str">
        <f t="shared" si="4"/>
        <v/>
      </c>
      <c r="L854" s="48">
        <f t="shared" si="5"/>
        <v>10</v>
      </c>
      <c r="M854" s="48">
        <f t="shared" si="6"/>
        <v>1269</v>
      </c>
      <c r="N854" s="50">
        <f>IFERROR(__xludf.DUMMYFUNCTION("IFERROR(GOOGLEFINANCE(A854,""TRADETIME""),)"),46269.64583333333)</f>
        <v>46269.64583</v>
      </c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</row>
    <row r="855" ht="15.75" customHeight="1">
      <c r="A855" s="51" t="s">
        <v>901</v>
      </c>
      <c r="B855" s="51" t="str">
        <f>IFERROR(__xludf.DUMMYFUNCTION("IFERROR(GOOGLEFINANCE(A855,""NAME""),)"),"Maheshwari Logistics Ltd")</f>
        <v>Maheshwari Logistics Ltd</v>
      </c>
      <c r="C855" s="51">
        <f>IFERROR(__xludf.DUMMYFUNCTION("IFERROR(GOOGLEFINANCE(A855,""CHANGE""),)"),-0.65)</f>
        <v>-0.65</v>
      </c>
      <c r="D855" s="51">
        <f>IFERROR(__xludf.DUMMYFUNCTION("IFERROR(GOOGLEFINANCE(A855,""CHANGEPCT""),)"),-0.89)</f>
        <v>-0.89</v>
      </c>
      <c r="E855" s="51" t="str">
        <f t="shared" si="1"/>
        <v>-0.89%</v>
      </c>
      <c r="F855" s="51" t="str">
        <f t="shared" si="2"/>
        <v/>
      </c>
      <c r="G855" s="51">
        <f t="shared" si="3"/>
        <v>-0.89</v>
      </c>
      <c r="H855" s="51">
        <f>IFERROR(__xludf.DUMMYFUNCTION("IFERROR(GOOGLEFINANCE(A855,""PRICE""),)"),72.23)</f>
        <v>72.23</v>
      </c>
      <c r="I855" s="52">
        <f>IFERROR(__xludf.DUMMYFUNCTION("IFERROR(GOOGLEFINANCE(A855,""VOLUME""),)"),6852.0)</f>
        <v>6852</v>
      </c>
      <c r="J855" s="51" t="str">
        <f>IFERROR(__xludf.DUMMYFUNCTION("IFERROR(INDEX(SPLIT(A855,"":""),1,2),)"),"MAHESHWARI")</f>
        <v>MAHESHWARI</v>
      </c>
      <c r="K855" s="51" t="str">
        <f t="shared" si="4"/>
        <v/>
      </c>
      <c r="L855" s="51">
        <f t="shared" si="5"/>
        <v>314</v>
      </c>
      <c r="M855" s="51">
        <f t="shared" si="6"/>
        <v>1291</v>
      </c>
      <c r="N855" s="53">
        <f>IFERROR(__xludf.DUMMYFUNCTION("IFERROR(GOOGLEFINANCE(A855,""TRADETIME""),)"),46269.64583333333)</f>
        <v>46269.64583</v>
      </c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</row>
    <row r="856" ht="15.75" customHeight="1">
      <c r="A856" s="48" t="s">
        <v>902</v>
      </c>
      <c r="B856" s="48" t="str">
        <f>IFERROR(__xludf.DUMMYFUNCTION("IFERROR(GOOGLEFINANCE(A856,""NAME""),)"),"")</f>
        <v/>
      </c>
      <c r="C856" s="48" t="str">
        <f>IFERROR(__xludf.DUMMYFUNCTION("IFERROR(GOOGLEFINANCE(A856,""CHANGE""),)"),"")</f>
        <v/>
      </c>
      <c r="D856" s="48" t="str">
        <f>IFERROR(__xludf.DUMMYFUNCTION("IFERROR(GOOGLEFINANCE(A856,""CHANGEPCT""),)"),"")</f>
        <v/>
      </c>
      <c r="E856" s="48" t="str">
        <f t="shared" si="1"/>
        <v>%</v>
      </c>
      <c r="F856" s="48" t="str">
        <f t="shared" si="2"/>
        <v/>
      </c>
      <c r="G856" s="48" t="str">
        <f t="shared" si="3"/>
        <v/>
      </c>
      <c r="H856" s="48" t="str">
        <f>IFERROR(__xludf.DUMMYFUNCTION("IFERROR(GOOGLEFINANCE(A856,""PRICE""),)"),"")</f>
        <v/>
      </c>
      <c r="I856" s="49" t="str">
        <f>IFERROR(__xludf.DUMMYFUNCTION("IFERROR(GOOGLEFINANCE(A856,""VOLUME""),)"),"")</f>
        <v/>
      </c>
      <c r="J856" s="48" t="str">
        <f>IFERROR(__xludf.DUMMYFUNCTION("IFERROR(INDEX(SPLIT(A856,"":""),1,2),)"),"MAHINDCIE")</f>
        <v>MAHINDCIE</v>
      </c>
      <c r="K856" s="48" t="str">
        <f t="shared" si="4"/>
        <v/>
      </c>
      <c r="L856" s="48" t="str">
        <f t="shared" si="5"/>
        <v/>
      </c>
      <c r="M856" s="48">
        <f t="shared" si="6"/>
        <v>1456</v>
      </c>
      <c r="N856" s="50" t="str">
        <f>IFERROR(__xludf.DUMMYFUNCTION("IFERROR(GOOGLEFINANCE(A856,""TRADETIME""),)"),"")</f>
        <v/>
      </c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</row>
    <row r="857" ht="15.75" customHeight="1">
      <c r="A857" s="51" t="s">
        <v>903</v>
      </c>
      <c r="B857" s="51" t="str">
        <f>IFERROR(__xludf.DUMMYFUNCTION("IFERROR(GOOGLEFINANCE(A857,""NAME""),)"),"Mahindra Lifespace Developers Ltd")</f>
        <v>Mahindra Lifespace Developers Ltd</v>
      </c>
      <c r="C857" s="51">
        <f>IFERROR(__xludf.DUMMYFUNCTION("IFERROR(GOOGLEFINANCE(A857,""CHANGE""),)"),-1.7)</f>
        <v>-1.7</v>
      </c>
      <c r="D857" s="51">
        <f>IFERROR(__xludf.DUMMYFUNCTION("IFERROR(GOOGLEFINANCE(A857,""CHANGEPCT""),)"),-0.47)</f>
        <v>-0.47</v>
      </c>
      <c r="E857" s="51" t="str">
        <f t="shared" si="1"/>
        <v>-0.47%</v>
      </c>
      <c r="F857" s="51" t="str">
        <f t="shared" si="2"/>
        <v/>
      </c>
      <c r="G857" s="51">
        <f t="shared" si="3"/>
        <v>-0.47</v>
      </c>
      <c r="H857" s="51">
        <f>IFERROR(__xludf.DUMMYFUNCTION("IFERROR(GOOGLEFINANCE(A857,""PRICE""),)"),361.4)</f>
        <v>361.4</v>
      </c>
      <c r="I857" s="52">
        <f>IFERROR(__xludf.DUMMYFUNCTION("IFERROR(GOOGLEFINANCE(A857,""VOLUME""),)"),37464.0)</f>
        <v>37464</v>
      </c>
      <c r="J857" s="51" t="str">
        <f>IFERROR(__xludf.DUMMYFUNCTION("IFERROR(INDEX(SPLIT(A857,"":""),1,2),)"),"MAHLIFE")</f>
        <v>MAHLIFE</v>
      </c>
      <c r="K857" s="51" t="str">
        <f t="shared" si="4"/>
        <v/>
      </c>
      <c r="L857" s="51">
        <f t="shared" si="5"/>
        <v>183</v>
      </c>
      <c r="M857" s="51">
        <f t="shared" si="6"/>
        <v>1013</v>
      </c>
      <c r="N857" s="53">
        <f>IFERROR(__xludf.DUMMYFUNCTION("IFERROR(GOOGLEFINANCE(A857,""TRADETIME""),)"),46269.64583333333)</f>
        <v>46269.64583</v>
      </c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</row>
    <row r="858" ht="15.75" customHeight="1">
      <c r="A858" s="48" t="s">
        <v>904</v>
      </c>
      <c r="B858" s="48" t="str">
        <f>IFERROR(__xludf.DUMMYFUNCTION("IFERROR(GOOGLEFINANCE(A858,""NAME""),)"),"Mahindra Logistics Ltd")</f>
        <v>Mahindra Logistics Ltd</v>
      </c>
      <c r="C858" s="48">
        <f>IFERROR(__xludf.DUMMYFUNCTION("IFERROR(GOOGLEFINANCE(A858,""CHANGE""),)"),6.4)</f>
        <v>6.4</v>
      </c>
      <c r="D858" s="48">
        <f>IFERROR(__xludf.DUMMYFUNCTION("IFERROR(GOOGLEFINANCE(A858,""CHANGEPCT""),)"),1.6)</f>
        <v>1.6</v>
      </c>
      <c r="E858" s="48" t="str">
        <f t="shared" si="1"/>
        <v>1.6%</v>
      </c>
      <c r="F858" s="48">
        <f t="shared" si="2"/>
        <v>1.6</v>
      </c>
      <c r="G858" s="48" t="str">
        <f t="shared" si="3"/>
        <v/>
      </c>
      <c r="H858" s="48">
        <f>IFERROR(__xludf.DUMMYFUNCTION("IFERROR(GOOGLEFINANCE(A858,""PRICE""),)"),406.7)</f>
        <v>406.7</v>
      </c>
      <c r="I858" s="49">
        <f>IFERROR(__xludf.DUMMYFUNCTION("IFERROR(GOOGLEFINANCE(A858,""VOLUME""),)"),130587.0)</f>
        <v>130587</v>
      </c>
      <c r="J858" s="48" t="str">
        <f>IFERROR(__xludf.DUMMYFUNCTION("IFERROR(INDEX(SPLIT(A858,"":""),1,2),)"),"MAHLOG")</f>
        <v>MAHLOG</v>
      </c>
      <c r="K858" s="48">
        <f t="shared" si="4"/>
        <v>327</v>
      </c>
      <c r="L858" s="48" t="str">
        <f t="shared" si="5"/>
        <v/>
      </c>
      <c r="M858" s="48">
        <f t="shared" si="6"/>
        <v>721</v>
      </c>
      <c r="N858" s="50">
        <f>IFERROR(__xludf.DUMMYFUNCTION("IFERROR(GOOGLEFINANCE(A858,""TRADETIME""),)"),46269.64583333333)</f>
        <v>46269.64583</v>
      </c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</row>
    <row r="859" ht="15.75" customHeight="1">
      <c r="A859" s="51" t="s">
        <v>905</v>
      </c>
      <c r="B859" s="51" t="str">
        <f>IFERROR(__xludf.DUMMYFUNCTION("IFERROR(GOOGLEFINANCE(A859,""NAME""),)"),"Maharashtra Scooters Ltd")</f>
        <v>Maharashtra Scooters Ltd</v>
      </c>
      <c r="C859" s="51">
        <f>IFERROR(__xludf.DUMMYFUNCTION("IFERROR(GOOGLEFINANCE(A859,""CHANGE""),)"),-20.0)</f>
        <v>-20</v>
      </c>
      <c r="D859" s="51">
        <f>IFERROR(__xludf.DUMMYFUNCTION("IFERROR(GOOGLEFINANCE(A859,""CHANGEPCT""),)"),-0.15)</f>
        <v>-0.15</v>
      </c>
      <c r="E859" s="51" t="str">
        <f t="shared" si="1"/>
        <v>-0.15%</v>
      </c>
      <c r="F859" s="51" t="str">
        <f t="shared" si="2"/>
        <v/>
      </c>
      <c r="G859" s="51">
        <f t="shared" si="3"/>
        <v>-0.15</v>
      </c>
      <c r="H859" s="51">
        <f>IFERROR(__xludf.DUMMYFUNCTION("IFERROR(GOOGLEFINANCE(A859,""PRICE""),)"),13619.0)</f>
        <v>13619</v>
      </c>
      <c r="I859" s="52">
        <f>IFERROR(__xludf.DUMMYFUNCTION("IFERROR(GOOGLEFINANCE(A859,""VOLUME""),)"),1009.0)</f>
        <v>1009</v>
      </c>
      <c r="J859" s="51" t="str">
        <f>IFERROR(__xludf.DUMMYFUNCTION("IFERROR(INDEX(SPLIT(A859,"":""),1,2),)"),"MAHSCOOTER")</f>
        <v>MAHSCOOTER</v>
      </c>
      <c r="K859" s="51" t="str">
        <f t="shared" si="4"/>
        <v/>
      </c>
      <c r="L859" s="51">
        <f t="shared" si="5"/>
        <v>55</v>
      </c>
      <c r="M859" s="51">
        <f t="shared" si="6"/>
        <v>1423</v>
      </c>
      <c r="N859" s="53">
        <f>IFERROR(__xludf.DUMMYFUNCTION("IFERROR(GOOGLEFINANCE(A859,""TRADETIME""),)"),46269.64584490741)</f>
        <v>46269.64584</v>
      </c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</row>
    <row r="860" ht="15.75" customHeight="1">
      <c r="A860" s="48" t="s">
        <v>906</v>
      </c>
      <c r="B860" s="48" t="str">
        <f>IFERROR(__xludf.DUMMYFUNCTION("IFERROR(GOOGLEFINANCE(A860,""NAME""),)"),"Maharashtra Seamless Ltd")</f>
        <v>Maharashtra Seamless Ltd</v>
      </c>
      <c r="C860" s="48">
        <f>IFERROR(__xludf.DUMMYFUNCTION("IFERROR(GOOGLEFINANCE(A860,""CHANGE""),)"),34.5)</f>
        <v>34.5</v>
      </c>
      <c r="D860" s="48">
        <f>IFERROR(__xludf.DUMMYFUNCTION("IFERROR(GOOGLEFINANCE(A860,""CHANGEPCT""),)"),5.28)</f>
        <v>5.28</v>
      </c>
      <c r="E860" s="48" t="str">
        <f t="shared" si="1"/>
        <v>5.28%</v>
      </c>
      <c r="F860" s="48">
        <f t="shared" si="2"/>
        <v>5.28</v>
      </c>
      <c r="G860" s="48" t="str">
        <f t="shared" si="3"/>
        <v/>
      </c>
      <c r="H860" s="48">
        <f>IFERROR(__xludf.DUMMYFUNCTION("IFERROR(GOOGLEFINANCE(A860,""PRICE""),)"),688.0)</f>
        <v>688</v>
      </c>
      <c r="I860" s="49">
        <f>IFERROR(__xludf.DUMMYFUNCTION("IFERROR(GOOGLEFINANCE(A860,""VOLUME""),)"),1179393.0)</f>
        <v>1179393</v>
      </c>
      <c r="J860" s="48" t="str">
        <f>IFERROR(__xludf.DUMMYFUNCTION("IFERROR(INDEX(SPLIT(A860,"":""),1,2),)"),"MAHSEAMLES")</f>
        <v>MAHSEAMLES</v>
      </c>
      <c r="K860" s="48">
        <f t="shared" si="4"/>
        <v>48</v>
      </c>
      <c r="L860" s="48" t="str">
        <f t="shared" si="5"/>
        <v/>
      </c>
      <c r="M860" s="48">
        <f t="shared" si="6"/>
        <v>241</v>
      </c>
      <c r="N860" s="50">
        <f>IFERROR(__xludf.DUMMYFUNCTION("IFERROR(GOOGLEFINANCE(A860,""TRADETIME""),)"),46269.64583333333)</f>
        <v>46269.64583</v>
      </c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</row>
    <row r="861" ht="15.75" customHeight="1">
      <c r="A861" s="51" t="s">
        <v>907</v>
      </c>
      <c r="B861" s="51" t="str">
        <f>IFERROR(__xludf.DUMMYFUNCTION("IFERROR(GOOGLEFINANCE(A861,""NAME""),)"),"Maithan Alloys Ltd")</f>
        <v>Maithan Alloys Ltd</v>
      </c>
      <c r="C861" s="51">
        <f>IFERROR(__xludf.DUMMYFUNCTION("IFERROR(GOOGLEFINANCE(A861,""CHANGE""),)"),60.5)</f>
        <v>60.5</v>
      </c>
      <c r="D861" s="51">
        <f>IFERROR(__xludf.DUMMYFUNCTION("IFERROR(GOOGLEFINANCE(A861,""CHANGEPCT""),)"),5.83)</f>
        <v>5.83</v>
      </c>
      <c r="E861" s="51" t="str">
        <f t="shared" si="1"/>
        <v>5.83%</v>
      </c>
      <c r="F861" s="51">
        <f t="shared" si="2"/>
        <v>5.83</v>
      </c>
      <c r="G861" s="51" t="str">
        <f t="shared" si="3"/>
        <v/>
      </c>
      <c r="H861" s="51">
        <f>IFERROR(__xludf.DUMMYFUNCTION("IFERROR(GOOGLEFINANCE(A861,""PRICE""),)"),1099.0)</f>
        <v>1099</v>
      </c>
      <c r="I861" s="52">
        <f>IFERROR(__xludf.DUMMYFUNCTION("IFERROR(GOOGLEFINANCE(A861,""VOLUME""),)"),400161.0)</f>
        <v>400161</v>
      </c>
      <c r="J861" s="51" t="str">
        <f>IFERROR(__xludf.DUMMYFUNCTION("IFERROR(INDEX(SPLIT(A861,"":""),1,2),)"),"MAITHANALL")</f>
        <v>MAITHANALL</v>
      </c>
      <c r="K861" s="51">
        <f t="shared" si="4"/>
        <v>39</v>
      </c>
      <c r="L861" s="51" t="str">
        <f t="shared" si="5"/>
        <v/>
      </c>
      <c r="M861" s="51">
        <f t="shared" si="6"/>
        <v>444</v>
      </c>
      <c r="N861" s="53">
        <f>IFERROR(__xludf.DUMMYFUNCTION("IFERROR(GOOGLEFINANCE(A861,""TRADETIME""),)"),46269.64585648148)</f>
        <v>46269.64586</v>
      </c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</row>
    <row r="862" ht="15.75" customHeight="1">
      <c r="A862" s="48" t="s">
        <v>908</v>
      </c>
      <c r="B862" s="48" t="str">
        <f>IFERROR(__xludf.DUMMYFUNCTION("IFERROR(GOOGLEFINANCE(A862,""NAME""),)"),"Aurum Proptech Ltd")</f>
        <v>Aurum Proptech Ltd</v>
      </c>
      <c r="C862" s="48">
        <f>IFERROR(__xludf.DUMMYFUNCTION("IFERROR(GOOGLEFINANCE(A862,""CHANGE""),)"),1.84)</f>
        <v>1.84</v>
      </c>
      <c r="D862" s="48">
        <f>IFERROR(__xludf.DUMMYFUNCTION("IFERROR(GOOGLEFINANCE(A862,""CHANGEPCT""),)"),0.82)</f>
        <v>0.82</v>
      </c>
      <c r="E862" s="48" t="str">
        <f t="shared" si="1"/>
        <v>0.82%</v>
      </c>
      <c r="F862" s="48">
        <f t="shared" si="2"/>
        <v>0.82</v>
      </c>
      <c r="G862" s="48" t="str">
        <f t="shared" si="3"/>
        <v/>
      </c>
      <c r="H862" s="48">
        <f>IFERROR(__xludf.DUMMYFUNCTION("IFERROR(GOOGLEFINANCE(A862,""PRICE""),)"),226.6)</f>
        <v>226.6</v>
      </c>
      <c r="I862" s="49">
        <f>IFERROR(__xludf.DUMMYFUNCTION("IFERROR(GOOGLEFINANCE(A862,""VOLUME""),)"),88743.0)</f>
        <v>88743</v>
      </c>
      <c r="J862" s="48" t="str">
        <f>IFERROR(__xludf.DUMMYFUNCTION("IFERROR(INDEX(SPLIT(A862,"":""),1,2),)"),"AURUM")</f>
        <v>AURUM</v>
      </c>
      <c r="K862" s="48">
        <f t="shared" si="4"/>
        <v>492</v>
      </c>
      <c r="L862" s="48" t="str">
        <f t="shared" si="5"/>
        <v/>
      </c>
      <c r="M862" s="48">
        <f t="shared" si="6"/>
        <v>801</v>
      </c>
      <c r="N862" s="50">
        <f>IFERROR(__xludf.DUMMYFUNCTION("IFERROR(GOOGLEFINANCE(A862,""TRADETIME""),)"),46269.64583333333)</f>
        <v>46269.64583</v>
      </c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</row>
    <row r="863" ht="15.75" customHeight="1">
      <c r="A863" s="51" t="s">
        <v>909</v>
      </c>
      <c r="B863" s="51" t="str">
        <f>IFERROR(__xludf.DUMMYFUNCTION("IFERROR(GOOGLEFINANCE(A863,""NAME""),)"),"Malu Paper Mills Ltd")</f>
        <v>Malu Paper Mills Ltd</v>
      </c>
      <c r="C863" s="51">
        <f>IFERROR(__xludf.DUMMYFUNCTION("IFERROR(GOOGLEFINANCE(A863,""CHANGE""),)"),-0.79)</f>
        <v>-0.79</v>
      </c>
      <c r="D863" s="51">
        <f>IFERROR(__xludf.DUMMYFUNCTION("IFERROR(GOOGLEFINANCE(A863,""CHANGEPCT""),)"),-2.44)</f>
        <v>-2.44</v>
      </c>
      <c r="E863" s="51" t="str">
        <f t="shared" si="1"/>
        <v>-2.44%</v>
      </c>
      <c r="F863" s="51" t="str">
        <f t="shared" si="2"/>
        <v/>
      </c>
      <c r="G863" s="51">
        <f t="shared" si="3"/>
        <v>-2.44</v>
      </c>
      <c r="H863" s="51">
        <f>IFERROR(__xludf.DUMMYFUNCTION("IFERROR(GOOGLEFINANCE(A863,""PRICE""),)"),31.65)</f>
        <v>31.65</v>
      </c>
      <c r="I863" s="52">
        <f>IFERROR(__xludf.DUMMYFUNCTION("IFERROR(GOOGLEFINANCE(A863,""VOLUME""),)"),8353.0)</f>
        <v>8353</v>
      </c>
      <c r="J863" s="51" t="str">
        <f>IFERROR(__xludf.DUMMYFUNCTION("IFERROR(INDEX(SPLIT(A863,"":""),1,2),)"),"MALUPAPER")</f>
        <v>MALUPAPER</v>
      </c>
      <c r="K863" s="51" t="str">
        <f t="shared" si="4"/>
        <v/>
      </c>
      <c r="L863" s="51">
        <f t="shared" si="5"/>
        <v>570</v>
      </c>
      <c r="M863" s="51">
        <f t="shared" si="6"/>
        <v>1255</v>
      </c>
      <c r="N863" s="53">
        <f>IFERROR(__xludf.DUMMYFUNCTION("IFERROR(GOOGLEFINANCE(A863,""TRADETIME""),)"),46269.64583333333)</f>
        <v>46269.64583</v>
      </c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</row>
    <row r="864" ht="15.75" customHeight="1">
      <c r="A864" s="48" t="s">
        <v>910</v>
      </c>
      <c r="B864" s="48" t="str">
        <f>IFERROR(__xludf.DUMMYFUNCTION("IFERROR(GOOGLEFINANCE(A864,""NAME""),)"),"Manaksia Aluminium Co Ltd")</f>
        <v>Manaksia Aluminium Co Ltd</v>
      </c>
      <c r="C864" s="48">
        <f>IFERROR(__xludf.DUMMYFUNCTION("IFERROR(GOOGLEFINANCE(A864,""CHANGE""),)"),0.62)</f>
        <v>0.62</v>
      </c>
      <c r="D864" s="48">
        <f>IFERROR(__xludf.DUMMYFUNCTION("IFERROR(GOOGLEFINANCE(A864,""CHANGEPCT""),)"),1.65)</f>
        <v>1.65</v>
      </c>
      <c r="E864" s="48" t="str">
        <f t="shared" si="1"/>
        <v>1.65%</v>
      </c>
      <c r="F864" s="48">
        <f t="shared" si="2"/>
        <v>1.65</v>
      </c>
      <c r="G864" s="48" t="str">
        <f t="shared" si="3"/>
        <v/>
      </c>
      <c r="H864" s="48">
        <f>IFERROR(__xludf.DUMMYFUNCTION("IFERROR(GOOGLEFINANCE(A864,""PRICE""),)"),38.3)</f>
        <v>38.3</v>
      </c>
      <c r="I864" s="49">
        <f>IFERROR(__xludf.DUMMYFUNCTION("IFERROR(GOOGLEFINANCE(A864,""VOLUME""),)"),34763.0)</f>
        <v>34763</v>
      </c>
      <c r="J864" s="48" t="str">
        <f>IFERROR(__xludf.DUMMYFUNCTION("IFERROR(INDEX(SPLIT(A864,"":""),1,2),)"),"MANAKALUCO")</f>
        <v>MANAKALUCO</v>
      </c>
      <c r="K864" s="48">
        <f t="shared" si="4"/>
        <v>317</v>
      </c>
      <c r="L864" s="48" t="str">
        <f t="shared" si="5"/>
        <v/>
      </c>
      <c r="M864" s="48">
        <f t="shared" si="6"/>
        <v>1026</v>
      </c>
      <c r="N864" s="50">
        <f>IFERROR(__xludf.DUMMYFUNCTION("IFERROR(GOOGLEFINANCE(A864,""TRADETIME""),)"),46269.64583333333)</f>
        <v>46269.64583</v>
      </c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</row>
    <row r="865" ht="15.75" customHeight="1">
      <c r="A865" s="51" t="s">
        <v>911</v>
      </c>
      <c r="B865" s="51" t="str">
        <f>IFERROR(__xludf.DUMMYFUNCTION("IFERROR(GOOGLEFINANCE(A865,""NAME""),)"),"Manaksia Coated Metals &amp; Industries Ltd")</f>
        <v>Manaksia Coated Metals &amp; Industries Ltd</v>
      </c>
      <c r="C865" s="51">
        <f>IFERROR(__xludf.DUMMYFUNCTION("IFERROR(GOOGLEFINANCE(A865,""CHANGE""),)"),1.35)</f>
        <v>1.35</v>
      </c>
      <c r="D865" s="51">
        <f>IFERROR(__xludf.DUMMYFUNCTION("IFERROR(GOOGLEFINANCE(A865,""CHANGEPCT""),)"),1.12)</f>
        <v>1.12</v>
      </c>
      <c r="E865" s="51" t="str">
        <f t="shared" si="1"/>
        <v>1.12%</v>
      </c>
      <c r="F865" s="51">
        <f t="shared" si="2"/>
        <v>1.12</v>
      </c>
      <c r="G865" s="51" t="str">
        <f t="shared" si="3"/>
        <v/>
      </c>
      <c r="H865" s="51">
        <f>IFERROR(__xludf.DUMMYFUNCTION("IFERROR(GOOGLEFINANCE(A865,""PRICE""),)"),122.0)</f>
        <v>122</v>
      </c>
      <c r="I865" s="52">
        <f>IFERROR(__xludf.DUMMYFUNCTION("IFERROR(GOOGLEFINANCE(A865,""VOLUME""),)"),144960.0)</f>
        <v>144960</v>
      </c>
      <c r="J865" s="51" t="str">
        <f>IFERROR(__xludf.DUMMYFUNCTION("IFERROR(INDEX(SPLIT(A865,"":""),1,2),)"),"MANAKCOAT")</f>
        <v>MANAKCOAT</v>
      </c>
      <c r="K865" s="51">
        <f t="shared" si="4"/>
        <v>431</v>
      </c>
      <c r="L865" s="51" t="str">
        <f t="shared" si="5"/>
        <v/>
      </c>
      <c r="M865" s="51">
        <f t="shared" si="6"/>
        <v>692</v>
      </c>
      <c r="N865" s="53">
        <f>IFERROR(__xludf.DUMMYFUNCTION("IFERROR(GOOGLEFINANCE(A865,""TRADETIME""),)"),46269.64585648148)</f>
        <v>46269.64586</v>
      </c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</row>
    <row r="866" ht="15.75" customHeight="1">
      <c r="A866" s="48" t="s">
        <v>912</v>
      </c>
      <c r="B866" s="48" t="str">
        <f>IFERROR(__xludf.DUMMYFUNCTION("IFERROR(GOOGLEFINANCE(A866,""NAME""),)"),"Manaksia Ltd")</f>
        <v>Manaksia Ltd</v>
      </c>
      <c r="C866" s="48">
        <f>IFERROR(__xludf.DUMMYFUNCTION("IFERROR(GOOGLEFINANCE(A866,""CHANGE""),)"),4.28)</f>
        <v>4.28</v>
      </c>
      <c r="D866" s="48">
        <f>IFERROR(__xludf.DUMMYFUNCTION("IFERROR(GOOGLEFINANCE(A866,""CHANGEPCT""),)"),7.24)</f>
        <v>7.24</v>
      </c>
      <c r="E866" s="48" t="str">
        <f t="shared" si="1"/>
        <v>7.24%</v>
      </c>
      <c r="F866" s="48">
        <f t="shared" si="2"/>
        <v>7.24</v>
      </c>
      <c r="G866" s="48" t="str">
        <f t="shared" si="3"/>
        <v/>
      </c>
      <c r="H866" s="48">
        <f>IFERROR(__xludf.DUMMYFUNCTION("IFERROR(GOOGLEFINANCE(A866,""PRICE""),)"),63.4)</f>
        <v>63.4</v>
      </c>
      <c r="I866" s="49">
        <f>IFERROR(__xludf.DUMMYFUNCTION("IFERROR(GOOGLEFINANCE(A866,""VOLUME""),)"),235473.0)</f>
        <v>235473</v>
      </c>
      <c r="J866" s="48" t="str">
        <f>IFERROR(__xludf.DUMMYFUNCTION("IFERROR(INDEX(SPLIT(A866,"":""),1,2),)"),"MANAKSIA")</f>
        <v>MANAKSIA</v>
      </c>
      <c r="K866" s="48">
        <f t="shared" si="4"/>
        <v>20</v>
      </c>
      <c r="L866" s="48" t="str">
        <f t="shared" si="5"/>
        <v/>
      </c>
      <c r="M866" s="48">
        <f t="shared" si="6"/>
        <v>583</v>
      </c>
      <c r="N866" s="50">
        <f>IFERROR(__xludf.DUMMYFUNCTION("IFERROR(GOOGLEFINANCE(A866,""TRADETIME""),)"),46269.64583333333)</f>
        <v>46269.64583</v>
      </c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</row>
    <row r="867" ht="15.75" customHeight="1">
      <c r="A867" s="51" t="s">
        <v>913</v>
      </c>
      <c r="B867" s="51" t="str">
        <f>IFERROR(__xludf.DUMMYFUNCTION("IFERROR(GOOGLEFINANCE(A867,""NAME""),)"),"Manaksia Steels Ltd")</f>
        <v>Manaksia Steels Ltd</v>
      </c>
      <c r="C867" s="51">
        <f>IFERROR(__xludf.DUMMYFUNCTION("IFERROR(GOOGLEFINANCE(A867,""CHANGE""),)"),-4.41)</f>
        <v>-4.41</v>
      </c>
      <c r="D867" s="51">
        <f>IFERROR(__xludf.DUMMYFUNCTION("IFERROR(GOOGLEFINANCE(A867,""CHANGEPCT""),)"),-3.94)</f>
        <v>-3.94</v>
      </c>
      <c r="E867" s="51" t="str">
        <f t="shared" si="1"/>
        <v>-3.94%</v>
      </c>
      <c r="F867" s="51" t="str">
        <f t="shared" si="2"/>
        <v/>
      </c>
      <c r="G867" s="51">
        <f t="shared" si="3"/>
        <v>-3.94</v>
      </c>
      <c r="H867" s="51">
        <f>IFERROR(__xludf.DUMMYFUNCTION("IFERROR(GOOGLEFINANCE(A867,""PRICE""),)"),107.5)</f>
        <v>107.5</v>
      </c>
      <c r="I867" s="52">
        <f>IFERROR(__xludf.DUMMYFUNCTION("IFERROR(GOOGLEFINANCE(A867,""VOLUME""),)"),171136.0)</f>
        <v>171136</v>
      </c>
      <c r="J867" s="51" t="str">
        <f>IFERROR(__xludf.DUMMYFUNCTION("IFERROR(INDEX(SPLIT(A867,"":""),1,2),)"),"MANAKSTEEL")</f>
        <v>MANAKSTEEL</v>
      </c>
      <c r="K867" s="51" t="str">
        <f t="shared" si="4"/>
        <v/>
      </c>
      <c r="L867" s="51">
        <f t="shared" si="5"/>
        <v>622</v>
      </c>
      <c r="M867" s="51">
        <f t="shared" si="6"/>
        <v>660</v>
      </c>
      <c r="N867" s="53">
        <f>IFERROR(__xludf.DUMMYFUNCTION("IFERROR(GOOGLEFINANCE(A867,""TRADETIME""),)"),46269.64583333333)</f>
        <v>46269.64583</v>
      </c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</row>
    <row r="868" ht="15.75" customHeight="1">
      <c r="A868" s="48" t="s">
        <v>914</v>
      </c>
      <c r="B868" s="48" t="str">
        <f>IFERROR(__xludf.DUMMYFUNCTION("IFERROR(GOOGLEFINANCE(A868,""NAME""),)"),"Manali Petrochemicals Ltd")</f>
        <v>Manali Petrochemicals Ltd</v>
      </c>
      <c r="C868" s="48">
        <f>IFERROR(__xludf.DUMMYFUNCTION("IFERROR(GOOGLEFINANCE(A868,""CHANGE""),)"),-3.18)</f>
        <v>-3.18</v>
      </c>
      <c r="D868" s="48">
        <f>IFERROR(__xludf.DUMMYFUNCTION("IFERROR(GOOGLEFINANCE(A868,""CHANGEPCT""),)"),-3.54)</f>
        <v>-3.54</v>
      </c>
      <c r="E868" s="48" t="str">
        <f t="shared" si="1"/>
        <v>-3.54%</v>
      </c>
      <c r="F868" s="48" t="str">
        <f t="shared" si="2"/>
        <v/>
      </c>
      <c r="G868" s="48">
        <f t="shared" si="3"/>
        <v>-3.54</v>
      </c>
      <c r="H868" s="48">
        <f>IFERROR(__xludf.DUMMYFUNCTION("IFERROR(GOOGLEFINANCE(A868,""PRICE""),)"),86.55)</f>
        <v>86.55</v>
      </c>
      <c r="I868" s="49">
        <f>IFERROR(__xludf.DUMMYFUNCTION("IFERROR(GOOGLEFINANCE(A868,""VOLUME""),)"),6435710.0)</f>
        <v>6435710</v>
      </c>
      <c r="J868" s="48" t="str">
        <f>IFERROR(__xludf.DUMMYFUNCTION("IFERROR(INDEX(SPLIT(A868,"":""),1,2),)"),"MANALIPETC")</f>
        <v>MANALIPETC</v>
      </c>
      <c r="K868" s="48" t="str">
        <f t="shared" si="4"/>
        <v/>
      </c>
      <c r="L868" s="48">
        <f t="shared" si="5"/>
        <v>611</v>
      </c>
      <c r="M868" s="48">
        <f t="shared" si="6"/>
        <v>69</v>
      </c>
      <c r="N868" s="50">
        <f>IFERROR(__xludf.DUMMYFUNCTION("IFERROR(GOOGLEFINANCE(A868,""TRADETIME""),)"),46269.64583333333)</f>
        <v>46269.64583</v>
      </c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</row>
    <row r="869" ht="15.75" customHeight="1">
      <c r="A869" s="51" t="s">
        <v>915</v>
      </c>
      <c r="B869" s="51" t="str">
        <f>IFERROR(__xludf.DUMMYFUNCTION("IFERROR(GOOGLEFINANCE(A869,""NAME""),)"),"Manappuram Finance Ltd")</f>
        <v>Manappuram Finance Ltd</v>
      </c>
      <c r="C869" s="51">
        <f>IFERROR(__xludf.DUMMYFUNCTION("IFERROR(GOOGLEFINANCE(A869,""CHANGE""),)"),-2.35)</f>
        <v>-2.35</v>
      </c>
      <c r="D869" s="51">
        <f>IFERROR(__xludf.DUMMYFUNCTION("IFERROR(GOOGLEFINANCE(A869,""CHANGEPCT""),)"),-0.69)</f>
        <v>-0.69</v>
      </c>
      <c r="E869" s="51" t="str">
        <f t="shared" si="1"/>
        <v>-0.69%</v>
      </c>
      <c r="F869" s="51" t="str">
        <f t="shared" si="2"/>
        <v/>
      </c>
      <c r="G869" s="51">
        <f t="shared" si="3"/>
        <v>-0.69</v>
      </c>
      <c r="H869" s="51">
        <f>IFERROR(__xludf.DUMMYFUNCTION("IFERROR(GOOGLEFINANCE(A869,""PRICE""),)"),338.65)</f>
        <v>338.65</v>
      </c>
      <c r="I869" s="52">
        <f>IFERROR(__xludf.DUMMYFUNCTION("IFERROR(GOOGLEFINANCE(A869,""VOLUME""),)"),2017457.0)</f>
        <v>2017457</v>
      </c>
      <c r="J869" s="51" t="str">
        <f>IFERROR(__xludf.DUMMYFUNCTION("IFERROR(INDEX(SPLIT(A869,"":""),1,2),)"),"MANAPPURAM")</f>
        <v>MANAPPURAM</v>
      </c>
      <c r="K869" s="51" t="str">
        <f t="shared" si="4"/>
        <v/>
      </c>
      <c r="L869" s="51">
        <f t="shared" si="5"/>
        <v>261</v>
      </c>
      <c r="M869" s="51">
        <f t="shared" si="6"/>
        <v>171</v>
      </c>
      <c r="N869" s="53">
        <f>IFERROR(__xludf.DUMMYFUNCTION("IFERROR(GOOGLEFINANCE(A869,""TRADETIME""),)"),46269.64583333333)</f>
        <v>46269.64583</v>
      </c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</row>
    <row r="870" ht="15.75" customHeight="1">
      <c r="A870" s="48" t="s">
        <v>916</v>
      </c>
      <c r="B870" s="48" t="str">
        <f>IFERROR(__xludf.DUMMYFUNCTION("IFERROR(GOOGLEFINANCE(A870,""NAME""),)"),"Mangalam Drugs and Organics Ltd")</f>
        <v>Mangalam Drugs and Organics Ltd</v>
      </c>
      <c r="C870" s="48">
        <f>IFERROR(__xludf.DUMMYFUNCTION("IFERROR(GOOGLEFINANCE(A870,""CHANGE""),)"),-0.3)</f>
        <v>-0.3</v>
      </c>
      <c r="D870" s="48">
        <f>IFERROR(__xludf.DUMMYFUNCTION("IFERROR(GOOGLEFINANCE(A870,""CHANGEPCT""),)"),-0.99)</f>
        <v>-0.99</v>
      </c>
      <c r="E870" s="48" t="str">
        <f t="shared" si="1"/>
        <v>-0.99%</v>
      </c>
      <c r="F870" s="48" t="str">
        <f t="shared" si="2"/>
        <v/>
      </c>
      <c r="G870" s="48">
        <f t="shared" si="3"/>
        <v>-0.99</v>
      </c>
      <c r="H870" s="48">
        <f>IFERROR(__xludf.DUMMYFUNCTION("IFERROR(GOOGLEFINANCE(A870,""PRICE""),)"),30.0)</f>
        <v>30</v>
      </c>
      <c r="I870" s="49">
        <f>IFERROR(__xludf.DUMMYFUNCTION("IFERROR(GOOGLEFINANCE(A870,""VOLUME""),)"),18726.0)</f>
        <v>18726</v>
      </c>
      <c r="J870" s="48" t="str">
        <f>IFERROR(__xludf.DUMMYFUNCTION("IFERROR(INDEX(SPLIT(A870,"":""),1,2),)"),"MANGALAM")</f>
        <v>MANGALAM</v>
      </c>
      <c r="K870" s="48" t="str">
        <f t="shared" si="4"/>
        <v/>
      </c>
      <c r="L870" s="48">
        <f t="shared" si="5"/>
        <v>339</v>
      </c>
      <c r="M870" s="48">
        <f t="shared" si="6"/>
        <v>1137</v>
      </c>
      <c r="N870" s="50">
        <f>IFERROR(__xludf.DUMMYFUNCTION("IFERROR(GOOGLEFINANCE(A870,""TRADETIME""),)"),46269.64583333333)</f>
        <v>46269.64583</v>
      </c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</row>
    <row r="871" ht="15.75" customHeight="1">
      <c r="A871" s="51" t="s">
        <v>917</v>
      </c>
      <c r="B871" s="51" t="str">
        <f>IFERROR(__xludf.DUMMYFUNCTION("IFERROR(GOOGLEFINANCE(A871,""NAME""),)"),"")</f>
        <v/>
      </c>
      <c r="C871" s="51" t="str">
        <f>IFERROR(__xludf.DUMMYFUNCTION("IFERROR(GOOGLEFINANCE(A871,""CHANGE""),)"),"")</f>
        <v/>
      </c>
      <c r="D871" s="51" t="str">
        <f>IFERROR(__xludf.DUMMYFUNCTION("IFERROR(GOOGLEFINANCE(A871,""CHANGEPCT""),)"),"")</f>
        <v/>
      </c>
      <c r="E871" s="51" t="str">
        <f t="shared" si="1"/>
        <v>%</v>
      </c>
      <c r="F871" s="51" t="str">
        <f t="shared" si="2"/>
        <v/>
      </c>
      <c r="G871" s="51" t="str">
        <f t="shared" si="3"/>
        <v/>
      </c>
      <c r="H871" s="51" t="str">
        <f>IFERROR(__xludf.DUMMYFUNCTION("IFERROR(GOOGLEFINANCE(A871,""PRICE""),)"),"")</f>
        <v/>
      </c>
      <c r="I871" s="52" t="str">
        <f>IFERROR(__xludf.DUMMYFUNCTION("IFERROR(GOOGLEFINANCE(A871,""VOLUME""),)"),"")</f>
        <v/>
      </c>
      <c r="J871" s="51" t="str">
        <f>IFERROR(__xludf.DUMMYFUNCTION("IFERROR(INDEX(SPLIT(A871,"":""),1,2),)"),"MANGCHEFER")</f>
        <v>MANGCHEFER</v>
      </c>
      <c r="K871" s="51" t="str">
        <f t="shared" si="4"/>
        <v/>
      </c>
      <c r="L871" s="51" t="str">
        <f t="shared" si="5"/>
        <v/>
      </c>
      <c r="M871" s="51">
        <f t="shared" si="6"/>
        <v>1456</v>
      </c>
      <c r="N871" s="53" t="str">
        <f>IFERROR(__xludf.DUMMYFUNCTION("IFERROR(GOOGLEFINANCE(A871,""TRADETIME""),)"),"")</f>
        <v/>
      </c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</row>
    <row r="872" ht="15.75" customHeight="1">
      <c r="A872" s="48" t="s">
        <v>918</v>
      </c>
      <c r="B872" s="48" t="str">
        <f>IFERROR(__xludf.DUMMYFUNCTION("IFERROR(GOOGLEFINANCE(A872,""NAME""),)"),"Mangalam Cement Ltd")</f>
        <v>Mangalam Cement Ltd</v>
      </c>
      <c r="C872" s="48">
        <f>IFERROR(__xludf.DUMMYFUNCTION("IFERROR(GOOGLEFINANCE(A872,""CHANGE""),)"),-3.2)</f>
        <v>-3.2</v>
      </c>
      <c r="D872" s="48">
        <f>IFERROR(__xludf.DUMMYFUNCTION("IFERROR(GOOGLEFINANCE(A872,""CHANGEPCT""),)"),-0.29)</f>
        <v>-0.29</v>
      </c>
      <c r="E872" s="48" t="str">
        <f t="shared" si="1"/>
        <v>-0.29%</v>
      </c>
      <c r="F872" s="48" t="str">
        <f t="shared" si="2"/>
        <v/>
      </c>
      <c r="G872" s="48">
        <f t="shared" si="3"/>
        <v>-0.29</v>
      </c>
      <c r="H872" s="48">
        <f>IFERROR(__xludf.DUMMYFUNCTION("IFERROR(GOOGLEFINANCE(A872,""PRICE""),)"),1095.0)</f>
        <v>1095</v>
      </c>
      <c r="I872" s="49">
        <f>IFERROR(__xludf.DUMMYFUNCTION("IFERROR(GOOGLEFINANCE(A872,""VOLUME""),)"),64519.0)</f>
        <v>64519</v>
      </c>
      <c r="J872" s="48" t="str">
        <f>IFERROR(__xludf.DUMMYFUNCTION("IFERROR(INDEX(SPLIT(A872,"":""),1,2),)"),"MANGLMCEM")</f>
        <v>MANGLMCEM</v>
      </c>
      <c r="K872" s="48" t="str">
        <f t="shared" si="4"/>
        <v/>
      </c>
      <c r="L872" s="48">
        <f t="shared" si="5"/>
        <v>107</v>
      </c>
      <c r="M872" s="48">
        <f t="shared" si="6"/>
        <v>883</v>
      </c>
      <c r="N872" s="50">
        <f>IFERROR(__xludf.DUMMYFUNCTION("IFERROR(GOOGLEFINANCE(A872,""TRADETIME""),)"),46269.64583333333)</f>
        <v>46269.64583</v>
      </c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</row>
    <row r="873" ht="15.75" customHeight="1">
      <c r="A873" s="51" t="s">
        <v>919</v>
      </c>
      <c r="B873" s="51" t="str">
        <f>IFERROR(__xludf.DUMMYFUNCTION("IFERROR(GOOGLEFINANCE(A873,""NAME""),)"),"Mindteck (India) Ltd")</f>
        <v>Mindteck (India) Ltd</v>
      </c>
      <c r="C873" s="51">
        <f>IFERROR(__xludf.DUMMYFUNCTION("IFERROR(GOOGLEFINANCE(A873,""CHANGE""),)"),0.93)</f>
        <v>0.93</v>
      </c>
      <c r="D873" s="51">
        <f>IFERROR(__xludf.DUMMYFUNCTION("IFERROR(GOOGLEFINANCE(A873,""CHANGEPCT""),)"),0.55)</f>
        <v>0.55</v>
      </c>
      <c r="E873" s="51" t="str">
        <f t="shared" si="1"/>
        <v>0.55%</v>
      </c>
      <c r="F873" s="51">
        <f t="shared" si="2"/>
        <v>0.55</v>
      </c>
      <c r="G873" s="51" t="str">
        <f t="shared" si="3"/>
        <v/>
      </c>
      <c r="H873" s="51">
        <f>IFERROR(__xludf.DUMMYFUNCTION("IFERROR(GOOGLEFINANCE(A873,""PRICE""),)"),169.15)</f>
        <v>169.15</v>
      </c>
      <c r="I873" s="52">
        <f>IFERROR(__xludf.DUMMYFUNCTION("IFERROR(GOOGLEFINANCE(A873,""VOLUME""),)"),17432.0)</f>
        <v>17432</v>
      </c>
      <c r="J873" s="51" t="str">
        <f>IFERROR(__xludf.DUMMYFUNCTION("IFERROR(INDEX(SPLIT(A873,"":""),1,2),)"),"MINDTECK")</f>
        <v>MINDTECK</v>
      </c>
      <c r="K873" s="51">
        <f t="shared" si="4"/>
        <v>571</v>
      </c>
      <c r="L873" s="51" t="str">
        <f t="shared" si="5"/>
        <v/>
      </c>
      <c r="M873" s="51">
        <f t="shared" si="6"/>
        <v>1152</v>
      </c>
      <c r="N873" s="53">
        <f>IFERROR(__xludf.DUMMYFUNCTION("IFERROR(GOOGLEFINANCE(A873,""TRADETIME""),)"),46269.64583333333)</f>
        <v>46269.64583</v>
      </c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</row>
    <row r="874" ht="15.75" customHeight="1">
      <c r="A874" s="48" t="s">
        <v>920</v>
      </c>
      <c r="B874" s="48" t="str">
        <f>IFERROR(__xludf.DUMMYFUNCTION("IFERROR(GOOGLEFINANCE(A874,""NAME""),)"),"Man Infraconstruction Ltd")</f>
        <v>Man Infraconstruction Ltd</v>
      </c>
      <c r="C874" s="48">
        <f>IFERROR(__xludf.DUMMYFUNCTION("IFERROR(GOOGLEFINANCE(A874,""CHANGE""),)"),0.16)</f>
        <v>0.16</v>
      </c>
      <c r="D874" s="48">
        <f>IFERROR(__xludf.DUMMYFUNCTION("IFERROR(GOOGLEFINANCE(A874,""CHANGEPCT""),)"),0.13)</f>
        <v>0.13</v>
      </c>
      <c r="E874" s="48" t="str">
        <f t="shared" si="1"/>
        <v>0.13%</v>
      </c>
      <c r="F874" s="48">
        <f t="shared" si="2"/>
        <v>0.13</v>
      </c>
      <c r="G874" s="48" t="str">
        <f t="shared" si="3"/>
        <v/>
      </c>
      <c r="H874" s="48">
        <f>IFERROR(__xludf.DUMMYFUNCTION("IFERROR(GOOGLEFINANCE(A874,""PRICE""),)"),124.75)</f>
        <v>124.75</v>
      </c>
      <c r="I874" s="49">
        <f>IFERROR(__xludf.DUMMYFUNCTION("IFERROR(GOOGLEFINANCE(A874,""VOLUME""),)"),1748780.0)</f>
        <v>1748780</v>
      </c>
      <c r="J874" s="48" t="str">
        <f>IFERROR(__xludf.DUMMYFUNCTION("IFERROR(INDEX(SPLIT(A874,"":""),1,2),)"),"MANINFRA")</f>
        <v>MANINFRA</v>
      </c>
      <c r="K874" s="48">
        <f t="shared" si="4"/>
        <v>731</v>
      </c>
      <c r="L874" s="48" t="str">
        <f t="shared" si="5"/>
        <v/>
      </c>
      <c r="M874" s="48">
        <f t="shared" si="6"/>
        <v>190</v>
      </c>
      <c r="N874" s="50">
        <f>IFERROR(__xludf.DUMMYFUNCTION("IFERROR(GOOGLEFINANCE(A874,""TRADETIME""),)"),46269.64585648148)</f>
        <v>46269.64586</v>
      </c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</row>
    <row r="875" ht="15.75" customHeight="1">
      <c r="A875" s="51" t="s">
        <v>921</v>
      </c>
      <c r="B875" s="51" t="str">
        <f>IFERROR(__xludf.DUMMYFUNCTION("IFERROR(GOOGLEFINANCE(A875,""NAME""),)"),"Manugraph India Ltd")</f>
        <v>Manugraph India Ltd</v>
      </c>
      <c r="C875" s="51">
        <f>IFERROR(__xludf.DUMMYFUNCTION("IFERROR(GOOGLEFINANCE(A875,""CHANGE""),)"),0.15)</f>
        <v>0.15</v>
      </c>
      <c r="D875" s="51">
        <f>IFERROR(__xludf.DUMMYFUNCTION("IFERROR(GOOGLEFINANCE(A875,""CHANGEPCT""),)"),1.03)</f>
        <v>1.03</v>
      </c>
      <c r="E875" s="51" t="str">
        <f t="shared" si="1"/>
        <v>1.03%</v>
      </c>
      <c r="F875" s="51">
        <f t="shared" si="2"/>
        <v>1.03</v>
      </c>
      <c r="G875" s="51" t="str">
        <f t="shared" si="3"/>
        <v/>
      </c>
      <c r="H875" s="51">
        <f>IFERROR(__xludf.DUMMYFUNCTION("IFERROR(GOOGLEFINANCE(A875,""PRICE""),)"),14.75)</f>
        <v>14.75</v>
      </c>
      <c r="I875" s="52">
        <f>IFERROR(__xludf.DUMMYFUNCTION("IFERROR(GOOGLEFINANCE(A875,""VOLUME""),)"),14661.0)</f>
        <v>14661</v>
      </c>
      <c r="J875" s="51" t="str">
        <f>IFERROR(__xludf.DUMMYFUNCTION("IFERROR(INDEX(SPLIT(A875,"":""),1,2),)"),"MANUGRAPH")</f>
        <v>MANUGRAPH</v>
      </c>
      <c r="K875" s="51">
        <f t="shared" si="4"/>
        <v>445</v>
      </c>
      <c r="L875" s="51" t="str">
        <f t="shared" si="5"/>
        <v/>
      </c>
      <c r="M875" s="51">
        <f t="shared" si="6"/>
        <v>1183</v>
      </c>
      <c r="N875" s="53">
        <f>IFERROR(__xludf.DUMMYFUNCTION("IFERROR(GOOGLEFINANCE(A875,""TRADETIME""),)"),46269.64583333333)</f>
        <v>46269.64583</v>
      </c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</row>
    <row r="876" ht="15.75" customHeight="1">
      <c r="A876" s="48" t="s">
        <v>922</v>
      </c>
      <c r="B876" s="48" t="str">
        <f>IFERROR(__xludf.DUMMYFUNCTION("IFERROR(GOOGLEFINANCE(A876,""NAME""),)"),"Maral Overseas Ltd")</f>
        <v>Maral Overseas Ltd</v>
      </c>
      <c r="C876" s="48">
        <f>IFERROR(__xludf.DUMMYFUNCTION("IFERROR(GOOGLEFINANCE(A876,""CHANGE""),)"),7.54)</f>
        <v>7.54</v>
      </c>
      <c r="D876" s="48">
        <f>IFERROR(__xludf.DUMMYFUNCTION("IFERROR(GOOGLEFINANCE(A876,""CHANGEPCT""),)"),13.64)</f>
        <v>13.64</v>
      </c>
      <c r="E876" s="48" t="str">
        <f t="shared" si="1"/>
        <v>13.64%</v>
      </c>
      <c r="F876" s="48">
        <f t="shared" si="2"/>
        <v>13.64</v>
      </c>
      <c r="G876" s="48" t="str">
        <f t="shared" si="3"/>
        <v/>
      </c>
      <c r="H876" s="48">
        <f>IFERROR(__xludf.DUMMYFUNCTION("IFERROR(GOOGLEFINANCE(A876,""PRICE""),)"),62.8)</f>
        <v>62.8</v>
      </c>
      <c r="I876" s="49">
        <f>IFERROR(__xludf.DUMMYFUNCTION("IFERROR(GOOGLEFINANCE(A876,""VOLUME""),)"),313426.0)</f>
        <v>313426</v>
      </c>
      <c r="J876" s="48" t="str">
        <f>IFERROR(__xludf.DUMMYFUNCTION("IFERROR(INDEX(SPLIT(A876,"":""),1,2),)"),"MARALOVER")</f>
        <v>MARALOVER</v>
      </c>
      <c r="K876" s="48">
        <f t="shared" si="4"/>
        <v>6</v>
      </c>
      <c r="L876" s="48" t="str">
        <f t="shared" si="5"/>
        <v/>
      </c>
      <c r="M876" s="48">
        <f t="shared" si="6"/>
        <v>499</v>
      </c>
      <c r="N876" s="50">
        <f>IFERROR(__xludf.DUMMYFUNCTION("IFERROR(GOOGLEFINANCE(A876,""TRADETIME""),)"),46269.64583333333)</f>
        <v>46269.64583</v>
      </c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</row>
    <row r="877" ht="15.75" customHeight="1">
      <c r="A877" s="51" t="s">
        <v>923</v>
      </c>
      <c r="B877" s="51" t="str">
        <f>IFERROR(__xludf.DUMMYFUNCTION("IFERROR(GOOGLEFINANCE(A877,""NAME""),)"),"Marathon Nextgen Realty Ltd")</f>
        <v>Marathon Nextgen Realty Ltd</v>
      </c>
      <c r="C877" s="51">
        <f>IFERROR(__xludf.DUMMYFUNCTION("IFERROR(GOOGLEFINANCE(A877,""CHANGE""),)"),3.05)</f>
        <v>3.05</v>
      </c>
      <c r="D877" s="51">
        <f>IFERROR(__xludf.DUMMYFUNCTION("IFERROR(GOOGLEFINANCE(A877,""CHANGEPCT""),)"),0.7)</f>
        <v>0.7</v>
      </c>
      <c r="E877" s="51" t="str">
        <f t="shared" si="1"/>
        <v>0.7%</v>
      </c>
      <c r="F877" s="51">
        <f t="shared" si="2"/>
        <v>0.7</v>
      </c>
      <c r="G877" s="51" t="str">
        <f t="shared" si="3"/>
        <v/>
      </c>
      <c r="H877" s="51">
        <f>IFERROR(__xludf.DUMMYFUNCTION("IFERROR(GOOGLEFINANCE(A877,""PRICE""),)"),438.0)</f>
        <v>438</v>
      </c>
      <c r="I877" s="52">
        <f>IFERROR(__xludf.DUMMYFUNCTION("IFERROR(GOOGLEFINANCE(A877,""VOLUME""),)"),388461.0)</f>
        <v>388461</v>
      </c>
      <c r="J877" s="51" t="str">
        <f>IFERROR(__xludf.DUMMYFUNCTION("IFERROR(INDEX(SPLIT(A877,"":""),1,2),)"),"MARATHON")</f>
        <v>MARATHON</v>
      </c>
      <c r="K877" s="51">
        <f t="shared" si="4"/>
        <v>529</v>
      </c>
      <c r="L877" s="51" t="str">
        <f t="shared" si="5"/>
        <v/>
      </c>
      <c r="M877" s="51">
        <f t="shared" si="6"/>
        <v>450</v>
      </c>
      <c r="N877" s="53">
        <f>IFERROR(__xludf.DUMMYFUNCTION("IFERROR(GOOGLEFINANCE(A877,""TRADETIME""),)"),46269.64583333333)</f>
        <v>46269.64583</v>
      </c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</row>
    <row r="878" ht="15.75" customHeight="1">
      <c r="A878" s="48" t="s">
        <v>924</v>
      </c>
      <c r="B878" s="48" t="str">
        <f>IFERROR(__xludf.DUMMYFUNCTION("IFERROR(GOOGLEFINANCE(A878,""NAME""),)"),"Marico Ltd")</f>
        <v>Marico Ltd</v>
      </c>
      <c r="C878" s="48">
        <f>IFERROR(__xludf.DUMMYFUNCTION("IFERROR(GOOGLEFINANCE(A878,""CHANGE""),)"),-12.2)</f>
        <v>-12.2</v>
      </c>
      <c r="D878" s="48">
        <f>IFERROR(__xludf.DUMMYFUNCTION("IFERROR(GOOGLEFINANCE(A878,""CHANGEPCT""),)"),-1.47)</f>
        <v>-1.47</v>
      </c>
      <c r="E878" s="48" t="str">
        <f t="shared" si="1"/>
        <v>-1.47%</v>
      </c>
      <c r="F878" s="48" t="str">
        <f t="shared" si="2"/>
        <v/>
      </c>
      <c r="G878" s="48">
        <f t="shared" si="3"/>
        <v>-1.47</v>
      </c>
      <c r="H878" s="48">
        <f>IFERROR(__xludf.DUMMYFUNCTION("IFERROR(GOOGLEFINANCE(A878,""PRICE""),)"),815.2)</f>
        <v>815.2</v>
      </c>
      <c r="I878" s="49">
        <f>IFERROR(__xludf.DUMMYFUNCTION("IFERROR(GOOGLEFINANCE(A878,""VOLUME""),)"),1021459.0)</f>
        <v>1021459</v>
      </c>
      <c r="J878" s="48" t="str">
        <f>IFERROR(__xludf.DUMMYFUNCTION("IFERROR(INDEX(SPLIT(A878,"":""),1,2),)"),"MARICO")</f>
        <v>MARICO</v>
      </c>
      <c r="K878" s="48" t="str">
        <f t="shared" si="4"/>
        <v/>
      </c>
      <c r="L878" s="48">
        <f t="shared" si="5"/>
        <v>444</v>
      </c>
      <c r="M878" s="48">
        <f t="shared" si="6"/>
        <v>273</v>
      </c>
      <c r="N878" s="50">
        <f>IFERROR(__xludf.DUMMYFUNCTION("IFERROR(GOOGLEFINANCE(A878,""TRADETIME""),)"),46269.64583333333)</f>
        <v>46269.64583</v>
      </c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</row>
    <row r="879" ht="15.75" customHeight="1">
      <c r="A879" s="51" t="s">
        <v>925</v>
      </c>
      <c r="B879" s="51" t="str">
        <f>IFERROR(__xludf.DUMMYFUNCTION("IFERROR(GOOGLEFINANCE(A879,""NAME""),)"),"Nath Bio-Genes (I) Ltd")</f>
        <v>Nath Bio-Genes (I) Ltd</v>
      </c>
      <c r="C879" s="51">
        <f>IFERROR(__xludf.DUMMYFUNCTION("IFERROR(GOOGLEFINANCE(A879,""CHANGE""),)"),0.03)</f>
        <v>0.03</v>
      </c>
      <c r="D879" s="51">
        <f>IFERROR(__xludf.DUMMYFUNCTION("IFERROR(GOOGLEFINANCE(A879,""CHANGEPCT""),)"),0.02)</f>
        <v>0.02</v>
      </c>
      <c r="E879" s="51" t="str">
        <f t="shared" si="1"/>
        <v>0.02%</v>
      </c>
      <c r="F879" s="51">
        <f t="shared" si="2"/>
        <v>0.02</v>
      </c>
      <c r="G879" s="51" t="str">
        <f t="shared" si="3"/>
        <v/>
      </c>
      <c r="H879" s="51">
        <f>IFERROR(__xludf.DUMMYFUNCTION("IFERROR(GOOGLEFINANCE(A879,""PRICE""),)"),153.1)</f>
        <v>153.1</v>
      </c>
      <c r="I879" s="52">
        <f>IFERROR(__xludf.DUMMYFUNCTION("IFERROR(GOOGLEFINANCE(A879,""VOLUME""),)"),7468.0)</f>
        <v>7468</v>
      </c>
      <c r="J879" s="51" t="str">
        <f>IFERROR(__xludf.DUMMYFUNCTION("IFERROR(INDEX(SPLIT(A879,"":""),1,2),)"),"NATHBIOGEN")</f>
        <v>NATHBIOGEN</v>
      </c>
      <c r="K879" s="51">
        <f t="shared" si="4"/>
        <v>775</v>
      </c>
      <c r="L879" s="51" t="str">
        <f t="shared" si="5"/>
        <v/>
      </c>
      <c r="M879" s="51">
        <f t="shared" si="6"/>
        <v>1275</v>
      </c>
      <c r="N879" s="53">
        <f>IFERROR(__xludf.DUMMYFUNCTION("IFERROR(GOOGLEFINANCE(A879,""TRADETIME""),)"),46269.64583333333)</f>
        <v>46269.64583</v>
      </c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</row>
    <row r="880" ht="15.75" customHeight="1">
      <c r="A880" s="48" t="s">
        <v>926</v>
      </c>
      <c r="B880" s="48" t="str">
        <f>IFERROR(__xludf.DUMMYFUNCTION("IFERROR(GOOGLEFINANCE(A880,""NAME""),)"),"Marksans Pharma Ltd")</f>
        <v>Marksans Pharma Ltd</v>
      </c>
      <c r="C880" s="48">
        <f>IFERROR(__xludf.DUMMYFUNCTION("IFERROR(GOOGLEFINANCE(A880,""CHANGE""),)"),-4.4)</f>
        <v>-4.4</v>
      </c>
      <c r="D880" s="48">
        <f>IFERROR(__xludf.DUMMYFUNCTION("IFERROR(GOOGLEFINANCE(A880,""CHANGEPCT""),)"),-1.32)</f>
        <v>-1.32</v>
      </c>
      <c r="E880" s="48" t="str">
        <f t="shared" si="1"/>
        <v>-1.32%</v>
      </c>
      <c r="F880" s="48" t="str">
        <f t="shared" si="2"/>
        <v/>
      </c>
      <c r="G880" s="48">
        <f t="shared" si="3"/>
        <v>-1.32</v>
      </c>
      <c r="H880" s="48">
        <f>IFERROR(__xludf.DUMMYFUNCTION("IFERROR(GOOGLEFINANCE(A880,""PRICE""),)"),327.8)</f>
        <v>327.8</v>
      </c>
      <c r="I880" s="49">
        <f>IFERROR(__xludf.DUMMYFUNCTION("IFERROR(GOOGLEFINANCE(A880,""VOLUME""),)"),1654370.0)</f>
        <v>1654370</v>
      </c>
      <c r="J880" s="48" t="str">
        <f>IFERROR(__xludf.DUMMYFUNCTION("IFERROR(INDEX(SPLIT(A880,"":""),1,2),)"),"MARKSANS")</f>
        <v>MARKSANS</v>
      </c>
      <c r="K880" s="48" t="str">
        <f t="shared" si="4"/>
        <v/>
      </c>
      <c r="L880" s="48">
        <f t="shared" si="5"/>
        <v>410</v>
      </c>
      <c r="M880" s="48">
        <f t="shared" si="6"/>
        <v>198</v>
      </c>
      <c r="N880" s="50">
        <f>IFERROR(__xludf.DUMMYFUNCTION("IFERROR(GOOGLEFINANCE(A880,""TRADETIME""),)"),46269.64585648148)</f>
        <v>46269.64586</v>
      </c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</row>
    <row r="881" ht="15.75" customHeight="1">
      <c r="A881" s="51" t="s">
        <v>927</v>
      </c>
      <c r="B881" s="51" t="str">
        <f>IFERROR(__xludf.DUMMYFUNCTION("IFERROR(GOOGLEFINANCE(A881,""NAME""),)"),"Maruti Suzuki India Ltd")</f>
        <v>Maruti Suzuki India Ltd</v>
      </c>
      <c r="C881" s="51">
        <f>IFERROR(__xludf.DUMMYFUNCTION("IFERROR(GOOGLEFINANCE(A881,""CHANGE""),)"),-167.0)</f>
        <v>-167</v>
      </c>
      <c r="D881" s="51">
        <f>IFERROR(__xludf.DUMMYFUNCTION("IFERROR(GOOGLEFINANCE(A881,""CHANGEPCT""),)"),-1.3)</f>
        <v>-1.3</v>
      </c>
      <c r="E881" s="51" t="str">
        <f t="shared" si="1"/>
        <v>-1.3%</v>
      </c>
      <c r="F881" s="51" t="str">
        <f t="shared" si="2"/>
        <v/>
      </c>
      <c r="G881" s="51">
        <f t="shared" si="3"/>
        <v>-1.3</v>
      </c>
      <c r="H881" s="51">
        <f>IFERROR(__xludf.DUMMYFUNCTION("IFERROR(GOOGLEFINANCE(A881,""PRICE""),)"),12690.0)</f>
        <v>12690</v>
      </c>
      <c r="I881" s="52">
        <f>IFERROR(__xludf.DUMMYFUNCTION("IFERROR(GOOGLEFINANCE(A881,""VOLUME""),)"),322752.0)</f>
        <v>322752</v>
      </c>
      <c r="J881" s="51" t="str">
        <f>IFERROR(__xludf.DUMMYFUNCTION("IFERROR(INDEX(SPLIT(A881,"":""),1,2),)"),"MARUTI")</f>
        <v>MARUTI</v>
      </c>
      <c r="K881" s="51" t="str">
        <f t="shared" si="4"/>
        <v/>
      </c>
      <c r="L881" s="51">
        <f t="shared" si="5"/>
        <v>402</v>
      </c>
      <c r="M881" s="51">
        <f t="shared" si="6"/>
        <v>493</v>
      </c>
      <c r="N881" s="53">
        <f>IFERROR(__xludf.DUMMYFUNCTION("IFERROR(GOOGLEFINANCE(A881,""TRADETIME""),)"),46269.64583333333)</f>
        <v>46269.64583</v>
      </c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</row>
    <row r="882" ht="15.75" customHeight="1">
      <c r="A882" s="48" t="s">
        <v>928</v>
      </c>
      <c r="B882" s="48" t="str">
        <f>IFERROR(__xludf.DUMMYFUNCTION("IFERROR(GOOGLEFINANCE(A882,""NAME""),)"),"MAS Financial Services Ltd")</f>
        <v>MAS Financial Services Ltd</v>
      </c>
      <c r="C882" s="48">
        <f>IFERROR(__xludf.DUMMYFUNCTION("IFERROR(GOOGLEFINANCE(A882,""CHANGE""),)"),2.5)</f>
        <v>2.5</v>
      </c>
      <c r="D882" s="48">
        <f>IFERROR(__xludf.DUMMYFUNCTION("IFERROR(GOOGLEFINANCE(A882,""CHANGEPCT""),)"),0.85)</f>
        <v>0.85</v>
      </c>
      <c r="E882" s="48" t="str">
        <f t="shared" si="1"/>
        <v>0.85%</v>
      </c>
      <c r="F882" s="48">
        <f t="shared" si="2"/>
        <v>0.85</v>
      </c>
      <c r="G882" s="48" t="str">
        <f t="shared" si="3"/>
        <v/>
      </c>
      <c r="H882" s="48">
        <f>IFERROR(__xludf.DUMMYFUNCTION("IFERROR(GOOGLEFINANCE(A882,""PRICE""),)"),295.2)</f>
        <v>295.2</v>
      </c>
      <c r="I882" s="49">
        <f>IFERROR(__xludf.DUMMYFUNCTION("IFERROR(GOOGLEFINANCE(A882,""VOLUME""),)"),69659.0)</f>
        <v>69659</v>
      </c>
      <c r="J882" s="48" t="str">
        <f>IFERROR(__xludf.DUMMYFUNCTION("IFERROR(INDEX(SPLIT(A882,"":""),1,2),)"),"MASFIN")</f>
        <v>MASFIN</v>
      </c>
      <c r="K882" s="48">
        <f t="shared" si="4"/>
        <v>485</v>
      </c>
      <c r="L882" s="48" t="str">
        <f t="shared" si="5"/>
        <v/>
      </c>
      <c r="M882" s="48">
        <f t="shared" si="6"/>
        <v>862</v>
      </c>
      <c r="N882" s="50">
        <f>IFERROR(__xludf.DUMMYFUNCTION("IFERROR(GOOGLEFINANCE(A882,""TRADETIME""),)"),46269.64583333333)</f>
        <v>46269.64583</v>
      </c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</row>
    <row r="883" ht="15.75" customHeight="1">
      <c r="A883" s="51" t="s">
        <v>929</v>
      </c>
      <c r="B883" s="51" t="str">
        <f>IFERROR(__xludf.DUMMYFUNCTION("IFERROR(GOOGLEFINANCE(A883,""NAME""),)"),"Mask Investments Ltd")</f>
        <v>Mask Investments Ltd</v>
      </c>
      <c r="C883" s="51">
        <f>IFERROR(__xludf.DUMMYFUNCTION("IFERROR(GOOGLEFINANCE(A883,""CHANGE""),)"),2.6)</f>
        <v>2.6</v>
      </c>
      <c r="D883" s="51">
        <f>IFERROR(__xludf.DUMMYFUNCTION("IFERROR(GOOGLEFINANCE(A883,""CHANGEPCT""),)"),1.81)</f>
        <v>1.81</v>
      </c>
      <c r="E883" s="51" t="str">
        <f t="shared" si="1"/>
        <v>1.81%</v>
      </c>
      <c r="F883" s="51">
        <f t="shared" si="2"/>
        <v>1.81</v>
      </c>
      <c r="G883" s="51" t="str">
        <f t="shared" si="3"/>
        <v/>
      </c>
      <c r="H883" s="51">
        <f>IFERROR(__xludf.DUMMYFUNCTION("IFERROR(GOOGLEFINANCE(A883,""PRICE""),)"),146.15)</f>
        <v>146.15</v>
      </c>
      <c r="I883" s="52">
        <f>IFERROR(__xludf.DUMMYFUNCTION("IFERROR(GOOGLEFINANCE(A883,""VOLUME""),)"),22.0)</f>
        <v>22</v>
      </c>
      <c r="J883" s="51" t="str">
        <f>IFERROR(__xludf.DUMMYFUNCTION("IFERROR(INDEX(SPLIT(A883,"":""),1,2),)"),"MASKINVEST")</f>
        <v>MASKINVEST</v>
      </c>
      <c r="K883" s="51">
        <f t="shared" si="4"/>
        <v>294</v>
      </c>
      <c r="L883" s="51" t="str">
        <f t="shared" si="5"/>
        <v/>
      </c>
      <c r="M883" s="51">
        <f t="shared" si="6"/>
        <v>1454</v>
      </c>
      <c r="N883" s="53">
        <f>IFERROR(__xludf.DUMMYFUNCTION("IFERROR(GOOGLEFINANCE(A883,""TRADETIME""),)"),46269.64583333333)</f>
        <v>46269.64583</v>
      </c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</row>
    <row r="884" ht="15.75" customHeight="1">
      <c r="A884" s="48" t="s">
        <v>930</v>
      </c>
      <c r="B884" s="48" t="str">
        <f>IFERROR(__xludf.DUMMYFUNCTION("IFERROR(GOOGLEFINANCE(A884,""NAME""),)"),"Mastek Ltd")</f>
        <v>Mastek Ltd</v>
      </c>
      <c r="C884" s="48">
        <f>IFERROR(__xludf.DUMMYFUNCTION("IFERROR(GOOGLEFINANCE(A884,""CHANGE""),)"),-26.1)</f>
        <v>-26.1</v>
      </c>
      <c r="D884" s="48">
        <f>IFERROR(__xludf.DUMMYFUNCTION("IFERROR(GOOGLEFINANCE(A884,""CHANGEPCT""),)"),-1.46)</f>
        <v>-1.46</v>
      </c>
      <c r="E884" s="48" t="str">
        <f t="shared" si="1"/>
        <v>-1.46%</v>
      </c>
      <c r="F884" s="48" t="str">
        <f t="shared" si="2"/>
        <v/>
      </c>
      <c r="G884" s="48">
        <f t="shared" si="3"/>
        <v>-1.46</v>
      </c>
      <c r="H884" s="48">
        <f>IFERROR(__xludf.DUMMYFUNCTION("IFERROR(GOOGLEFINANCE(A884,""PRICE""),)"),1766.5)</f>
        <v>1766.5</v>
      </c>
      <c r="I884" s="49">
        <f>IFERROR(__xludf.DUMMYFUNCTION("IFERROR(GOOGLEFINANCE(A884,""VOLUME""),)"),94020.0)</f>
        <v>94020</v>
      </c>
      <c r="J884" s="48" t="str">
        <f>IFERROR(__xludf.DUMMYFUNCTION("IFERROR(INDEX(SPLIT(A884,"":""),1,2),)"),"MASTEK")</f>
        <v>MASTEK</v>
      </c>
      <c r="K884" s="48" t="str">
        <f t="shared" si="4"/>
        <v/>
      </c>
      <c r="L884" s="48">
        <f t="shared" si="5"/>
        <v>440</v>
      </c>
      <c r="M884" s="48">
        <f t="shared" si="6"/>
        <v>789</v>
      </c>
      <c r="N884" s="50">
        <f>IFERROR(__xludf.DUMMYFUNCTION("IFERROR(GOOGLEFINANCE(A884,""TRADETIME""),)"),46269.64583333333)</f>
        <v>46269.64583</v>
      </c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</row>
    <row r="885" ht="15.75" customHeight="1">
      <c r="A885" s="51" t="s">
        <v>931</v>
      </c>
      <c r="B885" s="51" t="str">
        <f>IFERROR(__xludf.DUMMYFUNCTION("IFERROR(GOOGLEFINANCE(A885,""NAME""),)"),"MATRIMONY.COM Ltd")</f>
        <v>MATRIMONY.COM Ltd</v>
      </c>
      <c r="C885" s="51">
        <f>IFERROR(__xludf.DUMMYFUNCTION("IFERROR(GOOGLEFINANCE(A885,""CHANGE""),)"),1.0)</f>
        <v>1</v>
      </c>
      <c r="D885" s="51">
        <f>IFERROR(__xludf.DUMMYFUNCTION("IFERROR(GOOGLEFINANCE(A885,""CHANGEPCT""),)"),0.19)</f>
        <v>0.19</v>
      </c>
      <c r="E885" s="51" t="str">
        <f t="shared" si="1"/>
        <v>0.19%</v>
      </c>
      <c r="F885" s="51">
        <f t="shared" si="2"/>
        <v>0.19</v>
      </c>
      <c r="G885" s="51" t="str">
        <f t="shared" si="3"/>
        <v/>
      </c>
      <c r="H885" s="51">
        <f>IFERROR(__xludf.DUMMYFUNCTION("IFERROR(GOOGLEFINANCE(A885,""PRICE""),)"),530.6)</f>
        <v>530.6</v>
      </c>
      <c r="I885" s="52">
        <f>IFERROR(__xludf.DUMMYFUNCTION("IFERROR(GOOGLEFINANCE(A885,""VOLUME""),)"),7124.0)</f>
        <v>7124</v>
      </c>
      <c r="J885" s="51" t="str">
        <f>IFERROR(__xludf.DUMMYFUNCTION("IFERROR(INDEX(SPLIT(A885,"":""),1,2),)"),"MATRIMONY")</f>
        <v>MATRIMONY</v>
      </c>
      <c r="K885" s="51">
        <f t="shared" si="4"/>
        <v>701</v>
      </c>
      <c r="L885" s="51" t="str">
        <f t="shared" si="5"/>
        <v/>
      </c>
      <c r="M885" s="51">
        <f t="shared" si="6"/>
        <v>1287</v>
      </c>
      <c r="N885" s="53">
        <f>IFERROR(__xludf.DUMMYFUNCTION("IFERROR(GOOGLEFINANCE(A885,""TRADETIME""),)"),46269.64583333333)</f>
        <v>46269.64583</v>
      </c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</row>
    <row r="886" ht="15.75" customHeight="1">
      <c r="A886" s="48" t="s">
        <v>932</v>
      </c>
      <c r="B886" s="48" t="str">
        <f>IFERROR(__xludf.DUMMYFUNCTION("IFERROR(GOOGLEFINANCE(A886,""NAME""),)"),"Mawana Sugars Ltd")</f>
        <v>Mawana Sugars Ltd</v>
      </c>
      <c r="C886" s="48">
        <f>IFERROR(__xludf.DUMMYFUNCTION("IFERROR(GOOGLEFINANCE(A886,""CHANGE""),)"),-0.77)</f>
        <v>-0.77</v>
      </c>
      <c r="D886" s="48">
        <f>IFERROR(__xludf.DUMMYFUNCTION("IFERROR(GOOGLEFINANCE(A886,""CHANGEPCT""),)"),-0.53)</f>
        <v>-0.53</v>
      </c>
      <c r="E886" s="48" t="str">
        <f t="shared" si="1"/>
        <v>-0.53%</v>
      </c>
      <c r="F886" s="48" t="str">
        <f t="shared" si="2"/>
        <v/>
      </c>
      <c r="G886" s="48">
        <f t="shared" si="3"/>
        <v>-0.53</v>
      </c>
      <c r="H886" s="48">
        <f>IFERROR(__xludf.DUMMYFUNCTION("IFERROR(GOOGLEFINANCE(A886,""PRICE""),)"),145.5)</f>
        <v>145.5</v>
      </c>
      <c r="I886" s="49">
        <f>IFERROR(__xludf.DUMMYFUNCTION("IFERROR(GOOGLEFINANCE(A886,""VOLUME""),)"),186868.0)</f>
        <v>186868</v>
      </c>
      <c r="J886" s="48" t="str">
        <f>IFERROR(__xludf.DUMMYFUNCTION("IFERROR(INDEX(SPLIT(A886,"":""),1,2),)"),"MAWANASUG")</f>
        <v>MAWANASUG</v>
      </c>
      <c r="K886" s="48" t="str">
        <f t="shared" si="4"/>
        <v/>
      </c>
      <c r="L886" s="48">
        <f t="shared" si="5"/>
        <v>204</v>
      </c>
      <c r="M886" s="48">
        <f t="shared" si="6"/>
        <v>644</v>
      </c>
      <c r="N886" s="50">
        <f>IFERROR(__xludf.DUMMYFUNCTION("IFERROR(GOOGLEFINANCE(A886,""TRADETIME""),)"),46269.64583333333)</f>
        <v>46269.64583</v>
      </c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</row>
    <row r="887" ht="15.75" customHeight="1">
      <c r="A887" s="51" t="s">
        <v>933</v>
      </c>
      <c r="B887" s="51" t="str">
        <f>IFERROR(__xludf.DUMMYFUNCTION("IFERROR(GOOGLEFINANCE(A887,""NAME""),)"),"Max Healthcare Institute Ltd")</f>
        <v>Max Healthcare Institute Ltd</v>
      </c>
      <c r="C887" s="51">
        <f>IFERROR(__xludf.DUMMYFUNCTION("IFERROR(GOOGLEFINANCE(A887,""CHANGE""),)"),-11.1)</f>
        <v>-11.1</v>
      </c>
      <c r="D887" s="51">
        <f>IFERROR(__xludf.DUMMYFUNCTION("IFERROR(GOOGLEFINANCE(A887,""CHANGEPCT""),)"),-1.12)</f>
        <v>-1.12</v>
      </c>
      <c r="E887" s="51" t="str">
        <f t="shared" si="1"/>
        <v>-1.12%</v>
      </c>
      <c r="F887" s="51" t="str">
        <f t="shared" si="2"/>
        <v/>
      </c>
      <c r="G887" s="51">
        <f t="shared" si="3"/>
        <v>-1.12</v>
      </c>
      <c r="H887" s="51">
        <f>IFERROR(__xludf.DUMMYFUNCTION("IFERROR(GOOGLEFINANCE(A887,""PRICE""),)"),983.8)</f>
        <v>983.8</v>
      </c>
      <c r="I887" s="52">
        <f>IFERROR(__xludf.DUMMYFUNCTION("IFERROR(GOOGLEFINANCE(A887,""VOLUME""),)"),1167047.0)</f>
        <v>1167047</v>
      </c>
      <c r="J887" s="51" t="str">
        <f>IFERROR(__xludf.DUMMYFUNCTION("IFERROR(INDEX(SPLIT(A887,"":""),1,2),)"),"MAXHEALTH")</f>
        <v>MAXHEALTH</v>
      </c>
      <c r="K887" s="51" t="str">
        <f t="shared" si="4"/>
        <v/>
      </c>
      <c r="L887" s="51">
        <f t="shared" si="5"/>
        <v>364</v>
      </c>
      <c r="M887" s="51">
        <f t="shared" si="6"/>
        <v>245</v>
      </c>
      <c r="N887" s="53">
        <f>IFERROR(__xludf.DUMMYFUNCTION("IFERROR(GOOGLEFINANCE(A887,""TRADETIME""),)"),46269.64583333333)</f>
        <v>46269.64583</v>
      </c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</row>
    <row r="888" ht="15.75" customHeight="1">
      <c r="A888" s="48" t="s">
        <v>934</v>
      </c>
      <c r="B888" s="48" t="str">
        <f>IFERROR(__xludf.DUMMYFUNCTION("IFERROR(GOOGLEFINANCE(A888,""NAME""),)"),"Max India Ltd")</f>
        <v>Max India Ltd</v>
      </c>
      <c r="C888" s="48">
        <f>IFERROR(__xludf.DUMMYFUNCTION("IFERROR(GOOGLEFINANCE(A888,""CHANGE""),)"),-2.44)</f>
        <v>-2.44</v>
      </c>
      <c r="D888" s="48">
        <f>IFERROR(__xludf.DUMMYFUNCTION("IFERROR(GOOGLEFINANCE(A888,""CHANGEPCT""),)"),-1.6)</f>
        <v>-1.6</v>
      </c>
      <c r="E888" s="48" t="str">
        <f t="shared" si="1"/>
        <v>-1.6%</v>
      </c>
      <c r="F888" s="48" t="str">
        <f t="shared" si="2"/>
        <v/>
      </c>
      <c r="G888" s="48">
        <f t="shared" si="3"/>
        <v>-1.6</v>
      </c>
      <c r="H888" s="48">
        <f>IFERROR(__xludf.DUMMYFUNCTION("IFERROR(GOOGLEFINANCE(A888,""PRICE""),)"),150.45)</f>
        <v>150.45</v>
      </c>
      <c r="I888" s="49">
        <f>IFERROR(__xludf.DUMMYFUNCTION("IFERROR(GOOGLEFINANCE(A888,""VOLUME""),)"),24712.0)</f>
        <v>24712</v>
      </c>
      <c r="J888" s="48" t="str">
        <f>IFERROR(__xludf.DUMMYFUNCTION("IFERROR(INDEX(SPLIT(A888,"":""),1,2),)"),"MAXIND")</f>
        <v>MAXIND</v>
      </c>
      <c r="K888" s="48" t="str">
        <f t="shared" si="4"/>
        <v/>
      </c>
      <c r="L888" s="48">
        <f t="shared" si="5"/>
        <v>469</v>
      </c>
      <c r="M888" s="48">
        <f t="shared" si="6"/>
        <v>1086</v>
      </c>
      <c r="N888" s="50">
        <f>IFERROR(__xludf.DUMMYFUNCTION("IFERROR(GOOGLEFINANCE(A888,""TRADETIME""),)"),46269.64583333333)</f>
        <v>46269.64583</v>
      </c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</row>
    <row r="889" ht="15.75" customHeight="1">
      <c r="A889" s="51" t="s">
        <v>935</v>
      </c>
      <c r="B889" s="51" t="str">
        <f>IFERROR(__xludf.DUMMYFUNCTION("IFERROR(GOOGLEFINANCE(A889,""NAME""),)"),"")</f>
        <v/>
      </c>
      <c r="C889" s="51" t="str">
        <f>IFERROR(__xludf.DUMMYFUNCTION("IFERROR(GOOGLEFINANCE(A889,""CHANGE""),)"),"")</f>
        <v/>
      </c>
      <c r="D889" s="51" t="str">
        <f>IFERROR(__xludf.DUMMYFUNCTION("IFERROR(GOOGLEFINANCE(A889,""CHANGEPCT""),)"),"")</f>
        <v/>
      </c>
      <c r="E889" s="51" t="str">
        <f t="shared" si="1"/>
        <v>%</v>
      </c>
      <c r="F889" s="51" t="str">
        <f t="shared" si="2"/>
        <v/>
      </c>
      <c r="G889" s="51" t="str">
        <f t="shared" si="3"/>
        <v/>
      </c>
      <c r="H889" s="51" t="str">
        <f>IFERROR(__xludf.DUMMYFUNCTION("IFERROR(GOOGLEFINANCE(A889,""PRICE""),)"),"")</f>
        <v/>
      </c>
      <c r="I889" s="52" t="str">
        <f>IFERROR(__xludf.DUMMYFUNCTION("IFERROR(GOOGLEFINANCE(A889,""VOLUME""),)"),"")</f>
        <v/>
      </c>
      <c r="J889" s="51" t="str">
        <f>IFERROR(__xludf.DUMMYFUNCTION("IFERROR(INDEX(SPLIT(A889,"":""),1,2),)"),"MAXVIL")</f>
        <v>MAXVIL</v>
      </c>
      <c r="K889" s="51" t="str">
        <f t="shared" si="4"/>
        <v/>
      </c>
      <c r="L889" s="51" t="str">
        <f t="shared" si="5"/>
        <v/>
      </c>
      <c r="M889" s="51">
        <f t="shared" si="6"/>
        <v>1456</v>
      </c>
      <c r="N889" s="53" t="str">
        <f>IFERROR(__xludf.DUMMYFUNCTION("IFERROR(GOOGLEFINANCE(A889,""TRADETIME""),)"),"")</f>
        <v/>
      </c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</row>
    <row r="890" ht="15.75" customHeight="1">
      <c r="A890" s="48" t="s">
        <v>936</v>
      </c>
      <c r="B890" s="48" t="str">
        <f>IFERROR(__xludf.DUMMYFUNCTION("IFERROR(GOOGLEFINANCE(A890,""NAME""),)"),"Mayur Uniquoters Ltd")</f>
        <v>Mayur Uniquoters Ltd</v>
      </c>
      <c r="C890" s="48">
        <f>IFERROR(__xludf.DUMMYFUNCTION("IFERROR(GOOGLEFINANCE(A890,""CHANGE""),)"),6.55)</f>
        <v>6.55</v>
      </c>
      <c r="D890" s="48">
        <f>IFERROR(__xludf.DUMMYFUNCTION("IFERROR(GOOGLEFINANCE(A890,""CHANGEPCT""),)"),0.9)</f>
        <v>0.9</v>
      </c>
      <c r="E890" s="48" t="str">
        <f t="shared" si="1"/>
        <v>0.9%</v>
      </c>
      <c r="F890" s="48">
        <f t="shared" si="2"/>
        <v>0.9</v>
      </c>
      <c r="G890" s="48" t="str">
        <f t="shared" si="3"/>
        <v/>
      </c>
      <c r="H890" s="48">
        <f>IFERROR(__xludf.DUMMYFUNCTION("IFERROR(GOOGLEFINANCE(A890,""PRICE""),)"),735.35)</f>
        <v>735.35</v>
      </c>
      <c r="I890" s="49">
        <f>IFERROR(__xludf.DUMMYFUNCTION("IFERROR(GOOGLEFINANCE(A890,""VOLUME""),)"),29504.0)</f>
        <v>29504</v>
      </c>
      <c r="J890" s="48" t="str">
        <f>IFERROR(__xludf.DUMMYFUNCTION("IFERROR(INDEX(SPLIT(A890,"":""),1,2),)"),"MAYURUNIQ")</f>
        <v>MAYURUNIQ</v>
      </c>
      <c r="K890" s="48">
        <f t="shared" si="4"/>
        <v>473</v>
      </c>
      <c r="L890" s="48" t="str">
        <f t="shared" si="5"/>
        <v/>
      </c>
      <c r="M890" s="48">
        <f t="shared" si="6"/>
        <v>1057</v>
      </c>
      <c r="N890" s="50">
        <f>IFERROR(__xludf.DUMMYFUNCTION("IFERROR(GOOGLEFINANCE(A890,""TRADETIME""),)"),46269.64583333333)</f>
        <v>46269.64583</v>
      </c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</row>
    <row r="891" ht="15.75" customHeight="1">
      <c r="A891" s="51" t="s">
        <v>937</v>
      </c>
      <c r="B891" s="51" t="str">
        <f>IFERROR(__xludf.DUMMYFUNCTION("IFERROR(GOOGLEFINANCE(A891,""NAME""),)"),"Mazda Ltd")</f>
        <v>Mazda Ltd</v>
      </c>
      <c r="C891" s="51">
        <f>IFERROR(__xludf.DUMMYFUNCTION("IFERROR(GOOGLEFINANCE(A891,""CHANGE""),)"),-5.85)</f>
        <v>-5.85</v>
      </c>
      <c r="D891" s="51">
        <f>IFERROR(__xludf.DUMMYFUNCTION("IFERROR(GOOGLEFINANCE(A891,""CHANGEPCT""),)"),-2.14)</f>
        <v>-2.14</v>
      </c>
      <c r="E891" s="51" t="str">
        <f t="shared" si="1"/>
        <v>-2.14%</v>
      </c>
      <c r="F891" s="51" t="str">
        <f t="shared" si="2"/>
        <v/>
      </c>
      <c r="G891" s="51">
        <f t="shared" si="3"/>
        <v>-2.14</v>
      </c>
      <c r="H891" s="51">
        <f>IFERROR(__xludf.DUMMYFUNCTION("IFERROR(GOOGLEFINANCE(A891,""PRICE""),)"),267.0)</f>
        <v>267</v>
      </c>
      <c r="I891" s="52">
        <f>IFERROR(__xludf.DUMMYFUNCTION("IFERROR(GOOGLEFINANCE(A891,""VOLUME""),)"),28256.0)</f>
        <v>28256</v>
      </c>
      <c r="J891" s="51" t="str">
        <f>IFERROR(__xludf.DUMMYFUNCTION("IFERROR(INDEX(SPLIT(A891,"":""),1,2),)"),"MAZDA")</f>
        <v>MAZDA</v>
      </c>
      <c r="K891" s="51" t="str">
        <f t="shared" si="4"/>
        <v/>
      </c>
      <c r="L891" s="51">
        <f t="shared" si="5"/>
        <v>544</v>
      </c>
      <c r="M891" s="51">
        <f t="shared" si="6"/>
        <v>1065</v>
      </c>
      <c r="N891" s="53">
        <f>IFERROR(__xludf.DUMMYFUNCTION("IFERROR(GOOGLEFINANCE(A891,""TRADETIME""),)"),46269.64583333333)</f>
        <v>46269.64583</v>
      </c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</row>
    <row r="892" ht="15.75" customHeight="1">
      <c r="A892" s="48" t="s">
        <v>938</v>
      </c>
      <c r="B892" s="48" t="str">
        <f>IFERROR(__xludf.DUMMYFUNCTION("IFERROR(GOOGLEFINANCE(A892,""NAME""),)"),"Mazagon Dock Shipbuilders Ltd")</f>
        <v>Mazagon Dock Shipbuilders Ltd</v>
      </c>
      <c r="C892" s="48">
        <f>IFERROR(__xludf.DUMMYFUNCTION("IFERROR(GOOGLEFINANCE(A892,""CHANGE""),)"),10.0)</f>
        <v>10</v>
      </c>
      <c r="D892" s="48">
        <f>IFERROR(__xludf.DUMMYFUNCTION("IFERROR(GOOGLEFINANCE(A892,""CHANGEPCT""),)"),0.4)</f>
        <v>0.4</v>
      </c>
      <c r="E892" s="48" t="str">
        <f t="shared" si="1"/>
        <v>0.4%</v>
      </c>
      <c r="F892" s="48">
        <f t="shared" si="2"/>
        <v>0.4</v>
      </c>
      <c r="G892" s="48" t="str">
        <f t="shared" si="3"/>
        <v/>
      </c>
      <c r="H892" s="48">
        <f>IFERROR(__xludf.DUMMYFUNCTION("IFERROR(GOOGLEFINANCE(A892,""PRICE""),)"),2484.0)</f>
        <v>2484</v>
      </c>
      <c r="I892" s="49">
        <f>IFERROR(__xludf.DUMMYFUNCTION("IFERROR(GOOGLEFINANCE(A892,""VOLUME""),)"),735425.0)</f>
        <v>735425</v>
      </c>
      <c r="J892" s="48" t="str">
        <f>IFERROR(__xludf.DUMMYFUNCTION("IFERROR(INDEX(SPLIT(A892,"":""),1,2),)"),"MAZDOCK")</f>
        <v>MAZDOCK</v>
      </c>
      <c r="K892" s="48">
        <f t="shared" si="4"/>
        <v>620</v>
      </c>
      <c r="L892" s="48" t="str">
        <f t="shared" si="5"/>
        <v/>
      </c>
      <c r="M892" s="48">
        <f t="shared" si="6"/>
        <v>321</v>
      </c>
      <c r="N892" s="50">
        <f>IFERROR(__xludf.DUMMYFUNCTION("IFERROR(GOOGLEFINANCE(A892,""TRADETIME""),)"),46269.64583333333)</f>
        <v>46269.64583</v>
      </c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</row>
    <row r="893" ht="15.75" customHeight="1">
      <c r="A893" s="51" t="s">
        <v>939</v>
      </c>
      <c r="B893" s="51" t="str">
        <f>IFERROR(__xludf.DUMMYFUNCTION("IFERROR(GOOGLEFINANCE(A893,""NAME""),)"),"Madhya Bharat Agro products Ltd")</f>
        <v>Madhya Bharat Agro products Ltd</v>
      </c>
      <c r="C893" s="51">
        <f>IFERROR(__xludf.DUMMYFUNCTION("IFERROR(GOOGLEFINANCE(A893,""CHANGE""),)"),4.87)</f>
        <v>4.87</v>
      </c>
      <c r="D893" s="51">
        <f>IFERROR(__xludf.DUMMYFUNCTION("IFERROR(GOOGLEFINANCE(A893,""CHANGEPCT""),)"),3.0)</f>
        <v>3</v>
      </c>
      <c r="E893" s="51" t="str">
        <f t="shared" si="1"/>
        <v>3%</v>
      </c>
      <c r="F893" s="51">
        <f t="shared" si="2"/>
        <v>3</v>
      </c>
      <c r="G893" s="51" t="str">
        <f t="shared" si="3"/>
        <v/>
      </c>
      <c r="H893" s="51">
        <f>IFERROR(__xludf.DUMMYFUNCTION("IFERROR(GOOGLEFINANCE(A893,""PRICE""),)"),166.95)</f>
        <v>166.95</v>
      </c>
      <c r="I893" s="52">
        <f>IFERROR(__xludf.DUMMYFUNCTION("IFERROR(GOOGLEFINANCE(A893,""VOLUME""),)"),983522.0)</f>
        <v>983522</v>
      </c>
      <c r="J893" s="51" t="str">
        <f>IFERROR(__xludf.DUMMYFUNCTION("IFERROR(INDEX(SPLIT(A893,"":""),1,2),)"),"MBAPL")</f>
        <v>MBAPL</v>
      </c>
      <c r="K893" s="51">
        <f t="shared" si="4"/>
        <v>162</v>
      </c>
      <c r="L893" s="51" t="str">
        <f t="shared" si="5"/>
        <v/>
      </c>
      <c r="M893" s="51">
        <f t="shared" si="6"/>
        <v>279</v>
      </c>
      <c r="N893" s="53">
        <f>IFERROR(__xludf.DUMMYFUNCTION("IFERROR(GOOGLEFINANCE(A893,""TRADETIME""),)"),46269.64584490741)</f>
        <v>46269.64584</v>
      </c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</row>
    <row r="894" ht="15.75" customHeight="1">
      <c r="A894" s="48" t="s">
        <v>940</v>
      </c>
      <c r="B894" s="48" t="str">
        <f>IFERROR(__xludf.DUMMYFUNCTION("IFERROR(GOOGLEFINANCE(A894,""NAME""),)"),"McNally Bharat Engg Co Ltd")</f>
        <v>McNally Bharat Engg Co Ltd</v>
      </c>
      <c r="C894" s="48">
        <f>IFERROR(__xludf.DUMMYFUNCTION("IFERROR(GOOGLEFINANCE(A894,""CHANGE""),)"),12.32)</f>
        <v>12.32</v>
      </c>
      <c r="D894" s="48">
        <f>IFERROR(__xludf.DUMMYFUNCTION("IFERROR(GOOGLEFINANCE(A894,""CHANGEPCT""),)"),5.0)</f>
        <v>5</v>
      </c>
      <c r="E894" s="48" t="str">
        <f t="shared" si="1"/>
        <v>5%</v>
      </c>
      <c r="F894" s="48">
        <f t="shared" si="2"/>
        <v>5</v>
      </c>
      <c r="G894" s="48" t="str">
        <f t="shared" si="3"/>
        <v/>
      </c>
      <c r="H894" s="48">
        <f>IFERROR(__xludf.DUMMYFUNCTION("IFERROR(GOOGLEFINANCE(A894,""PRICE""),)"),258.89)</f>
        <v>258.89</v>
      </c>
      <c r="I894" s="49">
        <f>IFERROR(__xludf.DUMMYFUNCTION("IFERROR(GOOGLEFINANCE(A894,""VOLUME""),)"),2944.0)</f>
        <v>2944</v>
      </c>
      <c r="J894" s="48" t="str">
        <f>IFERROR(__xludf.DUMMYFUNCTION("IFERROR(INDEX(SPLIT(A894,"":""),1,2),)"),"MBECL")</f>
        <v>MBECL</v>
      </c>
      <c r="K894" s="48">
        <f t="shared" si="4"/>
        <v>60</v>
      </c>
      <c r="L894" s="48" t="str">
        <f t="shared" si="5"/>
        <v/>
      </c>
      <c r="M894" s="48">
        <f t="shared" si="6"/>
        <v>1367</v>
      </c>
      <c r="N894" s="50">
        <f>IFERROR(__xludf.DUMMYFUNCTION("IFERROR(GOOGLEFINANCE(A894,""TRADETIME""),)"),46269.64583333333)</f>
        <v>46269.64583</v>
      </c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</row>
    <row r="895" ht="15.75" customHeight="1">
      <c r="A895" s="51" t="s">
        <v>941</v>
      </c>
      <c r="B895" s="51" t="str">
        <f>IFERROR(__xludf.DUMMYFUNCTION("IFERROR(GOOGLEFINANCE(A895,""NAME""),)"),"MBL Infrastructure Ltd")</f>
        <v>MBL Infrastructure Ltd</v>
      </c>
      <c r="C895" s="51">
        <f>IFERROR(__xludf.DUMMYFUNCTION("IFERROR(GOOGLEFINANCE(A895,""CHANGE""),)"),-0.18)</f>
        <v>-0.18</v>
      </c>
      <c r="D895" s="51">
        <f>IFERROR(__xludf.DUMMYFUNCTION("IFERROR(GOOGLEFINANCE(A895,""CHANGEPCT""),)"),-0.74)</f>
        <v>-0.74</v>
      </c>
      <c r="E895" s="51" t="str">
        <f t="shared" si="1"/>
        <v>-0.74%</v>
      </c>
      <c r="F895" s="51" t="str">
        <f t="shared" si="2"/>
        <v/>
      </c>
      <c r="G895" s="51">
        <f t="shared" si="3"/>
        <v>-0.74</v>
      </c>
      <c r="H895" s="51">
        <f>IFERROR(__xludf.DUMMYFUNCTION("IFERROR(GOOGLEFINANCE(A895,""PRICE""),)"),24.26)</f>
        <v>24.26</v>
      </c>
      <c r="I895" s="52">
        <f>IFERROR(__xludf.DUMMYFUNCTION("IFERROR(GOOGLEFINANCE(A895,""VOLUME""),)"),25935.0)</f>
        <v>25935</v>
      </c>
      <c r="J895" s="51" t="str">
        <f>IFERROR(__xludf.DUMMYFUNCTION("IFERROR(INDEX(SPLIT(A895,"":""),1,2),)"),"MBLINFRA")</f>
        <v>MBLINFRA</v>
      </c>
      <c r="K895" s="51" t="str">
        <f t="shared" si="4"/>
        <v/>
      </c>
      <c r="L895" s="51">
        <f t="shared" si="5"/>
        <v>281</v>
      </c>
      <c r="M895" s="51">
        <f t="shared" si="6"/>
        <v>1077</v>
      </c>
      <c r="N895" s="53">
        <f>IFERROR(__xludf.DUMMYFUNCTION("IFERROR(GOOGLEFINANCE(A895,""TRADETIME""),)"),46269.64583333333)</f>
        <v>46269.64583</v>
      </c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</row>
    <row r="896" ht="15.75" customHeight="1">
      <c r="A896" s="48" t="s">
        <v>942</v>
      </c>
      <c r="B896" s="48" t="str">
        <f>IFERROR(__xludf.DUMMYFUNCTION("IFERROR(GOOGLEFINANCE(A896,""NAME""),)"),"")</f>
        <v/>
      </c>
      <c r="C896" s="48" t="str">
        <f>IFERROR(__xludf.DUMMYFUNCTION("IFERROR(GOOGLEFINANCE(A896,""CHANGE""),)"),"")</f>
        <v/>
      </c>
      <c r="D896" s="48" t="str">
        <f>IFERROR(__xludf.DUMMYFUNCTION("IFERROR(GOOGLEFINANCE(A896,""CHANGEPCT""),)"),"")</f>
        <v/>
      </c>
      <c r="E896" s="48" t="str">
        <f t="shared" si="1"/>
        <v>%</v>
      </c>
      <c r="F896" s="48" t="str">
        <f t="shared" si="2"/>
        <v/>
      </c>
      <c r="G896" s="48" t="str">
        <f t="shared" si="3"/>
        <v/>
      </c>
      <c r="H896" s="48" t="str">
        <f>IFERROR(__xludf.DUMMYFUNCTION("IFERROR(GOOGLEFINANCE(A896,""PRICE""),)"),"")</f>
        <v/>
      </c>
      <c r="I896" s="49" t="str">
        <f>IFERROR(__xludf.DUMMYFUNCTION("IFERROR(GOOGLEFINANCE(A896,""VOLUME""),)"),"")</f>
        <v/>
      </c>
      <c r="J896" s="48" t="str">
        <f>IFERROR(__xludf.DUMMYFUNCTION("IFERROR(INDEX(SPLIT(A896,"":""),1,2),)"),"MCDOWELL-N")</f>
        <v>MCDOWELL-N</v>
      </c>
      <c r="K896" s="48" t="str">
        <f t="shared" si="4"/>
        <v/>
      </c>
      <c r="L896" s="48" t="str">
        <f t="shared" si="5"/>
        <v/>
      </c>
      <c r="M896" s="48">
        <f t="shared" si="6"/>
        <v>1456</v>
      </c>
      <c r="N896" s="50" t="str">
        <f>IFERROR(__xludf.DUMMYFUNCTION("IFERROR(GOOGLEFINANCE(A896,""TRADETIME""),)"),"")</f>
        <v/>
      </c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</row>
    <row r="897" ht="15.75" customHeight="1">
      <c r="A897" s="51" t="s">
        <v>943</v>
      </c>
      <c r="B897" s="51" t="str">
        <f>IFERROR(__xludf.DUMMYFUNCTION("IFERROR(GOOGLEFINANCE(A897,""NAME""),)"),"M Tek Copper Ltd")</f>
        <v>M Tek Copper Ltd</v>
      </c>
      <c r="C897" s="51">
        <f>IFERROR(__xludf.DUMMYFUNCTION("IFERROR(GOOGLEFINANCE(A897,""CHANGE""),)"),-0.01)</f>
        <v>-0.01</v>
      </c>
      <c r="D897" s="51">
        <f>IFERROR(__xludf.DUMMYFUNCTION("IFERROR(GOOGLEFINANCE(A897,""CHANGEPCT""),)"),-0.02)</f>
        <v>-0.02</v>
      </c>
      <c r="E897" s="51" t="str">
        <f t="shared" si="1"/>
        <v>-0.02%</v>
      </c>
      <c r="F897" s="51" t="str">
        <f t="shared" si="2"/>
        <v/>
      </c>
      <c r="G897" s="51">
        <f t="shared" si="3"/>
        <v>-0.02</v>
      </c>
      <c r="H897" s="51">
        <f>IFERROR(__xludf.DUMMYFUNCTION("IFERROR(GOOGLEFINANCE(A897,""PRICE""),)"),58.49)</f>
        <v>58.49</v>
      </c>
      <c r="I897" s="52">
        <f>IFERROR(__xludf.DUMMYFUNCTION("IFERROR(GOOGLEFINANCE(A897,""VOLUME""),)"),25283.0)</f>
        <v>25283</v>
      </c>
      <c r="J897" s="51" t="str">
        <f>IFERROR(__xludf.DUMMYFUNCTION("IFERROR(INDEX(SPLIT(A897,"":""),1,2),)"),"MCL")</f>
        <v>MCL</v>
      </c>
      <c r="K897" s="51" t="str">
        <f t="shared" si="4"/>
        <v/>
      </c>
      <c r="L897" s="51">
        <f t="shared" si="5"/>
        <v>3</v>
      </c>
      <c r="M897" s="51">
        <f t="shared" si="6"/>
        <v>1080</v>
      </c>
      <c r="N897" s="53">
        <f>IFERROR(__xludf.DUMMYFUNCTION("IFERROR(GOOGLEFINANCE(A897,""TRADETIME""),)"),46269.64583333333)</f>
        <v>46269.64583</v>
      </c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</row>
    <row r="898" ht="15.75" customHeight="1">
      <c r="A898" s="48" t="s">
        <v>944</v>
      </c>
      <c r="B898" s="48" t="str">
        <f>IFERROR(__xludf.DUMMYFUNCTION("IFERROR(GOOGLEFINANCE(A898,""NAME""),)"),"McLeod Russel India Ltd")</f>
        <v>McLeod Russel India Ltd</v>
      </c>
      <c r="C898" s="48">
        <f>IFERROR(__xludf.DUMMYFUNCTION("IFERROR(GOOGLEFINANCE(A898,""CHANGE""),)"),-0.36)</f>
        <v>-0.36</v>
      </c>
      <c r="D898" s="48">
        <f>IFERROR(__xludf.DUMMYFUNCTION("IFERROR(GOOGLEFINANCE(A898,""CHANGEPCT""),)"),-0.77)</f>
        <v>-0.77</v>
      </c>
      <c r="E898" s="48" t="str">
        <f t="shared" si="1"/>
        <v>-0.77%</v>
      </c>
      <c r="F898" s="48" t="str">
        <f t="shared" si="2"/>
        <v/>
      </c>
      <c r="G898" s="48">
        <f t="shared" si="3"/>
        <v>-0.77</v>
      </c>
      <c r="H898" s="48">
        <f>IFERROR(__xludf.DUMMYFUNCTION("IFERROR(GOOGLEFINANCE(A898,""PRICE""),)"),46.25)</f>
        <v>46.25</v>
      </c>
      <c r="I898" s="49">
        <f>IFERROR(__xludf.DUMMYFUNCTION("IFERROR(GOOGLEFINANCE(A898,""VOLUME""),)"),185910.0)</f>
        <v>185910</v>
      </c>
      <c r="J898" s="48" t="str">
        <f>IFERROR(__xludf.DUMMYFUNCTION("IFERROR(INDEX(SPLIT(A898,"":""),1,2),)"),"MCLEODRUSS")</f>
        <v>MCLEODRUSS</v>
      </c>
      <c r="K898" s="48" t="str">
        <f t="shared" si="4"/>
        <v/>
      </c>
      <c r="L898" s="48">
        <f t="shared" si="5"/>
        <v>294</v>
      </c>
      <c r="M898" s="48">
        <f t="shared" si="6"/>
        <v>646</v>
      </c>
      <c r="N898" s="50">
        <f>IFERROR(__xludf.DUMMYFUNCTION("IFERROR(GOOGLEFINANCE(A898,""TRADETIME""),)"),46269.64583333333)</f>
        <v>46269.64583</v>
      </c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</row>
    <row r="899" ht="15.75" customHeight="1">
      <c r="A899" s="51" t="s">
        <v>945</v>
      </c>
      <c r="B899" s="51" t="str">
        <f>IFERROR(__xludf.DUMMYFUNCTION("IFERROR(GOOGLEFINANCE(A899,""NAME""),)"),"Multi Commodity Exchange Of India Ltd")</f>
        <v>Multi Commodity Exchange Of India Ltd</v>
      </c>
      <c r="C899" s="51">
        <f>IFERROR(__xludf.DUMMYFUNCTION("IFERROR(GOOGLEFINANCE(A899,""CHANGE""),)"),114.8)</f>
        <v>114.8</v>
      </c>
      <c r="D899" s="51">
        <f>IFERROR(__xludf.DUMMYFUNCTION("IFERROR(GOOGLEFINANCE(A899,""CHANGEPCT""),)"),3.62)</f>
        <v>3.62</v>
      </c>
      <c r="E899" s="51" t="str">
        <f t="shared" si="1"/>
        <v>3.62%</v>
      </c>
      <c r="F899" s="51">
        <f t="shared" si="2"/>
        <v>3.62</v>
      </c>
      <c r="G899" s="51" t="str">
        <f t="shared" si="3"/>
        <v/>
      </c>
      <c r="H899" s="51">
        <f>IFERROR(__xludf.DUMMYFUNCTION("IFERROR(GOOGLEFINANCE(A899,""PRICE""),)"),3285.0)</f>
        <v>3285</v>
      </c>
      <c r="I899" s="52">
        <f>IFERROR(__xludf.DUMMYFUNCTION("IFERROR(GOOGLEFINANCE(A899,""VOLUME""),)"),2485731.0)</f>
        <v>2485731</v>
      </c>
      <c r="J899" s="51" t="str">
        <f>IFERROR(__xludf.DUMMYFUNCTION("IFERROR(INDEX(SPLIT(A899,"":""),1,2),)"),"MCX")</f>
        <v>MCX</v>
      </c>
      <c r="K899" s="51">
        <f t="shared" si="4"/>
        <v>132</v>
      </c>
      <c r="L899" s="51" t="str">
        <f t="shared" si="5"/>
        <v/>
      </c>
      <c r="M899" s="51">
        <f t="shared" si="6"/>
        <v>148</v>
      </c>
      <c r="N899" s="53">
        <f>IFERROR(__xludf.DUMMYFUNCTION("IFERROR(GOOGLEFINANCE(A899,""TRADETIME""),)"),46269.64583333333)</f>
        <v>46269.64583</v>
      </c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</row>
    <row r="900" ht="15.75" customHeight="1">
      <c r="A900" s="48" t="s">
        <v>946</v>
      </c>
      <c r="B900" s="48" t="str">
        <f>IFERROR(__xludf.DUMMYFUNCTION("IFERROR(GOOGLEFINANCE(A900,""NAME""),)"),"")</f>
        <v/>
      </c>
      <c r="C900" s="48" t="str">
        <f>IFERROR(__xludf.DUMMYFUNCTION("IFERROR(GOOGLEFINANCE(A900,""CHANGE""),)"),"")</f>
        <v/>
      </c>
      <c r="D900" s="48" t="str">
        <f>IFERROR(__xludf.DUMMYFUNCTION("IFERROR(GOOGLEFINANCE(A900,""CHANGEPCT""),)"),"")</f>
        <v/>
      </c>
      <c r="E900" s="48" t="str">
        <f t="shared" si="1"/>
        <v>%</v>
      </c>
      <c r="F900" s="48" t="str">
        <f t="shared" si="2"/>
        <v/>
      </c>
      <c r="G900" s="48" t="str">
        <f t="shared" si="3"/>
        <v/>
      </c>
      <c r="H900" s="48" t="str">
        <f>IFERROR(__xludf.DUMMYFUNCTION("IFERROR(GOOGLEFINANCE(A900,""PRICE""),)"),"")</f>
        <v/>
      </c>
      <c r="I900" s="49" t="str">
        <f>IFERROR(__xludf.DUMMYFUNCTION("IFERROR(GOOGLEFINANCE(A900,""VOLUME""),)"),"")</f>
        <v/>
      </c>
      <c r="J900" s="48" t="str">
        <f>IFERROR(__xludf.DUMMYFUNCTION("IFERROR(INDEX(SPLIT(A900,"":""),1,2),)"),"MEGASOFT")</f>
        <v>MEGASOFT</v>
      </c>
      <c r="K900" s="48" t="str">
        <f t="shared" si="4"/>
        <v/>
      </c>
      <c r="L900" s="48" t="str">
        <f t="shared" si="5"/>
        <v/>
      </c>
      <c r="M900" s="48">
        <f t="shared" si="6"/>
        <v>1456</v>
      </c>
      <c r="N900" s="50" t="str">
        <f>IFERROR(__xludf.DUMMYFUNCTION("IFERROR(GOOGLEFINANCE(A900,""TRADETIME""),)"),"")</f>
        <v/>
      </c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</row>
    <row r="901" ht="15.75" customHeight="1">
      <c r="A901" s="51" t="s">
        <v>947</v>
      </c>
      <c r="B901" s="51" t="str">
        <f>IFERROR(__xludf.DUMMYFUNCTION("IFERROR(GOOGLEFINANCE(A901,""NAME""),)"),"")</f>
        <v/>
      </c>
      <c r="C901" s="51" t="str">
        <f>IFERROR(__xludf.DUMMYFUNCTION("IFERROR(GOOGLEFINANCE(A901,""CHANGE""),)"),"")</f>
        <v/>
      </c>
      <c r="D901" s="51" t="str">
        <f>IFERROR(__xludf.DUMMYFUNCTION("IFERROR(GOOGLEFINANCE(A901,""CHANGEPCT""),)"),"")</f>
        <v/>
      </c>
      <c r="E901" s="51" t="str">
        <f t="shared" si="1"/>
        <v>%</v>
      </c>
      <c r="F901" s="51" t="str">
        <f t="shared" si="2"/>
        <v/>
      </c>
      <c r="G901" s="51" t="str">
        <f t="shared" si="3"/>
        <v/>
      </c>
      <c r="H901" s="51" t="str">
        <f>IFERROR(__xludf.DUMMYFUNCTION("IFERROR(GOOGLEFINANCE(A901,""PRICE""),)"),"")</f>
        <v/>
      </c>
      <c r="I901" s="52" t="str">
        <f>IFERROR(__xludf.DUMMYFUNCTION("IFERROR(GOOGLEFINANCE(A901,""VOLUME""),)"),"")</f>
        <v/>
      </c>
      <c r="J901" s="51" t="str">
        <f>IFERROR(__xludf.DUMMYFUNCTION("IFERROR(INDEX(SPLIT(A901,"":""),1,2),)"),"MELSTAR")</f>
        <v>MELSTAR</v>
      </c>
      <c r="K901" s="51" t="str">
        <f t="shared" si="4"/>
        <v/>
      </c>
      <c r="L901" s="51" t="str">
        <f t="shared" si="5"/>
        <v/>
      </c>
      <c r="M901" s="51">
        <f t="shared" si="6"/>
        <v>1456</v>
      </c>
      <c r="N901" s="53" t="str">
        <f>IFERROR(__xludf.DUMMYFUNCTION("IFERROR(GOOGLEFINANCE(A901,""TRADETIME""),)"),"")</f>
        <v/>
      </c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</row>
    <row r="902" ht="15.75" customHeight="1">
      <c r="A902" s="48" t="s">
        <v>948</v>
      </c>
      <c r="B902" s="48" t="str">
        <f>IFERROR(__xludf.DUMMYFUNCTION("IFERROR(GOOGLEFINANCE(A902,""NAME""),)"),"Menon Bearings Ltd")</f>
        <v>Menon Bearings Ltd</v>
      </c>
      <c r="C902" s="48">
        <f>IFERROR(__xludf.DUMMYFUNCTION("IFERROR(GOOGLEFINANCE(A902,""CHANGE""),)"),11.45)</f>
        <v>11.45</v>
      </c>
      <c r="D902" s="48">
        <f>IFERROR(__xludf.DUMMYFUNCTION("IFERROR(GOOGLEFINANCE(A902,""CHANGEPCT""),)"),3.71)</f>
        <v>3.71</v>
      </c>
      <c r="E902" s="48" t="str">
        <f t="shared" si="1"/>
        <v>3.71%</v>
      </c>
      <c r="F902" s="48">
        <f t="shared" si="2"/>
        <v>3.71</v>
      </c>
      <c r="G902" s="48" t="str">
        <f t="shared" si="3"/>
        <v/>
      </c>
      <c r="H902" s="48">
        <f>IFERROR(__xludf.DUMMYFUNCTION("IFERROR(GOOGLEFINANCE(A902,""PRICE""),)"),320.0)</f>
        <v>320</v>
      </c>
      <c r="I902" s="49">
        <f>IFERROR(__xludf.DUMMYFUNCTION("IFERROR(GOOGLEFINANCE(A902,""VOLUME""),)"),202288.0)</f>
        <v>202288</v>
      </c>
      <c r="J902" s="48" t="str">
        <f>IFERROR(__xludf.DUMMYFUNCTION("IFERROR(INDEX(SPLIT(A902,"":""),1,2),)"),"MENONBE")</f>
        <v>MENONBE</v>
      </c>
      <c r="K902" s="48">
        <f t="shared" si="4"/>
        <v>127</v>
      </c>
      <c r="L902" s="48" t="str">
        <f t="shared" si="5"/>
        <v/>
      </c>
      <c r="M902" s="48">
        <f t="shared" si="6"/>
        <v>624</v>
      </c>
      <c r="N902" s="50">
        <f>IFERROR(__xludf.DUMMYFUNCTION("IFERROR(GOOGLEFINANCE(A902,""TRADETIME""),)"),46269.64585648148)</f>
        <v>46269.64586</v>
      </c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</row>
    <row r="903" ht="15.75" customHeight="1">
      <c r="A903" s="51" t="s">
        <v>949</v>
      </c>
      <c r="B903" s="51" t="str">
        <f>IFERROR(__xludf.DUMMYFUNCTION("IFERROR(GOOGLEFINANCE(A903,""NAME""),)"),"MEP Infrastructure Developers Ltd")</f>
        <v>MEP Infrastructure Developers Ltd</v>
      </c>
      <c r="C903" s="51">
        <f>IFERROR(__xludf.DUMMYFUNCTION("IFERROR(GOOGLEFINANCE(A903,""CHANGE""),)"),-0.01)</f>
        <v>-0.01</v>
      </c>
      <c r="D903" s="51">
        <f>IFERROR(__xludf.DUMMYFUNCTION("IFERROR(GOOGLEFINANCE(A903,""CHANGEPCT""),)"),-1.39)</f>
        <v>-1.39</v>
      </c>
      <c r="E903" s="51" t="str">
        <f t="shared" si="1"/>
        <v>-1.39%</v>
      </c>
      <c r="F903" s="51" t="str">
        <f t="shared" si="2"/>
        <v/>
      </c>
      <c r="G903" s="51">
        <f t="shared" si="3"/>
        <v>-1.39</v>
      </c>
      <c r="H903" s="51">
        <f>IFERROR(__xludf.DUMMYFUNCTION("IFERROR(GOOGLEFINANCE(A903,""PRICE""),)"),0.71)</f>
        <v>0.71</v>
      </c>
      <c r="I903" s="52">
        <f>IFERROR(__xludf.DUMMYFUNCTION("IFERROR(GOOGLEFINANCE(A903,""VOLUME""),)"),13408.0)</f>
        <v>13408</v>
      </c>
      <c r="J903" s="51" t="str">
        <f>IFERROR(__xludf.DUMMYFUNCTION("IFERROR(INDEX(SPLIT(A903,"":""),1,2),)"),"MEP")</f>
        <v>MEP</v>
      </c>
      <c r="K903" s="51" t="str">
        <f t="shared" si="4"/>
        <v/>
      </c>
      <c r="L903" s="51">
        <f t="shared" si="5"/>
        <v>425</v>
      </c>
      <c r="M903" s="51">
        <f t="shared" si="6"/>
        <v>1193</v>
      </c>
      <c r="N903" s="53">
        <f>IFERROR(__xludf.DUMMYFUNCTION("IFERROR(GOOGLEFINANCE(A903,""TRADETIME""),)"),46269.64583333333)</f>
        <v>46269.64583</v>
      </c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</row>
    <row r="904" ht="15.75" customHeight="1">
      <c r="A904" s="48" t="s">
        <v>950</v>
      </c>
      <c r="B904" s="48" t="str">
        <f>IFERROR(__xludf.DUMMYFUNCTION("IFERROR(GOOGLEFINANCE(A904,""NAME""),)"),"")</f>
        <v/>
      </c>
      <c r="C904" s="48" t="str">
        <f>IFERROR(__xludf.DUMMYFUNCTION("IFERROR(GOOGLEFINANCE(A904,""CHANGE""),)"),"")</f>
        <v/>
      </c>
      <c r="D904" s="48" t="str">
        <f>IFERROR(__xludf.DUMMYFUNCTION("IFERROR(GOOGLEFINANCE(A904,""CHANGEPCT""),)"),"")</f>
        <v/>
      </c>
      <c r="E904" s="48" t="str">
        <f t="shared" si="1"/>
        <v>%</v>
      </c>
      <c r="F904" s="48" t="str">
        <f t="shared" si="2"/>
        <v/>
      </c>
      <c r="G904" s="48" t="str">
        <f t="shared" si="3"/>
        <v/>
      </c>
      <c r="H904" s="48" t="str">
        <f>IFERROR(__xludf.DUMMYFUNCTION("IFERROR(GOOGLEFINANCE(A904,""PRICE""),)"),"")</f>
        <v/>
      </c>
      <c r="I904" s="49" t="str">
        <f>IFERROR(__xludf.DUMMYFUNCTION("IFERROR(GOOGLEFINANCE(A904,""VOLUME""),)"),"")</f>
        <v/>
      </c>
      <c r="J904" s="48" t="str">
        <f>IFERROR(__xludf.DUMMYFUNCTION("IFERROR(INDEX(SPLIT(A904,"":""),1,2),)"),"MERCATOR")</f>
        <v>MERCATOR</v>
      </c>
      <c r="K904" s="48" t="str">
        <f t="shared" si="4"/>
        <v/>
      </c>
      <c r="L904" s="48" t="str">
        <f t="shared" si="5"/>
        <v/>
      </c>
      <c r="M904" s="48">
        <f t="shared" si="6"/>
        <v>1456</v>
      </c>
      <c r="N904" s="50" t="str">
        <f>IFERROR(__xludf.DUMMYFUNCTION("IFERROR(GOOGLEFINANCE(A904,""TRADETIME""),)"),"")</f>
        <v/>
      </c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</row>
    <row r="905" ht="15.75" customHeight="1">
      <c r="A905" s="51" t="s">
        <v>951</v>
      </c>
      <c r="B905" s="51" t="str">
        <f>IFERROR(__xludf.DUMMYFUNCTION("IFERROR(GOOGLEFINANCE(A905,""NAME""),)"),"")</f>
        <v/>
      </c>
      <c r="C905" s="51" t="str">
        <f>IFERROR(__xludf.DUMMYFUNCTION("IFERROR(GOOGLEFINANCE(A905,""CHANGE""),)"),"")</f>
        <v/>
      </c>
      <c r="D905" s="51" t="str">
        <f>IFERROR(__xludf.DUMMYFUNCTION("IFERROR(GOOGLEFINANCE(A905,""CHANGEPCT""),)"),"")</f>
        <v/>
      </c>
      <c r="E905" s="51" t="str">
        <f t="shared" si="1"/>
        <v>%</v>
      </c>
      <c r="F905" s="51" t="str">
        <f t="shared" si="2"/>
        <v/>
      </c>
      <c r="G905" s="51" t="str">
        <f t="shared" si="3"/>
        <v/>
      </c>
      <c r="H905" s="51" t="str">
        <f>IFERROR(__xludf.DUMMYFUNCTION("IFERROR(GOOGLEFINANCE(A905,""PRICE""),)"),"")</f>
        <v/>
      </c>
      <c r="I905" s="52" t="str">
        <f>IFERROR(__xludf.DUMMYFUNCTION("IFERROR(GOOGLEFINANCE(A905,""VOLUME""),)"),"")</f>
        <v/>
      </c>
      <c r="J905" s="51" t="str">
        <f>IFERROR(__xludf.DUMMYFUNCTION("IFERROR(INDEX(SPLIT(A905,"":""),1,2),)"),"METALFORGE")</f>
        <v>METALFORGE</v>
      </c>
      <c r="K905" s="51" t="str">
        <f t="shared" si="4"/>
        <v/>
      </c>
      <c r="L905" s="51" t="str">
        <f t="shared" si="5"/>
        <v/>
      </c>
      <c r="M905" s="51">
        <f t="shared" si="6"/>
        <v>1456</v>
      </c>
      <c r="N905" s="53" t="str">
        <f>IFERROR(__xludf.DUMMYFUNCTION("IFERROR(GOOGLEFINANCE(A905,""TRADETIME""),)"),"")</f>
        <v/>
      </c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</row>
    <row r="906" ht="15.75" customHeight="1">
      <c r="A906" s="48" t="s">
        <v>952</v>
      </c>
      <c r="B906" s="48" t="str">
        <f>IFERROR(__xludf.DUMMYFUNCTION("IFERROR(GOOGLEFINANCE(A906,""NAME""),)"),"Metropolis Healthcare Ltd")</f>
        <v>Metropolis Healthcare Ltd</v>
      </c>
      <c r="C906" s="48">
        <f>IFERROR(__xludf.DUMMYFUNCTION("IFERROR(GOOGLEFINANCE(A906,""CHANGE""),)"),-1.4)</f>
        <v>-1.4</v>
      </c>
      <c r="D906" s="48">
        <f>IFERROR(__xludf.DUMMYFUNCTION("IFERROR(GOOGLEFINANCE(A906,""CHANGEPCT""),)"),-0.24)</f>
        <v>-0.24</v>
      </c>
      <c r="E906" s="48" t="str">
        <f t="shared" si="1"/>
        <v>-0.24%</v>
      </c>
      <c r="F906" s="48" t="str">
        <f t="shared" si="2"/>
        <v/>
      </c>
      <c r="G906" s="48">
        <f t="shared" si="3"/>
        <v>-0.24</v>
      </c>
      <c r="H906" s="48">
        <f>IFERROR(__xludf.DUMMYFUNCTION("IFERROR(GOOGLEFINANCE(A906,""PRICE""),)"),590.5)</f>
        <v>590.5</v>
      </c>
      <c r="I906" s="49">
        <f>IFERROR(__xludf.DUMMYFUNCTION("IFERROR(GOOGLEFINANCE(A906,""VOLUME""),)"),239323.0)</f>
        <v>239323</v>
      </c>
      <c r="J906" s="48" t="str">
        <f>IFERROR(__xludf.DUMMYFUNCTION("IFERROR(INDEX(SPLIT(A906,"":""),1,2),)"),"METROPOLIS")</f>
        <v>METROPOLIS</v>
      </c>
      <c r="K906" s="48" t="str">
        <f t="shared" si="4"/>
        <v/>
      </c>
      <c r="L906" s="48">
        <f t="shared" si="5"/>
        <v>89</v>
      </c>
      <c r="M906" s="48">
        <f t="shared" si="6"/>
        <v>579</v>
      </c>
      <c r="N906" s="50">
        <f>IFERROR(__xludf.DUMMYFUNCTION("IFERROR(GOOGLEFINANCE(A906,""TRADETIME""),)"),46269.64583333333)</f>
        <v>46269.64583</v>
      </c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</row>
    <row r="907" ht="15.75" customHeight="1">
      <c r="A907" s="51" t="s">
        <v>953</v>
      </c>
      <c r="B907" s="51" t="str">
        <f>IFERROR(__xludf.DUMMYFUNCTION("IFERROR(GOOGLEFINANCE(A907,""NAME""),)"),"Max Financial Services Ltd")</f>
        <v>Max Financial Services Ltd</v>
      </c>
      <c r="C907" s="51">
        <f>IFERROR(__xludf.DUMMYFUNCTION("IFERROR(GOOGLEFINANCE(A907,""CHANGE""),)"),9.3)</f>
        <v>9.3</v>
      </c>
      <c r="D907" s="51">
        <f>IFERROR(__xludf.DUMMYFUNCTION("IFERROR(GOOGLEFINANCE(A907,""CHANGEPCT""),)"),0.61)</f>
        <v>0.61</v>
      </c>
      <c r="E907" s="51" t="str">
        <f t="shared" si="1"/>
        <v>0.61%</v>
      </c>
      <c r="F907" s="51">
        <f t="shared" si="2"/>
        <v>0.61</v>
      </c>
      <c r="G907" s="51" t="str">
        <f t="shared" si="3"/>
        <v/>
      </c>
      <c r="H907" s="51">
        <f>IFERROR(__xludf.DUMMYFUNCTION("IFERROR(GOOGLEFINANCE(A907,""PRICE""),)"),1546.3)</f>
        <v>1546.3</v>
      </c>
      <c r="I907" s="52">
        <f>IFERROR(__xludf.DUMMYFUNCTION("IFERROR(GOOGLEFINANCE(A907,""VOLUME""),)"),543214.0)</f>
        <v>543214</v>
      </c>
      <c r="J907" s="51" t="str">
        <f>IFERROR(__xludf.DUMMYFUNCTION("IFERROR(INDEX(SPLIT(A907,"":""),1,2),)"),"MFSL")</f>
        <v>MFSL</v>
      </c>
      <c r="K907" s="51">
        <f t="shared" si="4"/>
        <v>556</v>
      </c>
      <c r="L907" s="51" t="str">
        <f t="shared" si="5"/>
        <v/>
      </c>
      <c r="M907" s="51">
        <f t="shared" si="6"/>
        <v>377</v>
      </c>
      <c r="N907" s="53">
        <f>IFERROR(__xludf.DUMMYFUNCTION("IFERROR(GOOGLEFINANCE(A907,""TRADETIME""),)"),46269.64583333333)</f>
        <v>46269.64583</v>
      </c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</row>
    <row r="908" ht="15.75" customHeight="1">
      <c r="A908" s="48" t="s">
        <v>954</v>
      </c>
      <c r="B908" s="48" t="str">
        <f>IFERROR(__xludf.DUMMYFUNCTION("IFERROR(GOOGLEFINANCE(A908,""NAME""),)"),"Mangalam Global Enterprise Ltd")</f>
        <v>Mangalam Global Enterprise Ltd</v>
      </c>
      <c r="C908" s="48">
        <f>IFERROR(__xludf.DUMMYFUNCTION("IFERROR(GOOGLEFINANCE(A908,""CHANGE""),)"),0.09)</f>
        <v>0.09</v>
      </c>
      <c r="D908" s="48">
        <f>IFERROR(__xludf.DUMMYFUNCTION("IFERROR(GOOGLEFINANCE(A908,""CHANGEPCT""),)"),0.63)</f>
        <v>0.63</v>
      </c>
      <c r="E908" s="48" t="str">
        <f t="shared" si="1"/>
        <v>0.63%</v>
      </c>
      <c r="F908" s="48">
        <f t="shared" si="2"/>
        <v>0.63</v>
      </c>
      <c r="G908" s="48" t="str">
        <f t="shared" si="3"/>
        <v/>
      </c>
      <c r="H908" s="48">
        <f>IFERROR(__xludf.DUMMYFUNCTION("IFERROR(GOOGLEFINANCE(A908,""PRICE""),)"),14.49)</f>
        <v>14.49</v>
      </c>
      <c r="I908" s="49">
        <f>IFERROR(__xludf.DUMMYFUNCTION("IFERROR(GOOGLEFINANCE(A908,""VOLUME""),)"),92187.0)</f>
        <v>92187</v>
      </c>
      <c r="J908" s="48" t="str">
        <f>IFERROR(__xludf.DUMMYFUNCTION("IFERROR(INDEX(SPLIT(A908,"":""),1,2),)"),"MGEL")</f>
        <v>MGEL</v>
      </c>
      <c r="K908" s="48">
        <f t="shared" si="4"/>
        <v>553</v>
      </c>
      <c r="L908" s="48" t="str">
        <f t="shared" si="5"/>
        <v/>
      </c>
      <c r="M908" s="48">
        <f t="shared" si="6"/>
        <v>793</v>
      </c>
      <c r="N908" s="50">
        <f>IFERROR(__xludf.DUMMYFUNCTION("IFERROR(GOOGLEFINANCE(A908,""TRADETIME""),)"),46269.64583333333)</f>
        <v>46269.64583</v>
      </c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</row>
    <row r="909" ht="15.75" customHeight="1">
      <c r="A909" s="51" t="s">
        <v>955</v>
      </c>
      <c r="B909" s="51" t="str">
        <f>IFERROR(__xludf.DUMMYFUNCTION("IFERROR(GOOGLEFINANCE(A909,""NAME""),)"),"Mahanagar Gas Ltd")</f>
        <v>Mahanagar Gas Ltd</v>
      </c>
      <c r="C909" s="51">
        <f>IFERROR(__xludf.DUMMYFUNCTION("IFERROR(GOOGLEFINANCE(A909,""CHANGE""),)"),33.6)</f>
        <v>33.6</v>
      </c>
      <c r="D909" s="51">
        <f>IFERROR(__xludf.DUMMYFUNCTION("IFERROR(GOOGLEFINANCE(A909,""CHANGEPCT""),)"),3.15)</f>
        <v>3.15</v>
      </c>
      <c r="E909" s="51" t="str">
        <f t="shared" si="1"/>
        <v>3.15%</v>
      </c>
      <c r="F909" s="51">
        <f t="shared" si="2"/>
        <v>3.15</v>
      </c>
      <c r="G909" s="51" t="str">
        <f t="shared" si="3"/>
        <v/>
      </c>
      <c r="H909" s="51">
        <f>IFERROR(__xludf.DUMMYFUNCTION("IFERROR(GOOGLEFINANCE(A909,""PRICE""),)"),1100.0)</f>
        <v>1100</v>
      </c>
      <c r="I909" s="52">
        <f>IFERROR(__xludf.DUMMYFUNCTION("IFERROR(GOOGLEFINANCE(A909,""VOLUME""),)"),288338.0)</f>
        <v>288338</v>
      </c>
      <c r="J909" s="51" t="str">
        <f>IFERROR(__xludf.DUMMYFUNCTION("IFERROR(INDEX(SPLIT(A909,"":""),1,2),)"),"MGL")</f>
        <v>MGL</v>
      </c>
      <c r="K909" s="51">
        <f t="shared" si="4"/>
        <v>152</v>
      </c>
      <c r="L909" s="51" t="str">
        <f t="shared" si="5"/>
        <v/>
      </c>
      <c r="M909" s="51">
        <f t="shared" si="6"/>
        <v>531</v>
      </c>
      <c r="N909" s="53">
        <f>IFERROR(__xludf.DUMMYFUNCTION("IFERROR(GOOGLEFINANCE(A909,""TRADETIME""),)"),46269.64583333333)</f>
        <v>46269.64583</v>
      </c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</row>
    <row r="910" ht="15.75" customHeight="1">
      <c r="A910" s="48" t="s">
        <v>956</v>
      </c>
      <c r="B910" s="48" t="str">
        <f>IFERROR(__xludf.DUMMYFUNCTION("IFERROR(GOOGLEFINANCE(A910,""NAME""),)"),"Mahindra Holidays and Resorts India Ltd")</f>
        <v>Mahindra Holidays and Resorts India Ltd</v>
      </c>
      <c r="C910" s="48">
        <f>IFERROR(__xludf.DUMMYFUNCTION("IFERROR(GOOGLEFINANCE(A910,""CHANGE""),)"),-0.36)</f>
        <v>-0.36</v>
      </c>
      <c r="D910" s="48">
        <f>IFERROR(__xludf.DUMMYFUNCTION("IFERROR(GOOGLEFINANCE(A910,""CHANGEPCT""),)"),-0.17)</f>
        <v>-0.17</v>
      </c>
      <c r="E910" s="48" t="str">
        <f t="shared" si="1"/>
        <v>-0.17%</v>
      </c>
      <c r="F910" s="48" t="str">
        <f t="shared" si="2"/>
        <v/>
      </c>
      <c r="G910" s="48">
        <f t="shared" si="3"/>
        <v>-0.17</v>
      </c>
      <c r="H910" s="48">
        <f>IFERROR(__xludf.DUMMYFUNCTION("IFERROR(GOOGLEFINANCE(A910,""PRICE""),)"),207.55)</f>
        <v>207.55</v>
      </c>
      <c r="I910" s="49">
        <f>IFERROR(__xludf.DUMMYFUNCTION("IFERROR(GOOGLEFINANCE(A910,""VOLUME""),)"),155829.0)</f>
        <v>155829</v>
      </c>
      <c r="J910" s="48" t="str">
        <f>IFERROR(__xludf.DUMMYFUNCTION("IFERROR(INDEX(SPLIT(A910,"":""),1,2),)"),"MHRIL")</f>
        <v>MHRIL</v>
      </c>
      <c r="K910" s="48" t="str">
        <f t="shared" si="4"/>
        <v/>
      </c>
      <c r="L910" s="48">
        <f t="shared" si="5"/>
        <v>63</v>
      </c>
      <c r="M910" s="48">
        <f t="shared" si="6"/>
        <v>681</v>
      </c>
      <c r="N910" s="50">
        <f>IFERROR(__xludf.DUMMYFUNCTION("IFERROR(GOOGLEFINANCE(A910,""TRADETIME""),)"),46269.64583333333)</f>
        <v>46269.64583</v>
      </c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</row>
    <row r="911" ht="15.75" customHeight="1">
      <c r="A911" s="51" t="s">
        <v>957</v>
      </c>
      <c r="B911" s="51" t="str">
        <f>IFERROR(__xludf.DUMMYFUNCTION("IFERROR(GOOGLEFINANCE(A911,""NAME""),)"),"MIC Electronics Ltd")</f>
        <v>MIC Electronics Ltd</v>
      </c>
      <c r="C911" s="51">
        <f>IFERROR(__xludf.DUMMYFUNCTION("IFERROR(GOOGLEFINANCE(A911,""CHANGE""),)"),-0.74)</f>
        <v>-0.74</v>
      </c>
      <c r="D911" s="51">
        <f>IFERROR(__xludf.DUMMYFUNCTION("IFERROR(GOOGLEFINANCE(A911,""CHANGEPCT""),)"),-1.97)</f>
        <v>-1.97</v>
      </c>
      <c r="E911" s="51" t="str">
        <f t="shared" si="1"/>
        <v>-1.97%</v>
      </c>
      <c r="F911" s="51" t="str">
        <f t="shared" si="2"/>
        <v/>
      </c>
      <c r="G911" s="51">
        <f t="shared" si="3"/>
        <v>-1.97</v>
      </c>
      <c r="H911" s="51">
        <f>IFERROR(__xludf.DUMMYFUNCTION("IFERROR(GOOGLEFINANCE(A911,""PRICE""),)"),36.74)</f>
        <v>36.74</v>
      </c>
      <c r="I911" s="52">
        <f>IFERROR(__xludf.DUMMYFUNCTION("IFERROR(GOOGLEFINANCE(A911,""VOLUME""),)"),82417.0)</f>
        <v>82417</v>
      </c>
      <c r="J911" s="51" t="str">
        <f>IFERROR(__xludf.DUMMYFUNCTION("IFERROR(INDEX(SPLIT(A911,"":""),1,2),)"),"MICEL")</f>
        <v>MICEL</v>
      </c>
      <c r="K911" s="51" t="str">
        <f t="shared" si="4"/>
        <v/>
      </c>
      <c r="L911" s="51">
        <f t="shared" si="5"/>
        <v>527</v>
      </c>
      <c r="M911" s="51">
        <f t="shared" si="6"/>
        <v>819</v>
      </c>
      <c r="N911" s="53">
        <f>IFERROR(__xludf.DUMMYFUNCTION("IFERROR(GOOGLEFINANCE(A911,""TRADETIME""),)"),46269.64583333333)</f>
        <v>46269.64583</v>
      </c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</row>
    <row r="912" ht="15.75" customHeight="1">
      <c r="A912" s="48" t="s">
        <v>958</v>
      </c>
      <c r="B912" s="48" t="str">
        <f>IFERROR(__xludf.DUMMYFUNCTION("IFERROR(GOOGLEFINANCE(A912,""NAME""),)"),"Mishra Dhatu Nigam Ltd")</f>
        <v>Mishra Dhatu Nigam Ltd</v>
      </c>
      <c r="C912" s="48">
        <f>IFERROR(__xludf.DUMMYFUNCTION("IFERROR(GOOGLEFINANCE(A912,""CHANGE""),)"),3.4)</f>
        <v>3.4</v>
      </c>
      <c r="D912" s="48">
        <f>IFERROR(__xludf.DUMMYFUNCTION("IFERROR(GOOGLEFINANCE(A912,""CHANGEPCT""),)"),0.82)</f>
        <v>0.82</v>
      </c>
      <c r="E912" s="48" t="str">
        <f t="shared" si="1"/>
        <v>0.82%</v>
      </c>
      <c r="F912" s="48">
        <f t="shared" si="2"/>
        <v>0.82</v>
      </c>
      <c r="G912" s="48" t="str">
        <f t="shared" si="3"/>
        <v/>
      </c>
      <c r="H912" s="48">
        <f>IFERROR(__xludf.DUMMYFUNCTION("IFERROR(GOOGLEFINANCE(A912,""PRICE""),)"),420.3)</f>
        <v>420.3</v>
      </c>
      <c r="I912" s="49">
        <f>IFERROR(__xludf.DUMMYFUNCTION("IFERROR(GOOGLEFINANCE(A912,""VOLUME""),)"),562610.0)</f>
        <v>562610</v>
      </c>
      <c r="J912" s="48" t="str">
        <f>IFERROR(__xludf.DUMMYFUNCTION("IFERROR(INDEX(SPLIT(A912,"":""),1,2),)"),"MIDHANI")</f>
        <v>MIDHANI</v>
      </c>
      <c r="K912" s="48">
        <f t="shared" si="4"/>
        <v>493</v>
      </c>
      <c r="L912" s="48" t="str">
        <f t="shared" si="5"/>
        <v/>
      </c>
      <c r="M912" s="48">
        <f t="shared" si="6"/>
        <v>374</v>
      </c>
      <c r="N912" s="50">
        <f>IFERROR(__xludf.DUMMYFUNCTION("IFERROR(GOOGLEFINANCE(A912,""TRADETIME""),)"),46269.64583333333)</f>
        <v>46269.64583</v>
      </c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</row>
    <row r="913" ht="15.75" customHeight="1">
      <c r="A913" s="51" t="s">
        <v>959</v>
      </c>
      <c r="B913" s="51" t="str">
        <f>IFERROR(__xludf.DUMMYFUNCTION("IFERROR(GOOGLEFINANCE(A913,""NAME""),)"),"Minda Corporation Ltd")</f>
        <v>Minda Corporation Ltd</v>
      </c>
      <c r="C913" s="51">
        <f>IFERROR(__xludf.DUMMYFUNCTION("IFERROR(GOOGLEFINANCE(A913,""CHANGE""),)"),-9.4)</f>
        <v>-9.4</v>
      </c>
      <c r="D913" s="51">
        <f>IFERROR(__xludf.DUMMYFUNCTION("IFERROR(GOOGLEFINANCE(A913,""CHANGEPCT""),)"),-1.33)</f>
        <v>-1.33</v>
      </c>
      <c r="E913" s="51" t="str">
        <f t="shared" si="1"/>
        <v>-1.33%</v>
      </c>
      <c r="F913" s="51" t="str">
        <f t="shared" si="2"/>
        <v/>
      </c>
      <c r="G913" s="51">
        <f t="shared" si="3"/>
        <v>-1.33</v>
      </c>
      <c r="H913" s="51">
        <f>IFERROR(__xludf.DUMMYFUNCTION("IFERROR(GOOGLEFINANCE(A913,""PRICE""),)"),697.1)</f>
        <v>697.1</v>
      </c>
      <c r="I913" s="52">
        <f>IFERROR(__xludf.DUMMYFUNCTION("IFERROR(GOOGLEFINANCE(A913,""VOLUME""),)"),199782.0)</f>
        <v>199782</v>
      </c>
      <c r="J913" s="51" t="str">
        <f>IFERROR(__xludf.DUMMYFUNCTION("IFERROR(INDEX(SPLIT(A913,"":""),1,2),)"),"MINDACORP")</f>
        <v>MINDACORP</v>
      </c>
      <c r="K913" s="51" t="str">
        <f t="shared" si="4"/>
        <v/>
      </c>
      <c r="L913" s="51">
        <f t="shared" si="5"/>
        <v>412</v>
      </c>
      <c r="M913" s="51">
        <f t="shared" si="6"/>
        <v>628</v>
      </c>
      <c r="N913" s="53">
        <f>IFERROR(__xludf.DUMMYFUNCTION("IFERROR(GOOGLEFINANCE(A913,""TRADETIME""),)"),46269.64585648148)</f>
        <v>46269.64586</v>
      </c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</row>
    <row r="914" ht="15.75" customHeight="1">
      <c r="A914" s="48" t="s">
        <v>960</v>
      </c>
      <c r="B914" s="48" t="str">
        <f>IFERROR(__xludf.DUMMYFUNCTION("IFERROR(GOOGLEFINANCE(A914,""NAME""),)"),"UNO Minda Ltd")</f>
        <v>UNO Minda Ltd</v>
      </c>
      <c r="C914" s="48">
        <f>IFERROR(__xludf.DUMMYFUNCTION("IFERROR(GOOGLEFINANCE(A914,""CHANGE""),)"),-25.2)</f>
        <v>-25.2</v>
      </c>
      <c r="D914" s="48">
        <f>IFERROR(__xludf.DUMMYFUNCTION("IFERROR(GOOGLEFINANCE(A914,""CHANGEPCT""),)"),-1.99)</f>
        <v>-1.99</v>
      </c>
      <c r="E914" s="48" t="str">
        <f t="shared" si="1"/>
        <v>-1.99%</v>
      </c>
      <c r="F914" s="48" t="str">
        <f t="shared" si="2"/>
        <v/>
      </c>
      <c r="G914" s="48">
        <f t="shared" si="3"/>
        <v>-1.99</v>
      </c>
      <c r="H914" s="48">
        <f>IFERROR(__xludf.DUMMYFUNCTION("IFERROR(GOOGLEFINANCE(A914,""PRICE""),)"),1243.8)</f>
        <v>1243.8</v>
      </c>
      <c r="I914" s="49">
        <f>IFERROR(__xludf.DUMMYFUNCTION("IFERROR(GOOGLEFINANCE(A914,""VOLUME""),)"),574742.0)</f>
        <v>574742</v>
      </c>
      <c r="J914" s="48" t="str">
        <f>IFERROR(__xludf.DUMMYFUNCTION("IFERROR(INDEX(SPLIT(A914,"":""),1,2),)"),"UNOMINDA")</f>
        <v>UNOMINDA</v>
      </c>
      <c r="K914" s="48" t="str">
        <f t="shared" si="4"/>
        <v/>
      </c>
      <c r="L914" s="48">
        <f t="shared" si="5"/>
        <v>531</v>
      </c>
      <c r="M914" s="48">
        <f t="shared" si="6"/>
        <v>369</v>
      </c>
      <c r="N914" s="50">
        <f>IFERROR(__xludf.DUMMYFUNCTION("IFERROR(GOOGLEFINANCE(A914,""TRADETIME""),)"),46269.64583333333)</f>
        <v>46269.64583</v>
      </c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</row>
    <row r="915" ht="15.75" customHeight="1">
      <c r="A915" s="51" t="s">
        <v>961</v>
      </c>
      <c r="B915" s="51" t="str">
        <f>IFERROR(__xludf.DUMMYFUNCTION("IFERROR(GOOGLEFINANCE(A915,""NAME""),)"),"Info Edge (India) Ltd")</f>
        <v>Info Edge (India) Ltd</v>
      </c>
      <c r="C915" s="51">
        <f>IFERROR(__xludf.DUMMYFUNCTION("IFERROR(GOOGLEFINANCE(A915,""CHANGE""),)"),-12.0)</f>
        <v>-12</v>
      </c>
      <c r="D915" s="51">
        <f>IFERROR(__xludf.DUMMYFUNCTION("IFERROR(GOOGLEFINANCE(A915,""CHANGEPCT""),)"),-0.9)</f>
        <v>-0.9</v>
      </c>
      <c r="E915" s="51" t="str">
        <f t="shared" si="1"/>
        <v>-0.9%</v>
      </c>
      <c r="F915" s="51" t="str">
        <f t="shared" si="2"/>
        <v/>
      </c>
      <c r="G915" s="51">
        <f t="shared" si="3"/>
        <v>-0.9</v>
      </c>
      <c r="H915" s="51">
        <f>IFERROR(__xludf.DUMMYFUNCTION("IFERROR(GOOGLEFINANCE(A915,""PRICE""),)"),1318.0)</f>
        <v>1318</v>
      </c>
      <c r="I915" s="52">
        <f>IFERROR(__xludf.DUMMYFUNCTION("IFERROR(GOOGLEFINANCE(A915,""VOLUME""),)"),556306.0)</f>
        <v>556306</v>
      </c>
      <c r="J915" s="51" t="str">
        <f>IFERROR(__xludf.DUMMYFUNCTION("IFERROR(INDEX(SPLIT(A915,"":""),1,2),)"),"NAUKRI")</f>
        <v>NAUKRI</v>
      </c>
      <c r="K915" s="51" t="str">
        <f t="shared" si="4"/>
        <v/>
      </c>
      <c r="L915" s="51">
        <f t="shared" si="5"/>
        <v>318</v>
      </c>
      <c r="M915" s="51">
        <f t="shared" si="6"/>
        <v>376</v>
      </c>
      <c r="N915" s="53">
        <f>IFERROR(__xludf.DUMMYFUNCTION("IFERROR(GOOGLEFINANCE(A915,""TRADETIME""),)"),46269.64583333333)</f>
        <v>46269.64583</v>
      </c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</row>
    <row r="916" ht="15.75" customHeight="1">
      <c r="A916" s="48" t="s">
        <v>962</v>
      </c>
      <c r="B916" s="48" t="str">
        <f>IFERROR(__xludf.DUMMYFUNCTION("IFERROR(GOOGLEFINANCE(A916,""NAME""),)"),"")</f>
        <v/>
      </c>
      <c r="C916" s="48" t="str">
        <f>IFERROR(__xludf.DUMMYFUNCTION("IFERROR(GOOGLEFINANCE(A916,""CHANGE""),)"),"")</f>
        <v/>
      </c>
      <c r="D916" s="48" t="str">
        <f>IFERROR(__xludf.DUMMYFUNCTION("IFERROR(GOOGLEFINANCE(A916,""CHANGEPCT""),)"),"")</f>
        <v/>
      </c>
      <c r="E916" s="48" t="str">
        <f t="shared" si="1"/>
        <v>%</v>
      </c>
      <c r="F916" s="48" t="str">
        <f t="shared" si="2"/>
        <v/>
      </c>
      <c r="G916" s="48" t="str">
        <f t="shared" si="3"/>
        <v/>
      </c>
      <c r="H916" s="48" t="str">
        <f>IFERROR(__xludf.DUMMYFUNCTION("IFERROR(GOOGLEFINANCE(A916,""PRICE""),)"),"")</f>
        <v/>
      </c>
      <c r="I916" s="49" t="str">
        <f>IFERROR(__xludf.DUMMYFUNCTION("IFERROR(GOOGLEFINANCE(A916,""VOLUME""),)"),"")</f>
        <v/>
      </c>
      <c r="J916" s="48" t="str">
        <f>IFERROR(__xludf.DUMMYFUNCTION("IFERROR(INDEX(SPLIT(A916,"":""),1,2),)"),"MIRCELECTR")</f>
        <v>MIRCELECTR</v>
      </c>
      <c r="K916" s="48" t="str">
        <f t="shared" si="4"/>
        <v/>
      </c>
      <c r="L916" s="48" t="str">
        <f t="shared" si="5"/>
        <v/>
      </c>
      <c r="M916" s="48">
        <f t="shared" si="6"/>
        <v>1456</v>
      </c>
      <c r="N916" s="50" t="str">
        <f>IFERROR(__xludf.DUMMYFUNCTION("IFERROR(GOOGLEFINANCE(A916,""TRADETIME""),)"),"")</f>
        <v/>
      </c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</row>
    <row r="917" ht="15.75" customHeight="1">
      <c r="A917" s="51" t="s">
        <v>963</v>
      </c>
      <c r="B917" s="51" t="str">
        <f>IFERROR(__xludf.DUMMYFUNCTION("IFERROR(GOOGLEFINANCE(A917,""NAME""),)"),"Mirza International Ltd")</f>
        <v>Mirza International Ltd</v>
      </c>
      <c r="C917" s="51">
        <f>IFERROR(__xludf.DUMMYFUNCTION("IFERROR(GOOGLEFINANCE(A917,""CHANGE""),)"),-0.17)</f>
        <v>-0.17</v>
      </c>
      <c r="D917" s="51">
        <f>IFERROR(__xludf.DUMMYFUNCTION("IFERROR(GOOGLEFINANCE(A917,""CHANGEPCT""),)"),-0.55)</f>
        <v>-0.55</v>
      </c>
      <c r="E917" s="51" t="str">
        <f t="shared" si="1"/>
        <v>-0.55%</v>
      </c>
      <c r="F917" s="51" t="str">
        <f t="shared" si="2"/>
        <v/>
      </c>
      <c r="G917" s="51">
        <f t="shared" si="3"/>
        <v>-0.55</v>
      </c>
      <c r="H917" s="51">
        <f>IFERROR(__xludf.DUMMYFUNCTION("IFERROR(GOOGLEFINANCE(A917,""PRICE""),)"),30.82)</f>
        <v>30.82</v>
      </c>
      <c r="I917" s="52">
        <f>IFERROR(__xludf.DUMMYFUNCTION("IFERROR(GOOGLEFINANCE(A917,""VOLUME""),)"),65986.0)</f>
        <v>65986</v>
      </c>
      <c r="J917" s="51" t="str">
        <f>IFERROR(__xludf.DUMMYFUNCTION("IFERROR(INDEX(SPLIT(A917,"":""),1,2),)"),"MIRZAINT")</f>
        <v>MIRZAINT</v>
      </c>
      <c r="K917" s="51" t="str">
        <f t="shared" si="4"/>
        <v/>
      </c>
      <c r="L917" s="51">
        <f t="shared" si="5"/>
        <v>213</v>
      </c>
      <c r="M917" s="51">
        <f t="shared" si="6"/>
        <v>874</v>
      </c>
      <c r="N917" s="53">
        <f>IFERROR(__xludf.DUMMYFUNCTION("IFERROR(GOOGLEFINANCE(A917,""TRADETIME""),)"),46269.64583333333)</f>
        <v>46269.64583</v>
      </c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</row>
    <row r="918" ht="15.75" customHeight="1">
      <c r="A918" s="48" t="s">
        <v>964</v>
      </c>
      <c r="B918" s="48" t="str">
        <f>IFERROR(__xludf.DUMMYFUNCTION("IFERROR(GOOGLEFINANCE(A918,""NAME""),)"),"Mittal Life Style Ltd")</f>
        <v>Mittal Life Style Ltd</v>
      </c>
      <c r="C918" s="48">
        <f>IFERROR(__xludf.DUMMYFUNCTION("IFERROR(GOOGLEFINANCE(A918,""CHANGE""),)"),0.04)</f>
        <v>0.04</v>
      </c>
      <c r="D918" s="48">
        <f>IFERROR(__xludf.DUMMYFUNCTION("IFERROR(GOOGLEFINANCE(A918,""CHANGEPCT""),)"),5.13)</f>
        <v>5.13</v>
      </c>
      <c r="E918" s="48" t="str">
        <f t="shared" si="1"/>
        <v>5.13%</v>
      </c>
      <c r="F918" s="48">
        <f t="shared" si="2"/>
        <v>5.13</v>
      </c>
      <c r="G918" s="48" t="str">
        <f t="shared" si="3"/>
        <v/>
      </c>
      <c r="H918" s="48">
        <f>IFERROR(__xludf.DUMMYFUNCTION("IFERROR(GOOGLEFINANCE(A918,""PRICE""),)"),0.82)</f>
        <v>0.82</v>
      </c>
      <c r="I918" s="49">
        <f>IFERROR(__xludf.DUMMYFUNCTION("IFERROR(GOOGLEFINANCE(A918,""VOLUME""),)"),713212.0)</f>
        <v>713212</v>
      </c>
      <c r="J918" s="48" t="str">
        <f>IFERROR(__xludf.DUMMYFUNCTION("IFERROR(INDEX(SPLIT(A918,"":""),1,2),)"),"MITTAL")</f>
        <v>MITTAL</v>
      </c>
      <c r="K918" s="48">
        <f t="shared" si="4"/>
        <v>50</v>
      </c>
      <c r="L918" s="48" t="str">
        <f t="shared" si="5"/>
        <v/>
      </c>
      <c r="M918" s="48">
        <f t="shared" si="6"/>
        <v>324</v>
      </c>
      <c r="N918" s="50">
        <f>IFERROR(__xludf.DUMMYFUNCTION("IFERROR(GOOGLEFINANCE(A918,""TRADETIME""),)"),46269.64583333333)</f>
        <v>46269.64583</v>
      </c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</row>
    <row r="919" ht="15.75" customHeight="1">
      <c r="A919" s="51" t="s">
        <v>965</v>
      </c>
      <c r="B919" s="51" t="str">
        <f>IFERROR(__xludf.DUMMYFUNCTION("IFERROR(GOOGLEFINANCE(A919,""NAME""),)"),"MM Forgings Ltd")</f>
        <v>MM Forgings Ltd</v>
      </c>
      <c r="C919" s="51">
        <f>IFERROR(__xludf.DUMMYFUNCTION("IFERROR(GOOGLEFINANCE(A919,""CHANGE""),)"),-12.15)</f>
        <v>-12.15</v>
      </c>
      <c r="D919" s="51">
        <f>IFERROR(__xludf.DUMMYFUNCTION("IFERROR(GOOGLEFINANCE(A919,""CHANGEPCT""),)"),-1.89)</f>
        <v>-1.89</v>
      </c>
      <c r="E919" s="51" t="str">
        <f t="shared" si="1"/>
        <v>-1.89%</v>
      </c>
      <c r="F919" s="51" t="str">
        <f t="shared" si="2"/>
        <v/>
      </c>
      <c r="G919" s="51">
        <f t="shared" si="3"/>
        <v>-1.89</v>
      </c>
      <c r="H919" s="51">
        <f>IFERROR(__xludf.DUMMYFUNCTION("IFERROR(GOOGLEFINANCE(A919,""PRICE""),)"),629.65)</f>
        <v>629.65</v>
      </c>
      <c r="I919" s="52">
        <f>IFERROR(__xludf.DUMMYFUNCTION("IFERROR(GOOGLEFINANCE(A919,""VOLUME""),)"),163248.0)</f>
        <v>163248</v>
      </c>
      <c r="J919" s="51" t="str">
        <f>IFERROR(__xludf.DUMMYFUNCTION("IFERROR(INDEX(SPLIT(A919,"":""),1,2),)"),"MMFL")</f>
        <v>MMFL</v>
      </c>
      <c r="K919" s="51" t="str">
        <f t="shared" si="4"/>
        <v/>
      </c>
      <c r="L919" s="51">
        <f t="shared" si="5"/>
        <v>506</v>
      </c>
      <c r="M919" s="51">
        <f t="shared" si="6"/>
        <v>669</v>
      </c>
      <c r="N919" s="53">
        <f>IFERROR(__xludf.DUMMYFUNCTION("IFERROR(GOOGLEFINANCE(A919,""TRADETIME""),)"),46269.64586805555)</f>
        <v>46269.64587</v>
      </c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</row>
    <row r="920" ht="15.75" customHeight="1">
      <c r="A920" s="48" t="s">
        <v>966</v>
      </c>
      <c r="B920" s="48" t="str">
        <f>IFERROR(__xludf.DUMMYFUNCTION("IFERROR(GOOGLEFINANCE(A920,""NAME""),)"),"MMP Industries Ltd")</f>
        <v>MMP Industries Ltd</v>
      </c>
      <c r="C920" s="48">
        <f>IFERROR(__xludf.DUMMYFUNCTION("IFERROR(GOOGLEFINANCE(A920,""CHANGE""),)"),4.05)</f>
        <v>4.05</v>
      </c>
      <c r="D920" s="48">
        <f>IFERROR(__xludf.DUMMYFUNCTION("IFERROR(GOOGLEFINANCE(A920,""CHANGEPCT""),)"),1.02)</f>
        <v>1.02</v>
      </c>
      <c r="E920" s="48" t="str">
        <f t="shared" si="1"/>
        <v>1.02%</v>
      </c>
      <c r="F920" s="48">
        <f t="shared" si="2"/>
        <v>1.02</v>
      </c>
      <c r="G920" s="48" t="str">
        <f t="shared" si="3"/>
        <v/>
      </c>
      <c r="H920" s="48">
        <f>IFERROR(__xludf.DUMMYFUNCTION("IFERROR(GOOGLEFINANCE(A920,""PRICE""),)"),400.0)</f>
        <v>400</v>
      </c>
      <c r="I920" s="49">
        <f>IFERROR(__xludf.DUMMYFUNCTION("IFERROR(GOOGLEFINANCE(A920,""VOLUME""),)"),112103.0)</f>
        <v>112103</v>
      </c>
      <c r="J920" s="48" t="str">
        <f>IFERROR(__xludf.DUMMYFUNCTION("IFERROR(INDEX(SPLIT(A920,"":""),1,2),)"),"MMP")</f>
        <v>MMP</v>
      </c>
      <c r="K920" s="48">
        <f t="shared" si="4"/>
        <v>446</v>
      </c>
      <c r="L920" s="48" t="str">
        <f t="shared" si="5"/>
        <v/>
      </c>
      <c r="M920" s="48">
        <f t="shared" si="6"/>
        <v>748</v>
      </c>
      <c r="N920" s="50">
        <f>IFERROR(__xludf.DUMMYFUNCTION("IFERROR(GOOGLEFINANCE(A920,""TRADETIME""),)"),46269.64583333333)</f>
        <v>46269.64583</v>
      </c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</row>
    <row r="921" ht="15.75" customHeight="1">
      <c r="A921" s="51" t="s">
        <v>967</v>
      </c>
      <c r="B921" s="51" t="str">
        <f>IFERROR(__xludf.DUMMYFUNCTION("IFERROR(GOOGLEFINANCE(A921,""NAME""),)"),"MMTC Ltd")</f>
        <v>MMTC Ltd</v>
      </c>
      <c r="C921" s="51">
        <f>IFERROR(__xludf.DUMMYFUNCTION("IFERROR(GOOGLEFINANCE(A921,""CHANGE""),)"),1.87)</f>
        <v>1.87</v>
      </c>
      <c r="D921" s="51">
        <f>IFERROR(__xludf.DUMMYFUNCTION("IFERROR(GOOGLEFINANCE(A921,""CHANGEPCT""),)"),3.0)</f>
        <v>3</v>
      </c>
      <c r="E921" s="51" t="str">
        <f t="shared" si="1"/>
        <v>3%</v>
      </c>
      <c r="F921" s="51">
        <f t="shared" si="2"/>
        <v>3</v>
      </c>
      <c r="G921" s="51" t="str">
        <f t="shared" si="3"/>
        <v/>
      </c>
      <c r="H921" s="51">
        <f>IFERROR(__xludf.DUMMYFUNCTION("IFERROR(GOOGLEFINANCE(A921,""PRICE""),)"),64.19)</f>
        <v>64.19</v>
      </c>
      <c r="I921" s="52">
        <f>IFERROR(__xludf.DUMMYFUNCTION("IFERROR(GOOGLEFINANCE(A921,""VOLUME""),)"),8443462.0)</f>
        <v>8443462</v>
      </c>
      <c r="J921" s="51" t="str">
        <f>IFERROR(__xludf.DUMMYFUNCTION("IFERROR(INDEX(SPLIT(A921,"":""),1,2),)"),"MMTC")</f>
        <v>MMTC</v>
      </c>
      <c r="K921" s="51">
        <f t="shared" si="4"/>
        <v>163</v>
      </c>
      <c r="L921" s="51" t="str">
        <f t="shared" si="5"/>
        <v/>
      </c>
      <c r="M921" s="51">
        <f t="shared" si="6"/>
        <v>49</v>
      </c>
      <c r="N921" s="53">
        <f>IFERROR(__xludf.DUMMYFUNCTION("IFERROR(GOOGLEFINANCE(A921,""TRADETIME""),)"),46269.64585648148)</f>
        <v>46269.64586</v>
      </c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</row>
    <row r="922" ht="15.75" customHeight="1">
      <c r="A922" s="48" t="s">
        <v>968</v>
      </c>
      <c r="B922" s="48" t="str">
        <f>IFERROR(__xludf.DUMMYFUNCTION("IFERROR(GOOGLEFINANCE(A922,""NAME""),)"),"Modi Rubber Ltd")</f>
        <v>Modi Rubber Ltd</v>
      </c>
      <c r="C922" s="48">
        <f>IFERROR(__xludf.DUMMYFUNCTION("IFERROR(GOOGLEFINANCE(A922,""CHANGE""),)"),-0.83)</f>
        <v>-0.83</v>
      </c>
      <c r="D922" s="48">
        <f>IFERROR(__xludf.DUMMYFUNCTION("IFERROR(GOOGLEFINANCE(A922,""CHANGEPCT""),)"),-0.63)</f>
        <v>-0.63</v>
      </c>
      <c r="E922" s="48" t="str">
        <f t="shared" si="1"/>
        <v>-0.63%</v>
      </c>
      <c r="F922" s="48" t="str">
        <f t="shared" si="2"/>
        <v/>
      </c>
      <c r="G922" s="48">
        <f t="shared" si="3"/>
        <v>-0.63</v>
      </c>
      <c r="H922" s="48">
        <f>IFERROR(__xludf.DUMMYFUNCTION("IFERROR(GOOGLEFINANCE(A922,""PRICE""),)"),131.0)</f>
        <v>131</v>
      </c>
      <c r="I922" s="49">
        <f>IFERROR(__xludf.DUMMYFUNCTION("IFERROR(GOOGLEFINANCE(A922,""VOLUME""),)"),1186.0)</f>
        <v>1186</v>
      </c>
      <c r="J922" s="48" t="str">
        <f>IFERROR(__xludf.DUMMYFUNCTION("IFERROR(INDEX(SPLIT(A922,"":""),1,2),)"),"MODIRUBBER")</f>
        <v>MODIRUBBER</v>
      </c>
      <c r="K922" s="48" t="str">
        <f t="shared" si="4"/>
        <v/>
      </c>
      <c r="L922" s="48">
        <f t="shared" si="5"/>
        <v>235</v>
      </c>
      <c r="M922" s="48">
        <f t="shared" si="6"/>
        <v>1418</v>
      </c>
      <c r="N922" s="50">
        <f>IFERROR(__xludf.DUMMYFUNCTION("IFERROR(GOOGLEFINANCE(A922,""TRADETIME""),)"),46269.64583333333)</f>
        <v>46269.64583</v>
      </c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</row>
    <row r="923" ht="15.75" customHeight="1">
      <c r="A923" s="51" t="s">
        <v>969</v>
      </c>
      <c r="B923" s="51" t="str">
        <f>IFERROR(__xludf.DUMMYFUNCTION("IFERROR(GOOGLEFINANCE(A923,""NAME""),)"),"Mohit Industries Ltd")</f>
        <v>Mohit Industries Ltd</v>
      </c>
      <c r="C923" s="51">
        <f>IFERROR(__xludf.DUMMYFUNCTION("IFERROR(GOOGLEFINANCE(A923,""CHANGE""),)"),0.01)</f>
        <v>0.01</v>
      </c>
      <c r="D923" s="51">
        <f>IFERROR(__xludf.DUMMYFUNCTION("IFERROR(GOOGLEFINANCE(A923,""CHANGEPCT""),)"),0.04)</f>
        <v>0.04</v>
      </c>
      <c r="E923" s="51" t="str">
        <f t="shared" si="1"/>
        <v>0.04%</v>
      </c>
      <c r="F923" s="51">
        <f t="shared" si="2"/>
        <v>0.04</v>
      </c>
      <c r="G923" s="51" t="str">
        <f t="shared" si="3"/>
        <v/>
      </c>
      <c r="H923" s="51">
        <f>IFERROR(__xludf.DUMMYFUNCTION("IFERROR(GOOGLEFINANCE(A923,""PRICE""),)"),23.73)</f>
        <v>23.73</v>
      </c>
      <c r="I923" s="52">
        <f>IFERROR(__xludf.DUMMYFUNCTION("IFERROR(GOOGLEFINANCE(A923,""VOLUME""),)"),10348.0)</f>
        <v>10348</v>
      </c>
      <c r="J923" s="51" t="str">
        <f>IFERROR(__xludf.DUMMYFUNCTION("IFERROR(INDEX(SPLIT(A923,"":""),1,2),)"),"MOHITIND")</f>
        <v>MOHITIND</v>
      </c>
      <c r="K923" s="51">
        <f t="shared" si="4"/>
        <v>761</v>
      </c>
      <c r="L923" s="51" t="str">
        <f t="shared" si="5"/>
        <v/>
      </c>
      <c r="M923" s="51">
        <f t="shared" si="6"/>
        <v>1228</v>
      </c>
      <c r="N923" s="53">
        <f>IFERROR(__xludf.DUMMYFUNCTION("IFERROR(GOOGLEFINANCE(A923,""TRADETIME""),)"),46269.64583333333)</f>
        <v>46269.64583</v>
      </c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</row>
    <row r="924" ht="15.75" customHeight="1">
      <c r="A924" s="48" t="s">
        <v>970</v>
      </c>
      <c r="B924" s="48" t="str">
        <f>IFERROR(__xludf.DUMMYFUNCTION("IFERROR(GOOGLEFINANCE(A924,""NAME""),)"),"")</f>
        <v/>
      </c>
      <c r="C924" s="48" t="str">
        <f>IFERROR(__xludf.DUMMYFUNCTION("IFERROR(GOOGLEFINANCE(A924,""CHANGE""),)"),"")</f>
        <v/>
      </c>
      <c r="D924" s="48" t="str">
        <f>IFERROR(__xludf.DUMMYFUNCTION("IFERROR(GOOGLEFINANCE(A924,""CHANGEPCT""),)"),"")</f>
        <v/>
      </c>
      <c r="E924" s="48" t="str">
        <f t="shared" si="1"/>
        <v>%</v>
      </c>
      <c r="F924" s="48" t="str">
        <f t="shared" si="2"/>
        <v/>
      </c>
      <c r="G924" s="48" t="str">
        <f t="shared" si="3"/>
        <v/>
      </c>
      <c r="H924" s="48" t="str">
        <f>IFERROR(__xludf.DUMMYFUNCTION("IFERROR(GOOGLEFINANCE(A924,""PRICE""),)"),"")</f>
        <v/>
      </c>
      <c r="I924" s="49" t="str">
        <f>IFERROR(__xludf.DUMMYFUNCTION("IFERROR(GOOGLEFINANCE(A924,""VOLUME""),)"),"")</f>
        <v/>
      </c>
      <c r="J924" s="48" t="str">
        <f>IFERROR(__xludf.DUMMYFUNCTION("IFERROR(INDEX(SPLIT(A924,"":""),1,2),)"),"MOHOTAIND")</f>
        <v>MOHOTAIND</v>
      </c>
      <c r="K924" s="48" t="str">
        <f t="shared" si="4"/>
        <v/>
      </c>
      <c r="L924" s="48" t="str">
        <f t="shared" si="5"/>
        <v/>
      </c>
      <c r="M924" s="48">
        <f t="shared" si="6"/>
        <v>1456</v>
      </c>
      <c r="N924" s="50" t="str">
        <f>IFERROR(__xludf.DUMMYFUNCTION("IFERROR(GOOGLEFINANCE(A924,""TRADETIME""),)"),"")</f>
        <v/>
      </c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</row>
    <row r="925" ht="15.75" customHeight="1">
      <c r="A925" s="51" t="s">
        <v>971</v>
      </c>
      <c r="B925" s="51" t="str">
        <f>IFERROR(__xludf.DUMMYFUNCTION("IFERROR(GOOGLEFINANCE(A925,""NAME""),)"),"Moil Ltd")</f>
        <v>Moil Ltd</v>
      </c>
      <c r="C925" s="51">
        <f>IFERROR(__xludf.DUMMYFUNCTION("IFERROR(GOOGLEFINANCE(A925,""CHANGE""),)"),1.87)</f>
        <v>1.87</v>
      </c>
      <c r="D925" s="51">
        <f>IFERROR(__xludf.DUMMYFUNCTION("IFERROR(GOOGLEFINANCE(A925,""CHANGEPCT""),)"),0.75)</f>
        <v>0.75</v>
      </c>
      <c r="E925" s="51" t="str">
        <f t="shared" si="1"/>
        <v>0.75%</v>
      </c>
      <c r="F925" s="51">
        <f t="shared" si="2"/>
        <v>0.75</v>
      </c>
      <c r="G925" s="51" t="str">
        <f t="shared" si="3"/>
        <v/>
      </c>
      <c r="H925" s="51">
        <f>IFERROR(__xludf.DUMMYFUNCTION("IFERROR(GOOGLEFINANCE(A925,""PRICE""),)"),252.55)</f>
        <v>252.55</v>
      </c>
      <c r="I925" s="52">
        <f>IFERROR(__xludf.DUMMYFUNCTION("IFERROR(GOOGLEFINANCE(A925,""VOLUME""),)"),505504.0)</f>
        <v>505504</v>
      </c>
      <c r="J925" s="51" t="str">
        <f>IFERROR(__xludf.DUMMYFUNCTION("IFERROR(INDEX(SPLIT(A925,"":""),1,2),)"),"MOIL")</f>
        <v>MOIL</v>
      </c>
      <c r="K925" s="51">
        <f t="shared" si="4"/>
        <v>517</v>
      </c>
      <c r="L925" s="51" t="str">
        <f t="shared" si="5"/>
        <v/>
      </c>
      <c r="M925" s="51">
        <f t="shared" si="6"/>
        <v>391</v>
      </c>
      <c r="N925" s="53">
        <f>IFERROR(__xludf.DUMMYFUNCTION("IFERROR(GOOGLEFINANCE(A925,""TRADETIME""),)"),46269.64583333333)</f>
        <v>46269.64583</v>
      </c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</row>
    <row r="926" ht="15.75" customHeight="1">
      <c r="A926" s="48" t="s">
        <v>972</v>
      </c>
      <c r="B926" s="48" t="str">
        <f>IFERROR(__xludf.DUMMYFUNCTION("IFERROR(GOOGLEFINANCE(A926,""NAME""),)"),"Mold-Tek Technologies Ltd")</f>
        <v>Mold-Tek Technologies Ltd</v>
      </c>
      <c r="C926" s="48">
        <f>IFERROR(__xludf.DUMMYFUNCTION("IFERROR(GOOGLEFINANCE(A926,""CHANGE""),)"),1.99)</f>
        <v>1.99</v>
      </c>
      <c r="D926" s="48">
        <f>IFERROR(__xludf.DUMMYFUNCTION("IFERROR(GOOGLEFINANCE(A926,""CHANGEPCT""),)"),0.96)</f>
        <v>0.96</v>
      </c>
      <c r="E926" s="48" t="str">
        <f t="shared" si="1"/>
        <v>0.96%</v>
      </c>
      <c r="F926" s="48">
        <f t="shared" si="2"/>
        <v>0.96</v>
      </c>
      <c r="G926" s="48" t="str">
        <f t="shared" si="3"/>
        <v/>
      </c>
      <c r="H926" s="48">
        <f>IFERROR(__xludf.DUMMYFUNCTION("IFERROR(GOOGLEFINANCE(A926,""PRICE""),)"),209.3)</f>
        <v>209.3</v>
      </c>
      <c r="I926" s="49">
        <f>IFERROR(__xludf.DUMMYFUNCTION("IFERROR(GOOGLEFINANCE(A926,""VOLUME""),)"),27919.0)</f>
        <v>27919</v>
      </c>
      <c r="J926" s="48" t="str">
        <f>IFERROR(__xludf.DUMMYFUNCTION("IFERROR(INDEX(SPLIT(A926,"":""),1,2),)"),"MOLDTECH")</f>
        <v>MOLDTECH</v>
      </c>
      <c r="K926" s="48">
        <f t="shared" si="4"/>
        <v>456</v>
      </c>
      <c r="L926" s="48" t="str">
        <f t="shared" si="5"/>
        <v/>
      </c>
      <c r="M926" s="48">
        <f t="shared" si="6"/>
        <v>1066</v>
      </c>
      <c r="N926" s="50">
        <f>IFERROR(__xludf.DUMMYFUNCTION("IFERROR(GOOGLEFINANCE(A926,""TRADETIME""),)"),46269.64583333333)</f>
        <v>46269.64583</v>
      </c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</row>
    <row r="927" ht="15.75" customHeight="1">
      <c r="A927" s="51" t="s">
        <v>973</v>
      </c>
      <c r="B927" s="51" t="str">
        <f>IFERROR(__xludf.DUMMYFUNCTION("IFERROR(GOOGLEFINANCE(A927,""NAME""),)"),"Mold-Tek Packaging Ltd")</f>
        <v>Mold-Tek Packaging Ltd</v>
      </c>
      <c r="C927" s="51">
        <f>IFERROR(__xludf.DUMMYFUNCTION("IFERROR(GOOGLEFINANCE(A927,""CHANGE""),)"),8.4)</f>
        <v>8.4</v>
      </c>
      <c r="D927" s="51">
        <f>IFERROR(__xludf.DUMMYFUNCTION("IFERROR(GOOGLEFINANCE(A927,""CHANGEPCT""),)"),1.2)</f>
        <v>1.2</v>
      </c>
      <c r="E927" s="51" t="str">
        <f t="shared" si="1"/>
        <v>1.2%</v>
      </c>
      <c r="F927" s="51">
        <f t="shared" si="2"/>
        <v>1.2</v>
      </c>
      <c r="G927" s="51" t="str">
        <f t="shared" si="3"/>
        <v/>
      </c>
      <c r="H927" s="51">
        <f>IFERROR(__xludf.DUMMYFUNCTION("IFERROR(GOOGLEFINANCE(A927,""PRICE""),)"),708.0)</f>
        <v>708</v>
      </c>
      <c r="I927" s="52">
        <f>IFERROR(__xludf.DUMMYFUNCTION("IFERROR(GOOGLEFINANCE(A927,""VOLUME""),)"),36489.0)</f>
        <v>36489</v>
      </c>
      <c r="J927" s="51" t="str">
        <f>IFERROR(__xludf.DUMMYFUNCTION("IFERROR(INDEX(SPLIT(A927,"":""),1,2),)"),"MOLDTKPAC")</f>
        <v>MOLDTKPAC</v>
      </c>
      <c r="K927" s="51">
        <f t="shared" si="4"/>
        <v>407</v>
      </c>
      <c r="L927" s="51" t="str">
        <f t="shared" si="5"/>
        <v/>
      </c>
      <c r="M927" s="51">
        <f t="shared" si="6"/>
        <v>1022</v>
      </c>
      <c r="N927" s="53">
        <f>IFERROR(__xludf.DUMMYFUNCTION("IFERROR(GOOGLEFINANCE(A927,""TRADETIME""),)"),46269.64585648148)</f>
        <v>46269.64586</v>
      </c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</row>
    <row r="928" ht="15.75" customHeight="1">
      <c r="A928" s="48" t="s">
        <v>974</v>
      </c>
      <c r="B928" s="48" t="str">
        <f>IFERROR(__xludf.DUMMYFUNCTION("IFERROR(GOOGLEFINANCE(A928,""NAME""),)"),"Monte Carlo Fashions Ltd")</f>
        <v>Monte Carlo Fashions Ltd</v>
      </c>
      <c r="C928" s="48">
        <f>IFERROR(__xludf.DUMMYFUNCTION("IFERROR(GOOGLEFINANCE(A928,""CHANGE""),)"),9.55)</f>
        <v>9.55</v>
      </c>
      <c r="D928" s="48">
        <f>IFERROR(__xludf.DUMMYFUNCTION("IFERROR(GOOGLEFINANCE(A928,""CHANGEPCT""),)"),1.69)</f>
        <v>1.69</v>
      </c>
      <c r="E928" s="48" t="str">
        <f t="shared" si="1"/>
        <v>1.69%</v>
      </c>
      <c r="F928" s="48">
        <f t="shared" si="2"/>
        <v>1.69</v>
      </c>
      <c r="G928" s="48" t="str">
        <f t="shared" si="3"/>
        <v/>
      </c>
      <c r="H928" s="48">
        <f>IFERROR(__xludf.DUMMYFUNCTION("IFERROR(GOOGLEFINANCE(A928,""PRICE""),)"),574.0)</f>
        <v>574</v>
      </c>
      <c r="I928" s="49">
        <f>IFERROR(__xludf.DUMMYFUNCTION("IFERROR(GOOGLEFINANCE(A928,""VOLUME""),)"),53976.0)</f>
        <v>53976</v>
      </c>
      <c r="J928" s="48" t="str">
        <f>IFERROR(__xludf.DUMMYFUNCTION("IFERROR(INDEX(SPLIT(A928,"":""),1,2),)"),"MONTECARLO")</f>
        <v>MONTECARLO</v>
      </c>
      <c r="K928" s="48">
        <f t="shared" si="4"/>
        <v>312</v>
      </c>
      <c r="L928" s="48" t="str">
        <f t="shared" si="5"/>
        <v/>
      </c>
      <c r="M928" s="48">
        <f t="shared" si="6"/>
        <v>928</v>
      </c>
      <c r="N928" s="50">
        <f>IFERROR(__xludf.DUMMYFUNCTION("IFERROR(GOOGLEFINANCE(A928,""TRADETIME""),)"),46269.64583333333)</f>
        <v>46269.64583</v>
      </c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</row>
    <row r="929" ht="15.75" customHeight="1">
      <c r="A929" s="51" t="s">
        <v>975</v>
      </c>
      <c r="B929" s="51" t="str">
        <f>IFERROR(__xludf.DUMMYFUNCTION("IFERROR(GOOGLEFINANCE(A929,""NAME""),)"),"Morarjee Textiles Ltd")</f>
        <v>Morarjee Textiles Ltd</v>
      </c>
      <c r="C929" s="51">
        <f>IFERROR(__xludf.DUMMYFUNCTION("IFERROR(GOOGLEFINANCE(A929,""CHANGE""),)"),-0.5)</f>
        <v>-0.5</v>
      </c>
      <c r="D929" s="51">
        <f>IFERROR(__xludf.DUMMYFUNCTION("IFERROR(GOOGLEFINANCE(A929,""CHANGEPCT""),)"),-4.91)</f>
        <v>-4.91</v>
      </c>
      <c r="E929" s="51" t="str">
        <f t="shared" si="1"/>
        <v>-4.91%</v>
      </c>
      <c r="F929" s="51" t="str">
        <f t="shared" si="2"/>
        <v/>
      </c>
      <c r="G929" s="51">
        <f t="shared" si="3"/>
        <v>-4.91</v>
      </c>
      <c r="H929" s="51">
        <f>IFERROR(__xludf.DUMMYFUNCTION("IFERROR(GOOGLEFINANCE(A929,""PRICE""),)"),9.68)</f>
        <v>9.68</v>
      </c>
      <c r="I929" s="52">
        <f>IFERROR(__xludf.DUMMYFUNCTION("IFERROR(GOOGLEFINANCE(A929,""VOLUME""),)"),14858.0)</f>
        <v>14858</v>
      </c>
      <c r="J929" s="51" t="str">
        <f>IFERROR(__xludf.DUMMYFUNCTION("IFERROR(INDEX(SPLIT(A929,"":""),1,2),)"),"MORARJEE")</f>
        <v>MORARJEE</v>
      </c>
      <c r="K929" s="51" t="str">
        <f t="shared" si="4"/>
        <v/>
      </c>
      <c r="L929" s="51">
        <f t="shared" si="5"/>
        <v>638</v>
      </c>
      <c r="M929" s="51">
        <f t="shared" si="6"/>
        <v>1181</v>
      </c>
      <c r="N929" s="53">
        <f>IFERROR(__xludf.DUMMYFUNCTION("IFERROR(GOOGLEFINANCE(A929,""TRADETIME""),)"),46265.64583333333)</f>
        <v>46265.64583</v>
      </c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</row>
    <row r="930" ht="15.75" customHeight="1">
      <c r="A930" s="48" t="s">
        <v>976</v>
      </c>
      <c r="B930" s="48" t="str">
        <f>IFERROR(__xludf.DUMMYFUNCTION("IFERROR(GOOGLEFINANCE(A930,""NAME""),)"),"Morepen Laboratories Ltd")</f>
        <v>Morepen Laboratories Ltd</v>
      </c>
      <c r="C930" s="48">
        <f>IFERROR(__xludf.DUMMYFUNCTION("IFERROR(GOOGLEFINANCE(A930,""CHANGE""),)"),-3.85)</f>
        <v>-3.85</v>
      </c>
      <c r="D930" s="48">
        <f>IFERROR(__xludf.DUMMYFUNCTION("IFERROR(GOOGLEFINANCE(A930,""CHANGEPCT""),)"),-3.28)</f>
        <v>-3.28</v>
      </c>
      <c r="E930" s="48" t="str">
        <f t="shared" si="1"/>
        <v>-3.28%</v>
      </c>
      <c r="F930" s="48" t="str">
        <f t="shared" si="2"/>
        <v/>
      </c>
      <c r="G930" s="48">
        <f t="shared" si="3"/>
        <v>-3.28</v>
      </c>
      <c r="H930" s="48">
        <f>IFERROR(__xludf.DUMMYFUNCTION("IFERROR(GOOGLEFINANCE(A930,""PRICE""),)"),113.6)</f>
        <v>113.6</v>
      </c>
      <c r="I930" s="49">
        <f>IFERROR(__xludf.DUMMYFUNCTION("IFERROR(GOOGLEFINANCE(A930,""VOLUME""),)"),1.7563502E7)</f>
        <v>17563502</v>
      </c>
      <c r="J930" s="48" t="str">
        <f>IFERROR(__xludf.DUMMYFUNCTION("IFERROR(INDEX(SPLIT(A930,"":""),1,2),)"),"MOREPENLAB")</f>
        <v>MOREPENLAB</v>
      </c>
      <c r="K930" s="48" t="str">
        <f t="shared" si="4"/>
        <v/>
      </c>
      <c r="L930" s="48">
        <f t="shared" si="5"/>
        <v>600</v>
      </c>
      <c r="M930" s="48">
        <f t="shared" si="6"/>
        <v>25</v>
      </c>
      <c r="N930" s="50">
        <f>IFERROR(__xludf.DUMMYFUNCTION("IFERROR(GOOGLEFINANCE(A930,""TRADETIME""),)"),46269.64583333333)</f>
        <v>46269.64583</v>
      </c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</row>
    <row r="931" ht="15.75" customHeight="1">
      <c r="A931" s="51" t="s">
        <v>977</v>
      </c>
      <c r="B931" s="51" t="str">
        <f>IFERROR(__xludf.DUMMYFUNCTION("IFERROR(GOOGLEFINANCE(A931,""NAME""),)"),"Samvardhana Motherson International Ltd")</f>
        <v>Samvardhana Motherson International Ltd</v>
      </c>
      <c r="C931" s="51">
        <f>IFERROR(__xludf.DUMMYFUNCTION("IFERROR(GOOGLEFINANCE(A931,""CHANGE""),)"),-0.93)</f>
        <v>-0.93</v>
      </c>
      <c r="D931" s="51">
        <f>IFERROR(__xludf.DUMMYFUNCTION("IFERROR(GOOGLEFINANCE(A931,""CHANGEPCT""),)"),-0.57)</f>
        <v>-0.57</v>
      </c>
      <c r="E931" s="51" t="str">
        <f t="shared" si="1"/>
        <v>-0.57%</v>
      </c>
      <c r="F931" s="51" t="str">
        <f t="shared" si="2"/>
        <v/>
      </c>
      <c r="G931" s="51">
        <f t="shared" si="3"/>
        <v>-0.57</v>
      </c>
      <c r="H931" s="51">
        <f>IFERROR(__xludf.DUMMYFUNCTION("IFERROR(GOOGLEFINANCE(A931,""PRICE""),)"),161.07)</f>
        <v>161.07</v>
      </c>
      <c r="I931" s="52">
        <f>IFERROR(__xludf.DUMMYFUNCTION("IFERROR(GOOGLEFINANCE(A931,""VOLUME""),)"),7139764.0)</f>
        <v>7139764</v>
      </c>
      <c r="J931" s="51" t="str">
        <f>IFERROR(__xludf.DUMMYFUNCTION("IFERROR(INDEX(SPLIT(A931,"":""),1,2),)"),"MOTHERSON")</f>
        <v>MOTHERSON</v>
      </c>
      <c r="K931" s="51" t="str">
        <f t="shared" si="4"/>
        <v/>
      </c>
      <c r="L931" s="51">
        <f t="shared" si="5"/>
        <v>219</v>
      </c>
      <c r="M931" s="51">
        <f t="shared" si="6"/>
        <v>62</v>
      </c>
      <c r="N931" s="53">
        <f>IFERROR(__xludf.DUMMYFUNCTION("IFERROR(GOOGLEFINANCE(A931,""TRADETIME""),)"),46269.64583333333)</f>
        <v>46269.64583</v>
      </c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</row>
    <row r="932" ht="15.75" customHeight="1">
      <c r="A932" s="48" t="s">
        <v>978</v>
      </c>
      <c r="B932" s="48" t="str">
        <f>IFERROR(__xludf.DUMMYFUNCTION("IFERROR(GOOGLEFINANCE(A932,""NAME""),)"),"Motilal Oswal Financial Services Ltd")</f>
        <v>Motilal Oswal Financial Services Ltd</v>
      </c>
      <c r="C932" s="48">
        <f>IFERROR(__xludf.DUMMYFUNCTION("IFERROR(GOOGLEFINANCE(A932,""CHANGE""),)"),24.2)</f>
        <v>24.2</v>
      </c>
      <c r="D932" s="48">
        <f>IFERROR(__xludf.DUMMYFUNCTION("IFERROR(GOOGLEFINANCE(A932,""CHANGEPCT""),)"),2.39)</f>
        <v>2.39</v>
      </c>
      <c r="E932" s="48" t="str">
        <f t="shared" si="1"/>
        <v>2.39%</v>
      </c>
      <c r="F932" s="48">
        <f t="shared" si="2"/>
        <v>2.39</v>
      </c>
      <c r="G932" s="48" t="str">
        <f t="shared" si="3"/>
        <v/>
      </c>
      <c r="H932" s="48">
        <f>IFERROR(__xludf.DUMMYFUNCTION("IFERROR(GOOGLEFINANCE(A932,""PRICE""),)"),1037.0)</f>
        <v>1037</v>
      </c>
      <c r="I932" s="49">
        <f>IFERROR(__xludf.DUMMYFUNCTION("IFERROR(GOOGLEFINANCE(A932,""VOLUME""),)"),807197.0)</f>
        <v>807197</v>
      </c>
      <c r="J932" s="48" t="str">
        <f>IFERROR(__xludf.DUMMYFUNCTION("IFERROR(INDEX(SPLIT(A932,"":""),1,2),)"),"MOTILALOFS")</f>
        <v>MOTILALOFS</v>
      </c>
      <c r="K932" s="48">
        <f t="shared" si="4"/>
        <v>217</v>
      </c>
      <c r="L932" s="48" t="str">
        <f t="shared" si="5"/>
        <v/>
      </c>
      <c r="M932" s="48">
        <f t="shared" si="6"/>
        <v>309</v>
      </c>
      <c r="N932" s="50">
        <f>IFERROR(__xludf.DUMMYFUNCTION("IFERROR(GOOGLEFINANCE(A932,""TRADETIME""),)"),46269.64583333333)</f>
        <v>46269.64583</v>
      </c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</row>
    <row r="933" ht="15.75" customHeight="1">
      <c r="A933" s="51" t="s">
        <v>979</v>
      </c>
      <c r="B933" s="51" t="str">
        <f>IFERROR(__xludf.DUMMYFUNCTION("IFERROR(GOOGLEFINANCE(A933,""NAME""),)"),"Motor and General Finance Ltd")</f>
        <v>Motor and General Finance Ltd</v>
      </c>
      <c r="C933" s="51">
        <f>IFERROR(__xludf.DUMMYFUNCTION("IFERROR(GOOGLEFINANCE(A933,""CHANGE""),)"),0.78)</f>
        <v>0.78</v>
      </c>
      <c r="D933" s="51">
        <f>IFERROR(__xludf.DUMMYFUNCTION("IFERROR(GOOGLEFINANCE(A933,""CHANGEPCT""),)"),2.79)</f>
        <v>2.79</v>
      </c>
      <c r="E933" s="51" t="str">
        <f t="shared" si="1"/>
        <v>2.79%</v>
      </c>
      <c r="F933" s="51">
        <f t="shared" si="2"/>
        <v>2.79</v>
      </c>
      <c r="G933" s="51" t="str">
        <f t="shared" si="3"/>
        <v/>
      </c>
      <c r="H933" s="51">
        <f>IFERROR(__xludf.DUMMYFUNCTION("IFERROR(GOOGLEFINANCE(A933,""PRICE""),)"),28.75)</f>
        <v>28.75</v>
      </c>
      <c r="I933" s="52">
        <f>IFERROR(__xludf.DUMMYFUNCTION("IFERROR(GOOGLEFINANCE(A933,""VOLUME""),)"),38267.0)</f>
        <v>38267</v>
      </c>
      <c r="J933" s="51" t="str">
        <f>IFERROR(__xludf.DUMMYFUNCTION("IFERROR(INDEX(SPLIT(A933,"":""),1,2),)"),"MOTOGENFIN")</f>
        <v>MOTOGENFIN</v>
      </c>
      <c r="K933" s="51">
        <f t="shared" si="4"/>
        <v>177</v>
      </c>
      <c r="L933" s="51" t="str">
        <f t="shared" si="5"/>
        <v/>
      </c>
      <c r="M933" s="51">
        <f t="shared" si="6"/>
        <v>1011</v>
      </c>
      <c r="N933" s="53">
        <f>IFERROR(__xludf.DUMMYFUNCTION("IFERROR(GOOGLEFINANCE(A933,""TRADETIME""),)"),46269.64583333333)</f>
        <v>46269.64583</v>
      </c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</row>
    <row r="934" ht="15.75" customHeight="1">
      <c r="A934" s="48" t="s">
        <v>980</v>
      </c>
      <c r="B934" s="48" t="str">
        <f>IFERROR(__xludf.DUMMYFUNCTION("IFERROR(GOOGLEFINANCE(A934,""NAME""),)"),"Mphasis Ltd")</f>
        <v>Mphasis Ltd</v>
      </c>
      <c r="C934" s="48">
        <f>IFERROR(__xludf.DUMMYFUNCTION("IFERROR(GOOGLEFINANCE(A934,""CHANGE""),)"),-47.5)</f>
        <v>-47.5</v>
      </c>
      <c r="D934" s="48">
        <f>IFERROR(__xludf.DUMMYFUNCTION("IFERROR(GOOGLEFINANCE(A934,""CHANGEPCT""),)"),-1.92)</f>
        <v>-1.92</v>
      </c>
      <c r="E934" s="48" t="str">
        <f t="shared" si="1"/>
        <v>-1.92%</v>
      </c>
      <c r="F934" s="48" t="str">
        <f t="shared" si="2"/>
        <v/>
      </c>
      <c r="G934" s="48">
        <f t="shared" si="3"/>
        <v>-1.92</v>
      </c>
      <c r="H934" s="48">
        <f>IFERROR(__xludf.DUMMYFUNCTION("IFERROR(GOOGLEFINANCE(A934,""PRICE""),)"),2423.5)</f>
        <v>2423.5</v>
      </c>
      <c r="I934" s="49">
        <f>IFERROR(__xludf.DUMMYFUNCTION("IFERROR(GOOGLEFINANCE(A934,""VOLUME""),)"),160732.0)</f>
        <v>160732</v>
      </c>
      <c r="J934" s="48" t="str">
        <f>IFERROR(__xludf.DUMMYFUNCTION("IFERROR(INDEX(SPLIT(A934,"":""),1,2),)"),"MPHASIS")</f>
        <v>MPHASIS</v>
      </c>
      <c r="K934" s="48" t="str">
        <f t="shared" si="4"/>
        <v/>
      </c>
      <c r="L934" s="48">
        <f t="shared" si="5"/>
        <v>512</v>
      </c>
      <c r="M934" s="48">
        <f t="shared" si="6"/>
        <v>673</v>
      </c>
      <c r="N934" s="50">
        <f>IFERROR(__xludf.DUMMYFUNCTION("IFERROR(GOOGLEFINANCE(A934,""TRADETIME""),)"),46269.64583333333)</f>
        <v>46269.64583</v>
      </c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</row>
    <row r="935" ht="15.75" customHeight="1">
      <c r="A935" s="51" t="s">
        <v>981</v>
      </c>
      <c r="B935" s="51" t="str">
        <f>IFERROR(__xludf.DUMMYFUNCTION("IFERROR(GOOGLEFINANCE(A935,""NAME""),)"),"Mps Ltd")</f>
        <v>Mps Ltd</v>
      </c>
      <c r="C935" s="51">
        <f>IFERROR(__xludf.DUMMYFUNCTION("IFERROR(GOOGLEFINANCE(A935,""CHANGE""),)"),29.5)</f>
        <v>29.5</v>
      </c>
      <c r="D935" s="51">
        <f>IFERROR(__xludf.DUMMYFUNCTION("IFERROR(GOOGLEFINANCE(A935,""CHANGEPCT""),)"),1.13)</f>
        <v>1.13</v>
      </c>
      <c r="E935" s="51" t="str">
        <f t="shared" si="1"/>
        <v>1.13%</v>
      </c>
      <c r="F935" s="51">
        <f t="shared" si="2"/>
        <v>1.13</v>
      </c>
      <c r="G935" s="51" t="str">
        <f t="shared" si="3"/>
        <v/>
      </c>
      <c r="H935" s="51">
        <f>IFERROR(__xludf.DUMMYFUNCTION("IFERROR(GOOGLEFINANCE(A935,""PRICE""),)"),2650.1)</f>
        <v>2650.1</v>
      </c>
      <c r="I935" s="52">
        <f>IFERROR(__xludf.DUMMYFUNCTION("IFERROR(GOOGLEFINANCE(A935,""VOLUME""),)"),15166.0)</f>
        <v>15166</v>
      </c>
      <c r="J935" s="51" t="str">
        <f>IFERROR(__xludf.DUMMYFUNCTION("IFERROR(INDEX(SPLIT(A935,"":""),1,2),)"),"MPSLTD")</f>
        <v>MPSLTD</v>
      </c>
      <c r="K935" s="51">
        <f t="shared" si="4"/>
        <v>427</v>
      </c>
      <c r="L935" s="51" t="str">
        <f t="shared" si="5"/>
        <v/>
      </c>
      <c r="M935" s="51">
        <f t="shared" si="6"/>
        <v>1175</v>
      </c>
      <c r="N935" s="53">
        <f>IFERROR(__xludf.DUMMYFUNCTION("IFERROR(GOOGLEFINANCE(A935,""TRADETIME""),)"),46269.64586805555)</f>
        <v>46269.64587</v>
      </c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</row>
    <row r="936" ht="15.75" customHeight="1">
      <c r="A936" s="48" t="s">
        <v>982</v>
      </c>
      <c r="B936" s="48" t="str">
        <f>IFERROR(__xludf.DUMMYFUNCTION("IFERROR(GOOGLEFINANCE(A936,""NAME""),)"),"MRF Ltd")</f>
        <v>MRF Ltd</v>
      </c>
      <c r="C936" s="48">
        <f>IFERROR(__xludf.DUMMYFUNCTION("IFERROR(GOOGLEFINANCE(A936,""CHANGE""),)"),-510.0)</f>
        <v>-510</v>
      </c>
      <c r="D936" s="48">
        <f>IFERROR(__xludf.DUMMYFUNCTION("IFERROR(GOOGLEFINANCE(A936,""CHANGEPCT""),)"),-0.39)</f>
        <v>-0.39</v>
      </c>
      <c r="E936" s="48" t="str">
        <f t="shared" si="1"/>
        <v>-0.39%</v>
      </c>
      <c r="F936" s="48" t="str">
        <f t="shared" si="2"/>
        <v/>
      </c>
      <c r="G936" s="48">
        <f t="shared" si="3"/>
        <v>-0.39</v>
      </c>
      <c r="H936" s="48">
        <f>IFERROR(__xludf.DUMMYFUNCTION("IFERROR(GOOGLEFINANCE(A936,""PRICE""),)"),130000.0)</f>
        <v>130000</v>
      </c>
      <c r="I936" s="49">
        <f>IFERROR(__xludf.DUMMYFUNCTION("IFERROR(GOOGLEFINANCE(A936,""VOLUME""),)"),4656.0)</f>
        <v>4656</v>
      </c>
      <c r="J936" s="48" t="str">
        <f>IFERROR(__xludf.DUMMYFUNCTION("IFERROR(INDEX(SPLIT(A936,"":""),1,2),)"),"MRF")</f>
        <v>MRF</v>
      </c>
      <c r="K936" s="48" t="str">
        <f t="shared" si="4"/>
        <v/>
      </c>
      <c r="L936" s="48">
        <f t="shared" si="5"/>
        <v>150</v>
      </c>
      <c r="M936" s="48">
        <f t="shared" si="6"/>
        <v>1333</v>
      </c>
      <c r="N936" s="50">
        <f>IFERROR(__xludf.DUMMYFUNCTION("IFERROR(GOOGLEFINANCE(A936,""TRADETIME""),)"),46269.64583333333)</f>
        <v>46269.64583</v>
      </c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</row>
    <row r="937" ht="15.75" customHeight="1">
      <c r="A937" s="51" t="s">
        <v>983</v>
      </c>
      <c r="B937" s="51" t="str">
        <f>IFERROR(__xludf.DUMMYFUNCTION("IFERROR(GOOGLEFINANCE(A937,""NAME""),)"),"")</f>
        <v/>
      </c>
      <c r="C937" s="51" t="str">
        <f>IFERROR(__xludf.DUMMYFUNCTION("IFERROR(GOOGLEFINANCE(A937,""CHANGE""),)"),"")</f>
        <v/>
      </c>
      <c r="D937" s="51" t="str">
        <f>IFERROR(__xludf.DUMMYFUNCTION("IFERROR(GOOGLEFINANCE(A937,""CHANGEPCT""),)"),"")</f>
        <v/>
      </c>
      <c r="E937" s="51" t="str">
        <f t="shared" si="1"/>
        <v>%</v>
      </c>
      <c r="F937" s="51" t="str">
        <f t="shared" si="2"/>
        <v/>
      </c>
      <c r="G937" s="51" t="str">
        <f t="shared" si="3"/>
        <v/>
      </c>
      <c r="H937" s="51" t="str">
        <f>IFERROR(__xludf.DUMMYFUNCTION("IFERROR(GOOGLEFINANCE(A937,""PRICE""),)"),"")</f>
        <v/>
      </c>
      <c r="I937" s="52" t="str">
        <f>IFERROR(__xludf.DUMMYFUNCTION("IFERROR(GOOGLEFINANCE(A937,""VOLUME""),)"),"")</f>
        <v/>
      </c>
      <c r="J937" s="51" t="str">
        <f>IFERROR(__xludf.DUMMYFUNCTION("IFERROR(INDEX(SPLIT(A937,"":""),1,2),)"),"MRO-TEK")</f>
        <v>MRO-TEK</v>
      </c>
      <c r="K937" s="51" t="str">
        <f t="shared" si="4"/>
        <v/>
      </c>
      <c r="L937" s="51" t="str">
        <f t="shared" si="5"/>
        <v/>
      </c>
      <c r="M937" s="51">
        <f t="shared" si="6"/>
        <v>1456</v>
      </c>
      <c r="N937" s="53" t="str">
        <f>IFERROR(__xludf.DUMMYFUNCTION("IFERROR(GOOGLEFINANCE(A937,""TRADETIME""),)"),"")</f>
        <v/>
      </c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</row>
    <row r="938" ht="15.75" customHeight="1">
      <c r="A938" s="48" t="s">
        <v>984</v>
      </c>
      <c r="B938" s="48" t="str">
        <f>IFERROR(__xludf.DUMMYFUNCTION("IFERROR(GOOGLEFINANCE(A938,""NAME""),)"),"Mangalore Refinery and Petrochmcls Ltd")</f>
        <v>Mangalore Refinery and Petrochmcls Ltd</v>
      </c>
      <c r="C938" s="48">
        <f>IFERROR(__xludf.DUMMYFUNCTION("IFERROR(GOOGLEFINANCE(A938,""CHANGE""),)"),-0.59)</f>
        <v>-0.59</v>
      </c>
      <c r="D938" s="48">
        <f>IFERROR(__xludf.DUMMYFUNCTION("IFERROR(GOOGLEFINANCE(A938,""CHANGEPCT""),)"),-0.34)</f>
        <v>-0.34</v>
      </c>
      <c r="E938" s="48" t="str">
        <f t="shared" si="1"/>
        <v>-0.34%</v>
      </c>
      <c r="F938" s="48" t="str">
        <f t="shared" si="2"/>
        <v/>
      </c>
      <c r="G938" s="48">
        <f t="shared" si="3"/>
        <v>-0.34</v>
      </c>
      <c r="H938" s="48">
        <f>IFERROR(__xludf.DUMMYFUNCTION("IFERROR(GOOGLEFINANCE(A938,""PRICE""),)"),175.4)</f>
        <v>175.4</v>
      </c>
      <c r="I938" s="49">
        <f>IFERROR(__xludf.DUMMYFUNCTION("IFERROR(GOOGLEFINANCE(A938,""VOLUME""),)"),3031271.0)</f>
        <v>3031271</v>
      </c>
      <c r="J938" s="48" t="str">
        <f>IFERROR(__xludf.DUMMYFUNCTION("IFERROR(INDEX(SPLIT(A938,"":""),1,2),)"),"MRPL")</f>
        <v>MRPL</v>
      </c>
      <c r="K938" s="48" t="str">
        <f t="shared" si="4"/>
        <v/>
      </c>
      <c r="L938" s="48">
        <f t="shared" si="5"/>
        <v>133</v>
      </c>
      <c r="M938" s="48">
        <f t="shared" si="6"/>
        <v>125</v>
      </c>
      <c r="N938" s="50">
        <f>IFERROR(__xludf.DUMMYFUNCTION("IFERROR(GOOGLEFINANCE(A938,""TRADETIME""),)"),46269.64585648148)</f>
        <v>46269.64586</v>
      </c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</row>
    <row r="939" ht="15.75" customHeight="1">
      <c r="A939" s="51" t="s">
        <v>985</v>
      </c>
      <c r="B939" s="51" t="str">
        <f>IFERROR(__xludf.DUMMYFUNCTION("IFERROR(GOOGLEFINANCE(A939,""NAME""),)"),"MSP Steel &amp; Power Ltd")</f>
        <v>MSP Steel &amp; Power Ltd</v>
      </c>
      <c r="C939" s="51">
        <f>IFERROR(__xludf.DUMMYFUNCTION("IFERROR(GOOGLEFINANCE(A939,""CHANGE""),)"),0.14)</f>
        <v>0.14</v>
      </c>
      <c r="D939" s="51">
        <f>IFERROR(__xludf.DUMMYFUNCTION("IFERROR(GOOGLEFINANCE(A939,""CHANGEPCT""),)"),0.4)</f>
        <v>0.4</v>
      </c>
      <c r="E939" s="51" t="str">
        <f t="shared" si="1"/>
        <v>0.4%</v>
      </c>
      <c r="F939" s="51">
        <f t="shared" si="2"/>
        <v>0.4</v>
      </c>
      <c r="G939" s="51" t="str">
        <f t="shared" si="3"/>
        <v/>
      </c>
      <c r="H939" s="51">
        <f>IFERROR(__xludf.DUMMYFUNCTION("IFERROR(GOOGLEFINANCE(A939,""PRICE""),)"),35.48)</f>
        <v>35.48</v>
      </c>
      <c r="I939" s="52">
        <f>IFERROR(__xludf.DUMMYFUNCTION("IFERROR(GOOGLEFINANCE(A939,""VOLUME""),)"),334614.0)</f>
        <v>334614</v>
      </c>
      <c r="J939" s="51" t="str">
        <f>IFERROR(__xludf.DUMMYFUNCTION("IFERROR(INDEX(SPLIT(A939,"":""),1,2),)"),"MSPL")</f>
        <v>MSPL</v>
      </c>
      <c r="K939" s="51">
        <f t="shared" si="4"/>
        <v>621</v>
      </c>
      <c r="L939" s="51" t="str">
        <f t="shared" si="5"/>
        <v/>
      </c>
      <c r="M939" s="51">
        <f t="shared" si="6"/>
        <v>483</v>
      </c>
      <c r="N939" s="53">
        <f>IFERROR(__xludf.DUMMYFUNCTION("IFERROR(GOOGLEFINANCE(A939,""TRADETIME""),)"),46269.64585648148)</f>
        <v>46269.64586</v>
      </c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</row>
    <row r="940" ht="15.75" customHeight="1">
      <c r="A940" s="48" t="s">
        <v>986</v>
      </c>
      <c r="B940" s="48" t="str">
        <f>IFERROR(__xludf.DUMMYFUNCTION("IFERROR(GOOGLEFINANCE(A940,""NAME""),)"),"MSTC Ltd")</f>
        <v>MSTC Ltd</v>
      </c>
      <c r="C940" s="48">
        <f>IFERROR(__xludf.DUMMYFUNCTION("IFERROR(GOOGLEFINANCE(A940,""CHANGE""),)"),-8.25)</f>
        <v>-8.25</v>
      </c>
      <c r="D940" s="48">
        <f>IFERROR(__xludf.DUMMYFUNCTION("IFERROR(GOOGLEFINANCE(A940,""CHANGEPCT""),)"),-1.11)</f>
        <v>-1.11</v>
      </c>
      <c r="E940" s="48" t="str">
        <f t="shared" si="1"/>
        <v>-1.11%</v>
      </c>
      <c r="F940" s="48" t="str">
        <f t="shared" si="2"/>
        <v/>
      </c>
      <c r="G940" s="48">
        <f t="shared" si="3"/>
        <v>-1.11</v>
      </c>
      <c r="H940" s="48">
        <f>IFERROR(__xludf.DUMMYFUNCTION("IFERROR(GOOGLEFINANCE(A940,""PRICE""),)"),736.0)</f>
        <v>736</v>
      </c>
      <c r="I940" s="49">
        <f>IFERROR(__xludf.DUMMYFUNCTION("IFERROR(GOOGLEFINANCE(A940,""VOLUME""),)"),159233.0)</f>
        <v>159233</v>
      </c>
      <c r="J940" s="48" t="str">
        <f>IFERROR(__xludf.DUMMYFUNCTION("IFERROR(INDEX(SPLIT(A940,"":""),1,2),)"),"MSTCLTD")</f>
        <v>MSTCLTD</v>
      </c>
      <c r="K940" s="48" t="str">
        <f t="shared" si="4"/>
        <v/>
      </c>
      <c r="L940" s="48">
        <f t="shared" si="5"/>
        <v>362</v>
      </c>
      <c r="M940" s="48">
        <f t="shared" si="6"/>
        <v>676</v>
      </c>
      <c r="N940" s="50">
        <f>IFERROR(__xludf.DUMMYFUNCTION("IFERROR(GOOGLEFINANCE(A940,""TRADETIME""),)"),46269.64585648148)</f>
        <v>46269.64586</v>
      </c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</row>
    <row r="941" ht="15.75" customHeight="1">
      <c r="A941" s="51" t="s">
        <v>987</v>
      </c>
      <c r="B941" s="51" t="str">
        <f>IFERROR(__xludf.DUMMYFUNCTION("IFERROR(GOOGLEFINANCE(A941,""NAME""),)"),"MT Educare Ltd")</f>
        <v>MT Educare Ltd</v>
      </c>
      <c r="C941" s="51">
        <f>IFERROR(__xludf.DUMMYFUNCTION("IFERROR(GOOGLEFINANCE(A941,""CHANGE""),)"),0.08)</f>
        <v>0.08</v>
      </c>
      <c r="D941" s="51">
        <f>IFERROR(__xludf.DUMMYFUNCTION("IFERROR(GOOGLEFINANCE(A941,""CHANGEPCT""),)"),4.73)</f>
        <v>4.73</v>
      </c>
      <c r="E941" s="51" t="str">
        <f t="shared" si="1"/>
        <v>4.73%</v>
      </c>
      <c r="F941" s="51">
        <f t="shared" si="2"/>
        <v>4.73</v>
      </c>
      <c r="G941" s="51" t="str">
        <f t="shared" si="3"/>
        <v/>
      </c>
      <c r="H941" s="51">
        <f>IFERROR(__xludf.DUMMYFUNCTION("IFERROR(GOOGLEFINANCE(A941,""PRICE""),)"),1.77)</f>
        <v>1.77</v>
      </c>
      <c r="I941" s="52">
        <f>IFERROR(__xludf.DUMMYFUNCTION("IFERROR(GOOGLEFINANCE(A941,""VOLUME""),)"),30604.0)</f>
        <v>30604</v>
      </c>
      <c r="J941" s="51" t="str">
        <f>IFERROR(__xludf.DUMMYFUNCTION("IFERROR(INDEX(SPLIT(A941,"":""),1,2),)"),"MTEDUCARE")</f>
        <v>MTEDUCARE</v>
      </c>
      <c r="K941" s="51">
        <f t="shared" si="4"/>
        <v>88</v>
      </c>
      <c r="L941" s="51" t="str">
        <f t="shared" si="5"/>
        <v/>
      </c>
      <c r="M941" s="51">
        <f t="shared" si="6"/>
        <v>1050</v>
      </c>
      <c r="N941" s="53">
        <f>IFERROR(__xludf.DUMMYFUNCTION("IFERROR(GOOGLEFINANCE(A941,""TRADETIME""),)"),46269.64583333333)</f>
        <v>46269.64583</v>
      </c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</row>
    <row r="942" ht="15.75" customHeight="1">
      <c r="A942" s="48" t="s">
        <v>988</v>
      </c>
      <c r="B942" s="48" t="str">
        <f>IFERROR(__xludf.DUMMYFUNCTION("IFERROR(GOOGLEFINANCE(A942,""NAME""),)"),"Mahanagar Telephone Nigam Ltd")</f>
        <v>Mahanagar Telephone Nigam Ltd</v>
      </c>
      <c r="C942" s="48">
        <f>IFERROR(__xludf.DUMMYFUNCTION("IFERROR(GOOGLEFINANCE(A942,""CHANGE""),)"),0.13)</f>
        <v>0.13</v>
      </c>
      <c r="D942" s="48">
        <f>IFERROR(__xludf.DUMMYFUNCTION("IFERROR(GOOGLEFINANCE(A942,""CHANGEPCT""),)"),0.49)</f>
        <v>0.49</v>
      </c>
      <c r="E942" s="48" t="str">
        <f t="shared" si="1"/>
        <v>0.49%</v>
      </c>
      <c r="F942" s="48">
        <f t="shared" si="2"/>
        <v>0.49</v>
      </c>
      <c r="G942" s="48" t="str">
        <f t="shared" si="3"/>
        <v/>
      </c>
      <c r="H942" s="48">
        <f>IFERROR(__xludf.DUMMYFUNCTION("IFERROR(GOOGLEFINANCE(A942,""PRICE""),)"),26.55)</f>
        <v>26.55</v>
      </c>
      <c r="I942" s="49">
        <f>IFERROR(__xludf.DUMMYFUNCTION("IFERROR(GOOGLEFINANCE(A942,""VOLUME""),)"),518060.0)</f>
        <v>518060</v>
      </c>
      <c r="J942" s="48" t="str">
        <f>IFERROR(__xludf.DUMMYFUNCTION("IFERROR(INDEX(SPLIT(A942,"":""),1,2),)"),"MTNL")</f>
        <v>MTNL</v>
      </c>
      <c r="K942" s="48">
        <f t="shared" si="4"/>
        <v>598</v>
      </c>
      <c r="L942" s="48" t="str">
        <f t="shared" si="5"/>
        <v/>
      </c>
      <c r="M942" s="48">
        <f t="shared" si="6"/>
        <v>385</v>
      </c>
      <c r="N942" s="50">
        <f>IFERROR(__xludf.DUMMYFUNCTION("IFERROR(GOOGLEFINANCE(A942,""TRADETIME""),)"),46269.64583333333)</f>
        <v>46269.64583</v>
      </c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</row>
    <row r="943" ht="15.75" customHeight="1">
      <c r="A943" s="51" t="s">
        <v>989</v>
      </c>
      <c r="B943" s="51" t="str">
        <f>IFERROR(__xludf.DUMMYFUNCTION("IFERROR(GOOGLEFINANCE(A943,""NAME""),)"),"Mukand Ltd")</f>
        <v>Mukand Ltd</v>
      </c>
      <c r="C943" s="51">
        <f>IFERROR(__xludf.DUMMYFUNCTION("IFERROR(GOOGLEFINANCE(A943,""CHANGE""),)"),1.23)</f>
        <v>1.23</v>
      </c>
      <c r="D943" s="51">
        <f>IFERROR(__xludf.DUMMYFUNCTION("IFERROR(GOOGLEFINANCE(A943,""CHANGEPCT""),)"),0.93)</f>
        <v>0.93</v>
      </c>
      <c r="E943" s="51" t="str">
        <f t="shared" si="1"/>
        <v>0.93%</v>
      </c>
      <c r="F943" s="51">
        <f t="shared" si="2"/>
        <v>0.93</v>
      </c>
      <c r="G943" s="51" t="str">
        <f t="shared" si="3"/>
        <v/>
      </c>
      <c r="H943" s="51">
        <f>IFERROR(__xludf.DUMMYFUNCTION("IFERROR(GOOGLEFINANCE(A943,""PRICE""),)"),134.2)</f>
        <v>134.2</v>
      </c>
      <c r="I943" s="52">
        <f>IFERROR(__xludf.DUMMYFUNCTION("IFERROR(GOOGLEFINANCE(A943,""VOLUME""),)"),44731.0)</f>
        <v>44731</v>
      </c>
      <c r="J943" s="51" t="str">
        <f>IFERROR(__xludf.DUMMYFUNCTION("IFERROR(INDEX(SPLIT(A943,"":""),1,2),)"),"MUKANDLTD")</f>
        <v>MUKANDLTD</v>
      </c>
      <c r="K943" s="51">
        <f t="shared" si="4"/>
        <v>464</v>
      </c>
      <c r="L943" s="51" t="str">
        <f t="shared" si="5"/>
        <v/>
      </c>
      <c r="M943" s="51">
        <f t="shared" si="6"/>
        <v>972</v>
      </c>
      <c r="N943" s="53">
        <f>IFERROR(__xludf.DUMMYFUNCTION("IFERROR(GOOGLEFINANCE(A943,""TRADETIME""),)"),46269.64585648148)</f>
        <v>46269.64586</v>
      </c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</row>
    <row r="944" ht="15.75" customHeight="1">
      <c r="A944" s="48" t="s">
        <v>990</v>
      </c>
      <c r="B944" s="48" t="str">
        <f>IFERROR(__xludf.DUMMYFUNCTION("IFERROR(GOOGLEFINANCE(A944,""NAME""),)"),"Mukta Arts Ltd")</f>
        <v>Mukta Arts Ltd</v>
      </c>
      <c r="C944" s="48">
        <f>IFERROR(__xludf.DUMMYFUNCTION("IFERROR(GOOGLEFINANCE(A944,""CHANGE""),)"),2.8)</f>
        <v>2.8</v>
      </c>
      <c r="D944" s="48">
        <f>IFERROR(__xludf.DUMMYFUNCTION("IFERROR(GOOGLEFINANCE(A944,""CHANGEPCT""),)"),4.99)</f>
        <v>4.99</v>
      </c>
      <c r="E944" s="48" t="str">
        <f t="shared" si="1"/>
        <v>4.99%</v>
      </c>
      <c r="F944" s="48">
        <f t="shared" si="2"/>
        <v>4.99</v>
      </c>
      <c r="G944" s="48" t="str">
        <f t="shared" si="3"/>
        <v/>
      </c>
      <c r="H944" s="48">
        <f>IFERROR(__xludf.DUMMYFUNCTION("IFERROR(GOOGLEFINANCE(A944,""PRICE""),)"),58.9)</f>
        <v>58.9</v>
      </c>
      <c r="I944" s="49">
        <f>IFERROR(__xludf.DUMMYFUNCTION("IFERROR(GOOGLEFINANCE(A944,""VOLUME""),)"),13799.0)</f>
        <v>13799</v>
      </c>
      <c r="J944" s="48" t="str">
        <f>IFERROR(__xludf.DUMMYFUNCTION("IFERROR(INDEX(SPLIT(A944,"":""),1,2),)"),"MUKTAARTS")</f>
        <v>MUKTAARTS</v>
      </c>
      <c r="K944" s="48">
        <f t="shared" si="4"/>
        <v>68</v>
      </c>
      <c r="L944" s="48" t="str">
        <f t="shared" si="5"/>
        <v/>
      </c>
      <c r="M944" s="48">
        <f t="shared" si="6"/>
        <v>1191</v>
      </c>
      <c r="N944" s="50">
        <f>IFERROR(__xludf.DUMMYFUNCTION("IFERROR(GOOGLEFINANCE(A944,""TRADETIME""),)"),46269.64583333333)</f>
        <v>46269.64583</v>
      </c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</row>
    <row r="945" ht="15.75" customHeight="1">
      <c r="A945" s="51" t="s">
        <v>991</v>
      </c>
      <c r="B945" s="51" t="str">
        <f>IFERROR(__xludf.DUMMYFUNCTION("IFERROR(GOOGLEFINANCE(A945,""NAME""),)"),"Munjal Auto Industries Ltd")</f>
        <v>Munjal Auto Industries Ltd</v>
      </c>
      <c r="C945" s="51">
        <f>IFERROR(__xludf.DUMMYFUNCTION("IFERROR(GOOGLEFINANCE(A945,""CHANGE""),)"),-0.82)</f>
        <v>-0.82</v>
      </c>
      <c r="D945" s="51">
        <f>IFERROR(__xludf.DUMMYFUNCTION("IFERROR(GOOGLEFINANCE(A945,""CHANGEPCT""),)"),-0.73)</f>
        <v>-0.73</v>
      </c>
      <c r="E945" s="51" t="str">
        <f t="shared" si="1"/>
        <v>-0.73%</v>
      </c>
      <c r="F945" s="51" t="str">
        <f t="shared" si="2"/>
        <v/>
      </c>
      <c r="G945" s="51">
        <f t="shared" si="3"/>
        <v>-0.73</v>
      </c>
      <c r="H945" s="51">
        <f>IFERROR(__xludf.DUMMYFUNCTION("IFERROR(GOOGLEFINANCE(A945,""PRICE""),)"),112.1)</f>
        <v>112.1</v>
      </c>
      <c r="I945" s="52">
        <f>IFERROR(__xludf.DUMMYFUNCTION("IFERROR(GOOGLEFINANCE(A945,""VOLUME""),)"),317397.0)</f>
        <v>317397</v>
      </c>
      <c r="J945" s="51" t="str">
        <f>IFERROR(__xludf.DUMMYFUNCTION("IFERROR(INDEX(SPLIT(A945,"":""),1,2),)"),"MUNJALAU")</f>
        <v>MUNJALAU</v>
      </c>
      <c r="K945" s="51" t="str">
        <f t="shared" si="4"/>
        <v/>
      </c>
      <c r="L945" s="51">
        <f t="shared" si="5"/>
        <v>277</v>
      </c>
      <c r="M945" s="51">
        <f t="shared" si="6"/>
        <v>496</v>
      </c>
      <c r="N945" s="53">
        <f>IFERROR(__xludf.DUMMYFUNCTION("IFERROR(GOOGLEFINANCE(A945,""TRADETIME""),)"),46269.64583333333)</f>
        <v>46269.64583</v>
      </c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</row>
    <row r="946" ht="15.75" customHeight="1">
      <c r="A946" s="48" t="s">
        <v>992</v>
      </c>
      <c r="B946" s="48" t="str">
        <f>IFERROR(__xludf.DUMMYFUNCTION("IFERROR(GOOGLEFINANCE(A946,""NAME""),)"),"Munjal Showa Ltd")</f>
        <v>Munjal Showa Ltd</v>
      </c>
      <c r="C946" s="48">
        <f>IFERROR(__xludf.DUMMYFUNCTION("IFERROR(GOOGLEFINANCE(A946,""CHANGE""),)"),0.53)</f>
        <v>0.53</v>
      </c>
      <c r="D946" s="48">
        <f>IFERROR(__xludf.DUMMYFUNCTION("IFERROR(GOOGLEFINANCE(A946,""CHANGEPCT""),)"),0.41)</f>
        <v>0.41</v>
      </c>
      <c r="E946" s="48" t="str">
        <f t="shared" si="1"/>
        <v>0.41%</v>
      </c>
      <c r="F946" s="48">
        <f t="shared" si="2"/>
        <v>0.41</v>
      </c>
      <c r="G946" s="48" t="str">
        <f t="shared" si="3"/>
        <v/>
      </c>
      <c r="H946" s="48">
        <f>IFERROR(__xludf.DUMMYFUNCTION("IFERROR(GOOGLEFINANCE(A946,""PRICE""),)"),129.8)</f>
        <v>129.8</v>
      </c>
      <c r="I946" s="49">
        <f>IFERROR(__xludf.DUMMYFUNCTION("IFERROR(GOOGLEFINANCE(A946,""VOLUME""),)"),19122.0)</f>
        <v>19122</v>
      </c>
      <c r="J946" s="48" t="str">
        <f>IFERROR(__xludf.DUMMYFUNCTION("IFERROR(INDEX(SPLIT(A946,"":""),1,2),)"),"MUNJALSHOW")</f>
        <v>MUNJALSHOW</v>
      </c>
      <c r="K946" s="48">
        <f t="shared" si="4"/>
        <v>619</v>
      </c>
      <c r="L946" s="48" t="str">
        <f t="shared" si="5"/>
        <v/>
      </c>
      <c r="M946" s="48">
        <f t="shared" si="6"/>
        <v>1133</v>
      </c>
      <c r="N946" s="50">
        <f>IFERROR(__xludf.DUMMYFUNCTION("IFERROR(GOOGLEFINANCE(A946,""TRADETIME""),)"),46269.64583333333)</f>
        <v>46269.64583</v>
      </c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</row>
    <row r="947" ht="15.75" customHeight="1">
      <c r="A947" s="51" t="s">
        <v>993</v>
      </c>
      <c r="B947" s="51" t="str">
        <f>IFERROR(__xludf.DUMMYFUNCTION("IFERROR(GOOGLEFINANCE(A947,""NAME""),)"),"Murudeshwar Ceramics Ltd")</f>
        <v>Murudeshwar Ceramics Ltd</v>
      </c>
      <c r="C947" s="51">
        <f>IFERROR(__xludf.DUMMYFUNCTION("IFERROR(GOOGLEFINANCE(A947,""CHANGE""),)"),-0.26)</f>
        <v>-0.26</v>
      </c>
      <c r="D947" s="51">
        <f>IFERROR(__xludf.DUMMYFUNCTION("IFERROR(GOOGLEFINANCE(A947,""CHANGEPCT""),)"),-0.87)</f>
        <v>-0.87</v>
      </c>
      <c r="E947" s="51" t="str">
        <f t="shared" si="1"/>
        <v>-0.87%</v>
      </c>
      <c r="F947" s="51" t="str">
        <f t="shared" si="2"/>
        <v/>
      </c>
      <c r="G947" s="51">
        <f t="shared" si="3"/>
        <v>-0.87</v>
      </c>
      <c r="H947" s="51">
        <f>IFERROR(__xludf.DUMMYFUNCTION("IFERROR(GOOGLEFINANCE(A947,""PRICE""),)"),29.71)</f>
        <v>29.71</v>
      </c>
      <c r="I947" s="52">
        <f>IFERROR(__xludf.DUMMYFUNCTION("IFERROR(GOOGLEFINANCE(A947,""VOLUME""),)"),15994.0)</f>
        <v>15994</v>
      </c>
      <c r="J947" s="51" t="str">
        <f>IFERROR(__xludf.DUMMYFUNCTION("IFERROR(INDEX(SPLIT(A947,"":""),1,2),)"),"MURUDCERA")</f>
        <v>MURUDCERA</v>
      </c>
      <c r="K947" s="51" t="str">
        <f t="shared" si="4"/>
        <v/>
      </c>
      <c r="L947" s="51">
        <f t="shared" si="5"/>
        <v>312</v>
      </c>
      <c r="M947" s="51">
        <f t="shared" si="6"/>
        <v>1165</v>
      </c>
      <c r="N947" s="53">
        <f>IFERROR(__xludf.DUMMYFUNCTION("IFERROR(GOOGLEFINANCE(A947,""TRADETIME""),)"),46269.64583333333)</f>
        <v>46269.64583</v>
      </c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</row>
    <row r="948" ht="15.75" customHeight="1">
      <c r="A948" s="48" t="s">
        <v>994</v>
      </c>
      <c r="B948" s="48" t="str">
        <f>IFERROR(__xludf.DUMMYFUNCTION("IFERROR(GOOGLEFINANCE(A948,""NAME""),)"),"Muthoot Capital Services Ltd")</f>
        <v>Muthoot Capital Services Ltd</v>
      </c>
      <c r="C948" s="48">
        <f>IFERROR(__xludf.DUMMYFUNCTION("IFERROR(GOOGLEFINANCE(A948,""CHANGE""),)"),-3.0)</f>
        <v>-3</v>
      </c>
      <c r="D948" s="48">
        <f>IFERROR(__xludf.DUMMYFUNCTION("IFERROR(GOOGLEFINANCE(A948,""CHANGEPCT""),)"),-1.23)</f>
        <v>-1.23</v>
      </c>
      <c r="E948" s="48" t="str">
        <f t="shared" si="1"/>
        <v>-1.23%</v>
      </c>
      <c r="F948" s="48" t="str">
        <f t="shared" si="2"/>
        <v/>
      </c>
      <c r="G948" s="48">
        <f t="shared" si="3"/>
        <v>-1.23</v>
      </c>
      <c r="H948" s="48">
        <f>IFERROR(__xludf.DUMMYFUNCTION("IFERROR(GOOGLEFINANCE(A948,""PRICE""),)"),240.75)</f>
        <v>240.75</v>
      </c>
      <c r="I948" s="49">
        <f>IFERROR(__xludf.DUMMYFUNCTION("IFERROR(GOOGLEFINANCE(A948,""VOLUME""),)"),9133.0)</f>
        <v>9133</v>
      </c>
      <c r="J948" s="48" t="str">
        <f>IFERROR(__xludf.DUMMYFUNCTION("IFERROR(INDEX(SPLIT(A948,"":""),1,2),)"),"MUTHOOTCAP")</f>
        <v>MUTHOOTCAP</v>
      </c>
      <c r="K948" s="48" t="str">
        <f t="shared" si="4"/>
        <v/>
      </c>
      <c r="L948" s="48">
        <f t="shared" si="5"/>
        <v>382</v>
      </c>
      <c r="M948" s="48">
        <f t="shared" si="6"/>
        <v>1245</v>
      </c>
      <c r="N948" s="50">
        <f>IFERROR(__xludf.DUMMYFUNCTION("IFERROR(GOOGLEFINANCE(A948,""TRADETIME""),)"),46269.64583333333)</f>
        <v>46269.64583</v>
      </c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</row>
    <row r="949" ht="15.75" customHeight="1">
      <c r="A949" s="51" t="s">
        <v>995</v>
      </c>
      <c r="B949" s="51" t="str">
        <f>IFERROR(__xludf.DUMMYFUNCTION("IFERROR(GOOGLEFINANCE(A949,""NAME""),)"),"Muthoot Finance Ltd")</f>
        <v>Muthoot Finance Ltd</v>
      </c>
      <c r="C949" s="51">
        <f>IFERROR(__xludf.DUMMYFUNCTION("IFERROR(GOOGLEFINANCE(A949,""CHANGE""),)"),-0.5)</f>
        <v>-0.5</v>
      </c>
      <c r="D949" s="51">
        <f>IFERROR(__xludf.DUMMYFUNCTION("IFERROR(GOOGLEFINANCE(A949,""CHANGEPCT""),)"),-0.02)</f>
        <v>-0.02</v>
      </c>
      <c r="E949" s="51" t="str">
        <f t="shared" si="1"/>
        <v>-0.02%</v>
      </c>
      <c r="F949" s="51" t="str">
        <f t="shared" si="2"/>
        <v/>
      </c>
      <c r="G949" s="51">
        <f t="shared" si="3"/>
        <v>-0.02</v>
      </c>
      <c r="H949" s="51">
        <f>IFERROR(__xludf.DUMMYFUNCTION("IFERROR(GOOGLEFINANCE(A949,""PRICE""),)"),2926.0)</f>
        <v>2926</v>
      </c>
      <c r="I949" s="52">
        <f>IFERROR(__xludf.DUMMYFUNCTION("IFERROR(GOOGLEFINANCE(A949,""VOLUME""),)"),583485.0)</f>
        <v>583485</v>
      </c>
      <c r="J949" s="51" t="str">
        <f>IFERROR(__xludf.DUMMYFUNCTION("IFERROR(INDEX(SPLIT(A949,"":""),1,2),)"),"MUTHOOTFIN")</f>
        <v>MUTHOOTFIN</v>
      </c>
      <c r="K949" s="51" t="str">
        <f t="shared" si="4"/>
        <v/>
      </c>
      <c r="L949" s="51">
        <f t="shared" si="5"/>
        <v>4</v>
      </c>
      <c r="M949" s="51">
        <f t="shared" si="6"/>
        <v>365</v>
      </c>
      <c r="N949" s="53">
        <f>IFERROR(__xludf.DUMMYFUNCTION("IFERROR(GOOGLEFINANCE(A949,""TRADETIME""),)"),46269.64583333333)</f>
        <v>46269.64583</v>
      </c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</row>
    <row r="950" ht="15.75" customHeight="1">
      <c r="A950" s="48" t="s">
        <v>996</v>
      </c>
      <c r="B950" s="48" t="str">
        <f>IFERROR(__xludf.DUMMYFUNCTION("IFERROR(GOOGLEFINANCE(A950,""NAME""),)"),"NACL Industries Ltd")</f>
        <v>NACL Industries Ltd</v>
      </c>
      <c r="C950" s="48">
        <f>IFERROR(__xludf.DUMMYFUNCTION("IFERROR(GOOGLEFINANCE(A950,""CHANGE""),)"),1.35)</f>
        <v>1.35</v>
      </c>
      <c r="D950" s="48">
        <f>IFERROR(__xludf.DUMMYFUNCTION("IFERROR(GOOGLEFINANCE(A950,""CHANGEPCT""),)"),0.81)</f>
        <v>0.81</v>
      </c>
      <c r="E950" s="48" t="str">
        <f t="shared" si="1"/>
        <v>0.81%</v>
      </c>
      <c r="F950" s="48">
        <f t="shared" si="2"/>
        <v>0.81</v>
      </c>
      <c r="G950" s="48" t="str">
        <f t="shared" si="3"/>
        <v/>
      </c>
      <c r="H950" s="48">
        <f>IFERROR(__xludf.DUMMYFUNCTION("IFERROR(GOOGLEFINANCE(A950,""PRICE""),)"),167.8)</f>
        <v>167.8</v>
      </c>
      <c r="I950" s="49">
        <f>IFERROR(__xludf.DUMMYFUNCTION("IFERROR(GOOGLEFINANCE(A950,""VOLUME""),)"),220617.0)</f>
        <v>220617</v>
      </c>
      <c r="J950" s="48" t="str">
        <f>IFERROR(__xludf.DUMMYFUNCTION("IFERROR(INDEX(SPLIT(A950,"":""),1,2),)"),"NACLIND")</f>
        <v>NACLIND</v>
      </c>
      <c r="K950" s="48">
        <f t="shared" si="4"/>
        <v>497</v>
      </c>
      <c r="L950" s="48" t="str">
        <f t="shared" si="5"/>
        <v/>
      </c>
      <c r="M950" s="48">
        <f t="shared" si="6"/>
        <v>596</v>
      </c>
      <c r="N950" s="50">
        <f>IFERROR(__xludf.DUMMYFUNCTION("IFERROR(GOOGLEFINANCE(A950,""TRADETIME""),)"),46269.64583333333)</f>
        <v>46269.64583</v>
      </c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</row>
    <row r="951" ht="15.75" customHeight="1">
      <c r="A951" s="51" t="s">
        <v>997</v>
      </c>
      <c r="B951" s="51" t="str">
        <f>IFERROR(__xludf.DUMMYFUNCTION("IFERROR(GOOGLEFINANCE(A951,""NAME""),)"),"Nagarjuna Fertilizers and Chemicals Ltd")</f>
        <v>Nagarjuna Fertilizers and Chemicals Ltd</v>
      </c>
      <c r="C951" s="51">
        <f>IFERROR(__xludf.DUMMYFUNCTION("IFERROR(GOOGLEFINANCE(A951,""CHANGE""),)"),-0.1)</f>
        <v>-0.1</v>
      </c>
      <c r="D951" s="51">
        <f>IFERROR(__xludf.DUMMYFUNCTION("IFERROR(GOOGLEFINANCE(A951,""CHANGEPCT""),)"),-4.65)</f>
        <v>-4.65</v>
      </c>
      <c r="E951" s="51" t="str">
        <f t="shared" si="1"/>
        <v>-4.65%</v>
      </c>
      <c r="F951" s="51" t="str">
        <f t="shared" si="2"/>
        <v/>
      </c>
      <c r="G951" s="51">
        <f t="shared" si="3"/>
        <v>-4.65</v>
      </c>
      <c r="H951" s="51">
        <f>IFERROR(__xludf.DUMMYFUNCTION("IFERROR(GOOGLEFINANCE(A951,""PRICE""),)"),2.05)</f>
        <v>2.05</v>
      </c>
      <c r="I951" s="52">
        <f>IFERROR(__xludf.DUMMYFUNCTION("IFERROR(GOOGLEFINANCE(A951,""VOLUME""),)"),682258.0)</f>
        <v>682258</v>
      </c>
      <c r="J951" s="51" t="str">
        <f>IFERROR(__xludf.DUMMYFUNCTION("IFERROR(INDEX(SPLIT(A951,"":""),1,2),)"),"NAGAFERT")</f>
        <v>NAGAFERT</v>
      </c>
      <c r="K951" s="51" t="str">
        <f t="shared" si="4"/>
        <v/>
      </c>
      <c r="L951" s="51">
        <f t="shared" si="5"/>
        <v>633</v>
      </c>
      <c r="M951" s="51">
        <f t="shared" si="6"/>
        <v>335</v>
      </c>
      <c r="N951" s="53">
        <f>IFERROR(__xludf.DUMMYFUNCTION("IFERROR(GOOGLEFINANCE(A951,""TRADETIME""),)"),46265.64583333333)</f>
        <v>46265.64583</v>
      </c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</row>
    <row r="952" ht="15.75" customHeight="1">
      <c r="A952" s="48" t="s">
        <v>998</v>
      </c>
      <c r="B952" s="48" t="str">
        <f>IFERROR(__xludf.DUMMYFUNCTION("IFERROR(GOOGLEFINANCE(A952,""NAME""),)"),"Nagreeka Capital &amp; Infrastructure Ltd")</f>
        <v>Nagreeka Capital &amp; Infrastructure Ltd</v>
      </c>
      <c r="C952" s="48">
        <f>IFERROR(__xludf.DUMMYFUNCTION("IFERROR(GOOGLEFINANCE(A952,""CHANGE""),)"),0.47)</f>
        <v>0.47</v>
      </c>
      <c r="D952" s="48">
        <f>IFERROR(__xludf.DUMMYFUNCTION("IFERROR(GOOGLEFINANCE(A952,""CHANGEPCT""),)"),2.06)</f>
        <v>2.06</v>
      </c>
      <c r="E952" s="48" t="str">
        <f t="shared" si="1"/>
        <v>2.06%</v>
      </c>
      <c r="F952" s="48">
        <f t="shared" si="2"/>
        <v>2.06</v>
      </c>
      <c r="G952" s="48" t="str">
        <f t="shared" si="3"/>
        <v/>
      </c>
      <c r="H952" s="48">
        <f>IFERROR(__xludf.DUMMYFUNCTION("IFERROR(GOOGLEFINANCE(A952,""PRICE""),)"),23.34)</f>
        <v>23.34</v>
      </c>
      <c r="I952" s="49">
        <f>IFERROR(__xludf.DUMMYFUNCTION("IFERROR(GOOGLEFINANCE(A952,""VOLUME""),)"),2918.0)</f>
        <v>2918</v>
      </c>
      <c r="J952" s="48" t="str">
        <f>IFERROR(__xludf.DUMMYFUNCTION("IFERROR(INDEX(SPLIT(A952,"":""),1,2),)"),"NAGREEKCAP")</f>
        <v>NAGREEKCAP</v>
      </c>
      <c r="K952" s="48">
        <f t="shared" si="4"/>
        <v>247</v>
      </c>
      <c r="L952" s="48" t="str">
        <f t="shared" si="5"/>
        <v/>
      </c>
      <c r="M952" s="48">
        <f t="shared" si="6"/>
        <v>1368</v>
      </c>
      <c r="N952" s="50">
        <f>IFERROR(__xludf.DUMMYFUNCTION("IFERROR(GOOGLEFINANCE(A952,""TRADETIME""),)"),46269.64583333333)</f>
        <v>46269.64583</v>
      </c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</row>
    <row r="953" ht="15.75" customHeight="1">
      <c r="A953" s="51" t="s">
        <v>999</v>
      </c>
      <c r="B953" s="51" t="str">
        <f>IFERROR(__xludf.DUMMYFUNCTION("IFERROR(GOOGLEFINANCE(A953,""NAME""),)"),"Nagreeka Exports Ltd")</f>
        <v>Nagreeka Exports Ltd</v>
      </c>
      <c r="C953" s="51">
        <f>IFERROR(__xludf.DUMMYFUNCTION("IFERROR(GOOGLEFINANCE(A953,""CHANGE""),)"),1.2)</f>
        <v>1.2</v>
      </c>
      <c r="D953" s="51">
        <f>IFERROR(__xludf.DUMMYFUNCTION("IFERROR(GOOGLEFINANCE(A953,""CHANGEPCT""),)"),5.63)</f>
        <v>5.63</v>
      </c>
      <c r="E953" s="51" t="str">
        <f t="shared" si="1"/>
        <v>5.63%</v>
      </c>
      <c r="F953" s="51">
        <f t="shared" si="2"/>
        <v>5.63</v>
      </c>
      <c r="G953" s="51" t="str">
        <f t="shared" si="3"/>
        <v/>
      </c>
      <c r="H953" s="51">
        <f>IFERROR(__xludf.DUMMYFUNCTION("IFERROR(GOOGLEFINANCE(A953,""PRICE""),)"),22.5)</f>
        <v>22.5</v>
      </c>
      <c r="I953" s="52">
        <f>IFERROR(__xludf.DUMMYFUNCTION("IFERROR(GOOGLEFINANCE(A953,""VOLUME""),)"),411783.0)</f>
        <v>411783</v>
      </c>
      <c r="J953" s="51" t="str">
        <f>IFERROR(__xludf.DUMMYFUNCTION("IFERROR(INDEX(SPLIT(A953,"":""),1,2),)"),"NAGREEKEXP")</f>
        <v>NAGREEKEXP</v>
      </c>
      <c r="K953" s="51">
        <f t="shared" si="4"/>
        <v>41</v>
      </c>
      <c r="L953" s="51" t="str">
        <f t="shared" si="5"/>
        <v/>
      </c>
      <c r="M953" s="51">
        <f t="shared" si="6"/>
        <v>437</v>
      </c>
      <c r="N953" s="53">
        <f>IFERROR(__xludf.DUMMYFUNCTION("IFERROR(GOOGLEFINANCE(A953,""TRADETIME""),)"),46269.64583333333)</f>
        <v>46269.64583</v>
      </c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</row>
    <row r="954" ht="15.75" customHeight="1">
      <c r="A954" s="48" t="s">
        <v>1000</v>
      </c>
      <c r="B954" s="48" t="str">
        <f>IFERROR(__xludf.DUMMYFUNCTION("IFERROR(GOOGLEFINANCE(A954,""NAME""),)"),"Nahar Capital and Financial Services Ltd")</f>
        <v>Nahar Capital and Financial Services Ltd</v>
      </c>
      <c r="C954" s="48">
        <f>IFERROR(__xludf.DUMMYFUNCTION("IFERROR(GOOGLEFINANCE(A954,""CHANGE""),)"),2.35)</f>
        <v>2.35</v>
      </c>
      <c r="D954" s="48">
        <f>IFERROR(__xludf.DUMMYFUNCTION("IFERROR(GOOGLEFINANCE(A954,""CHANGEPCT""),)"),0.91)</f>
        <v>0.91</v>
      </c>
      <c r="E954" s="48" t="str">
        <f t="shared" si="1"/>
        <v>0.91%</v>
      </c>
      <c r="F954" s="48">
        <f t="shared" si="2"/>
        <v>0.91</v>
      </c>
      <c r="G954" s="48" t="str">
        <f t="shared" si="3"/>
        <v/>
      </c>
      <c r="H954" s="48">
        <f>IFERROR(__xludf.DUMMYFUNCTION("IFERROR(GOOGLEFINANCE(A954,""PRICE""),)"),261.85)</f>
        <v>261.85</v>
      </c>
      <c r="I954" s="49">
        <f>IFERROR(__xludf.DUMMYFUNCTION("IFERROR(GOOGLEFINANCE(A954,""VOLUME""),)"),798.0)</f>
        <v>798</v>
      </c>
      <c r="J954" s="48" t="str">
        <f>IFERROR(__xludf.DUMMYFUNCTION("IFERROR(INDEX(SPLIT(A954,"":""),1,2),)"),"NAHARCAP")</f>
        <v>NAHARCAP</v>
      </c>
      <c r="K954" s="48">
        <f t="shared" si="4"/>
        <v>469</v>
      </c>
      <c r="L954" s="48" t="str">
        <f t="shared" si="5"/>
        <v/>
      </c>
      <c r="M954" s="48">
        <f t="shared" si="6"/>
        <v>1430</v>
      </c>
      <c r="N954" s="50">
        <f>IFERROR(__xludf.DUMMYFUNCTION("IFERROR(GOOGLEFINANCE(A954,""TRADETIME""),)"),46269.64583333333)</f>
        <v>46269.64583</v>
      </c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</row>
    <row r="955" ht="15.75" customHeight="1">
      <c r="A955" s="51" t="s">
        <v>1001</v>
      </c>
      <c r="B955" s="51" t="str">
        <f>IFERROR(__xludf.DUMMYFUNCTION("IFERROR(GOOGLEFINANCE(A955,""NAME""),)"),"Nahar Industrial Enterprises Ltd")</f>
        <v>Nahar Industrial Enterprises Ltd</v>
      </c>
      <c r="C955" s="51">
        <f>IFERROR(__xludf.DUMMYFUNCTION("IFERROR(GOOGLEFINANCE(A955,""CHANGE""),)"),-1.36)</f>
        <v>-1.36</v>
      </c>
      <c r="D955" s="51">
        <f>IFERROR(__xludf.DUMMYFUNCTION("IFERROR(GOOGLEFINANCE(A955,""CHANGEPCT""),)"),-0.99)</f>
        <v>-0.99</v>
      </c>
      <c r="E955" s="51" t="str">
        <f t="shared" si="1"/>
        <v>-0.99%</v>
      </c>
      <c r="F955" s="51" t="str">
        <f t="shared" si="2"/>
        <v/>
      </c>
      <c r="G955" s="51">
        <f t="shared" si="3"/>
        <v>-0.99</v>
      </c>
      <c r="H955" s="51">
        <f>IFERROR(__xludf.DUMMYFUNCTION("IFERROR(GOOGLEFINANCE(A955,""PRICE""),)"),136.6)</f>
        <v>136.6</v>
      </c>
      <c r="I955" s="52">
        <f>IFERROR(__xludf.DUMMYFUNCTION("IFERROR(GOOGLEFINANCE(A955,""VOLUME""),)"),17477.0)</f>
        <v>17477</v>
      </c>
      <c r="J955" s="51" t="str">
        <f>IFERROR(__xludf.DUMMYFUNCTION("IFERROR(INDEX(SPLIT(A955,"":""),1,2),)"),"NAHARINDUS")</f>
        <v>NAHARINDUS</v>
      </c>
      <c r="K955" s="51" t="str">
        <f t="shared" si="4"/>
        <v/>
      </c>
      <c r="L955" s="51">
        <f t="shared" si="5"/>
        <v>340</v>
      </c>
      <c r="M955" s="51">
        <f t="shared" si="6"/>
        <v>1151</v>
      </c>
      <c r="N955" s="53">
        <f>IFERROR(__xludf.DUMMYFUNCTION("IFERROR(GOOGLEFINANCE(A955,""TRADETIME""),)"),46269.64583333333)</f>
        <v>46269.64583</v>
      </c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</row>
    <row r="956" ht="15.75" customHeight="1">
      <c r="A956" s="48" t="s">
        <v>1002</v>
      </c>
      <c r="B956" s="48" t="str">
        <f>IFERROR(__xludf.DUMMYFUNCTION("IFERROR(GOOGLEFINANCE(A956,""NAME""),)"),"Nahar Poly Films Ltd")</f>
        <v>Nahar Poly Films Ltd</v>
      </c>
      <c r="C956" s="48">
        <f>IFERROR(__xludf.DUMMYFUNCTION("IFERROR(GOOGLEFINANCE(A956,""CHANGE""),)"),-5.29)</f>
        <v>-5.29</v>
      </c>
      <c r="D956" s="48">
        <f>IFERROR(__xludf.DUMMYFUNCTION("IFERROR(GOOGLEFINANCE(A956,""CHANGEPCT""),)"),-2.13)</f>
        <v>-2.13</v>
      </c>
      <c r="E956" s="48" t="str">
        <f t="shared" si="1"/>
        <v>-2.13%</v>
      </c>
      <c r="F956" s="48" t="str">
        <f t="shared" si="2"/>
        <v/>
      </c>
      <c r="G956" s="48">
        <f t="shared" si="3"/>
        <v>-2.13</v>
      </c>
      <c r="H956" s="48">
        <f>IFERROR(__xludf.DUMMYFUNCTION("IFERROR(GOOGLEFINANCE(A956,""PRICE""),)"),243.1)</f>
        <v>243.1</v>
      </c>
      <c r="I956" s="49">
        <f>IFERROR(__xludf.DUMMYFUNCTION("IFERROR(GOOGLEFINANCE(A956,""VOLUME""),)"),12772.0)</f>
        <v>12772</v>
      </c>
      <c r="J956" s="48" t="str">
        <f>IFERROR(__xludf.DUMMYFUNCTION("IFERROR(INDEX(SPLIT(A956,"":""),1,2),)"),"NAHARPOLY")</f>
        <v>NAHARPOLY</v>
      </c>
      <c r="K956" s="48" t="str">
        <f t="shared" si="4"/>
        <v/>
      </c>
      <c r="L956" s="48">
        <f t="shared" si="5"/>
        <v>541</v>
      </c>
      <c r="M956" s="48">
        <f t="shared" si="6"/>
        <v>1201</v>
      </c>
      <c r="N956" s="50">
        <f>IFERROR(__xludf.DUMMYFUNCTION("IFERROR(GOOGLEFINANCE(A956,""TRADETIME""),)"),46269.64583333333)</f>
        <v>46269.64583</v>
      </c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</row>
    <row r="957" ht="15.75" customHeight="1">
      <c r="A957" s="51" t="s">
        <v>1003</v>
      </c>
      <c r="B957" s="51" t="str">
        <f>IFERROR(__xludf.DUMMYFUNCTION("IFERROR(GOOGLEFINANCE(A957,""NAME""),)"),"Nahar Spinning Mills Ltd")</f>
        <v>Nahar Spinning Mills Ltd</v>
      </c>
      <c r="C957" s="51">
        <f>IFERROR(__xludf.DUMMYFUNCTION("IFERROR(GOOGLEFINANCE(A957,""CHANGE""),)"),-2.95)</f>
        <v>-2.95</v>
      </c>
      <c r="D957" s="51">
        <f>IFERROR(__xludf.DUMMYFUNCTION("IFERROR(GOOGLEFINANCE(A957,""CHANGEPCT""),)"),-1.01)</f>
        <v>-1.01</v>
      </c>
      <c r="E957" s="51" t="str">
        <f t="shared" si="1"/>
        <v>-1.01%</v>
      </c>
      <c r="F957" s="51" t="str">
        <f t="shared" si="2"/>
        <v/>
      </c>
      <c r="G957" s="51">
        <f t="shared" si="3"/>
        <v>-1.01</v>
      </c>
      <c r="H957" s="51">
        <f>IFERROR(__xludf.DUMMYFUNCTION("IFERROR(GOOGLEFINANCE(A957,""PRICE""),)"),290.05)</f>
        <v>290.05</v>
      </c>
      <c r="I957" s="52">
        <f>IFERROR(__xludf.DUMMYFUNCTION("IFERROR(GOOGLEFINANCE(A957,""VOLUME""),)"),36995.0)</f>
        <v>36995</v>
      </c>
      <c r="J957" s="51" t="str">
        <f>IFERROR(__xludf.DUMMYFUNCTION("IFERROR(INDEX(SPLIT(A957,"":""),1,2),)"),"NAHARSPING")</f>
        <v>NAHARSPING</v>
      </c>
      <c r="K957" s="51" t="str">
        <f t="shared" si="4"/>
        <v/>
      </c>
      <c r="L957" s="51">
        <f t="shared" si="5"/>
        <v>342</v>
      </c>
      <c r="M957" s="51">
        <f t="shared" si="6"/>
        <v>1019</v>
      </c>
      <c r="N957" s="53">
        <f>IFERROR(__xludf.DUMMYFUNCTION("IFERROR(GOOGLEFINANCE(A957,""TRADETIME""),)"),46269.64583333333)</f>
        <v>46269.64583</v>
      </c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</row>
    <row r="958" ht="15.75" customHeight="1">
      <c r="A958" s="48" t="s">
        <v>1004</v>
      </c>
      <c r="B958" s="48" t="str">
        <f>IFERROR(__xludf.DUMMYFUNCTION("IFERROR(GOOGLEFINANCE(A958,""NAME""),)"),"Nippon Life India Asset Management Ltd")</f>
        <v>Nippon Life India Asset Management Ltd</v>
      </c>
      <c r="C958" s="48">
        <f>IFERROR(__xludf.DUMMYFUNCTION("IFERROR(GOOGLEFINANCE(A958,""CHANGE""),)"),-8.8)</f>
        <v>-8.8</v>
      </c>
      <c r="D958" s="48">
        <f>IFERROR(__xludf.DUMMYFUNCTION("IFERROR(GOOGLEFINANCE(A958,""CHANGEPCT""),)"),-0.76)</f>
        <v>-0.76</v>
      </c>
      <c r="E958" s="48" t="str">
        <f t="shared" si="1"/>
        <v>-0.76%</v>
      </c>
      <c r="F958" s="48" t="str">
        <f t="shared" si="2"/>
        <v/>
      </c>
      <c r="G958" s="48">
        <f t="shared" si="3"/>
        <v>-0.76</v>
      </c>
      <c r="H958" s="48">
        <f>IFERROR(__xludf.DUMMYFUNCTION("IFERROR(GOOGLEFINANCE(A958,""PRICE""),)"),1156.1)</f>
        <v>1156.1</v>
      </c>
      <c r="I958" s="49">
        <f>IFERROR(__xludf.DUMMYFUNCTION("IFERROR(GOOGLEFINANCE(A958,""VOLUME""),)"),1522876.0)</f>
        <v>1522876</v>
      </c>
      <c r="J958" s="48" t="str">
        <f>IFERROR(__xludf.DUMMYFUNCTION("IFERROR(INDEX(SPLIT(A958,"":""),1,2),)"),"NAM-INDIA")</f>
        <v>NAM-INDIA</v>
      </c>
      <c r="K958" s="48" t="str">
        <f t="shared" si="4"/>
        <v/>
      </c>
      <c r="L958" s="48">
        <f t="shared" si="5"/>
        <v>289</v>
      </c>
      <c r="M958" s="48">
        <f t="shared" si="6"/>
        <v>208</v>
      </c>
      <c r="N958" s="50">
        <f>IFERROR(__xludf.DUMMYFUNCTION("IFERROR(GOOGLEFINANCE(A958,""TRADETIME""),)"),46269.64583333333)</f>
        <v>46269.64583</v>
      </c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</row>
    <row r="959" ht="15.75" customHeight="1">
      <c r="A959" s="51" t="s">
        <v>1005</v>
      </c>
      <c r="B959" s="51" t="str">
        <f>IFERROR(__xludf.DUMMYFUNCTION("IFERROR(GOOGLEFINANCE(A959,""NAME""),)"),"Natco Pharma Ltd")</f>
        <v>Natco Pharma Ltd</v>
      </c>
      <c r="C959" s="51">
        <f>IFERROR(__xludf.DUMMYFUNCTION("IFERROR(GOOGLEFINANCE(A959,""CHANGE""),)"),-10.6)</f>
        <v>-10.6</v>
      </c>
      <c r="D959" s="51">
        <f>IFERROR(__xludf.DUMMYFUNCTION("IFERROR(GOOGLEFINANCE(A959,""CHANGEPCT""),)"),-1.26)</f>
        <v>-1.26</v>
      </c>
      <c r="E959" s="51" t="str">
        <f t="shared" si="1"/>
        <v>-1.26%</v>
      </c>
      <c r="F959" s="51" t="str">
        <f t="shared" si="2"/>
        <v/>
      </c>
      <c r="G959" s="51">
        <f t="shared" si="3"/>
        <v>-1.26</v>
      </c>
      <c r="H959" s="51">
        <f>IFERROR(__xludf.DUMMYFUNCTION("IFERROR(GOOGLEFINANCE(A959,""PRICE""),)"),827.7)</f>
        <v>827.7</v>
      </c>
      <c r="I959" s="52">
        <f>IFERROR(__xludf.DUMMYFUNCTION("IFERROR(GOOGLEFINANCE(A959,""VOLUME""),)"),445370.0)</f>
        <v>445370</v>
      </c>
      <c r="J959" s="51" t="str">
        <f>IFERROR(__xludf.DUMMYFUNCTION("IFERROR(INDEX(SPLIT(A959,"":""),1,2),)"),"NATCOPHARM")</f>
        <v>NATCOPHARM</v>
      </c>
      <c r="K959" s="51" t="str">
        <f t="shared" si="4"/>
        <v/>
      </c>
      <c r="L959" s="51">
        <f t="shared" si="5"/>
        <v>395</v>
      </c>
      <c r="M959" s="51">
        <f t="shared" si="6"/>
        <v>423</v>
      </c>
      <c r="N959" s="53">
        <f>IFERROR(__xludf.DUMMYFUNCTION("IFERROR(GOOGLEFINANCE(A959,""TRADETIME""),)"),46269.64584490741)</f>
        <v>46269.64584</v>
      </c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</row>
    <row r="960" ht="15.75" customHeight="1">
      <c r="A960" s="48" t="s">
        <v>1006</v>
      </c>
      <c r="B960" s="48" t="str">
        <f>IFERROR(__xludf.DUMMYFUNCTION("IFERROR(GOOGLEFINANCE(A960,""NAME""),)"),"NBCC (India) Ltd")</f>
        <v>NBCC (India) Ltd</v>
      </c>
      <c r="C960" s="48">
        <f>IFERROR(__xludf.DUMMYFUNCTION("IFERROR(GOOGLEFINANCE(A960,""CHANGE""),)"),0.03)</f>
        <v>0.03</v>
      </c>
      <c r="D960" s="48">
        <f>IFERROR(__xludf.DUMMYFUNCTION("IFERROR(GOOGLEFINANCE(A960,""CHANGEPCT""),)"),0.03)</f>
        <v>0.03</v>
      </c>
      <c r="E960" s="48" t="str">
        <f t="shared" si="1"/>
        <v>0.03%</v>
      </c>
      <c r="F960" s="48">
        <f t="shared" si="2"/>
        <v>0.03</v>
      </c>
      <c r="G960" s="48" t="str">
        <f t="shared" si="3"/>
        <v/>
      </c>
      <c r="H960" s="48">
        <f>IFERROR(__xludf.DUMMYFUNCTION("IFERROR(GOOGLEFINANCE(A960,""PRICE""),)"),86.53)</f>
        <v>86.53</v>
      </c>
      <c r="I960" s="49">
        <f>IFERROR(__xludf.DUMMYFUNCTION("IFERROR(GOOGLEFINANCE(A960,""VOLUME""),)"),2548390.0)</f>
        <v>2548390</v>
      </c>
      <c r="J960" s="48" t="str">
        <f>IFERROR(__xludf.DUMMYFUNCTION("IFERROR(INDEX(SPLIT(A960,"":""),1,2),)"),"NBCC")</f>
        <v>NBCC</v>
      </c>
      <c r="K960" s="48">
        <f t="shared" si="4"/>
        <v>767</v>
      </c>
      <c r="L960" s="48" t="str">
        <f t="shared" si="5"/>
        <v/>
      </c>
      <c r="M960" s="48">
        <f t="shared" si="6"/>
        <v>146</v>
      </c>
      <c r="N960" s="50">
        <f>IFERROR(__xludf.DUMMYFUNCTION("IFERROR(GOOGLEFINANCE(A960,""TRADETIME""),)"),46269.64583333333)</f>
        <v>46269.64583</v>
      </c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</row>
    <row r="961" ht="15.75" customHeight="1">
      <c r="A961" s="51" t="s">
        <v>1007</v>
      </c>
      <c r="B961" s="51" t="str">
        <f>IFERROR(__xludf.DUMMYFUNCTION("IFERROR(GOOGLEFINANCE(A961,""NAME""),)"),"National Aluminium Co Ltd")</f>
        <v>National Aluminium Co Ltd</v>
      </c>
      <c r="C961" s="51">
        <f>IFERROR(__xludf.DUMMYFUNCTION("IFERROR(GOOGLEFINANCE(A961,""CHANGE""),)"),0.65)</f>
        <v>0.65</v>
      </c>
      <c r="D961" s="51">
        <f>IFERROR(__xludf.DUMMYFUNCTION("IFERROR(GOOGLEFINANCE(A961,""CHANGEPCT""),)"),0.17)</f>
        <v>0.17</v>
      </c>
      <c r="E961" s="51" t="str">
        <f t="shared" si="1"/>
        <v>0.17%</v>
      </c>
      <c r="F961" s="51">
        <f t="shared" si="2"/>
        <v>0.17</v>
      </c>
      <c r="G961" s="51" t="str">
        <f t="shared" si="3"/>
        <v/>
      </c>
      <c r="H961" s="51">
        <f>IFERROR(__xludf.DUMMYFUNCTION("IFERROR(GOOGLEFINANCE(A961,""PRICE""),)"),374.65)</f>
        <v>374.65</v>
      </c>
      <c r="I961" s="52">
        <f>IFERROR(__xludf.DUMMYFUNCTION("IFERROR(GOOGLEFINANCE(A961,""VOLUME""),)"),5517970.0)</f>
        <v>5517970</v>
      </c>
      <c r="J961" s="51" t="str">
        <f>IFERROR(__xludf.DUMMYFUNCTION("IFERROR(INDEX(SPLIT(A961,"":""),1,2),)"),"NATIONALUM")</f>
        <v>NATIONALUM</v>
      </c>
      <c r="K961" s="51">
        <f t="shared" si="4"/>
        <v>712</v>
      </c>
      <c r="L961" s="51" t="str">
        <f t="shared" si="5"/>
        <v/>
      </c>
      <c r="M961" s="51">
        <f t="shared" si="6"/>
        <v>80</v>
      </c>
      <c r="N961" s="53">
        <f>IFERROR(__xludf.DUMMYFUNCTION("IFERROR(GOOGLEFINANCE(A961,""TRADETIME""),)"),46269.64583333333)</f>
        <v>46269.64583</v>
      </c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</row>
    <row r="962" ht="15.75" customHeight="1">
      <c r="A962" s="48" t="s">
        <v>1008</v>
      </c>
      <c r="B962" s="48" t="str">
        <f>IFERROR(__xludf.DUMMYFUNCTION("IFERROR(GOOGLEFINANCE(A962,""NAME""),)"),"")</f>
        <v/>
      </c>
      <c r="C962" s="48" t="str">
        <f>IFERROR(__xludf.DUMMYFUNCTION("IFERROR(GOOGLEFINANCE(A962,""CHANGE""),)"),"")</f>
        <v/>
      </c>
      <c r="D962" s="48" t="str">
        <f>IFERROR(__xludf.DUMMYFUNCTION("IFERROR(GOOGLEFINANCE(A962,""CHANGEPCT""),)"),"")</f>
        <v/>
      </c>
      <c r="E962" s="48" t="str">
        <f t="shared" si="1"/>
        <v>%</v>
      </c>
      <c r="F962" s="48" t="str">
        <f t="shared" si="2"/>
        <v/>
      </c>
      <c r="G962" s="48" t="str">
        <f t="shared" si="3"/>
        <v/>
      </c>
      <c r="H962" s="48" t="str">
        <f>IFERROR(__xludf.DUMMYFUNCTION("IFERROR(GOOGLEFINANCE(A962,""PRICE""),)"),"")</f>
        <v/>
      </c>
      <c r="I962" s="49" t="str">
        <f>IFERROR(__xludf.DUMMYFUNCTION("IFERROR(GOOGLEFINANCE(A962,""VOLUME""),)"),"")</f>
        <v/>
      </c>
      <c r="J962" s="48" t="str">
        <f>IFERROR(__xludf.DUMMYFUNCTION("IFERROR(INDEX(SPLIT(A962,"":""),1,2),)"),"NATNLSTEEL")</f>
        <v>NATNLSTEEL</v>
      </c>
      <c r="K962" s="48" t="str">
        <f t="shared" si="4"/>
        <v/>
      </c>
      <c r="L962" s="48" t="str">
        <f t="shared" si="5"/>
        <v/>
      </c>
      <c r="M962" s="48">
        <f t="shared" si="6"/>
        <v>1456</v>
      </c>
      <c r="N962" s="50" t="str">
        <f>IFERROR(__xludf.DUMMYFUNCTION("IFERROR(GOOGLEFINANCE(A962,""TRADETIME""),)"),"")</f>
        <v/>
      </c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</row>
    <row r="963" ht="15.75" customHeight="1">
      <c r="A963" s="51" t="s">
        <v>1009</v>
      </c>
      <c r="B963" s="51" t="str">
        <f>IFERROR(__xludf.DUMMYFUNCTION("IFERROR(GOOGLEFINANCE(A963,""NAME""),)"),"")</f>
        <v/>
      </c>
      <c r="C963" s="51" t="str">
        <f>IFERROR(__xludf.DUMMYFUNCTION("IFERROR(GOOGLEFINANCE(A963,""CHANGE""),)"),"")</f>
        <v/>
      </c>
      <c r="D963" s="51" t="str">
        <f>IFERROR(__xludf.DUMMYFUNCTION("IFERROR(GOOGLEFINANCE(A963,""CHANGEPCT""),)"),"")</f>
        <v/>
      </c>
      <c r="E963" s="51" t="str">
        <f t="shared" si="1"/>
        <v>%</v>
      </c>
      <c r="F963" s="51" t="str">
        <f t="shared" si="2"/>
        <v/>
      </c>
      <c r="G963" s="51" t="str">
        <f t="shared" si="3"/>
        <v/>
      </c>
      <c r="H963" s="51" t="str">
        <f>IFERROR(__xludf.DUMMYFUNCTION("IFERROR(GOOGLEFINANCE(A963,""PRICE""),)"),"")</f>
        <v/>
      </c>
      <c r="I963" s="52" t="str">
        <f>IFERROR(__xludf.DUMMYFUNCTION("IFERROR(GOOGLEFINANCE(A963,""VOLUME""),)"),"")</f>
        <v/>
      </c>
      <c r="J963" s="51">
        <f>IFERROR(__xludf.DUMMYFUNCTION("IFERROR(INDEX(SPLIT(A963,"":""),1,2),)"),532391.0)</f>
        <v>532391</v>
      </c>
      <c r="K963" s="51" t="str">
        <f t="shared" si="4"/>
        <v/>
      </c>
      <c r="L963" s="51" t="str">
        <f t="shared" si="5"/>
        <v/>
      </c>
      <c r="M963" s="51">
        <f t="shared" si="6"/>
        <v>1456</v>
      </c>
      <c r="N963" s="53" t="str">
        <f>IFERROR(__xludf.DUMMYFUNCTION("IFERROR(GOOGLEFINANCE(A963,""TRADETIME""),)"),"")</f>
        <v/>
      </c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</row>
    <row r="964" ht="15.75" customHeight="1">
      <c r="A964" s="48" t="s">
        <v>1010</v>
      </c>
      <c r="B964" s="48" t="str">
        <f>IFERROR(__xludf.DUMMYFUNCTION("IFERROR(GOOGLEFINANCE(A964,""NAME""),)"),"Navin Fluorine International Limited")</f>
        <v>Navin Fluorine International Limited</v>
      </c>
      <c r="C964" s="48">
        <f>IFERROR(__xludf.DUMMYFUNCTION("IFERROR(GOOGLEFINANCE(A964,""CHANGE""),)"),-144.0)</f>
        <v>-144</v>
      </c>
      <c r="D964" s="48">
        <f>IFERROR(__xludf.DUMMYFUNCTION("IFERROR(GOOGLEFINANCE(A964,""CHANGEPCT""),)"),-1.66)</f>
        <v>-1.66</v>
      </c>
      <c r="E964" s="48" t="str">
        <f t="shared" si="1"/>
        <v>-1.66%</v>
      </c>
      <c r="F964" s="48" t="str">
        <f t="shared" si="2"/>
        <v/>
      </c>
      <c r="G964" s="48">
        <f t="shared" si="3"/>
        <v>-1.66</v>
      </c>
      <c r="H964" s="48">
        <f>IFERROR(__xludf.DUMMYFUNCTION("IFERROR(GOOGLEFINANCE(A964,""PRICE""),)"),8553.0)</f>
        <v>8553</v>
      </c>
      <c r="I964" s="49">
        <f>IFERROR(__xludf.DUMMYFUNCTION("IFERROR(GOOGLEFINANCE(A964,""VOLUME""),)"),131131.0)</f>
        <v>131131</v>
      </c>
      <c r="J964" s="48" t="str">
        <f>IFERROR(__xludf.DUMMYFUNCTION("IFERROR(INDEX(SPLIT(A964,"":""),1,2),)"),"NAVINFLUOR")</f>
        <v>NAVINFLUOR</v>
      </c>
      <c r="K964" s="48" t="str">
        <f t="shared" si="4"/>
        <v/>
      </c>
      <c r="L964" s="48">
        <f t="shared" si="5"/>
        <v>478</v>
      </c>
      <c r="M964" s="48">
        <f t="shared" si="6"/>
        <v>717</v>
      </c>
      <c r="N964" s="50">
        <f>IFERROR(__xludf.DUMMYFUNCTION("IFERROR(GOOGLEFINANCE(A964,""TRADETIME""),)"),46269.64583333333)</f>
        <v>46269.64583</v>
      </c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</row>
    <row r="965" ht="15.75" customHeight="1">
      <c r="A965" s="51" t="s">
        <v>1011</v>
      </c>
      <c r="B965" s="51" t="str">
        <f>IFERROR(__xludf.DUMMYFUNCTION("IFERROR(GOOGLEFINANCE(A965,""NAME""),)"),"Navkar Corporation Ltd")</f>
        <v>Navkar Corporation Ltd</v>
      </c>
      <c r="C965" s="51">
        <f>IFERROR(__xludf.DUMMYFUNCTION("IFERROR(GOOGLEFINANCE(A965,""CHANGE""),)"),-0.44)</f>
        <v>-0.44</v>
      </c>
      <c r="D965" s="51">
        <f>IFERROR(__xludf.DUMMYFUNCTION("IFERROR(GOOGLEFINANCE(A965,""CHANGEPCT""),)"),-0.45)</f>
        <v>-0.45</v>
      </c>
      <c r="E965" s="51" t="str">
        <f t="shared" si="1"/>
        <v>-0.45%</v>
      </c>
      <c r="F965" s="51" t="str">
        <f t="shared" si="2"/>
        <v/>
      </c>
      <c r="G965" s="51">
        <f t="shared" si="3"/>
        <v>-0.45</v>
      </c>
      <c r="H965" s="51">
        <f>IFERROR(__xludf.DUMMYFUNCTION("IFERROR(GOOGLEFINANCE(A965,""PRICE""),)"),97.0)</f>
        <v>97</v>
      </c>
      <c r="I965" s="52">
        <f>IFERROR(__xludf.DUMMYFUNCTION("IFERROR(GOOGLEFINANCE(A965,""VOLUME""),)"),230610.0)</f>
        <v>230610</v>
      </c>
      <c r="J965" s="51" t="str">
        <f>IFERROR(__xludf.DUMMYFUNCTION("IFERROR(INDEX(SPLIT(A965,"":""),1,2),)"),"NAVKARCORP")</f>
        <v>NAVKARCORP</v>
      </c>
      <c r="K965" s="51" t="str">
        <f t="shared" si="4"/>
        <v/>
      </c>
      <c r="L965" s="51">
        <f t="shared" si="5"/>
        <v>173</v>
      </c>
      <c r="M965" s="51">
        <f t="shared" si="6"/>
        <v>587</v>
      </c>
      <c r="N965" s="53">
        <f>IFERROR(__xludf.DUMMYFUNCTION("IFERROR(GOOGLEFINANCE(A965,""TRADETIME""),)"),46269.64583333333)</f>
        <v>46269.64583</v>
      </c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</row>
    <row r="966" ht="15.75" customHeight="1">
      <c r="A966" s="48" t="s">
        <v>1012</v>
      </c>
      <c r="B966" s="48" t="str">
        <f>IFERROR(__xludf.DUMMYFUNCTION("IFERROR(GOOGLEFINANCE(A966,""NAME""),)"),"Navneet Education Ltd")</f>
        <v>Navneet Education Ltd</v>
      </c>
      <c r="C966" s="48">
        <f>IFERROR(__xludf.DUMMYFUNCTION("IFERROR(GOOGLEFINANCE(A966,""CHANGE""),)"),-0.92)</f>
        <v>-0.92</v>
      </c>
      <c r="D966" s="48">
        <f>IFERROR(__xludf.DUMMYFUNCTION("IFERROR(GOOGLEFINANCE(A966,""CHANGEPCT""),)"),-0.7)</f>
        <v>-0.7</v>
      </c>
      <c r="E966" s="48" t="str">
        <f t="shared" si="1"/>
        <v>-0.7%</v>
      </c>
      <c r="F966" s="48" t="str">
        <f t="shared" si="2"/>
        <v/>
      </c>
      <c r="G966" s="48">
        <f t="shared" si="3"/>
        <v>-0.7</v>
      </c>
      <c r="H966" s="48">
        <f>IFERROR(__xludf.DUMMYFUNCTION("IFERROR(GOOGLEFINANCE(A966,""PRICE""),)"),131.16)</f>
        <v>131.16</v>
      </c>
      <c r="I966" s="49">
        <f>IFERROR(__xludf.DUMMYFUNCTION("IFERROR(GOOGLEFINANCE(A966,""VOLUME""),)"),77764.0)</f>
        <v>77764</v>
      </c>
      <c r="J966" s="48" t="str">
        <f>IFERROR(__xludf.DUMMYFUNCTION("IFERROR(INDEX(SPLIT(A966,"":""),1,2),)"),"NAVNETEDUL")</f>
        <v>NAVNETEDUL</v>
      </c>
      <c r="K966" s="48" t="str">
        <f t="shared" si="4"/>
        <v/>
      </c>
      <c r="L966" s="48">
        <f t="shared" si="5"/>
        <v>267</v>
      </c>
      <c r="M966" s="48">
        <f t="shared" si="6"/>
        <v>832</v>
      </c>
      <c r="N966" s="50">
        <f>IFERROR(__xludf.DUMMYFUNCTION("IFERROR(GOOGLEFINANCE(A966,""TRADETIME""),)"),46269.64583333333)</f>
        <v>46269.64583</v>
      </c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</row>
    <row r="967" ht="15.75" customHeight="1">
      <c r="A967" s="51" t="s">
        <v>1013</v>
      </c>
      <c r="B967" s="51" t="str">
        <f>IFERROR(__xludf.DUMMYFUNCTION("IFERROR(GOOGLEFINANCE(A967,""NAME""),)"),"R S Software (India) Ltd")</f>
        <v>R S Software (India) Ltd</v>
      </c>
      <c r="C967" s="51">
        <f>IFERROR(__xludf.DUMMYFUNCTION("IFERROR(GOOGLEFINANCE(A967,""CHANGE""),)"),0.99)</f>
        <v>0.99</v>
      </c>
      <c r="D967" s="51">
        <f>IFERROR(__xludf.DUMMYFUNCTION("IFERROR(GOOGLEFINANCE(A967,""CHANGEPCT""),)"),3.31)</f>
        <v>3.31</v>
      </c>
      <c r="E967" s="51" t="str">
        <f t="shared" si="1"/>
        <v>3.31%</v>
      </c>
      <c r="F967" s="51">
        <f t="shared" si="2"/>
        <v>3.31</v>
      </c>
      <c r="G967" s="51" t="str">
        <f t="shared" si="3"/>
        <v/>
      </c>
      <c r="H967" s="51">
        <f>IFERROR(__xludf.DUMMYFUNCTION("IFERROR(GOOGLEFINANCE(A967,""PRICE""),)"),30.9)</f>
        <v>30.9</v>
      </c>
      <c r="I967" s="52">
        <f>IFERROR(__xludf.DUMMYFUNCTION("IFERROR(GOOGLEFINANCE(A967,""VOLUME""),)"),50380.0)</f>
        <v>50380</v>
      </c>
      <c r="J967" s="51" t="str">
        <f>IFERROR(__xludf.DUMMYFUNCTION("IFERROR(INDEX(SPLIT(A967,"":""),1,2),)"),"RSSOFTWARE")</f>
        <v>RSSOFTWARE</v>
      </c>
      <c r="K967" s="51">
        <f t="shared" si="4"/>
        <v>144</v>
      </c>
      <c r="L967" s="51" t="str">
        <f t="shared" si="5"/>
        <v/>
      </c>
      <c r="M967" s="51">
        <f t="shared" si="6"/>
        <v>944</v>
      </c>
      <c r="N967" s="53">
        <f>IFERROR(__xludf.DUMMYFUNCTION("IFERROR(GOOGLEFINANCE(A967,""TRADETIME""),)"),46269.64583333333)</f>
        <v>46269.64583</v>
      </c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</row>
    <row r="968" ht="15.75" customHeight="1">
      <c r="A968" s="48" t="s">
        <v>1014</v>
      </c>
      <c r="B968" s="48" t="str">
        <f>IFERROR(__xludf.DUMMYFUNCTION("IFERROR(GOOGLEFINANCE(A968,""NAME""),)"),"NBI Industrial Finance Company Ltd")</f>
        <v>NBI Industrial Finance Company Ltd</v>
      </c>
      <c r="C968" s="48">
        <f>IFERROR(__xludf.DUMMYFUNCTION("IFERROR(GOOGLEFINANCE(A968,""CHANGE""),)"),1.6)</f>
        <v>1.6</v>
      </c>
      <c r="D968" s="48">
        <f>IFERROR(__xludf.DUMMYFUNCTION("IFERROR(GOOGLEFINANCE(A968,""CHANGEPCT""),)"),0.08)</f>
        <v>0.08</v>
      </c>
      <c r="E968" s="48" t="str">
        <f t="shared" si="1"/>
        <v>0.08%</v>
      </c>
      <c r="F968" s="48">
        <f t="shared" si="2"/>
        <v>0.08</v>
      </c>
      <c r="G968" s="48" t="str">
        <f t="shared" si="3"/>
        <v/>
      </c>
      <c r="H968" s="48">
        <f>IFERROR(__xludf.DUMMYFUNCTION("IFERROR(GOOGLEFINANCE(A968,""PRICE""),)"),1985.0)</f>
        <v>1985</v>
      </c>
      <c r="I968" s="49">
        <f>IFERROR(__xludf.DUMMYFUNCTION("IFERROR(GOOGLEFINANCE(A968,""VOLUME""),)"),5313.0)</f>
        <v>5313</v>
      </c>
      <c r="J968" s="48" t="str">
        <f>IFERROR(__xludf.DUMMYFUNCTION("IFERROR(INDEX(SPLIT(A968,"":""),1,2),)"),"NBIFIN")</f>
        <v>NBIFIN</v>
      </c>
      <c r="K968" s="48">
        <f t="shared" si="4"/>
        <v>747</v>
      </c>
      <c r="L968" s="48" t="str">
        <f t="shared" si="5"/>
        <v/>
      </c>
      <c r="M968" s="48">
        <f t="shared" si="6"/>
        <v>1320</v>
      </c>
      <c r="N968" s="50">
        <f>IFERROR(__xludf.DUMMYFUNCTION("IFERROR(GOOGLEFINANCE(A968,""TRADETIME""),)"),46269.64583333333)</f>
        <v>46269.64583</v>
      </c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</row>
    <row r="969" ht="15.75" customHeight="1">
      <c r="A969" s="51" t="s">
        <v>1015</v>
      </c>
      <c r="B969" s="51" t="str">
        <f>IFERROR(__xludf.DUMMYFUNCTION("IFERROR(GOOGLEFINANCE(A969,""NAME""),)"),"Nava Limited")</f>
        <v>Nava Limited</v>
      </c>
      <c r="C969" s="51">
        <f>IFERROR(__xludf.DUMMYFUNCTION("IFERROR(GOOGLEFINANCE(A969,""CHANGE""),)"),3.15)</f>
        <v>3.15</v>
      </c>
      <c r="D969" s="51">
        <f>IFERROR(__xludf.DUMMYFUNCTION("IFERROR(GOOGLEFINANCE(A969,""CHANGEPCT""),)"),0.57)</f>
        <v>0.57</v>
      </c>
      <c r="E969" s="51" t="str">
        <f t="shared" si="1"/>
        <v>0.57%</v>
      </c>
      <c r="F969" s="51">
        <f t="shared" si="2"/>
        <v>0.57</v>
      </c>
      <c r="G969" s="51" t="str">
        <f t="shared" si="3"/>
        <v/>
      </c>
      <c r="H969" s="51">
        <f>IFERROR(__xludf.DUMMYFUNCTION("IFERROR(GOOGLEFINANCE(A969,""PRICE""),)"),560.35)</f>
        <v>560.35</v>
      </c>
      <c r="I969" s="52">
        <f>IFERROR(__xludf.DUMMYFUNCTION("IFERROR(GOOGLEFINANCE(A969,""VOLUME""),)"),192328.0)</f>
        <v>192328</v>
      </c>
      <c r="J969" s="51" t="str">
        <f>IFERROR(__xludf.DUMMYFUNCTION("IFERROR(INDEX(SPLIT(A969,"":""),1,2),)"),"NAVA")</f>
        <v>NAVA</v>
      </c>
      <c r="K969" s="51">
        <f t="shared" si="4"/>
        <v>567</v>
      </c>
      <c r="L969" s="51" t="str">
        <f t="shared" si="5"/>
        <v/>
      </c>
      <c r="M969" s="51">
        <f t="shared" si="6"/>
        <v>639</v>
      </c>
      <c r="N969" s="53">
        <f>IFERROR(__xludf.DUMMYFUNCTION("IFERROR(GOOGLEFINANCE(A969,""TRADETIME""),)"),46269.64583333333)</f>
        <v>46269.64583</v>
      </c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</row>
    <row r="970" ht="15.75" customHeight="1">
      <c r="A970" s="48" t="s">
        <v>1016</v>
      </c>
      <c r="B970" s="48" t="str">
        <f>IFERROR(__xludf.DUMMYFUNCTION("IFERROR(GOOGLEFINANCE(A970,""NAME""),)"),"NCC Ltd")</f>
        <v>NCC Ltd</v>
      </c>
      <c r="C970" s="48">
        <f>IFERROR(__xludf.DUMMYFUNCTION("IFERROR(GOOGLEFINANCE(A970,""CHANGE""),)"),2.76)</f>
        <v>2.76</v>
      </c>
      <c r="D970" s="48">
        <f>IFERROR(__xludf.DUMMYFUNCTION("IFERROR(GOOGLEFINANCE(A970,""CHANGEPCT""),)"),1.87)</f>
        <v>1.87</v>
      </c>
      <c r="E970" s="48" t="str">
        <f t="shared" si="1"/>
        <v>1.87%</v>
      </c>
      <c r="F970" s="48">
        <f t="shared" si="2"/>
        <v>1.87</v>
      </c>
      <c r="G970" s="48" t="str">
        <f t="shared" si="3"/>
        <v/>
      </c>
      <c r="H970" s="48">
        <f>IFERROR(__xludf.DUMMYFUNCTION("IFERROR(GOOGLEFINANCE(A970,""PRICE""),)"),150.0)</f>
        <v>150</v>
      </c>
      <c r="I970" s="49">
        <f>IFERROR(__xludf.DUMMYFUNCTION("IFERROR(GOOGLEFINANCE(A970,""VOLUME""),)"),2168692.0)</f>
        <v>2168692</v>
      </c>
      <c r="J970" s="48" t="str">
        <f>IFERROR(__xludf.DUMMYFUNCTION("IFERROR(INDEX(SPLIT(A970,"":""),1,2),)"),"NCC")</f>
        <v>NCC</v>
      </c>
      <c r="K970" s="48">
        <f t="shared" si="4"/>
        <v>283</v>
      </c>
      <c r="L970" s="48" t="str">
        <f t="shared" si="5"/>
        <v/>
      </c>
      <c r="M970" s="48">
        <f t="shared" si="6"/>
        <v>164</v>
      </c>
      <c r="N970" s="50">
        <f>IFERROR(__xludf.DUMMYFUNCTION("IFERROR(GOOGLEFINANCE(A970,""TRADETIME""),)"),46269.64585648148)</f>
        <v>46269.64586</v>
      </c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</row>
    <row r="971" ht="15.75" customHeight="1">
      <c r="A971" s="51" t="s">
        <v>1017</v>
      </c>
      <c r="B971" s="51" t="str">
        <f>IFERROR(__xludf.DUMMYFUNCTION("IFERROR(GOOGLEFINANCE(A971,""NAME""),)"),"Ncl Industries Ltd")</f>
        <v>Ncl Industries Ltd</v>
      </c>
      <c r="C971" s="51">
        <f>IFERROR(__xludf.DUMMYFUNCTION("IFERROR(GOOGLEFINANCE(A971,""CHANGE""),)"),0.14)</f>
        <v>0.14</v>
      </c>
      <c r="D971" s="51">
        <f>IFERROR(__xludf.DUMMYFUNCTION("IFERROR(GOOGLEFINANCE(A971,""CHANGEPCT""),)"),0.08)</f>
        <v>0.08</v>
      </c>
      <c r="E971" s="51" t="str">
        <f t="shared" si="1"/>
        <v>0.08%</v>
      </c>
      <c r="F971" s="51">
        <f t="shared" si="2"/>
        <v>0.08</v>
      </c>
      <c r="G971" s="51" t="str">
        <f t="shared" si="3"/>
        <v/>
      </c>
      <c r="H971" s="51">
        <f>IFERROR(__xludf.DUMMYFUNCTION("IFERROR(GOOGLEFINANCE(A971,""PRICE""),)"),177.5)</f>
        <v>177.5</v>
      </c>
      <c r="I971" s="52">
        <f>IFERROR(__xludf.DUMMYFUNCTION("IFERROR(GOOGLEFINANCE(A971,""VOLUME""),)"),29351.0)</f>
        <v>29351</v>
      </c>
      <c r="J971" s="51" t="str">
        <f>IFERROR(__xludf.DUMMYFUNCTION("IFERROR(INDEX(SPLIT(A971,"":""),1,2),)"),"NCLIND")</f>
        <v>NCLIND</v>
      </c>
      <c r="K971" s="51">
        <f t="shared" si="4"/>
        <v>748</v>
      </c>
      <c r="L971" s="51" t="str">
        <f t="shared" si="5"/>
        <v/>
      </c>
      <c r="M971" s="51">
        <f t="shared" si="6"/>
        <v>1059</v>
      </c>
      <c r="N971" s="53">
        <f>IFERROR(__xludf.DUMMYFUNCTION("IFERROR(GOOGLEFINANCE(A971,""TRADETIME""),)"),46269.64583333333)</f>
        <v>46269.64583</v>
      </c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</row>
    <row r="972" ht="15.75" customHeight="1">
      <c r="A972" s="48" t="s">
        <v>1018</v>
      </c>
      <c r="B972" s="48" t="str">
        <f>IFERROR(__xludf.DUMMYFUNCTION("IFERROR(GOOGLEFINANCE(A972,""NAME""),)"),"Naga Dhunseri Group Ltd")</f>
        <v>Naga Dhunseri Group Ltd</v>
      </c>
      <c r="C972" s="48">
        <f>IFERROR(__xludf.DUMMYFUNCTION("IFERROR(GOOGLEFINANCE(A972,""CHANGE""),)"),27.4)</f>
        <v>27.4</v>
      </c>
      <c r="D972" s="48">
        <f>IFERROR(__xludf.DUMMYFUNCTION("IFERROR(GOOGLEFINANCE(A972,""CHANGEPCT""),)"),0.99)</f>
        <v>0.99</v>
      </c>
      <c r="E972" s="48" t="str">
        <f t="shared" si="1"/>
        <v>0.99%</v>
      </c>
      <c r="F972" s="48">
        <f t="shared" si="2"/>
        <v>0.99</v>
      </c>
      <c r="G972" s="48" t="str">
        <f t="shared" si="3"/>
        <v/>
      </c>
      <c r="H972" s="48">
        <f>IFERROR(__xludf.DUMMYFUNCTION("IFERROR(GOOGLEFINANCE(A972,""PRICE""),)"),2785.0)</f>
        <v>2785</v>
      </c>
      <c r="I972" s="49">
        <f>IFERROR(__xludf.DUMMYFUNCTION("IFERROR(GOOGLEFINANCE(A972,""VOLUME""),)"),392.0)</f>
        <v>392</v>
      </c>
      <c r="J972" s="48" t="str">
        <f>IFERROR(__xludf.DUMMYFUNCTION("IFERROR(INDEX(SPLIT(A972,"":""),1,2),)"),"NDGL")</f>
        <v>NDGL</v>
      </c>
      <c r="K972" s="48">
        <f t="shared" si="4"/>
        <v>450</v>
      </c>
      <c r="L972" s="48" t="str">
        <f t="shared" si="5"/>
        <v/>
      </c>
      <c r="M972" s="48">
        <f t="shared" si="6"/>
        <v>1443</v>
      </c>
      <c r="N972" s="50">
        <f>IFERROR(__xludf.DUMMYFUNCTION("IFERROR(GOOGLEFINANCE(A972,""TRADETIME""),)"),46269.64583333333)</f>
        <v>46269.64583</v>
      </c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</row>
    <row r="973" ht="15.75" customHeight="1">
      <c r="A973" s="51" t="s">
        <v>1019</v>
      </c>
      <c r="B973" s="51" t="str">
        <f>IFERROR(__xludf.DUMMYFUNCTION("IFERROR(GOOGLEFINANCE(A973,""NAME""),)"),"Nandan Denim Ltd")</f>
        <v>Nandan Denim Ltd</v>
      </c>
      <c r="C973" s="51">
        <f>IFERROR(__xludf.DUMMYFUNCTION("IFERROR(GOOGLEFINANCE(A973,""CHANGE""),)"),0.02)</f>
        <v>0.02</v>
      </c>
      <c r="D973" s="51">
        <f>IFERROR(__xludf.DUMMYFUNCTION("IFERROR(GOOGLEFINANCE(A973,""CHANGEPCT""),)"),0.71)</f>
        <v>0.71</v>
      </c>
      <c r="E973" s="51" t="str">
        <f t="shared" si="1"/>
        <v>0.71%</v>
      </c>
      <c r="F973" s="51">
        <f t="shared" si="2"/>
        <v>0.71</v>
      </c>
      <c r="G973" s="51" t="str">
        <f t="shared" si="3"/>
        <v/>
      </c>
      <c r="H973" s="51">
        <f>IFERROR(__xludf.DUMMYFUNCTION("IFERROR(GOOGLEFINANCE(A973,""PRICE""),)"),2.85)</f>
        <v>2.85</v>
      </c>
      <c r="I973" s="52">
        <f>IFERROR(__xludf.DUMMYFUNCTION("IFERROR(GOOGLEFINANCE(A973,""VOLUME""),)"),1205958.0)</f>
        <v>1205958</v>
      </c>
      <c r="J973" s="51" t="str">
        <f>IFERROR(__xludf.DUMMYFUNCTION("IFERROR(INDEX(SPLIT(A973,"":""),1,2),)"),"NDL")</f>
        <v>NDL</v>
      </c>
      <c r="K973" s="51">
        <f t="shared" si="4"/>
        <v>528</v>
      </c>
      <c r="L973" s="51" t="str">
        <f t="shared" si="5"/>
        <v/>
      </c>
      <c r="M973" s="51">
        <f t="shared" si="6"/>
        <v>239</v>
      </c>
      <c r="N973" s="53">
        <f>IFERROR(__xludf.DUMMYFUNCTION("IFERROR(GOOGLEFINANCE(A973,""TRADETIME""),)"),46269.64583333333)</f>
        <v>46269.64583</v>
      </c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</row>
    <row r="974" ht="15.75" customHeight="1">
      <c r="A974" s="48" t="s">
        <v>1020</v>
      </c>
      <c r="B974" s="48" t="str">
        <f>IFERROR(__xludf.DUMMYFUNCTION("IFERROR(GOOGLEFINANCE(A974,""NAME""),)"),"NDR Auto Components Ltd")</f>
        <v>NDR Auto Components Ltd</v>
      </c>
      <c r="C974" s="48">
        <f>IFERROR(__xludf.DUMMYFUNCTION("IFERROR(GOOGLEFINANCE(A974,""CHANGE""),)"),0.3)</f>
        <v>0.3</v>
      </c>
      <c r="D974" s="48">
        <f>IFERROR(__xludf.DUMMYFUNCTION("IFERROR(GOOGLEFINANCE(A974,""CHANGEPCT""),)"),0.04)</f>
        <v>0.04</v>
      </c>
      <c r="E974" s="48" t="str">
        <f t="shared" si="1"/>
        <v>0.04%</v>
      </c>
      <c r="F974" s="48">
        <f t="shared" si="2"/>
        <v>0.04</v>
      </c>
      <c r="G974" s="48" t="str">
        <f t="shared" si="3"/>
        <v/>
      </c>
      <c r="H974" s="48">
        <f>IFERROR(__xludf.DUMMYFUNCTION("IFERROR(GOOGLEFINANCE(A974,""PRICE""),)"),724.5)</f>
        <v>724.5</v>
      </c>
      <c r="I974" s="49">
        <f>IFERROR(__xludf.DUMMYFUNCTION("IFERROR(GOOGLEFINANCE(A974,""VOLUME""),)"),8337.0)</f>
        <v>8337</v>
      </c>
      <c r="J974" s="48" t="str">
        <f>IFERROR(__xludf.DUMMYFUNCTION("IFERROR(INDEX(SPLIT(A974,"":""),1,2),)"),"NDRAUTO")</f>
        <v>NDRAUTO</v>
      </c>
      <c r="K974" s="48">
        <f t="shared" si="4"/>
        <v>762</v>
      </c>
      <c r="L974" s="48" t="str">
        <f t="shared" si="5"/>
        <v/>
      </c>
      <c r="M974" s="48">
        <f t="shared" si="6"/>
        <v>1257</v>
      </c>
      <c r="N974" s="50">
        <f>IFERROR(__xludf.DUMMYFUNCTION("IFERROR(GOOGLEFINANCE(A974,""TRADETIME""),)"),46269.64583333333)</f>
        <v>46269.64583</v>
      </c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</row>
    <row r="975" ht="15.75" customHeight="1">
      <c r="A975" s="51" t="s">
        <v>1021</v>
      </c>
      <c r="B975" s="51" t="str">
        <f>IFERROR(__xludf.DUMMYFUNCTION("IFERROR(GOOGLEFINANCE(A975,""NAME""),)"),"New Delhi Television Ltd")</f>
        <v>New Delhi Television Ltd</v>
      </c>
      <c r="C975" s="51">
        <f>IFERROR(__xludf.DUMMYFUNCTION("IFERROR(GOOGLEFINANCE(A975,""CHANGE""),)"),3.74)</f>
        <v>3.74</v>
      </c>
      <c r="D975" s="51">
        <f>IFERROR(__xludf.DUMMYFUNCTION("IFERROR(GOOGLEFINANCE(A975,""CHANGEPCT""),)"),5.29)</f>
        <v>5.29</v>
      </c>
      <c r="E975" s="51" t="str">
        <f t="shared" si="1"/>
        <v>5.29%</v>
      </c>
      <c r="F975" s="51">
        <f t="shared" si="2"/>
        <v>5.29</v>
      </c>
      <c r="G975" s="51" t="str">
        <f t="shared" si="3"/>
        <v/>
      </c>
      <c r="H975" s="51">
        <f>IFERROR(__xludf.DUMMYFUNCTION("IFERROR(GOOGLEFINANCE(A975,""PRICE""),)"),74.4)</f>
        <v>74.4</v>
      </c>
      <c r="I975" s="52">
        <f>IFERROR(__xludf.DUMMYFUNCTION("IFERROR(GOOGLEFINANCE(A975,""VOLUME""),)"),236637.0)</f>
        <v>236637</v>
      </c>
      <c r="J975" s="51" t="str">
        <f>IFERROR(__xludf.DUMMYFUNCTION("IFERROR(INDEX(SPLIT(A975,"":""),1,2),)"),"NDTV")</f>
        <v>NDTV</v>
      </c>
      <c r="K975" s="51">
        <f t="shared" si="4"/>
        <v>45</v>
      </c>
      <c r="L975" s="51" t="str">
        <f t="shared" si="5"/>
        <v/>
      </c>
      <c r="M975" s="51">
        <f t="shared" si="6"/>
        <v>582</v>
      </c>
      <c r="N975" s="53">
        <f>IFERROR(__xludf.DUMMYFUNCTION("IFERROR(GOOGLEFINANCE(A975,""TRADETIME""),)"),46269.64583333333)</f>
        <v>46269.64583</v>
      </c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</row>
    <row r="976" ht="15.75" customHeight="1">
      <c r="A976" s="48" t="s">
        <v>1022</v>
      </c>
      <c r="B976" s="48" t="str">
        <f>IFERROR(__xludf.DUMMYFUNCTION("IFERROR(GOOGLEFINANCE(A976,""NAME""),)"),"North Eastern Carrying Corporation Ltd")</f>
        <v>North Eastern Carrying Corporation Ltd</v>
      </c>
      <c r="C976" s="48">
        <f>IFERROR(__xludf.DUMMYFUNCTION("IFERROR(GOOGLEFINANCE(A976,""CHANGE""),)"),0.88)</f>
        <v>0.88</v>
      </c>
      <c r="D976" s="48">
        <f>IFERROR(__xludf.DUMMYFUNCTION("IFERROR(GOOGLEFINANCE(A976,""CHANGEPCT""),)"),4.99)</f>
        <v>4.99</v>
      </c>
      <c r="E976" s="48" t="str">
        <f t="shared" si="1"/>
        <v>4.99%</v>
      </c>
      <c r="F976" s="48">
        <f t="shared" si="2"/>
        <v>4.99</v>
      </c>
      <c r="G976" s="48" t="str">
        <f t="shared" si="3"/>
        <v/>
      </c>
      <c r="H976" s="48">
        <f>IFERROR(__xludf.DUMMYFUNCTION("IFERROR(GOOGLEFINANCE(A976,""PRICE""),)"),18.51)</f>
        <v>18.51</v>
      </c>
      <c r="I976" s="49">
        <f>IFERROR(__xludf.DUMMYFUNCTION("IFERROR(GOOGLEFINANCE(A976,""VOLUME""),)"),337201.0)</f>
        <v>337201</v>
      </c>
      <c r="J976" s="48" t="str">
        <f>IFERROR(__xludf.DUMMYFUNCTION("IFERROR(INDEX(SPLIT(A976,"":""),1,2),)"),"NECCLTD")</f>
        <v>NECCLTD</v>
      </c>
      <c r="K976" s="48">
        <f t="shared" si="4"/>
        <v>69</v>
      </c>
      <c r="L976" s="48" t="str">
        <f t="shared" si="5"/>
        <v/>
      </c>
      <c r="M976" s="48">
        <f t="shared" si="6"/>
        <v>481</v>
      </c>
      <c r="N976" s="50">
        <f>IFERROR(__xludf.DUMMYFUNCTION("IFERROR(GOOGLEFINANCE(A976,""TRADETIME""),)"),46269.64583333333)</f>
        <v>46269.64583</v>
      </c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</row>
    <row r="977" ht="15.75" customHeight="1">
      <c r="A977" s="51" t="s">
        <v>1023</v>
      </c>
      <c r="B977" s="51" t="str">
        <f>IFERROR(__xludf.DUMMYFUNCTION("IFERROR(GOOGLEFINANCE(A977,""NAME""),)"),"Nectar Lifesciences Ltd")</f>
        <v>Nectar Lifesciences Ltd</v>
      </c>
      <c r="C977" s="51">
        <f>IFERROR(__xludf.DUMMYFUNCTION("IFERROR(GOOGLEFINANCE(A977,""CHANGE""),)"),0.03)</f>
        <v>0.03</v>
      </c>
      <c r="D977" s="51">
        <f>IFERROR(__xludf.DUMMYFUNCTION("IFERROR(GOOGLEFINANCE(A977,""CHANGEPCT""),)"),0.25)</f>
        <v>0.25</v>
      </c>
      <c r="E977" s="51" t="str">
        <f t="shared" si="1"/>
        <v>0.25%</v>
      </c>
      <c r="F977" s="51">
        <f t="shared" si="2"/>
        <v>0.25</v>
      </c>
      <c r="G977" s="51" t="str">
        <f t="shared" si="3"/>
        <v/>
      </c>
      <c r="H977" s="51">
        <f>IFERROR(__xludf.DUMMYFUNCTION("IFERROR(GOOGLEFINANCE(A977,""PRICE""),)"),12.2)</f>
        <v>12.2</v>
      </c>
      <c r="I977" s="52">
        <f>IFERROR(__xludf.DUMMYFUNCTION("IFERROR(GOOGLEFINANCE(A977,""VOLUME""),)"),205001.0)</f>
        <v>205001</v>
      </c>
      <c r="J977" s="51" t="str">
        <f>IFERROR(__xludf.DUMMYFUNCTION("IFERROR(INDEX(SPLIT(A977,"":""),1,2),)"),"NECLIFE")</f>
        <v>NECLIFE</v>
      </c>
      <c r="K977" s="51">
        <f t="shared" si="4"/>
        <v>678</v>
      </c>
      <c r="L977" s="51" t="str">
        <f t="shared" si="5"/>
        <v/>
      </c>
      <c r="M977" s="51">
        <f t="shared" si="6"/>
        <v>621</v>
      </c>
      <c r="N977" s="53">
        <f>IFERROR(__xludf.DUMMYFUNCTION("IFERROR(GOOGLEFINANCE(A977,""TRADETIME""),)"),46269.64583333333)</f>
        <v>46269.64583</v>
      </c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</row>
    <row r="978" ht="15.75" customHeight="1">
      <c r="A978" s="48" t="s">
        <v>1024</v>
      </c>
      <c r="B978" s="48" t="str">
        <f>IFERROR(__xludf.DUMMYFUNCTION("IFERROR(GOOGLEFINANCE(A978,""NAME""),)"),"Nelcast Ltd")</f>
        <v>Nelcast Ltd</v>
      </c>
      <c r="C978" s="48">
        <f>IFERROR(__xludf.DUMMYFUNCTION("IFERROR(GOOGLEFINANCE(A978,""CHANGE""),)"),-1.76)</f>
        <v>-1.76</v>
      </c>
      <c r="D978" s="48">
        <f>IFERROR(__xludf.DUMMYFUNCTION("IFERROR(GOOGLEFINANCE(A978,""CHANGEPCT""),)"),-1.48)</f>
        <v>-1.48</v>
      </c>
      <c r="E978" s="48" t="str">
        <f t="shared" si="1"/>
        <v>-1.48%</v>
      </c>
      <c r="F978" s="48" t="str">
        <f t="shared" si="2"/>
        <v/>
      </c>
      <c r="G978" s="48">
        <f t="shared" si="3"/>
        <v>-1.48</v>
      </c>
      <c r="H978" s="48">
        <f>IFERROR(__xludf.DUMMYFUNCTION("IFERROR(GOOGLEFINANCE(A978,""PRICE""),)"),117.0)</f>
        <v>117</v>
      </c>
      <c r="I978" s="49">
        <f>IFERROR(__xludf.DUMMYFUNCTION("IFERROR(GOOGLEFINANCE(A978,""VOLUME""),)"),88011.0)</f>
        <v>88011</v>
      </c>
      <c r="J978" s="48" t="str">
        <f>IFERROR(__xludf.DUMMYFUNCTION("IFERROR(INDEX(SPLIT(A978,"":""),1,2),)"),"NELCAST")</f>
        <v>NELCAST</v>
      </c>
      <c r="K978" s="48" t="str">
        <f t="shared" si="4"/>
        <v/>
      </c>
      <c r="L978" s="48">
        <f t="shared" si="5"/>
        <v>445</v>
      </c>
      <c r="M978" s="48">
        <f t="shared" si="6"/>
        <v>804</v>
      </c>
      <c r="N978" s="50">
        <f>IFERROR(__xludf.DUMMYFUNCTION("IFERROR(GOOGLEFINANCE(A978,""TRADETIME""),)"),46269.64585648148)</f>
        <v>46269.64586</v>
      </c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</row>
    <row r="979" ht="15.75" customHeight="1">
      <c r="A979" s="51" t="s">
        <v>1025</v>
      </c>
      <c r="B979" s="51" t="str">
        <f>IFERROR(__xludf.DUMMYFUNCTION("IFERROR(GOOGLEFINANCE(A979,""NAME""),)"),"Nelco Ltd")</f>
        <v>Nelco Ltd</v>
      </c>
      <c r="C979" s="51">
        <f>IFERROR(__xludf.DUMMYFUNCTION("IFERROR(GOOGLEFINANCE(A979,""CHANGE""),)"),-21.75)</f>
        <v>-21.75</v>
      </c>
      <c r="D979" s="51">
        <f>IFERROR(__xludf.DUMMYFUNCTION("IFERROR(GOOGLEFINANCE(A979,""CHANGEPCT""),)"),-2.33)</f>
        <v>-2.33</v>
      </c>
      <c r="E979" s="51" t="str">
        <f t="shared" si="1"/>
        <v>-2.33%</v>
      </c>
      <c r="F979" s="51" t="str">
        <f t="shared" si="2"/>
        <v/>
      </c>
      <c r="G979" s="51">
        <f t="shared" si="3"/>
        <v>-2.33</v>
      </c>
      <c r="H979" s="51">
        <f>IFERROR(__xludf.DUMMYFUNCTION("IFERROR(GOOGLEFINANCE(A979,""PRICE""),)"),912.0)</f>
        <v>912</v>
      </c>
      <c r="I979" s="52">
        <f>IFERROR(__xludf.DUMMYFUNCTION("IFERROR(GOOGLEFINANCE(A979,""VOLUME""),)"),159766.0)</f>
        <v>159766</v>
      </c>
      <c r="J979" s="51" t="str">
        <f>IFERROR(__xludf.DUMMYFUNCTION("IFERROR(INDEX(SPLIT(A979,"":""),1,2),)"),"NELCO")</f>
        <v>NELCO</v>
      </c>
      <c r="K979" s="51" t="str">
        <f t="shared" si="4"/>
        <v/>
      </c>
      <c r="L979" s="51">
        <f t="shared" si="5"/>
        <v>562</v>
      </c>
      <c r="M979" s="51">
        <f t="shared" si="6"/>
        <v>674</v>
      </c>
      <c r="N979" s="53">
        <f>IFERROR(__xludf.DUMMYFUNCTION("IFERROR(GOOGLEFINANCE(A979,""TRADETIME""),)"),46269.64583333333)</f>
        <v>46269.64583</v>
      </c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</row>
    <row r="980" ht="15.75" customHeight="1">
      <c r="A980" s="48" t="s">
        <v>1026</v>
      </c>
      <c r="B980" s="48" t="str">
        <f>IFERROR(__xludf.DUMMYFUNCTION("IFERROR(GOOGLEFINANCE(A980,""NAME""),)"),"Neogen Chemicals Ltd")</f>
        <v>Neogen Chemicals Ltd</v>
      </c>
      <c r="C980" s="48">
        <f>IFERROR(__xludf.DUMMYFUNCTION("IFERROR(GOOGLEFINANCE(A980,""CHANGE""),)"),8.9)</f>
        <v>8.9</v>
      </c>
      <c r="D980" s="48">
        <f>IFERROR(__xludf.DUMMYFUNCTION("IFERROR(GOOGLEFINANCE(A980,""CHANGEPCT""),)"),0.42)</f>
        <v>0.42</v>
      </c>
      <c r="E980" s="48" t="str">
        <f t="shared" si="1"/>
        <v>0.42%</v>
      </c>
      <c r="F980" s="48">
        <f t="shared" si="2"/>
        <v>0.42</v>
      </c>
      <c r="G980" s="48" t="str">
        <f t="shared" si="3"/>
        <v/>
      </c>
      <c r="H980" s="48">
        <f>IFERROR(__xludf.DUMMYFUNCTION("IFERROR(GOOGLEFINANCE(A980,""PRICE""),)"),2146.0)</f>
        <v>2146</v>
      </c>
      <c r="I980" s="49">
        <f>IFERROR(__xludf.DUMMYFUNCTION("IFERROR(GOOGLEFINANCE(A980,""VOLUME""),)"),88400.0)</f>
        <v>88400</v>
      </c>
      <c r="J980" s="48" t="str">
        <f>IFERROR(__xludf.DUMMYFUNCTION("IFERROR(INDEX(SPLIT(A980,"":""),1,2),)"),"NEOGEN")</f>
        <v>NEOGEN</v>
      </c>
      <c r="K980" s="48">
        <f t="shared" si="4"/>
        <v>616</v>
      </c>
      <c r="L980" s="48" t="str">
        <f t="shared" si="5"/>
        <v/>
      </c>
      <c r="M980" s="48">
        <f t="shared" si="6"/>
        <v>803</v>
      </c>
      <c r="N980" s="50">
        <f>IFERROR(__xludf.DUMMYFUNCTION("IFERROR(GOOGLEFINANCE(A980,""TRADETIME""),)"),46269.64585648148)</f>
        <v>46269.64586</v>
      </c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</row>
    <row r="981" ht="15.75" customHeight="1">
      <c r="A981" s="51" t="s">
        <v>1027</v>
      </c>
      <c r="B981" s="51" t="str">
        <f>IFERROR(__xludf.DUMMYFUNCTION("IFERROR(GOOGLEFINANCE(A981,""NAME""),)"),"NESCO Ltd")</f>
        <v>NESCO Ltd</v>
      </c>
      <c r="C981" s="51">
        <f>IFERROR(__xludf.DUMMYFUNCTION("IFERROR(GOOGLEFINANCE(A981,""CHANGE""),)"),-1.8)</f>
        <v>-1.8</v>
      </c>
      <c r="D981" s="51">
        <f>IFERROR(__xludf.DUMMYFUNCTION("IFERROR(GOOGLEFINANCE(A981,""CHANGEPCT""),)"),-0.17)</f>
        <v>-0.17</v>
      </c>
      <c r="E981" s="51" t="str">
        <f t="shared" si="1"/>
        <v>-0.17%</v>
      </c>
      <c r="F981" s="51" t="str">
        <f t="shared" si="2"/>
        <v/>
      </c>
      <c r="G981" s="51">
        <f t="shared" si="3"/>
        <v>-0.17</v>
      </c>
      <c r="H981" s="51">
        <f>IFERROR(__xludf.DUMMYFUNCTION("IFERROR(GOOGLEFINANCE(A981,""PRICE""),)"),1043.0)</f>
        <v>1043</v>
      </c>
      <c r="I981" s="52">
        <f>IFERROR(__xludf.DUMMYFUNCTION("IFERROR(GOOGLEFINANCE(A981,""VOLUME""),)"),48170.0)</f>
        <v>48170</v>
      </c>
      <c r="J981" s="51" t="str">
        <f>IFERROR(__xludf.DUMMYFUNCTION("IFERROR(INDEX(SPLIT(A981,"":""),1,2),)"),"NESCO")</f>
        <v>NESCO</v>
      </c>
      <c r="K981" s="51" t="str">
        <f t="shared" si="4"/>
        <v/>
      </c>
      <c r="L981" s="51">
        <f t="shared" si="5"/>
        <v>64</v>
      </c>
      <c r="M981" s="51">
        <f t="shared" si="6"/>
        <v>957</v>
      </c>
      <c r="N981" s="53">
        <f>IFERROR(__xludf.DUMMYFUNCTION("IFERROR(GOOGLEFINANCE(A981,""TRADETIME""),)"),46269.64583333333)</f>
        <v>46269.64583</v>
      </c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</row>
    <row r="982" ht="15.75" customHeight="1">
      <c r="A982" s="48" t="s">
        <v>1028</v>
      </c>
      <c r="B982" s="48" t="str">
        <f>IFERROR(__xludf.DUMMYFUNCTION("IFERROR(GOOGLEFINANCE(A982,""NAME""),)"),"Nestle India Ltd")</f>
        <v>Nestle India Ltd</v>
      </c>
      <c r="C982" s="48">
        <f>IFERROR(__xludf.DUMMYFUNCTION("IFERROR(GOOGLEFINANCE(A982,""CHANGE""),)"),-12.0)</f>
        <v>-12</v>
      </c>
      <c r="D982" s="48">
        <f>IFERROR(__xludf.DUMMYFUNCTION("IFERROR(GOOGLEFINANCE(A982,""CHANGEPCT""),)"),-0.85)</f>
        <v>-0.85</v>
      </c>
      <c r="E982" s="48" t="str">
        <f t="shared" si="1"/>
        <v>-0.85%</v>
      </c>
      <c r="F982" s="48" t="str">
        <f t="shared" si="2"/>
        <v/>
      </c>
      <c r="G982" s="48">
        <f t="shared" si="3"/>
        <v>-0.85</v>
      </c>
      <c r="H982" s="48">
        <f>IFERROR(__xludf.DUMMYFUNCTION("IFERROR(GOOGLEFINANCE(A982,""PRICE""),)"),1404.0)</f>
        <v>1404</v>
      </c>
      <c r="I982" s="49">
        <f>IFERROR(__xludf.DUMMYFUNCTION("IFERROR(GOOGLEFINANCE(A982,""VOLUME""),)"),974257.0)</f>
        <v>974257</v>
      </c>
      <c r="J982" s="48" t="str">
        <f>IFERROR(__xludf.DUMMYFUNCTION("IFERROR(INDEX(SPLIT(A982,"":""),1,2),)"),"NESTLEIND")</f>
        <v>NESTLEIND</v>
      </c>
      <c r="K982" s="48" t="str">
        <f t="shared" si="4"/>
        <v/>
      </c>
      <c r="L982" s="48">
        <f t="shared" si="5"/>
        <v>308</v>
      </c>
      <c r="M982" s="48">
        <f t="shared" si="6"/>
        <v>280</v>
      </c>
      <c r="N982" s="50">
        <f>IFERROR(__xludf.DUMMYFUNCTION("IFERROR(GOOGLEFINANCE(A982,""TRADETIME""),)"),46269.64583333333)</f>
        <v>46269.64583</v>
      </c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</row>
    <row r="983" ht="15.75" customHeight="1">
      <c r="A983" s="51" t="s">
        <v>1029</v>
      </c>
      <c r="B983" s="51" t="str">
        <f>IFERROR(__xludf.DUMMYFUNCTION("IFERROR(GOOGLEFINANCE(A983,""NAME""),)"),"Network18 Media &amp; Investments Ltd")</f>
        <v>Network18 Media &amp; Investments Ltd</v>
      </c>
      <c r="C983" s="51">
        <f>IFERROR(__xludf.DUMMYFUNCTION("IFERROR(GOOGLEFINANCE(A983,""CHANGE""),)"),0.76)</f>
        <v>0.76</v>
      </c>
      <c r="D983" s="51">
        <f>IFERROR(__xludf.DUMMYFUNCTION("IFERROR(GOOGLEFINANCE(A983,""CHANGEPCT""),)"),2.76)</f>
        <v>2.76</v>
      </c>
      <c r="E983" s="51" t="str">
        <f t="shared" si="1"/>
        <v>2.76%</v>
      </c>
      <c r="F983" s="51">
        <f t="shared" si="2"/>
        <v>2.76</v>
      </c>
      <c r="G983" s="51" t="str">
        <f t="shared" si="3"/>
        <v/>
      </c>
      <c r="H983" s="51">
        <f>IFERROR(__xludf.DUMMYFUNCTION("IFERROR(GOOGLEFINANCE(A983,""PRICE""),)"),28.31)</f>
        <v>28.31</v>
      </c>
      <c r="I983" s="52">
        <f>IFERROR(__xludf.DUMMYFUNCTION("IFERROR(GOOGLEFINANCE(A983,""VOLUME""),)"),3493333.0)</f>
        <v>3493333</v>
      </c>
      <c r="J983" s="51" t="str">
        <f>IFERROR(__xludf.DUMMYFUNCTION("IFERROR(INDEX(SPLIT(A983,"":""),1,2),)"),"NETWORK18")</f>
        <v>NETWORK18</v>
      </c>
      <c r="K983" s="51">
        <f t="shared" si="4"/>
        <v>180</v>
      </c>
      <c r="L983" s="51" t="str">
        <f t="shared" si="5"/>
        <v/>
      </c>
      <c r="M983" s="51">
        <f t="shared" si="6"/>
        <v>115</v>
      </c>
      <c r="N983" s="53">
        <f>IFERROR(__xludf.DUMMYFUNCTION("IFERROR(GOOGLEFINANCE(A983,""TRADETIME""),)"),46269.64585648148)</f>
        <v>46269.64586</v>
      </c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</row>
    <row r="984" ht="15.75" customHeight="1">
      <c r="A984" s="48" t="s">
        <v>1030</v>
      </c>
      <c r="B984" s="48" t="str">
        <f>IFERROR(__xludf.DUMMYFUNCTION("IFERROR(GOOGLEFINANCE(A984,""NAME""),)"),"Neuland Laboratories Ltd")</f>
        <v>Neuland Laboratories Ltd</v>
      </c>
      <c r="C984" s="48">
        <f>IFERROR(__xludf.DUMMYFUNCTION("IFERROR(GOOGLEFINANCE(A984,""CHANGE""),)"),-250.0)</f>
        <v>-250</v>
      </c>
      <c r="D984" s="48">
        <f>IFERROR(__xludf.DUMMYFUNCTION("IFERROR(GOOGLEFINANCE(A984,""CHANGEPCT""),)"),-1.09)</f>
        <v>-1.09</v>
      </c>
      <c r="E984" s="48" t="str">
        <f t="shared" si="1"/>
        <v>-1.09%</v>
      </c>
      <c r="F984" s="48" t="str">
        <f t="shared" si="2"/>
        <v/>
      </c>
      <c r="G984" s="48">
        <f t="shared" si="3"/>
        <v>-1.09</v>
      </c>
      <c r="H984" s="48">
        <f>IFERROR(__xludf.DUMMYFUNCTION("IFERROR(GOOGLEFINANCE(A984,""PRICE""),)"),22640.0)</f>
        <v>22640</v>
      </c>
      <c r="I984" s="49">
        <f>IFERROR(__xludf.DUMMYFUNCTION("IFERROR(GOOGLEFINANCE(A984,""VOLUME""),)"),21110.0)</f>
        <v>21110</v>
      </c>
      <c r="J984" s="48" t="str">
        <f>IFERROR(__xludf.DUMMYFUNCTION("IFERROR(INDEX(SPLIT(A984,"":""),1,2),)"),"NEULANDLAB")</f>
        <v>NEULANDLAB</v>
      </c>
      <c r="K984" s="48" t="str">
        <f t="shared" si="4"/>
        <v/>
      </c>
      <c r="L984" s="48">
        <f t="shared" si="5"/>
        <v>359</v>
      </c>
      <c r="M984" s="48">
        <f t="shared" si="6"/>
        <v>1114</v>
      </c>
      <c r="N984" s="50">
        <f>IFERROR(__xludf.DUMMYFUNCTION("IFERROR(GOOGLEFINANCE(A984,""TRADETIME""),)"),46269.64585648148)</f>
        <v>46269.64586</v>
      </c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</row>
    <row r="985" ht="15.75" customHeight="1">
      <c r="A985" s="51" t="s">
        <v>1031</v>
      </c>
      <c r="B985" s="51" t="str">
        <f>IFERROR(__xludf.DUMMYFUNCTION("IFERROR(GOOGLEFINANCE(A985,""NAME""),)"),"Newgen Software Technologies Ltd")</f>
        <v>Newgen Software Technologies Ltd</v>
      </c>
      <c r="C985" s="51">
        <f>IFERROR(__xludf.DUMMYFUNCTION("IFERROR(GOOGLEFINANCE(A985,""CHANGE""),)"),8.85)</f>
        <v>8.85</v>
      </c>
      <c r="D985" s="51">
        <f>IFERROR(__xludf.DUMMYFUNCTION("IFERROR(GOOGLEFINANCE(A985,""CHANGEPCT""),)"),1.71)</f>
        <v>1.71</v>
      </c>
      <c r="E985" s="51" t="str">
        <f t="shared" si="1"/>
        <v>1.71%</v>
      </c>
      <c r="F985" s="51">
        <f t="shared" si="2"/>
        <v>1.71</v>
      </c>
      <c r="G985" s="51" t="str">
        <f t="shared" si="3"/>
        <v/>
      </c>
      <c r="H985" s="51">
        <f>IFERROR(__xludf.DUMMYFUNCTION("IFERROR(GOOGLEFINANCE(A985,""PRICE""),)"),526.5)</f>
        <v>526.5</v>
      </c>
      <c r="I985" s="52">
        <f>IFERROR(__xludf.DUMMYFUNCTION("IFERROR(GOOGLEFINANCE(A985,""VOLUME""),)"),2160906.0)</f>
        <v>2160906</v>
      </c>
      <c r="J985" s="51" t="str">
        <f>IFERROR(__xludf.DUMMYFUNCTION("IFERROR(INDEX(SPLIT(A985,"":""),1,2),)"),"NEWGEN")</f>
        <v>NEWGEN</v>
      </c>
      <c r="K985" s="51">
        <f t="shared" si="4"/>
        <v>309</v>
      </c>
      <c r="L985" s="51" t="str">
        <f t="shared" si="5"/>
        <v/>
      </c>
      <c r="M985" s="51">
        <f t="shared" si="6"/>
        <v>166</v>
      </c>
      <c r="N985" s="53">
        <f>IFERROR(__xludf.DUMMYFUNCTION("IFERROR(GOOGLEFINANCE(A985,""TRADETIME""),)"),46269.64583333333)</f>
        <v>46269.64583</v>
      </c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</row>
    <row r="986" ht="15.75" customHeight="1">
      <c r="A986" s="48" t="s">
        <v>1032</v>
      </c>
      <c r="B986" s="48" t="str">
        <f>IFERROR(__xludf.DUMMYFUNCTION("IFERROR(GOOGLEFINANCE(A986,""NAME""),)"),"Next Mediaworks Ltd")</f>
        <v>Next Mediaworks Ltd</v>
      </c>
      <c r="C986" s="48">
        <f>IFERROR(__xludf.DUMMYFUNCTION("IFERROR(GOOGLEFINANCE(A986,""CHANGE""),)"),-0.13)</f>
        <v>-0.13</v>
      </c>
      <c r="D986" s="48">
        <f>IFERROR(__xludf.DUMMYFUNCTION("IFERROR(GOOGLEFINANCE(A986,""CHANGEPCT""),)"),-3.25)</f>
        <v>-3.25</v>
      </c>
      <c r="E986" s="48" t="str">
        <f t="shared" si="1"/>
        <v>-3.25%</v>
      </c>
      <c r="F986" s="48" t="str">
        <f t="shared" si="2"/>
        <v/>
      </c>
      <c r="G986" s="48">
        <f t="shared" si="3"/>
        <v>-3.25</v>
      </c>
      <c r="H986" s="48">
        <f>IFERROR(__xludf.DUMMYFUNCTION("IFERROR(GOOGLEFINANCE(A986,""PRICE""),)"),3.87)</f>
        <v>3.87</v>
      </c>
      <c r="I986" s="49">
        <f>IFERROR(__xludf.DUMMYFUNCTION("IFERROR(GOOGLEFINANCE(A986,""VOLUME""),)"),54384.0)</f>
        <v>54384</v>
      </c>
      <c r="J986" s="48" t="str">
        <f>IFERROR(__xludf.DUMMYFUNCTION("IFERROR(INDEX(SPLIT(A986,"":""),1,2),)"),"NEXTMEDIA")</f>
        <v>NEXTMEDIA</v>
      </c>
      <c r="K986" s="48" t="str">
        <f t="shared" si="4"/>
        <v/>
      </c>
      <c r="L986" s="48">
        <f t="shared" si="5"/>
        <v>597</v>
      </c>
      <c r="M986" s="48">
        <f t="shared" si="6"/>
        <v>927</v>
      </c>
      <c r="N986" s="50">
        <f>IFERROR(__xludf.DUMMYFUNCTION("IFERROR(GOOGLEFINANCE(A986,""TRADETIME""),)"),46269.64583333333)</f>
        <v>46269.64583</v>
      </c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</row>
    <row r="987" ht="15.75" customHeight="1">
      <c r="A987" s="51" t="s">
        <v>1033</v>
      </c>
      <c r="B987" s="51" t="str">
        <f>IFERROR(__xludf.DUMMYFUNCTION("IFERROR(GOOGLEFINANCE(A987,""NAME""),)"),"National Fertilizers Limited")</f>
        <v>National Fertilizers Limited</v>
      </c>
      <c r="C987" s="51">
        <f>IFERROR(__xludf.DUMMYFUNCTION("IFERROR(GOOGLEFINANCE(A987,""CHANGE""),)"),0.31)</f>
        <v>0.31</v>
      </c>
      <c r="D987" s="51">
        <f>IFERROR(__xludf.DUMMYFUNCTION("IFERROR(GOOGLEFINANCE(A987,""CHANGEPCT""),)"),0.44)</f>
        <v>0.44</v>
      </c>
      <c r="E987" s="51" t="str">
        <f t="shared" si="1"/>
        <v>0.44%</v>
      </c>
      <c r="F987" s="51">
        <f t="shared" si="2"/>
        <v>0.44</v>
      </c>
      <c r="G987" s="51" t="str">
        <f t="shared" si="3"/>
        <v/>
      </c>
      <c r="H987" s="51">
        <f>IFERROR(__xludf.DUMMYFUNCTION("IFERROR(GOOGLEFINANCE(A987,""PRICE""),)"),70.64)</f>
        <v>70.64</v>
      </c>
      <c r="I987" s="52">
        <f>IFERROR(__xludf.DUMMYFUNCTION("IFERROR(GOOGLEFINANCE(A987,""VOLUME""),)"),400837.0)</f>
        <v>400837</v>
      </c>
      <c r="J987" s="51" t="str">
        <f>IFERROR(__xludf.DUMMYFUNCTION("IFERROR(INDEX(SPLIT(A987,"":""),1,2),)"),"NFL")</f>
        <v>NFL</v>
      </c>
      <c r="K987" s="51">
        <f t="shared" si="4"/>
        <v>611</v>
      </c>
      <c r="L987" s="51" t="str">
        <f t="shared" si="5"/>
        <v/>
      </c>
      <c r="M987" s="51">
        <f t="shared" si="6"/>
        <v>441</v>
      </c>
      <c r="N987" s="53">
        <f>IFERROR(__xludf.DUMMYFUNCTION("IFERROR(GOOGLEFINANCE(A987,""TRADETIME""),)"),46269.64583333333)</f>
        <v>46269.64583</v>
      </c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</row>
    <row r="988" ht="15.75" customHeight="1">
      <c r="A988" s="48" t="s">
        <v>1034</v>
      </c>
      <c r="B988" s="48" t="str">
        <f>IFERROR(__xludf.DUMMYFUNCTION("IFERROR(GOOGLEFINANCE(A988,""NAME""),)"),"Narayana Hrudayalaya Ltd")</f>
        <v>Narayana Hrudayalaya Ltd</v>
      </c>
      <c r="C988" s="48">
        <f>IFERROR(__xludf.DUMMYFUNCTION("IFERROR(GOOGLEFINANCE(A988,""CHANGE""),)"),-20.2)</f>
        <v>-20.2</v>
      </c>
      <c r="D988" s="48">
        <f>IFERROR(__xludf.DUMMYFUNCTION("IFERROR(GOOGLEFINANCE(A988,""CHANGEPCT""),)"),-1.07)</f>
        <v>-1.07</v>
      </c>
      <c r="E988" s="48" t="str">
        <f t="shared" si="1"/>
        <v>-1.07%</v>
      </c>
      <c r="F988" s="48" t="str">
        <f t="shared" si="2"/>
        <v/>
      </c>
      <c r="G988" s="48">
        <f t="shared" si="3"/>
        <v>-1.07</v>
      </c>
      <c r="H988" s="48">
        <f>IFERROR(__xludf.DUMMYFUNCTION("IFERROR(GOOGLEFINANCE(A988,""PRICE""),)"),1862.0)</f>
        <v>1862</v>
      </c>
      <c r="I988" s="49">
        <f>IFERROR(__xludf.DUMMYFUNCTION("IFERROR(GOOGLEFINANCE(A988,""VOLUME""),)"),210266.0)</f>
        <v>210266</v>
      </c>
      <c r="J988" s="48" t="str">
        <f>IFERROR(__xludf.DUMMYFUNCTION("IFERROR(INDEX(SPLIT(A988,"":""),1,2),)"),"NH")</f>
        <v>NH</v>
      </c>
      <c r="K988" s="48" t="str">
        <f t="shared" si="4"/>
        <v/>
      </c>
      <c r="L988" s="48">
        <f t="shared" si="5"/>
        <v>354</v>
      </c>
      <c r="M988" s="48">
        <f t="shared" si="6"/>
        <v>609</v>
      </c>
      <c r="N988" s="50">
        <f>IFERROR(__xludf.DUMMYFUNCTION("IFERROR(GOOGLEFINANCE(A988,""TRADETIME""),)"),46269.64583333333)</f>
        <v>46269.64583</v>
      </c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</row>
    <row r="989" ht="15.75" customHeight="1">
      <c r="A989" s="51" t="s">
        <v>1035</v>
      </c>
      <c r="B989" s="51" t="str">
        <f>IFERROR(__xludf.DUMMYFUNCTION("IFERROR(GOOGLEFINANCE(A989,""NAME""),)"),"NHPC Ltd")</f>
        <v>NHPC Ltd</v>
      </c>
      <c r="C989" s="51">
        <f>IFERROR(__xludf.DUMMYFUNCTION("IFERROR(GOOGLEFINANCE(A989,""CHANGE""),)"),-0.17)</f>
        <v>-0.17</v>
      </c>
      <c r="D989" s="51">
        <f>IFERROR(__xludf.DUMMYFUNCTION("IFERROR(GOOGLEFINANCE(A989,""CHANGEPCT""),)"),-0.22)</f>
        <v>-0.22</v>
      </c>
      <c r="E989" s="51" t="str">
        <f t="shared" si="1"/>
        <v>-0.22%</v>
      </c>
      <c r="F989" s="51" t="str">
        <f t="shared" si="2"/>
        <v/>
      </c>
      <c r="G989" s="51">
        <f t="shared" si="3"/>
        <v>-0.22</v>
      </c>
      <c r="H989" s="51">
        <f>IFERROR(__xludf.DUMMYFUNCTION("IFERROR(GOOGLEFINANCE(A989,""PRICE""),)"),76.28)</f>
        <v>76.28</v>
      </c>
      <c r="I989" s="52">
        <f>IFERROR(__xludf.DUMMYFUNCTION("IFERROR(GOOGLEFINANCE(A989,""VOLUME""),)"),4059538.0)</f>
        <v>4059538</v>
      </c>
      <c r="J989" s="51" t="str">
        <f>IFERROR(__xludf.DUMMYFUNCTION("IFERROR(INDEX(SPLIT(A989,"":""),1,2),)"),"NHPC")</f>
        <v>NHPC</v>
      </c>
      <c r="K989" s="51" t="str">
        <f t="shared" si="4"/>
        <v/>
      </c>
      <c r="L989" s="51">
        <f t="shared" si="5"/>
        <v>80</v>
      </c>
      <c r="M989" s="51">
        <f t="shared" si="6"/>
        <v>101</v>
      </c>
      <c r="N989" s="53">
        <f>IFERROR(__xludf.DUMMYFUNCTION("IFERROR(GOOGLEFINANCE(A989,""TRADETIME""),)"),46269.64583333333)</f>
        <v>46269.64583</v>
      </c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</row>
    <row r="990" ht="15.75" customHeight="1">
      <c r="A990" s="48" t="s">
        <v>1036</v>
      </c>
      <c r="B990" s="48" t="str">
        <f>IFERROR(__xludf.DUMMYFUNCTION("IFERROR(GOOGLEFINANCE(A990,""NAME""),)"),"New India Assurance Company Ltd")</f>
        <v>New India Assurance Company Ltd</v>
      </c>
      <c r="C990" s="48">
        <f>IFERROR(__xludf.DUMMYFUNCTION("IFERROR(GOOGLEFINANCE(A990,""CHANGE""),)"),35.67)</f>
        <v>35.67</v>
      </c>
      <c r="D990" s="48">
        <f>IFERROR(__xludf.DUMMYFUNCTION("IFERROR(GOOGLEFINANCE(A990,""CHANGEPCT""),)"),18.26)</f>
        <v>18.26</v>
      </c>
      <c r="E990" s="48" t="str">
        <f t="shared" si="1"/>
        <v>18.26%</v>
      </c>
      <c r="F990" s="48">
        <f t="shared" si="2"/>
        <v>18.26</v>
      </c>
      <c r="G990" s="48" t="str">
        <f t="shared" si="3"/>
        <v/>
      </c>
      <c r="H990" s="48">
        <f>IFERROR(__xludf.DUMMYFUNCTION("IFERROR(GOOGLEFINANCE(A990,""PRICE""),)"),231.0)</f>
        <v>231</v>
      </c>
      <c r="I990" s="49">
        <f>IFERROR(__xludf.DUMMYFUNCTION("IFERROR(GOOGLEFINANCE(A990,""VOLUME""),)"),6.6928665E7)</f>
        <v>66928665</v>
      </c>
      <c r="J990" s="48" t="str">
        <f>IFERROR(__xludf.DUMMYFUNCTION("IFERROR(INDEX(SPLIT(A990,"":""),1,2),)"),"NIACL")</f>
        <v>NIACL</v>
      </c>
      <c r="K990" s="48">
        <f t="shared" si="4"/>
        <v>3</v>
      </c>
      <c r="L990" s="48" t="str">
        <f t="shared" si="5"/>
        <v/>
      </c>
      <c r="M990" s="48">
        <f t="shared" si="6"/>
        <v>5</v>
      </c>
      <c r="N990" s="50">
        <f>IFERROR(__xludf.DUMMYFUNCTION("IFERROR(GOOGLEFINANCE(A990,""TRADETIME""),)"),46269.64583333333)</f>
        <v>46269.64583</v>
      </c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</row>
    <row r="991" ht="15.75" customHeight="1">
      <c r="A991" s="51" t="s">
        <v>1037</v>
      </c>
      <c r="B991" s="51" t="str">
        <f>IFERROR(__xludf.DUMMYFUNCTION("IFERROR(GOOGLEFINANCE(A991,""NAME""),)"),"NRB Industrial Bearings Ltd")</f>
        <v>NRB Industrial Bearings Ltd</v>
      </c>
      <c r="C991" s="51">
        <f>IFERROR(__xludf.DUMMYFUNCTION("IFERROR(GOOGLEFINANCE(A991,""CHANGE""),)"),0.14)</f>
        <v>0.14</v>
      </c>
      <c r="D991" s="51">
        <f>IFERROR(__xludf.DUMMYFUNCTION("IFERROR(GOOGLEFINANCE(A991,""CHANGEPCT""),)"),0.46)</f>
        <v>0.46</v>
      </c>
      <c r="E991" s="51" t="str">
        <f t="shared" si="1"/>
        <v>0.46%</v>
      </c>
      <c r="F991" s="51">
        <f t="shared" si="2"/>
        <v>0.46</v>
      </c>
      <c r="G991" s="51" t="str">
        <f t="shared" si="3"/>
        <v/>
      </c>
      <c r="H991" s="51">
        <f>IFERROR(__xludf.DUMMYFUNCTION("IFERROR(GOOGLEFINANCE(A991,""PRICE""),)"),30.9)</f>
        <v>30.9</v>
      </c>
      <c r="I991" s="52">
        <f>IFERROR(__xludf.DUMMYFUNCTION("IFERROR(GOOGLEFINANCE(A991,""VOLUME""),)"),6851.0)</f>
        <v>6851</v>
      </c>
      <c r="J991" s="51" t="str">
        <f>IFERROR(__xludf.DUMMYFUNCTION("IFERROR(INDEX(SPLIT(A991,"":""),1,2),)"),"NIBL")</f>
        <v>NIBL</v>
      </c>
      <c r="K991" s="51">
        <f t="shared" si="4"/>
        <v>607</v>
      </c>
      <c r="L991" s="51" t="str">
        <f t="shared" si="5"/>
        <v/>
      </c>
      <c r="M991" s="51">
        <f t="shared" si="6"/>
        <v>1292</v>
      </c>
      <c r="N991" s="53">
        <f>IFERROR(__xludf.DUMMYFUNCTION("IFERROR(GOOGLEFINANCE(A991,""TRADETIME""),)"),46269.64583333333)</f>
        <v>46269.64583</v>
      </c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</row>
    <row r="992" ht="15.75" customHeight="1">
      <c r="A992" s="48" t="s">
        <v>1038</v>
      </c>
      <c r="B992" s="48" t="str">
        <f>IFERROR(__xludf.DUMMYFUNCTION("IFERROR(GOOGLEFINANCE(A992,""NAME""),)"),"NIIT Ltd")</f>
        <v>NIIT Ltd</v>
      </c>
      <c r="C992" s="48">
        <f>IFERROR(__xludf.DUMMYFUNCTION("IFERROR(GOOGLEFINANCE(A992,""CHANGE""),)"),1.53)</f>
        <v>1.53</v>
      </c>
      <c r="D992" s="48">
        <f>IFERROR(__xludf.DUMMYFUNCTION("IFERROR(GOOGLEFINANCE(A992,""CHANGEPCT""),)"),1.57)</f>
        <v>1.57</v>
      </c>
      <c r="E992" s="48" t="str">
        <f t="shared" si="1"/>
        <v>1.57%</v>
      </c>
      <c r="F992" s="48">
        <f t="shared" si="2"/>
        <v>1.57</v>
      </c>
      <c r="G992" s="48" t="str">
        <f t="shared" si="3"/>
        <v/>
      </c>
      <c r="H992" s="48">
        <f>IFERROR(__xludf.DUMMYFUNCTION("IFERROR(GOOGLEFINANCE(A992,""PRICE""),)"),99.1)</f>
        <v>99.1</v>
      </c>
      <c r="I992" s="49">
        <f>IFERROR(__xludf.DUMMYFUNCTION("IFERROR(GOOGLEFINANCE(A992,""VOLUME""),)"),255516.0)</f>
        <v>255516</v>
      </c>
      <c r="J992" s="48" t="str">
        <f>IFERROR(__xludf.DUMMYFUNCTION("IFERROR(INDEX(SPLIT(A992,"":""),1,2),)"),"NIITLTD")</f>
        <v>NIITLTD</v>
      </c>
      <c r="K992" s="48">
        <f t="shared" si="4"/>
        <v>332</v>
      </c>
      <c r="L992" s="48" t="str">
        <f t="shared" si="5"/>
        <v/>
      </c>
      <c r="M992" s="48">
        <f t="shared" si="6"/>
        <v>561</v>
      </c>
      <c r="N992" s="50">
        <f>IFERROR(__xludf.DUMMYFUNCTION("IFERROR(GOOGLEFINANCE(A992,""TRADETIME""),)"),46269.64583333333)</f>
        <v>46269.64583</v>
      </c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</row>
    <row r="993" ht="15.75" customHeight="1">
      <c r="A993" s="51" t="s">
        <v>1039</v>
      </c>
      <c r="B993" s="51" t="str">
        <f>IFERROR(__xludf.DUMMYFUNCTION("IFERROR(GOOGLEFINANCE(A993,""NAME""),)"),"Nila Infrastructures Ltd")</f>
        <v>Nila Infrastructures Ltd</v>
      </c>
      <c r="C993" s="51">
        <f>IFERROR(__xludf.DUMMYFUNCTION("IFERROR(GOOGLEFINANCE(A993,""CHANGE""),)"),-0.02)</f>
        <v>-0.02</v>
      </c>
      <c r="D993" s="51">
        <f>IFERROR(__xludf.DUMMYFUNCTION("IFERROR(GOOGLEFINANCE(A993,""CHANGEPCT""),)"),-0.3)</f>
        <v>-0.3</v>
      </c>
      <c r="E993" s="51" t="str">
        <f t="shared" si="1"/>
        <v>-0.3%</v>
      </c>
      <c r="F993" s="51" t="str">
        <f t="shared" si="2"/>
        <v/>
      </c>
      <c r="G993" s="51">
        <f t="shared" si="3"/>
        <v>-0.3</v>
      </c>
      <c r="H993" s="51">
        <f>IFERROR(__xludf.DUMMYFUNCTION("IFERROR(GOOGLEFINANCE(A993,""PRICE""),)"),6.68)</f>
        <v>6.68</v>
      </c>
      <c r="I993" s="52">
        <f>IFERROR(__xludf.DUMMYFUNCTION("IFERROR(GOOGLEFINANCE(A993,""VOLUME""),)"),220311.0)</f>
        <v>220311</v>
      </c>
      <c r="J993" s="51" t="str">
        <f>IFERROR(__xludf.DUMMYFUNCTION("IFERROR(INDEX(SPLIT(A993,"":""),1,2),)"),"NILAINFRA")</f>
        <v>NILAINFRA</v>
      </c>
      <c r="K993" s="51" t="str">
        <f t="shared" si="4"/>
        <v/>
      </c>
      <c r="L993" s="51">
        <f t="shared" si="5"/>
        <v>112</v>
      </c>
      <c r="M993" s="51">
        <f t="shared" si="6"/>
        <v>598</v>
      </c>
      <c r="N993" s="53">
        <f>IFERROR(__xludf.DUMMYFUNCTION("IFERROR(GOOGLEFINANCE(A993,""TRADETIME""),)"),46269.64583333333)</f>
        <v>46269.64583</v>
      </c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</row>
    <row r="994" ht="15.75" customHeight="1">
      <c r="A994" s="48" t="s">
        <v>1040</v>
      </c>
      <c r="B994" s="48" t="str">
        <f>IFERROR(__xludf.DUMMYFUNCTION("IFERROR(GOOGLEFINANCE(A994,""NAME""),)"),"Nila Spaces Ltd")</f>
        <v>Nila Spaces Ltd</v>
      </c>
      <c r="C994" s="48">
        <f>IFERROR(__xludf.DUMMYFUNCTION("IFERROR(GOOGLEFINANCE(A994,""CHANGE""),)"),0.02)</f>
        <v>0.02</v>
      </c>
      <c r="D994" s="48">
        <f>IFERROR(__xludf.DUMMYFUNCTION("IFERROR(GOOGLEFINANCE(A994,""CHANGEPCT""),)"),0.16)</f>
        <v>0.16</v>
      </c>
      <c r="E994" s="48" t="str">
        <f t="shared" si="1"/>
        <v>0.16%</v>
      </c>
      <c r="F994" s="48">
        <f t="shared" si="2"/>
        <v>0.16</v>
      </c>
      <c r="G994" s="48" t="str">
        <f t="shared" si="3"/>
        <v/>
      </c>
      <c r="H994" s="48">
        <f>IFERROR(__xludf.DUMMYFUNCTION("IFERROR(GOOGLEFINANCE(A994,""PRICE""),)"),12.3)</f>
        <v>12.3</v>
      </c>
      <c r="I994" s="49">
        <f>IFERROR(__xludf.DUMMYFUNCTION("IFERROR(GOOGLEFINANCE(A994,""VOLUME""),)"),666134.0)</f>
        <v>666134</v>
      </c>
      <c r="J994" s="48" t="str">
        <f>IFERROR(__xludf.DUMMYFUNCTION("IFERROR(INDEX(SPLIT(A994,"":""),1,2),)"),"NILASPACES")</f>
        <v>NILASPACES</v>
      </c>
      <c r="K994" s="48">
        <f t="shared" si="4"/>
        <v>718</v>
      </c>
      <c r="L994" s="48" t="str">
        <f t="shared" si="5"/>
        <v/>
      </c>
      <c r="M994" s="48">
        <f t="shared" si="6"/>
        <v>339</v>
      </c>
      <c r="N994" s="50">
        <f>IFERROR(__xludf.DUMMYFUNCTION("IFERROR(GOOGLEFINANCE(A994,""TRADETIME""),)"),46269.64585648148)</f>
        <v>46269.64586</v>
      </c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</row>
    <row r="995" ht="15.75" customHeight="1">
      <c r="A995" s="51" t="s">
        <v>1041</v>
      </c>
      <c r="B995" s="51" t="str">
        <f>IFERROR(__xludf.DUMMYFUNCTION("IFERROR(GOOGLEFINANCE(A995,""NAME""),)"),"Nilkamal Ltd")</f>
        <v>Nilkamal Ltd</v>
      </c>
      <c r="C995" s="51">
        <f>IFERROR(__xludf.DUMMYFUNCTION("IFERROR(GOOGLEFINANCE(A995,""CHANGE""),)"),-9.9)</f>
        <v>-9.9</v>
      </c>
      <c r="D995" s="51">
        <f>IFERROR(__xludf.DUMMYFUNCTION("IFERROR(GOOGLEFINANCE(A995,""CHANGEPCT""),)"),-0.47)</f>
        <v>-0.47</v>
      </c>
      <c r="E995" s="51" t="str">
        <f t="shared" si="1"/>
        <v>-0.47%</v>
      </c>
      <c r="F995" s="51" t="str">
        <f t="shared" si="2"/>
        <v/>
      </c>
      <c r="G995" s="51">
        <f t="shared" si="3"/>
        <v>-0.47</v>
      </c>
      <c r="H995" s="51">
        <f>IFERROR(__xludf.DUMMYFUNCTION("IFERROR(GOOGLEFINANCE(A995,""PRICE""),)"),2101.2)</f>
        <v>2101.2</v>
      </c>
      <c r="I995" s="52">
        <f>IFERROR(__xludf.DUMMYFUNCTION("IFERROR(GOOGLEFINANCE(A995,""VOLUME""),)"),19143.0)</f>
        <v>19143</v>
      </c>
      <c r="J995" s="51" t="str">
        <f>IFERROR(__xludf.DUMMYFUNCTION("IFERROR(INDEX(SPLIT(A995,"":""),1,2),)"),"NILKAMAL")</f>
        <v>NILKAMAL</v>
      </c>
      <c r="K995" s="51" t="str">
        <f t="shared" si="4"/>
        <v/>
      </c>
      <c r="L995" s="51">
        <f t="shared" si="5"/>
        <v>184</v>
      </c>
      <c r="M995" s="51">
        <f t="shared" si="6"/>
        <v>1131</v>
      </c>
      <c r="N995" s="53">
        <f>IFERROR(__xludf.DUMMYFUNCTION("IFERROR(GOOGLEFINANCE(A995,""TRADETIME""),)"),46269.64583333333)</f>
        <v>46269.64583</v>
      </c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</row>
    <row r="996" ht="15.75" customHeight="1">
      <c r="A996" s="48" t="s">
        <v>1042</v>
      </c>
      <c r="B996" s="48" t="str">
        <f>IFERROR(__xludf.DUMMYFUNCTION("IFERROR(GOOGLEFINANCE(A996,""NAME""),)"),"Indo National Ltd")</f>
        <v>Indo National Ltd</v>
      </c>
      <c r="C996" s="48">
        <f>IFERROR(__xludf.DUMMYFUNCTION("IFERROR(GOOGLEFINANCE(A996,""CHANGE""),)"),6.0)</f>
        <v>6</v>
      </c>
      <c r="D996" s="48">
        <f>IFERROR(__xludf.DUMMYFUNCTION("IFERROR(GOOGLEFINANCE(A996,""CHANGEPCT""),)"),1.85)</f>
        <v>1.85</v>
      </c>
      <c r="E996" s="48" t="str">
        <f t="shared" si="1"/>
        <v>1.85%</v>
      </c>
      <c r="F996" s="48">
        <f t="shared" si="2"/>
        <v>1.85</v>
      </c>
      <c r="G996" s="48" t="str">
        <f t="shared" si="3"/>
        <v/>
      </c>
      <c r="H996" s="48">
        <f>IFERROR(__xludf.DUMMYFUNCTION("IFERROR(GOOGLEFINANCE(A996,""PRICE""),)"),330.0)</f>
        <v>330</v>
      </c>
      <c r="I996" s="49">
        <f>IFERROR(__xludf.DUMMYFUNCTION("IFERROR(GOOGLEFINANCE(A996,""VOLUME""),)"),2225.0)</f>
        <v>2225</v>
      </c>
      <c r="J996" s="48" t="str">
        <f>IFERROR(__xludf.DUMMYFUNCTION("IFERROR(INDEX(SPLIT(A996,"":""),1,2),)"),"NIPPOBATRY")</f>
        <v>NIPPOBATRY</v>
      </c>
      <c r="K996" s="48">
        <f t="shared" si="4"/>
        <v>288</v>
      </c>
      <c r="L996" s="48" t="str">
        <f t="shared" si="5"/>
        <v/>
      </c>
      <c r="M996" s="48">
        <f t="shared" si="6"/>
        <v>1388</v>
      </c>
      <c r="N996" s="50">
        <f>IFERROR(__xludf.DUMMYFUNCTION("IFERROR(GOOGLEFINANCE(A996,""TRADETIME""),)"),46269.64583333333)</f>
        <v>46269.64583</v>
      </c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</row>
    <row r="997" ht="15.75" customHeight="1">
      <c r="A997" s="51" t="s">
        <v>1043</v>
      </c>
      <c r="B997" s="51" t="str">
        <f>IFERROR(__xludf.DUMMYFUNCTION("IFERROR(GOOGLEFINANCE(A997,""NAME""),)"),"Niraj Cement Structurals Ltd.")</f>
        <v>Niraj Cement Structurals Ltd.</v>
      </c>
      <c r="C997" s="51">
        <f>IFERROR(__xludf.DUMMYFUNCTION("IFERROR(GOOGLEFINANCE(A997,""CHANGE""),)"),-0.63)</f>
        <v>-0.63</v>
      </c>
      <c r="D997" s="51">
        <f>IFERROR(__xludf.DUMMYFUNCTION("IFERROR(GOOGLEFINANCE(A997,""CHANGEPCT""),)"),-2.16)</f>
        <v>-2.16</v>
      </c>
      <c r="E997" s="51" t="str">
        <f t="shared" si="1"/>
        <v>-2.16%</v>
      </c>
      <c r="F997" s="51" t="str">
        <f t="shared" si="2"/>
        <v/>
      </c>
      <c r="G997" s="51">
        <f t="shared" si="3"/>
        <v>-2.16</v>
      </c>
      <c r="H997" s="51">
        <f>IFERROR(__xludf.DUMMYFUNCTION("IFERROR(GOOGLEFINANCE(A997,""PRICE""),)"),28.5)</f>
        <v>28.5</v>
      </c>
      <c r="I997" s="52">
        <f>IFERROR(__xludf.DUMMYFUNCTION("IFERROR(GOOGLEFINANCE(A997,""VOLUME""),)"),30448.0)</f>
        <v>30448</v>
      </c>
      <c r="J997" s="51" t="str">
        <f>IFERROR(__xludf.DUMMYFUNCTION("IFERROR(INDEX(SPLIT(A997,"":""),1,2),)"),"NIRAJ")</f>
        <v>NIRAJ</v>
      </c>
      <c r="K997" s="51" t="str">
        <f t="shared" si="4"/>
        <v/>
      </c>
      <c r="L997" s="51">
        <f t="shared" si="5"/>
        <v>548</v>
      </c>
      <c r="M997" s="51">
        <f t="shared" si="6"/>
        <v>1051</v>
      </c>
      <c r="N997" s="53">
        <f>IFERROR(__xludf.DUMMYFUNCTION("IFERROR(GOOGLEFINANCE(A997,""TRADETIME""),)"),46269.64583333333)</f>
        <v>46269.64583</v>
      </c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</row>
    <row r="998" ht="15.75" customHeight="1">
      <c r="A998" s="48" t="s">
        <v>1044</v>
      </c>
      <c r="B998" s="48" t="str">
        <f>IFERROR(__xludf.DUMMYFUNCTION("IFERROR(GOOGLEFINANCE(A998,""NAME""),)"),"Nitco Ltd")</f>
        <v>Nitco Ltd</v>
      </c>
      <c r="C998" s="48">
        <f>IFERROR(__xludf.DUMMYFUNCTION("IFERROR(GOOGLEFINANCE(A998,""CHANGE""),)"),0.22)</f>
        <v>0.22</v>
      </c>
      <c r="D998" s="48">
        <f>IFERROR(__xludf.DUMMYFUNCTION("IFERROR(GOOGLEFINANCE(A998,""CHANGEPCT""),)"),0.23)</f>
        <v>0.23</v>
      </c>
      <c r="E998" s="48" t="str">
        <f t="shared" si="1"/>
        <v>0.23%</v>
      </c>
      <c r="F998" s="48">
        <f t="shared" si="2"/>
        <v>0.23</v>
      </c>
      <c r="G998" s="48" t="str">
        <f t="shared" si="3"/>
        <v/>
      </c>
      <c r="H998" s="48">
        <f>IFERROR(__xludf.DUMMYFUNCTION("IFERROR(GOOGLEFINANCE(A998,""PRICE""),)"),96.5)</f>
        <v>96.5</v>
      </c>
      <c r="I998" s="49">
        <f>IFERROR(__xludf.DUMMYFUNCTION("IFERROR(GOOGLEFINANCE(A998,""VOLUME""),)"),449640.0)</f>
        <v>449640</v>
      </c>
      <c r="J998" s="48" t="str">
        <f>IFERROR(__xludf.DUMMYFUNCTION("IFERROR(INDEX(SPLIT(A998,"":""),1,2),)"),"NITCO")</f>
        <v>NITCO</v>
      </c>
      <c r="K998" s="48">
        <f t="shared" si="4"/>
        <v>683</v>
      </c>
      <c r="L998" s="48" t="str">
        <f t="shared" si="5"/>
        <v/>
      </c>
      <c r="M998" s="48">
        <f t="shared" si="6"/>
        <v>421</v>
      </c>
      <c r="N998" s="50">
        <f>IFERROR(__xludf.DUMMYFUNCTION("IFERROR(GOOGLEFINANCE(A998,""TRADETIME""),)"),46269.64585648148)</f>
        <v>46269.64586</v>
      </c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</row>
    <row r="999" ht="15.75" customHeight="1">
      <c r="A999" s="51" t="s">
        <v>1045</v>
      </c>
      <c r="B999" s="51" t="str">
        <f>IFERROR(__xludf.DUMMYFUNCTION("IFERROR(GOOGLEFINANCE(A999,""NAME""),)"),"Nitin Spinners Limited")</f>
        <v>Nitin Spinners Limited</v>
      </c>
      <c r="C999" s="51">
        <f>IFERROR(__xludf.DUMMYFUNCTION("IFERROR(GOOGLEFINANCE(A999,""CHANGE""),)"),-5.25)</f>
        <v>-5.25</v>
      </c>
      <c r="D999" s="51">
        <f>IFERROR(__xludf.DUMMYFUNCTION("IFERROR(GOOGLEFINANCE(A999,""CHANGEPCT""),)"),-0.82)</f>
        <v>-0.82</v>
      </c>
      <c r="E999" s="51" t="str">
        <f t="shared" si="1"/>
        <v>-0.82%</v>
      </c>
      <c r="F999" s="51" t="str">
        <f t="shared" si="2"/>
        <v/>
      </c>
      <c r="G999" s="51">
        <f t="shared" si="3"/>
        <v>-0.82</v>
      </c>
      <c r="H999" s="51">
        <f>IFERROR(__xludf.DUMMYFUNCTION("IFERROR(GOOGLEFINANCE(A999,""PRICE""),)"),635.0)</f>
        <v>635</v>
      </c>
      <c r="I999" s="52">
        <f>IFERROR(__xludf.DUMMYFUNCTION("IFERROR(GOOGLEFINANCE(A999,""VOLUME""),)"),63257.0)</f>
        <v>63257</v>
      </c>
      <c r="J999" s="51" t="str">
        <f>IFERROR(__xludf.DUMMYFUNCTION("IFERROR(INDEX(SPLIT(A999,"":""),1,2),)"),"NITINSPIN")</f>
        <v>NITINSPIN</v>
      </c>
      <c r="K999" s="51" t="str">
        <f t="shared" si="4"/>
        <v/>
      </c>
      <c r="L999" s="51">
        <f t="shared" si="5"/>
        <v>302</v>
      </c>
      <c r="M999" s="51">
        <f t="shared" si="6"/>
        <v>890</v>
      </c>
      <c r="N999" s="53">
        <f>IFERROR(__xludf.DUMMYFUNCTION("IFERROR(GOOGLEFINANCE(A999,""TRADETIME""),)"),46269.64583333333)</f>
        <v>46269.64583</v>
      </c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</row>
    <row r="1000" ht="15.75" customHeight="1">
      <c r="A1000" s="48" t="s">
        <v>1046</v>
      </c>
      <c r="B1000" s="48" t="str">
        <f>IFERROR(__xludf.DUMMYFUNCTION("IFERROR(GOOGLEFINANCE(A1000,""NAME""),)"),"N K Industries Ltd")</f>
        <v>N K Industries Ltd</v>
      </c>
      <c r="C1000" s="48">
        <f>IFERROR(__xludf.DUMMYFUNCTION("IFERROR(GOOGLEFINANCE(A1000,""CHANGE""),)"),0.78)</f>
        <v>0.78</v>
      </c>
      <c r="D1000" s="48">
        <f>IFERROR(__xludf.DUMMYFUNCTION("IFERROR(GOOGLEFINANCE(A1000,""CHANGEPCT""),)"),1.38)</f>
        <v>1.38</v>
      </c>
      <c r="E1000" s="48" t="str">
        <f t="shared" si="1"/>
        <v>1.38%</v>
      </c>
      <c r="F1000" s="48">
        <f t="shared" si="2"/>
        <v>1.38</v>
      </c>
      <c r="G1000" s="48" t="str">
        <f t="shared" si="3"/>
        <v/>
      </c>
      <c r="H1000" s="48">
        <f>IFERROR(__xludf.DUMMYFUNCTION("IFERROR(GOOGLEFINANCE(A1000,""PRICE""),)"),57.1)</f>
        <v>57.1</v>
      </c>
      <c r="I1000" s="49">
        <f>IFERROR(__xludf.DUMMYFUNCTION("IFERROR(GOOGLEFINANCE(A1000,""VOLUME""),)"),937.0)</f>
        <v>937</v>
      </c>
      <c r="J1000" s="48" t="str">
        <f>IFERROR(__xludf.DUMMYFUNCTION("IFERROR(INDEX(SPLIT(A1000,"":""),1,2),)"),"NKIND")</f>
        <v>NKIND</v>
      </c>
      <c r="K1000" s="48">
        <f t="shared" si="4"/>
        <v>364</v>
      </c>
      <c r="L1000" s="48" t="str">
        <f t="shared" si="5"/>
        <v/>
      </c>
      <c r="M1000" s="48">
        <f t="shared" si="6"/>
        <v>1427</v>
      </c>
      <c r="N1000" s="50">
        <f>IFERROR(__xludf.DUMMYFUNCTION("IFERROR(GOOGLEFINANCE(A1000,""TRADETIME""),)"),46269.64583333333)</f>
        <v>46269.64583</v>
      </c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</row>
    <row r="1001" ht="15.75" customHeight="1">
      <c r="A1001" s="51" t="s">
        <v>1047</v>
      </c>
      <c r="B1001" s="51" t="str">
        <f>IFERROR(__xludf.DUMMYFUNCTION("IFERROR(GOOGLEFINANCE(A1001,""NAME""),)"),"NLC India Ltd")</f>
        <v>NLC India Ltd</v>
      </c>
      <c r="C1001" s="51">
        <f>IFERROR(__xludf.DUMMYFUNCTION("IFERROR(GOOGLEFINANCE(A1001,""CHANGE""),)"),-1.6)</f>
        <v>-1.6</v>
      </c>
      <c r="D1001" s="51">
        <f>IFERROR(__xludf.DUMMYFUNCTION("IFERROR(GOOGLEFINANCE(A1001,""CHANGEPCT""),)"),-0.58)</f>
        <v>-0.58</v>
      </c>
      <c r="E1001" s="51" t="str">
        <f t="shared" si="1"/>
        <v>-0.58%</v>
      </c>
      <c r="F1001" s="51" t="str">
        <f t="shared" si="2"/>
        <v/>
      </c>
      <c r="G1001" s="51">
        <f t="shared" si="3"/>
        <v>-0.58</v>
      </c>
      <c r="H1001" s="51">
        <f>IFERROR(__xludf.DUMMYFUNCTION("IFERROR(GOOGLEFINANCE(A1001,""PRICE""),)"),273.3)</f>
        <v>273.3</v>
      </c>
      <c r="I1001" s="52">
        <f>IFERROR(__xludf.DUMMYFUNCTION("IFERROR(GOOGLEFINANCE(A1001,""VOLUME""),)"),714404.0)</f>
        <v>714404</v>
      </c>
      <c r="J1001" s="51" t="str">
        <f>IFERROR(__xludf.DUMMYFUNCTION("IFERROR(INDEX(SPLIT(A1001,"":""),1,2),)"),"NLCINDIA")</f>
        <v>NLCINDIA</v>
      </c>
      <c r="K1001" s="51" t="str">
        <f t="shared" si="4"/>
        <v/>
      </c>
      <c r="L1001" s="51">
        <f t="shared" si="5"/>
        <v>221</v>
      </c>
      <c r="M1001" s="51">
        <f t="shared" si="6"/>
        <v>323</v>
      </c>
      <c r="N1001" s="53">
        <f>IFERROR(__xludf.DUMMYFUNCTION("IFERROR(GOOGLEFINANCE(A1001,""TRADETIME""),)"),46269.64583333333)</f>
        <v>46269.64583</v>
      </c>
      <c r="O1001" s="44"/>
      <c r="P1001" s="44"/>
      <c r="Q1001" s="44"/>
      <c r="R1001" s="44"/>
      <c r="S1001" s="44"/>
      <c r="T1001" s="44"/>
      <c r="U1001" s="44"/>
      <c r="V1001" s="44"/>
      <c r="W1001" s="44"/>
      <c r="X1001" s="44"/>
      <c r="Y1001" s="44"/>
      <c r="Z1001" s="44"/>
    </row>
    <row r="1002" ht="15.75" customHeight="1">
      <c r="A1002" s="48" t="s">
        <v>1048</v>
      </c>
      <c r="B1002" s="48" t="str">
        <f>IFERROR(__xludf.DUMMYFUNCTION("IFERROR(GOOGLEFINANCE(A1002,""NAME""),)"),"NMDC Ltd")</f>
        <v>NMDC Ltd</v>
      </c>
      <c r="C1002" s="48">
        <f>IFERROR(__xludf.DUMMYFUNCTION("IFERROR(GOOGLEFINANCE(A1002,""CHANGE""),)"),0.51)</f>
        <v>0.51</v>
      </c>
      <c r="D1002" s="48">
        <f>IFERROR(__xludf.DUMMYFUNCTION("IFERROR(GOOGLEFINANCE(A1002,""CHANGEPCT""),)"),0.61)</f>
        <v>0.61</v>
      </c>
      <c r="E1002" s="48" t="str">
        <f t="shared" si="1"/>
        <v>0.61%</v>
      </c>
      <c r="F1002" s="48">
        <f t="shared" si="2"/>
        <v>0.61</v>
      </c>
      <c r="G1002" s="48" t="str">
        <f t="shared" si="3"/>
        <v/>
      </c>
      <c r="H1002" s="48">
        <f>IFERROR(__xludf.DUMMYFUNCTION("IFERROR(GOOGLEFINANCE(A1002,""PRICE""),)"),84.7)</f>
        <v>84.7</v>
      </c>
      <c r="I1002" s="49">
        <f>IFERROR(__xludf.DUMMYFUNCTION("IFERROR(GOOGLEFINANCE(A1002,""VOLUME""),)"),1.3224234E7)</f>
        <v>13224234</v>
      </c>
      <c r="J1002" s="48" t="str">
        <f>IFERROR(__xludf.DUMMYFUNCTION("IFERROR(INDEX(SPLIT(A1002,"":""),1,2),)"),"NMDC")</f>
        <v>NMDC</v>
      </c>
      <c r="K1002" s="48">
        <f t="shared" si="4"/>
        <v>557</v>
      </c>
      <c r="L1002" s="48" t="str">
        <f t="shared" si="5"/>
        <v/>
      </c>
      <c r="M1002" s="48">
        <f t="shared" si="6"/>
        <v>35</v>
      </c>
      <c r="N1002" s="50">
        <f>IFERROR(__xludf.DUMMYFUNCTION("IFERROR(GOOGLEFINANCE(A1002,""TRADETIME""),)"),46269.64583333333)</f>
        <v>46269.64583</v>
      </c>
      <c r="O1002" s="44"/>
      <c r="P1002" s="44"/>
      <c r="Q1002" s="44"/>
      <c r="R1002" s="44"/>
      <c r="S1002" s="44"/>
      <c r="T1002" s="44"/>
      <c r="U1002" s="44"/>
      <c r="V1002" s="44"/>
      <c r="W1002" s="44"/>
      <c r="X1002" s="44"/>
      <c r="Y1002" s="44"/>
      <c r="Z1002" s="44"/>
    </row>
    <row r="1003" ht="15.75" customHeight="1">
      <c r="A1003" s="51" t="s">
        <v>1049</v>
      </c>
      <c r="B1003" s="51" t="str">
        <f>IFERROR(__xludf.DUMMYFUNCTION("IFERROR(GOOGLEFINANCE(A1003,""NAME""),)"),"Nocil Ltd")</f>
        <v>Nocil Ltd</v>
      </c>
      <c r="C1003" s="51">
        <f>IFERROR(__xludf.DUMMYFUNCTION("IFERROR(GOOGLEFINANCE(A1003,""CHANGE""),)"),0.59)</f>
        <v>0.59</v>
      </c>
      <c r="D1003" s="51">
        <f>IFERROR(__xludf.DUMMYFUNCTION("IFERROR(GOOGLEFINANCE(A1003,""CHANGEPCT""),)"),0.34)</f>
        <v>0.34</v>
      </c>
      <c r="E1003" s="51" t="str">
        <f t="shared" si="1"/>
        <v>0.34%</v>
      </c>
      <c r="F1003" s="51">
        <f t="shared" si="2"/>
        <v>0.34</v>
      </c>
      <c r="G1003" s="51" t="str">
        <f t="shared" si="3"/>
        <v/>
      </c>
      <c r="H1003" s="51">
        <f>IFERROR(__xludf.DUMMYFUNCTION("IFERROR(GOOGLEFINANCE(A1003,""PRICE""),)"),172.39)</f>
        <v>172.39</v>
      </c>
      <c r="I1003" s="52">
        <f>IFERROR(__xludf.DUMMYFUNCTION("IFERROR(GOOGLEFINANCE(A1003,""VOLUME""),)"),403591.0)</f>
        <v>403591</v>
      </c>
      <c r="J1003" s="51" t="str">
        <f>IFERROR(__xludf.DUMMYFUNCTION("IFERROR(INDEX(SPLIT(A1003,"":""),1,2),)"),"NOCIL")</f>
        <v>NOCIL</v>
      </c>
      <c r="K1003" s="51">
        <f t="shared" si="4"/>
        <v>647</v>
      </c>
      <c r="L1003" s="51" t="str">
        <f t="shared" si="5"/>
        <v/>
      </c>
      <c r="M1003" s="51">
        <f t="shared" si="6"/>
        <v>440</v>
      </c>
      <c r="N1003" s="53">
        <f>IFERROR(__xludf.DUMMYFUNCTION("IFERROR(GOOGLEFINANCE(A1003,""TRADETIME""),)"),46269.64583333333)</f>
        <v>46269.64583</v>
      </c>
      <c r="O1003" s="44"/>
      <c r="P1003" s="44"/>
      <c r="Q1003" s="44"/>
      <c r="R1003" s="44"/>
      <c r="S1003" s="44"/>
      <c r="T1003" s="44"/>
      <c r="U1003" s="44"/>
      <c r="V1003" s="44"/>
      <c r="W1003" s="44"/>
      <c r="X1003" s="44"/>
      <c r="Y1003" s="44"/>
      <c r="Z1003" s="44"/>
    </row>
    <row r="1004" ht="15.75" customHeight="1">
      <c r="A1004" s="48" t="s">
        <v>1050</v>
      </c>
      <c r="B1004" s="48" t="str">
        <f>IFERROR(__xludf.DUMMYFUNCTION("IFERROR(GOOGLEFINANCE(A1004,""NAME""),)"),"Noida Toll Bridge Company Ltd")</f>
        <v>Noida Toll Bridge Company Ltd</v>
      </c>
      <c r="C1004" s="48">
        <f>IFERROR(__xludf.DUMMYFUNCTION("IFERROR(GOOGLEFINANCE(A1004,""CHANGE""),)"),-0.17)</f>
        <v>-0.17</v>
      </c>
      <c r="D1004" s="48">
        <f>IFERROR(__xludf.DUMMYFUNCTION("IFERROR(GOOGLEFINANCE(A1004,""CHANGEPCT""),)"),-3.98)</f>
        <v>-3.98</v>
      </c>
      <c r="E1004" s="48" t="str">
        <f t="shared" si="1"/>
        <v>-3.98%</v>
      </c>
      <c r="F1004" s="48" t="str">
        <f t="shared" si="2"/>
        <v/>
      </c>
      <c r="G1004" s="48">
        <f t="shared" si="3"/>
        <v>-3.98</v>
      </c>
      <c r="H1004" s="48">
        <f>IFERROR(__xludf.DUMMYFUNCTION("IFERROR(GOOGLEFINANCE(A1004,""PRICE""),)"),4.1)</f>
        <v>4.1</v>
      </c>
      <c r="I1004" s="49">
        <f>IFERROR(__xludf.DUMMYFUNCTION("IFERROR(GOOGLEFINANCE(A1004,""VOLUME""),)"),171080.0)</f>
        <v>171080</v>
      </c>
      <c r="J1004" s="48" t="str">
        <f>IFERROR(__xludf.DUMMYFUNCTION("IFERROR(INDEX(SPLIT(A1004,"":""),1,2),)"),"NOIDATOLL")</f>
        <v>NOIDATOLL</v>
      </c>
      <c r="K1004" s="48" t="str">
        <f t="shared" si="4"/>
        <v/>
      </c>
      <c r="L1004" s="48">
        <f t="shared" si="5"/>
        <v>623</v>
      </c>
      <c r="M1004" s="48">
        <f t="shared" si="6"/>
        <v>661</v>
      </c>
      <c r="N1004" s="50">
        <f>IFERROR(__xludf.DUMMYFUNCTION("IFERROR(GOOGLEFINANCE(A1004,""TRADETIME""),)"),46269.64583333333)</f>
        <v>46269.64583</v>
      </c>
      <c r="O1004" s="44"/>
      <c r="P1004" s="44"/>
      <c r="Q1004" s="44"/>
      <c r="R1004" s="44"/>
      <c r="S1004" s="44"/>
      <c r="T1004" s="44"/>
      <c r="U1004" s="44"/>
      <c r="V1004" s="44"/>
      <c r="W1004" s="44"/>
      <c r="X1004" s="44"/>
      <c r="Y1004" s="44"/>
      <c r="Z1004" s="44"/>
    </row>
    <row r="1005" ht="15.75" customHeight="1">
      <c r="A1005" s="51" t="s">
        <v>1051</v>
      </c>
      <c r="B1005" s="51" t="str">
        <f>IFERROR(__xludf.DUMMYFUNCTION("IFERROR(GOOGLEFINANCE(A1005,""NAME""),)"),"Norben Tea and Exports Ltd")</f>
        <v>Norben Tea and Exports Ltd</v>
      </c>
      <c r="C1005" s="51">
        <f>IFERROR(__xludf.DUMMYFUNCTION("IFERROR(GOOGLEFINANCE(A1005,""CHANGE""),)"),2.14)</f>
        <v>2.14</v>
      </c>
      <c r="D1005" s="51">
        <f>IFERROR(__xludf.DUMMYFUNCTION("IFERROR(GOOGLEFINANCE(A1005,""CHANGEPCT""),)"),3.12)</f>
        <v>3.12</v>
      </c>
      <c r="E1005" s="51" t="str">
        <f t="shared" si="1"/>
        <v>3.12%</v>
      </c>
      <c r="F1005" s="51">
        <f t="shared" si="2"/>
        <v>3.12</v>
      </c>
      <c r="G1005" s="51" t="str">
        <f t="shared" si="3"/>
        <v/>
      </c>
      <c r="H1005" s="51">
        <f>IFERROR(__xludf.DUMMYFUNCTION("IFERROR(GOOGLEFINANCE(A1005,""PRICE""),)"),70.69)</f>
        <v>70.69</v>
      </c>
      <c r="I1005" s="52">
        <f>IFERROR(__xludf.DUMMYFUNCTION("IFERROR(GOOGLEFINANCE(A1005,""VOLUME""),)"),752.0)</f>
        <v>752</v>
      </c>
      <c r="J1005" s="51" t="str">
        <f>IFERROR(__xludf.DUMMYFUNCTION("IFERROR(INDEX(SPLIT(A1005,"":""),1,2),)"),"NORBTEAEXP")</f>
        <v>NORBTEAEXP</v>
      </c>
      <c r="K1005" s="51">
        <f t="shared" si="4"/>
        <v>157</v>
      </c>
      <c r="L1005" s="51" t="str">
        <f t="shared" si="5"/>
        <v/>
      </c>
      <c r="M1005" s="51">
        <f t="shared" si="6"/>
        <v>1433</v>
      </c>
      <c r="N1005" s="53">
        <f>IFERROR(__xludf.DUMMYFUNCTION("IFERROR(GOOGLEFINANCE(A1005,""TRADETIME""),)"),46269.64583333333)</f>
        <v>46269.64583</v>
      </c>
      <c r="O1005" s="44"/>
      <c r="P1005" s="44"/>
      <c r="Q1005" s="44"/>
      <c r="R1005" s="44"/>
      <c r="S1005" s="44"/>
      <c r="T1005" s="44"/>
      <c r="U1005" s="44"/>
      <c r="V1005" s="44"/>
      <c r="W1005" s="44"/>
      <c r="X1005" s="44"/>
      <c r="Y1005" s="44"/>
      <c r="Z1005" s="44"/>
    </row>
    <row r="1006" ht="15.75" customHeight="1">
      <c r="A1006" s="48" t="s">
        <v>1052</v>
      </c>
      <c r="B1006" s="48" t="str">
        <f>IFERROR(__xludf.DUMMYFUNCTION("IFERROR(GOOGLEFINANCE(A1006,""NAME""),)"),"Novartis India Ltd")</f>
        <v>Novartis India Ltd</v>
      </c>
      <c r="C1006" s="48">
        <f>IFERROR(__xludf.DUMMYFUNCTION("IFERROR(GOOGLEFINANCE(A1006,""CHANGE""),)"),38.9)</f>
        <v>38.9</v>
      </c>
      <c r="D1006" s="48">
        <f>IFERROR(__xludf.DUMMYFUNCTION("IFERROR(GOOGLEFINANCE(A1006,""CHANGEPCT""),)"),2.41)</f>
        <v>2.41</v>
      </c>
      <c r="E1006" s="48" t="str">
        <f t="shared" si="1"/>
        <v>2.41%</v>
      </c>
      <c r="F1006" s="48">
        <f t="shared" si="2"/>
        <v>2.41</v>
      </c>
      <c r="G1006" s="48" t="str">
        <f t="shared" si="3"/>
        <v/>
      </c>
      <c r="H1006" s="48">
        <f>IFERROR(__xludf.DUMMYFUNCTION("IFERROR(GOOGLEFINANCE(A1006,""PRICE""),)"),1653.0)</f>
        <v>1653</v>
      </c>
      <c r="I1006" s="49">
        <f>IFERROR(__xludf.DUMMYFUNCTION("IFERROR(GOOGLEFINANCE(A1006,""VOLUME""),)"),22436.0)</f>
        <v>22436</v>
      </c>
      <c r="J1006" s="48" t="str">
        <f>IFERROR(__xludf.DUMMYFUNCTION("IFERROR(INDEX(SPLIT(A1006,"":""),1,2),)"),"NOVARTIND")</f>
        <v>NOVARTIND</v>
      </c>
      <c r="K1006" s="48">
        <f t="shared" si="4"/>
        <v>215</v>
      </c>
      <c r="L1006" s="48" t="str">
        <f t="shared" si="5"/>
        <v/>
      </c>
      <c r="M1006" s="48">
        <f t="shared" si="6"/>
        <v>1108</v>
      </c>
      <c r="N1006" s="50">
        <f>IFERROR(__xludf.DUMMYFUNCTION("IFERROR(GOOGLEFINANCE(A1006,""TRADETIME""),)"),46269.64583333333)</f>
        <v>46269.64583</v>
      </c>
      <c r="O1006" s="44"/>
      <c r="P1006" s="44"/>
      <c r="Q1006" s="44"/>
      <c r="R1006" s="44"/>
      <c r="S1006" s="44"/>
      <c r="T1006" s="44"/>
      <c r="U1006" s="44"/>
      <c r="V1006" s="44"/>
      <c r="W1006" s="44"/>
      <c r="X1006" s="44"/>
      <c r="Y1006" s="44"/>
      <c r="Z1006" s="44"/>
    </row>
    <row r="1007" ht="15.75" customHeight="1">
      <c r="A1007" s="51" t="s">
        <v>1053</v>
      </c>
      <c r="B1007" s="51" t="str">
        <f>IFERROR(__xludf.DUMMYFUNCTION("IFERROR(GOOGLEFINANCE(A1007,""NAME""),)"),"N R Agarwal Industries Ltd")</f>
        <v>N R Agarwal Industries Ltd</v>
      </c>
      <c r="C1007" s="51">
        <f>IFERROR(__xludf.DUMMYFUNCTION("IFERROR(GOOGLEFINANCE(A1007,""CHANGE""),)"),98.95)</f>
        <v>98.95</v>
      </c>
      <c r="D1007" s="51">
        <f>IFERROR(__xludf.DUMMYFUNCTION("IFERROR(GOOGLEFINANCE(A1007,""CHANGEPCT""),)"),19.95)</f>
        <v>19.95</v>
      </c>
      <c r="E1007" s="51" t="str">
        <f t="shared" si="1"/>
        <v>19.95%</v>
      </c>
      <c r="F1007" s="51">
        <f t="shared" si="2"/>
        <v>19.95</v>
      </c>
      <c r="G1007" s="51" t="str">
        <f t="shared" si="3"/>
        <v/>
      </c>
      <c r="H1007" s="51">
        <f>IFERROR(__xludf.DUMMYFUNCTION("IFERROR(GOOGLEFINANCE(A1007,""PRICE""),)"),595.0)</f>
        <v>595</v>
      </c>
      <c r="I1007" s="52">
        <f>IFERROR(__xludf.DUMMYFUNCTION("IFERROR(GOOGLEFINANCE(A1007,""VOLUME""),)"),157426.0)</f>
        <v>157426</v>
      </c>
      <c r="J1007" s="51" t="str">
        <f>IFERROR(__xludf.DUMMYFUNCTION("IFERROR(INDEX(SPLIT(A1007,"":""),1,2),)"),"NRAIL")</f>
        <v>NRAIL</v>
      </c>
      <c r="K1007" s="51">
        <f t="shared" si="4"/>
        <v>2</v>
      </c>
      <c r="L1007" s="51" t="str">
        <f t="shared" si="5"/>
        <v/>
      </c>
      <c r="M1007" s="51">
        <f t="shared" si="6"/>
        <v>679</v>
      </c>
      <c r="N1007" s="53">
        <f>IFERROR(__xludf.DUMMYFUNCTION("IFERROR(GOOGLEFINANCE(A1007,""TRADETIME""),)"),46269.64583333333)</f>
        <v>46269.64583</v>
      </c>
      <c r="O1007" s="44"/>
      <c r="P1007" s="44"/>
      <c r="Q1007" s="44"/>
      <c r="R1007" s="44"/>
      <c r="S1007" s="44"/>
      <c r="T1007" s="44"/>
      <c r="U1007" s="44"/>
      <c r="V1007" s="44"/>
      <c r="W1007" s="44"/>
      <c r="X1007" s="44"/>
      <c r="Y1007" s="44"/>
      <c r="Z1007" s="44"/>
    </row>
    <row r="1008" ht="15.75" customHeight="1">
      <c r="A1008" s="48" t="s">
        <v>1054</v>
      </c>
      <c r="B1008" s="48" t="str">
        <f>IFERROR(__xludf.DUMMYFUNCTION("IFERROR(GOOGLEFINANCE(A1008,""NAME""),)"),"NRB Bearings Ltd")</f>
        <v>NRB Bearings Ltd</v>
      </c>
      <c r="C1008" s="48">
        <f>IFERROR(__xludf.DUMMYFUNCTION("IFERROR(GOOGLEFINANCE(A1008,""CHANGE""),)"),-3.15)</f>
        <v>-3.15</v>
      </c>
      <c r="D1008" s="48">
        <f>IFERROR(__xludf.DUMMYFUNCTION("IFERROR(GOOGLEFINANCE(A1008,""CHANGEPCT""),)"),-0.7)</f>
        <v>-0.7</v>
      </c>
      <c r="E1008" s="48" t="str">
        <f t="shared" si="1"/>
        <v>-0.7%</v>
      </c>
      <c r="F1008" s="48" t="str">
        <f t="shared" si="2"/>
        <v/>
      </c>
      <c r="G1008" s="48">
        <f t="shared" si="3"/>
        <v>-0.7</v>
      </c>
      <c r="H1008" s="48">
        <f>IFERROR(__xludf.DUMMYFUNCTION("IFERROR(GOOGLEFINANCE(A1008,""PRICE""),)"),447.9)</f>
        <v>447.9</v>
      </c>
      <c r="I1008" s="49">
        <f>IFERROR(__xludf.DUMMYFUNCTION("IFERROR(GOOGLEFINANCE(A1008,""VOLUME""),)"),195054.0)</f>
        <v>195054</v>
      </c>
      <c r="J1008" s="48" t="str">
        <f>IFERROR(__xludf.DUMMYFUNCTION("IFERROR(INDEX(SPLIT(A1008,"":""),1,2),)"),"NRBBEARING")</f>
        <v>NRBBEARING</v>
      </c>
      <c r="K1008" s="48" t="str">
        <f t="shared" si="4"/>
        <v/>
      </c>
      <c r="L1008" s="48">
        <f t="shared" si="5"/>
        <v>268</v>
      </c>
      <c r="M1008" s="48">
        <f t="shared" si="6"/>
        <v>634</v>
      </c>
      <c r="N1008" s="50">
        <f>IFERROR(__xludf.DUMMYFUNCTION("IFERROR(GOOGLEFINANCE(A1008,""TRADETIME""),)"),46269.64583333333)</f>
        <v>46269.64583</v>
      </c>
      <c r="O1008" s="44"/>
      <c r="P1008" s="44"/>
      <c r="Q1008" s="44"/>
      <c r="R1008" s="44"/>
      <c r="S1008" s="44"/>
      <c r="T1008" s="44"/>
      <c r="U1008" s="44"/>
      <c r="V1008" s="44"/>
      <c r="W1008" s="44"/>
      <c r="X1008" s="44"/>
      <c r="Y1008" s="44"/>
      <c r="Z1008" s="44"/>
    </row>
    <row r="1009" ht="15.75" customHeight="1">
      <c r="A1009" s="51" t="s">
        <v>1055</v>
      </c>
      <c r="B1009" s="51" t="str">
        <f>IFERROR(__xludf.DUMMYFUNCTION("IFERROR(GOOGLEFINANCE(A1009,""NAME""),)"),"Nalwa Sons Investments Ltd")</f>
        <v>Nalwa Sons Investments Ltd</v>
      </c>
      <c r="C1009" s="51">
        <f>IFERROR(__xludf.DUMMYFUNCTION("IFERROR(GOOGLEFINANCE(A1009,""CHANGE""),)"),18.0)</f>
        <v>18</v>
      </c>
      <c r="D1009" s="51">
        <f>IFERROR(__xludf.DUMMYFUNCTION("IFERROR(GOOGLEFINANCE(A1009,""CHANGEPCT""),)"),0.32)</f>
        <v>0.32</v>
      </c>
      <c r="E1009" s="51" t="str">
        <f t="shared" si="1"/>
        <v>0.32%</v>
      </c>
      <c r="F1009" s="51">
        <f t="shared" si="2"/>
        <v>0.32</v>
      </c>
      <c r="G1009" s="51" t="str">
        <f t="shared" si="3"/>
        <v/>
      </c>
      <c r="H1009" s="51">
        <f>IFERROR(__xludf.DUMMYFUNCTION("IFERROR(GOOGLEFINANCE(A1009,""PRICE""),)"),5701.0)</f>
        <v>5701</v>
      </c>
      <c r="I1009" s="52">
        <f>IFERROR(__xludf.DUMMYFUNCTION("IFERROR(GOOGLEFINANCE(A1009,""VOLUME""),)"),4333.0)</f>
        <v>4333</v>
      </c>
      <c r="J1009" s="51" t="str">
        <f>IFERROR(__xludf.DUMMYFUNCTION("IFERROR(INDEX(SPLIT(A1009,"":""),1,2),)"),"NSIL")</f>
        <v>NSIL</v>
      </c>
      <c r="K1009" s="51">
        <f t="shared" si="4"/>
        <v>655</v>
      </c>
      <c r="L1009" s="51" t="str">
        <f t="shared" si="5"/>
        <v/>
      </c>
      <c r="M1009" s="51">
        <f t="shared" si="6"/>
        <v>1340</v>
      </c>
      <c r="N1009" s="53">
        <f>IFERROR(__xludf.DUMMYFUNCTION("IFERROR(GOOGLEFINANCE(A1009,""TRADETIME""),)"),46269.64583333333)</f>
        <v>46269.64583</v>
      </c>
      <c r="O1009" s="44"/>
      <c r="P1009" s="44"/>
      <c r="Q1009" s="44"/>
      <c r="R1009" s="44"/>
      <c r="S1009" s="44"/>
      <c r="T1009" s="44"/>
      <c r="U1009" s="44"/>
      <c r="V1009" s="44"/>
      <c r="W1009" s="44"/>
      <c r="X1009" s="44"/>
      <c r="Y1009" s="44"/>
      <c r="Z1009" s="44"/>
    </row>
    <row r="1010" ht="15.75" customHeight="1">
      <c r="A1010" s="48" t="s">
        <v>1056</v>
      </c>
      <c r="B1010" s="48" t="str">
        <f>IFERROR(__xludf.DUMMYFUNCTION("IFERROR(GOOGLEFINANCE(A1010,""NAME""),)"),"NTPC Ltd")</f>
        <v>NTPC Ltd</v>
      </c>
      <c r="C1010" s="48">
        <f>IFERROR(__xludf.DUMMYFUNCTION("IFERROR(GOOGLEFINANCE(A1010,""CHANGE""),)"),1.8)</f>
        <v>1.8</v>
      </c>
      <c r="D1010" s="48">
        <f>IFERROR(__xludf.DUMMYFUNCTION("IFERROR(GOOGLEFINANCE(A1010,""CHANGEPCT""),)"),0.54)</f>
        <v>0.54</v>
      </c>
      <c r="E1010" s="48" t="str">
        <f t="shared" si="1"/>
        <v>0.54%</v>
      </c>
      <c r="F1010" s="48">
        <f t="shared" si="2"/>
        <v>0.54</v>
      </c>
      <c r="G1010" s="48" t="str">
        <f t="shared" si="3"/>
        <v/>
      </c>
      <c r="H1010" s="48">
        <f>IFERROR(__xludf.DUMMYFUNCTION("IFERROR(GOOGLEFINANCE(A1010,""PRICE""),)"),332.7)</f>
        <v>332.7</v>
      </c>
      <c r="I1010" s="49">
        <f>IFERROR(__xludf.DUMMYFUNCTION("IFERROR(GOOGLEFINANCE(A1010,""VOLUME""),)"),7032282.0)</f>
        <v>7032282</v>
      </c>
      <c r="J1010" s="48" t="str">
        <f>IFERROR(__xludf.DUMMYFUNCTION("IFERROR(INDEX(SPLIT(A1010,"":""),1,2),)"),"NTPC")</f>
        <v>NTPC</v>
      </c>
      <c r="K1010" s="48">
        <f t="shared" si="4"/>
        <v>579</v>
      </c>
      <c r="L1010" s="48" t="str">
        <f t="shared" si="5"/>
        <v/>
      </c>
      <c r="M1010" s="48">
        <f t="shared" si="6"/>
        <v>64</v>
      </c>
      <c r="N1010" s="50">
        <f>IFERROR(__xludf.DUMMYFUNCTION("IFERROR(GOOGLEFINANCE(A1010,""TRADETIME""),)"),46269.64583333333)</f>
        <v>46269.64583</v>
      </c>
      <c r="O1010" s="44"/>
      <c r="P1010" s="44"/>
      <c r="Q1010" s="44"/>
      <c r="R1010" s="44"/>
      <c r="S1010" s="44"/>
      <c r="T1010" s="44"/>
      <c r="U1010" s="44"/>
      <c r="V1010" s="44"/>
      <c r="W1010" s="44"/>
      <c r="X1010" s="44"/>
      <c r="Y1010" s="44"/>
      <c r="Z1010" s="44"/>
    </row>
    <row r="1011" ht="15.75" customHeight="1">
      <c r="A1011" s="51" t="s">
        <v>1057</v>
      </c>
      <c r="B1011" s="51" t="str">
        <f>IFERROR(__xludf.DUMMYFUNCTION("IFERROR(GOOGLEFINANCE(A1011,""NAME""),)"),"Nucleus Software Exports Ltd")</f>
        <v>Nucleus Software Exports Ltd</v>
      </c>
      <c r="C1011" s="51">
        <f>IFERROR(__xludf.DUMMYFUNCTION("IFERROR(GOOGLEFINANCE(A1011,""CHANGE""),)"),-11.8)</f>
        <v>-11.8</v>
      </c>
      <c r="D1011" s="51">
        <f>IFERROR(__xludf.DUMMYFUNCTION("IFERROR(GOOGLEFINANCE(A1011,""CHANGEPCT""),)"),-1.59)</f>
        <v>-1.59</v>
      </c>
      <c r="E1011" s="51" t="str">
        <f t="shared" si="1"/>
        <v>-1.59%</v>
      </c>
      <c r="F1011" s="51" t="str">
        <f t="shared" si="2"/>
        <v/>
      </c>
      <c r="G1011" s="51">
        <f t="shared" si="3"/>
        <v>-1.59</v>
      </c>
      <c r="H1011" s="51">
        <f>IFERROR(__xludf.DUMMYFUNCTION("IFERROR(GOOGLEFINANCE(A1011,""PRICE""),)"),728.2)</f>
        <v>728.2</v>
      </c>
      <c r="I1011" s="52">
        <f>IFERROR(__xludf.DUMMYFUNCTION("IFERROR(GOOGLEFINANCE(A1011,""VOLUME""),)"),38501.0)</f>
        <v>38501</v>
      </c>
      <c r="J1011" s="51" t="str">
        <f>IFERROR(__xludf.DUMMYFUNCTION("IFERROR(INDEX(SPLIT(A1011,"":""),1,2),)"),"NUCLEUS")</f>
        <v>NUCLEUS</v>
      </c>
      <c r="K1011" s="51" t="str">
        <f t="shared" si="4"/>
        <v/>
      </c>
      <c r="L1011" s="51">
        <f t="shared" si="5"/>
        <v>468</v>
      </c>
      <c r="M1011" s="51">
        <f t="shared" si="6"/>
        <v>1009</v>
      </c>
      <c r="N1011" s="53">
        <f>IFERROR(__xludf.DUMMYFUNCTION("IFERROR(GOOGLEFINANCE(A1011,""TRADETIME""),)"),46269.64583333333)</f>
        <v>46269.64583</v>
      </c>
      <c r="O1011" s="44"/>
      <c r="P1011" s="44"/>
      <c r="Q1011" s="44"/>
      <c r="R1011" s="44"/>
      <c r="S1011" s="44"/>
      <c r="T1011" s="44"/>
      <c r="U1011" s="44"/>
      <c r="V1011" s="44"/>
      <c r="W1011" s="44"/>
      <c r="X1011" s="44"/>
      <c r="Y1011" s="44"/>
      <c r="Z1011" s="44"/>
    </row>
    <row r="1012" ht="15.75" customHeight="1">
      <c r="A1012" s="48" t="s">
        <v>1058</v>
      </c>
      <c r="B1012" s="48" t="str">
        <f>IFERROR(__xludf.DUMMYFUNCTION("IFERROR(GOOGLEFINANCE(A1012,""NAME""),)"),"")</f>
        <v/>
      </c>
      <c r="C1012" s="48" t="str">
        <f>IFERROR(__xludf.DUMMYFUNCTION("IFERROR(GOOGLEFINANCE(A1012,""CHANGE""),)"),"")</f>
        <v/>
      </c>
      <c r="D1012" s="48" t="str">
        <f>IFERROR(__xludf.DUMMYFUNCTION("IFERROR(GOOGLEFINANCE(A1012,""CHANGEPCT""),)"),"")</f>
        <v/>
      </c>
      <c r="E1012" s="48" t="str">
        <f t="shared" si="1"/>
        <v>%</v>
      </c>
      <c r="F1012" s="48" t="str">
        <f t="shared" si="2"/>
        <v/>
      </c>
      <c r="G1012" s="48" t="str">
        <f t="shared" si="3"/>
        <v/>
      </c>
      <c r="H1012" s="48" t="str">
        <f>IFERROR(__xludf.DUMMYFUNCTION("IFERROR(GOOGLEFINANCE(A1012,""PRICE""),)"),"")</f>
        <v/>
      </c>
      <c r="I1012" s="49" t="str">
        <f>IFERROR(__xludf.DUMMYFUNCTION("IFERROR(GOOGLEFINANCE(A1012,""VOLUME""),)"),"")</f>
        <v/>
      </c>
      <c r="J1012" s="48" t="str">
        <f>IFERROR(__xludf.DUMMYFUNCTION("IFERROR(INDEX(SPLIT(A1012,"":""),1,2),)"),"NXTDIGITAL")</f>
        <v>NXTDIGITAL</v>
      </c>
      <c r="K1012" s="48" t="str">
        <f t="shared" si="4"/>
        <v/>
      </c>
      <c r="L1012" s="48" t="str">
        <f t="shared" si="5"/>
        <v/>
      </c>
      <c r="M1012" s="48">
        <f t="shared" si="6"/>
        <v>1456</v>
      </c>
      <c r="N1012" s="50" t="str">
        <f>IFERROR(__xludf.DUMMYFUNCTION("IFERROR(GOOGLEFINANCE(A1012,""TRADETIME""),)"),"")</f>
        <v/>
      </c>
      <c r="O1012" s="44"/>
      <c r="P1012" s="44"/>
      <c r="Q1012" s="44"/>
      <c r="R1012" s="44"/>
      <c r="S1012" s="44"/>
      <c r="T1012" s="44"/>
      <c r="U1012" s="44"/>
      <c r="V1012" s="44"/>
      <c r="W1012" s="44"/>
      <c r="X1012" s="44"/>
      <c r="Y1012" s="44"/>
      <c r="Z1012" s="44"/>
    </row>
    <row r="1013" ht="15.75" customHeight="1">
      <c r="A1013" s="51" t="s">
        <v>1059</v>
      </c>
      <c r="B1013" s="51" t="str">
        <f>IFERROR(__xludf.DUMMYFUNCTION("IFERROR(GOOGLEFINANCE(A1013,""NAME""),)"),"Oriental Aromatics Ltd")</f>
        <v>Oriental Aromatics Ltd</v>
      </c>
      <c r="C1013" s="51">
        <f>IFERROR(__xludf.DUMMYFUNCTION("IFERROR(GOOGLEFINANCE(A1013,""CHANGE""),)"),14.2)</f>
        <v>14.2</v>
      </c>
      <c r="D1013" s="51">
        <f>IFERROR(__xludf.DUMMYFUNCTION("IFERROR(GOOGLEFINANCE(A1013,""CHANGEPCT""),)"),2.83)</f>
        <v>2.83</v>
      </c>
      <c r="E1013" s="51" t="str">
        <f t="shared" si="1"/>
        <v>2.83%</v>
      </c>
      <c r="F1013" s="51">
        <f t="shared" si="2"/>
        <v>2.83</v>
      </c>
      <c r="G1013" s="51" t="str">
        <f t="shared" si="3"/>
        <v/>
      </c>
      <c r="H1013" s="51">
        <f>IFERROR(__xludf.DUMMYFUNCTION("IFERROR(GOOGLEFINANCE(A1013,""PRICE""),)"),516.5)</f>
        <v>516.5</v>
      </c>
      <c r="I1013" s="52">
        <f>IFERROR(__xludf.DUMMYFUNCTION("IFERROR(GOOGLEFINANCE(A1013,""VOLUME""),)"),181436.0)</f>
        <v>181436</v>
      </c>
      <c r="J1013" s="51" t="str">
        <f>IFERROR(__xludf.DUMMYFUNCTION("IFERROR(INDEX(SPLIT(A1013,"":""),1,2),)"),"OAL")</f>
        <v>OAL</v>
      </c>
      <c r="K1013" s="51">
        <f t="shared" si="4"/>
        <v>172</v>
      </c>
      <c r="L1013" s="51" t="str">
        <f t="shared" si="5"/>
        <v/>
      </c>
      <c r="M1013" s="51">
        <f t="shared" si="6"/>
        <v>648</v>
      </c>
      <c r="N1013" s="53">
        <f>IFERROR(__xludf.DUMMYFUNCTION("IFERROR(GOOGLEFINANCE(A1013,""TRADETIME""),)"),46269.64584490741)</f>
        <v>46269.64584</v>
      </c>
      <c r="O1013" s="44"/>
      <c r="P1013" s="44"/>
      <c r="Q1013" s="44"/>
      <c r="R1013" s="44"/>
      <c r="S1013" s="44"/>
      <c r="T1013" s="44"/>
      <c r="U1013" s="44"/>
      <c r="V1013" s="44"/>
      <c r="W1013" s="44"/>
      <c r="X1013" s="44"/>
      <c r="Y1013" s="44"/>
      <c r="Z1013" s="44"/>
    </row>
    <row r="1014" ht="15.75" customHeight="1">
      <c r="A1014" s="48" t="s">
        <v>1060</v>
      </c>
      <c r="B1014" s="48" t="str">
        <f>IFERROR(__xludf.DUMMYFUNCTION("IFERROR(GOOGLEFINANCE(A1014,""NAME""),)"),"Oberoi Realty Ltd")</f>
        <v>Oberoi Realty Ltd</v>
      </c>
      <c r="C1014" s="48">
        <f>IFERROR(__xludf.DUMMYFUNCTION("IFERROR(GOOGLEFINANCE(A1014,""CHANGE""),)"),-27.3)</f>
        <v>-27.3</v>
      </c>
      <c r="D1014" s="48">
        <f>IFERROR(__xludf.DUMMYFUNCTION("IFERROR(GOOGLEFINANCE(A1014,""CHANGEPCT""),)"),-1.44)</f>
        <v>-1.44</v>
      </c>
      <c r="E1014" s="48" t="str">
        <f t="shared" si="1"/>
        <v>-1.44%</v>
      </c>
      <c r="F1014" s="48" t="str">
        <f t="shared" si="2"/>
        <v/>
      </c>
      <c r="G1014" s="48">
        <f t="shared" si="3"/>
        <v>-1.44</v>
      </c>
      <c r="H1014" s="48">
        <f>IFERROR(__xludf.DUMMYFUNCTION("IFERROR(GOOGLEFINANCE(A1014,""PRICE""),)"),1874.7)</f>
        <v>1874.7</v>
      </c>
      <c r="I1014" s="49">
        <f>IFERROR(__xludf.DUMMYFUNCTION("IFERROR(GOOGLEFINANCE(A1014,""VOLUME""),)"),585940.0)</f>
        <v>585940</v>
      </c>
      <c r="J1014" s="48" t="str">
        <f>IFERROR(__xludf.DUMMYFUNCTION("IFERROR(INDEX(SPLIT(A1014,"":""),1,2),)"),"OBEROIRLTY")</f>
        <v>OBEROIRLTY</v>
      </c>
      <c r="K1014" s="48" t="str">
        <f t="shared" si="4"/>
        <v/>
      </c>
      <c r="L1014" s="48">
        <f t="shared" si="5"/>
        <v>438</v>
      </c>
      <c r="M1014" s="48">
        <f t="shared" si="6"/>
        <v>364</v>
      </c>
      <c r="N1014" s="50">
        <f>IFERROR(__xludf.DUMMYFUNCTION("IFERROR(GOOGLEFINANCE(A1014,""TRADETIME""),)"),46269.64583333333)</f>
        <v>46269.64583</v>
      </c>
      <c r="O1014" s="44"/>
      <c r="P1014" s="44"/>
      <c r="Q1014" s="44"/>
      <c r="R1014" s="44"/>
      <c r="S1014" s="44"/>
      <c r="T1014" s="44"/>
      <c r="U1014" s="44"/>
      <c r="V1014" s="44"/>
      <c r="W1014" s="44"/>
      <c r="X1014" s="44"/>
      <c r="Y1014" s="44"/>
      <c r="Z1014" s="44"/>
    </row>
    <row r="1015" ht="15.75" customHeight="1">
      <c r="A1015" s="51" t="s">
        <v>1061</v>
      </c>
      <c r="B1015" s="51" t="str">
        <f>IFERROR(__xludf.DUMMYFUNCTION("IFERROR(GOOGLEFINANCE(A1015,""NAME""),)"),"")</f>
        <v/>
      </c>
      <c r="C1015" s="51" t="str">
        <f>IFERROR(__xludf.DUMMYFUNCTION("IFERROR(GOOGLEFINANCE(A1015,""CHANGE""),)"),"")</f>
        <v/>
      </c>
      <c r="D1015" s="51" t="str">
        <f>IFERROR(__xludf.DUMMYFUNCTION("IFERROR(GOOGLEFINANCE(A1015,""CHANGEPCT""),)"),"")</f>
        <v/>
      </c>
      <c r="E1015" s="51" t="str">
        <f t="shared" si="1"/>
        <v>%</v>
      </c>
      <c r="F1015" s="51" t="str">
        <f t="shared" si="2"/>
        <v/>
      </c>
      <c r="G1015" s="51" t="str">
        <f t="shared" si="3"/>
        <v/>
      </c>
      <c r="H1015" s="51" t="str">
        <f>IFERROR(__xludf.DUMMYFUNCTION("IFERROR(GOOGLEFINANCE(A1015,""PRICE""),)"),"")</f>
        <v/>
      </c>
      <c r="I1015" s="52" t="str">
        <f>IFERROR(__xludf.DUMMYFUNCTION("IFERROR(GOOGLEFINANCE(A1015,""VOLUME""),)"),"")</f>
        <v/>
      </c>
      <c r="J1015" s="51" t="str">
        <f>IFERROR(__xludf.DUMMYFUNCTION("IFERROR(INDEX(SPLIT(A1015,"":""),1,2),)"),"OCCL")</f>
        <v>OCCL</v>
      </c>
      <c r="K1015" s="51" t="str">
        <f t="shared" si="4"/>
        <v/>
      </c>
      <c r="L1015" s="51" t="str">
        <f t="shared" si="5"/>
        <v/>
      </c>
      <c r="M1015" s="51">
        <f t="shared" si="6"/>
        <v>1456</v>
      </c>
      <c r="N1015" s="53" t="str">
        <f>IFERROR(__xludf.DUMMYFUNCTION("IFERROR(GOOGLEFINANCE(A1015,""TRADETIME""),)"),"")</f>
        <v/>
      </c>
      <c r="O1015" s="44"/>
      <c r="P1015" s="44"/>
      <c r="Q1015" s="44"/>
      <c r="R1015" s="44"/>
      <c r="S1015" s="44"/>
      <c r="T1015" s="44"/>
      <c r="U1015" s="44"/>
      <c r="V1015" s="44"/>
      <c r="W1015" s="44"/>
      <c r="X1015" s="44"/>
      <c r="Y1015" s="44"/>
      <c r="Z1015" s="44"/>
    </row>
    <row r="1016" ht="15.75" customHeight="1">
      <c r="A1016" s="48" t="s">
        <v>1062</v>
      </c>
      <c r="B1016" s="48" t="str">
        <f>IFERROR(__xludf.DUMMYFUNCTION("IFERROR(GOOGLEFINANCE(A1016,""NAME""),)"),"Oracle Financial Services Software Ltd")</f>
        <v>Oracle Financial Services Software Ltd</v>
      </c>
      <c r="C1016" s="48">
        <f>IFERROR(__xludf.DUMMYFUNCTION("IFERROR(GOOGLEFINANCE(A1016,""CHANGE""),)"),-91.0)</f>
        <v>-91</v>
      </c>
      <c r="D1016" s="48">
        <f>IFERROR(__xludf.DUMMYFUNCTION("IFERROR(GOOGLEFINANCE(A1016,""CHANGEPCT""),)"),-0.75)</f>
        <v>-0.75</v>
      </c>
      <c r="E1016" s="48" t="str">
        <f t="shared" si="1"/>
        <v>-0.75%</v>
      </c>
      <c r="F1016" s="48" t="str">
        <f t="shared" si="2"/>
        <v/>
      </c>
      <c r="G1016" s="48">
        <f t="shared" si="3"/>
        <v>-0.75</v>
      </c>
      <c r="H1016" s="48">
        <f>IFERROR(__xludf.DUMMYFUNCTION("IFERROR(GOOGLEFINANCE(A1016,""PRICE""),)"),12058.0)</f>
        <v>12058</v>
      </c>
      <c r="I1016" s="49">
        <f>IFERROR(__xludf.DUMMYFUNCTION("IFERROR(GOOGLEFINANCE(A1016,""VOLUME""),)"),166477.0)</f>
        <v>166477</v>
      </c>
      <c r="J1016" s="48" t="str">
        <f>IFERROR(__xludf.DUMMYFUNCTION("IFERROR(INDEX(SPLIT(A1016,"":""),1,2),)"),"OFSS")</f>
        <v>OFSS</v>
      </c>
      <c r="K1016" s="48" t="str">
        <f t="shared" si="4"/>
        <v/>
      </c>
      <c r="L1016" s="48">
        <f t="shared" si="5"/>
        <v>283</v>
      </c>
      <c r="M1016" s="48">
        <f t="shared" si="6"/>
        <v>667</v>
      </c>
      <c r="N1016" s="50">
        <f>IFERROR(__xludf.DUMMYFUNCTION("IFERROR(GOOGLEFINANCE(A1016,""TRADETIME""),)"),46269.64583333333)</f>
        <v>46269.64583</v>
      </c>
      <c r="O1016" s="44"/>
      <c r="P1016" s="44"/>
      <c r="Q1016" s="44"/>
      <c r="R1016" s="44"/>
      <c r="S1016" s="44"/>
      <c r="T1016" s="44"/>
      <c r="U1016" s="44"/>
      <c r="V1016" s="44"/>
      <c r="W1016" s="44"/>
      <c r="X1016" s="44"/>
      <c r="Y1016" s="44"/>
      <c r="Z1016" s="44"/>
    </row>
    <row r="1017" ht="15.75" customHeight="1">
      <c r="A1017" s="51" t="s">
        <v>1063</v>
      </c>
      <c r="B1017" s="51" t="str">
        <f>IFERROR(__xludf.DUMMYFUNCTION("IFERROR(GOOGLEFINANCE(A1017,""NAME""),)"),"Oil India Ltd")</f>
        <v>Oil India Ltd</v>
      </c>
      <c r="C1017" s="51">
        <f>IFERROR(__xludf.DUMMYFUNCTION("IFERROR(GOOGLEFINANCE(A1017,""CHANGE""),)"),-2.6)</f>
        <v>-2.6</v>
      </c>
      <c r="D1017" s="51">
        <f>IFERROR(__xludf.DUMMYFUNCTION("IFERROR(GOOGLEFINANCE(A1017,""CHANGEPCT""),)"),-0.53)</f>
        <v>-0.53</v>
      </c>
      <c r="E1017" s="51" t="str">
        <f t="shared" si="1"/>
        <v>-0.53%</v>
      </c>
      <c r="F1017" s="51" t="str">
        <f t="shared" si="2"/>
        <v/>
      </c>
      <c r="G1017" s="51">
        <f t="shared" si="3"/>
        <v>-0.53</v>
      </c>
      <c r="H1017" s="51">
        <f>IFERROR(__xludf.DUMMYFUNCTION("IFERROR(GOOGLEFINANCE(A1017,""PRICE""),)"),487.4)</f>
        <v>487.4</v>
      </c>
      <c r="I1017" s="52">
        <f>IFERROR(__xludf.DUMMYFUNCTION("IFERROR(GOOGLEFINANCE(A1017,""VOLUME""),)"),1259478.0)</f>
        <v>1259478</v>
      </c>
      <c r="J1017" s="51" t="str">
        <f>IFERROR(__xludf.DUMMYFUNCTION("IFERROR(INDEX(SPLIT(A1017,"":""),1,2),)"),"OIL")</f>
        <v>OIL</v>
      </c>
      <c r="K1017" s="51" t="str">
        <f t="shared" si="4"/>
        <v/>
      </c>
      <c r="L1017" s="51">
        <f t="shared" si="5"/>
        <v>205</v>
      </c>
      <c r="M1017" s="51">
        <f t="shared" si="6"/>
        <v>235</v>
      </c>
      <c r="N1017" s="53">
        <f>IFERROR(__xludf.DUMMYFUNCTION("IFERROR(GOOGLEFINANCE(A1017,""TRADETIME""),)"),46269.64583333333)</f>
        <v>46269.64583</v>
      </c>
      <c r="O1017" s="44"/>
      <c r="P1017" s="44"/>
      <c r="Q1017" s="44"/>
      <c r="R1017" s="44"/>
      <c r="S1017" s="44"/>
      <c r="T1017" s="44"/>
      <c r="U1017" s="44"/>
      <c r="V1017" s="44"/>
      <c r="W1017" s="44"/>
      <c r="X1017" s="44"/>
      <c r="Y1017" s="44"/>
      <c r="Z1017" s="44"/>
    </row>
    <row r="1018" ht="15.75" customHeight="1">
      <c r="A1018" s="48" t="s">
        <v>1064</v>
      </c>
      <c r="B1018" s="48" t="str">
        <f>IFERROR(__xludf.DUMMYFUNCTION("IFERROR(GOOGLEFINANCE(A1018,""NAME""),)"),"Oil Country Tubular Ltd")</f>
        <v>Oil Country Tubular Ltd</v>
      </c>
      <c r="C1018" s="48">
        <f>IFERROR(__xludf.DUMMYFUNCTION("IFERROR(GOOGLEFINANCE(A1018,""CHANGE""),)"),-1.32)</f>
        <v>-1.32</v>
      </c>
      <c r="D1018" s="48">
        <f>IFERROR(__xludf.DUMMYFUNCTION("IFERROR(GOOGLEFINANCE(A1018,""CHANGEPCT""),)"),-1.99)</f>
        <v>-1.99</v>
      </c>
      <c r="E1018" s="48" t="str">
        <f t="shared" si="1"/>
        <v>-1.99%</v>
      </c>
      <c r="F1018" s="48" t="str">
        <f t="shared" si="2"/>
        <v/>
      </c>
      <c r="G1018" s="48">
        <f t="shared" si="3"/>
        <v>-1.99</v>
      </c>
      <c r="H1018" s="48">
        <f>IFERROR(__xludf.DUMMYFUNCTION("IFERROR(GOOGLEFINANCE(A1018,""PRICE""),)"),65.0)</f>
        <v>65</v>
      </c>
      <c r="I1018" s="49">
        <f>IFERROR(__xludf.DUMMYFUNCTION("IFERROR(GOOGLEFINANCE(A1018,""VOLUME""),)"),15996.0)</f>
        <v>15996</v>
      </c>
      <c r="J1018" s="48" t="str">
        <f>IFERROR(__xludf.DUMMYFUNCTION("IFERROR(INDEX(SPLIT(A1018,"":""),1,2),)"),"OILCOUNTUB")</f>
        <v>OILCOUNTUB</v>
      </c>
      <c r="K1018" s="48" t="str">
        <f t="shared" si="4"/>
        <v/>
      </c>
      <c r="L1018" s="48">
        <f t="shared" si="5"/>
        <v>532</v>
      </c>
      <c r="M1018" s="48">
        <f t="shared" si="6"/>
        <v>1164</v>
      </c>
      <c r="N1018" s="50">
        <f>IFERROR(__xludf.DUMMYFUNCTION("IFERROR(GOOGLEFINANCE(A1018,""TRADETIME""),)"),46269.64583333333)</f>
        <v>46269.64583</v>
      </c>
      <c r="O1018" s="44"/>
      <c r="P1018" s="44"/>
      <c r="Q1018" s="44"/>
      <c r="R1018" s="44"/>
      <c r="S1018" s="44"/>
      <c r="T1018" s="44"/>
      <c r="U1018" s="44"/>
      <c r="V1018" s="44"/>
      <c r="W1018" s="44"/>
      <c r="X1018" s="44"/>
      <c r="Y1018" s="44"/>
      <c r="Z1018" s="44"/>
    </row>
    <row r="1019" ht="15.75" customHeight="1">
      <c r="A1019" s="51" t="s">
        <v>1065</v>
      </c>
      <c r="B1019" s="51" t="str">
        <f>IFERROR(__xludf.DUMMYFUNCTION("IFERROR(GOOGLEFINANCE(A1019,""NAME""),)"),"Olectra Greentech Ltd")</f>
        <v>Olectra Greentech Ltd</v>
      </c>
      <c r="C1019" s="51">
        <f>IFERROR(__xludf.DUMMYFUNCTION("IFERROR(GOOGLEFINANCE(A1019,""CHANGE""),)"),-15.7)</f>
        <v>-15.7</v>
      </c>
      <c r="D1019" s="51">
        <f>IFERROR(__xludf.DUMMYFUNCTION("IFERROR(GOOGLEFINANCE(A1019,""CHANGEPCT""),)"),-1.26)</f>
        <v>-1.26</v>
      </c>
      <c r="E1019" s="51" t="str">
        <f t="shared" si="1"/>
        <v>-1.26%</v>
      </c>
      <c r="F1019" s="51" t="str">
        <f t="shared" si="2"/>
        <v/>
      </c>
      <c r="G1019" s="51">
        <f t="shared" si="3"/>
        <v>-1.26</v>
      </c>
      <c r="H1019" s="51">
        <f>IFERROR(__xludf.DUMMYFUNCTION("IFERROR(GOOGLEFINANCE(A1019,""PRICE""),)"),1229.1)</f>
        <v>1229.1</v>
      </c>
      <c r="I1019" s="52">
        <f>IFERROR(__xludf.DUMMYFUNCTION("IFERROR(GOOGLEFINANCE(A1019,""VOLUME""),)"),251277.0)</f>
        <v>251277</v>
      </c>
      <c r="J1019" s="51" t="str">
        <f>IFERROR(__xludf.DUMMYFUNCTION("IFERROR(INDEX(SPLIT(A1019,"":""),1,2),)"),"OLECTRA")</f>
        <v>OLECTRA</v>
      </c>
      <c r="K1019" s="51" t="str">
        <f t="shared" si="4"/>
        <v/>
      </c>
      <c r="L1019" s="51">
        <f t="shared" si="5"/>
        <v>396</v>
      </c>
      <c r="M1019" s="51">
        <f t="shared" si="6"/>
        <v>565</v>
      </c>
      <c r="N1019" s="53">
        <f>IFERROR(__xludf.DUMMYFUNCTION("IFERROR(GOOGLEFINANCE(A1019,""TRADETIME""),)"),46269.64583333333)</f>
        <v>46269.64583</v>
      </c>
      <c r="O1019" s="44"/>
      <c r="P1019" s="44"/>
      <c r="Q1019" s="44"/>
      <c r="R1019" s="44"/>
      <c r="S1019" s="44"/>
      <c r="T1019" s="44"/>
      <c r="U1019" s="44"/>
      <c r="V1019" s="44"/>
      <c r="W1019" s="44"/>
      <c r="X1019" s="44"/>
      <c r="Y1019" s="44"/>
      <c r="Z1019" s="44"/>
    </row>
    <row r="1020" ht="15.75" customHeight="1">
      <c r="A1020" s="48" t="s">
        <v>1066</v>
      </c>
      <c r="B1020" s="48" t="str">
        <f>IFERROR(__xludf.DUMMYFUNCTION("IFERROR(GOOGLEFINANCE(A1020,""NAME""),)"),"Omax Autos Ltd")</f>
        <v>Omax Autos Ltd</v>
      </c>
      <c r="C1020" s="48">
        <f>IFERROR(__xludf.DUMMYFUNCTION("IFERROR(GOOGLEFINANCE(A1020,""CHANGE""),)"),-0.59)</f>
        <v>-0.59</v>
      </c>
      <c r="D1020" s="48">
        <f>IFERROR(__xludf.DUMMYFUNCTION("IFERROR(GOOGLEFINANCE(A1020,""CHANGEPCT""),)"),-0.32)</f>
        <v>-0.32</v>
      </c>
      <c r="E1020" s="48" t="str">
        <f t="shared" si="1"/>
        <v>-0.32%</v>
      </c>
      <c r="F1020" s="48" t="str">
        <f t="shared" si="2"/>
        <v/>
      </c>
      <c r="G1020" s="48">
        <f t="shared" si="3"/>
        <v>-0.32</v>
      </c>
      <c r="H1020" s="48">
        <f>IFERROR(__xludf.DUMMYFUNCTION("IFERROR(GOOGLEFINANCE(A1020,""PRICE""),)"),183.0)</f>
        <v>183</v>
      </c>
      <c r="I1020" s="49">
        <f>IFERROR(__xludf.DUMMYFUNCTION("IFERROR(GOOGLEFINANCE(A1020,""VOLUME""),)"),18555.0)</f>
        <v>18555</v>
      </c>
      <c r="J1020" s="48" t="str">
        <f>IFERROR(__xludf.DUMMYFUNCTION("IFERROR(INDEX(SPLIT(A1020,"":""),1,2),)"),"OMAXAUTO")</f>
        <v>OMAXAUTO</v>
      </c>
      <c r="K1020" s="48" t="str">
        <f t="shared" si="4"/>
        <v/>
      </c>
      <c r="L1020" s="48">
        <f t="shared" si="5"/>
        <v>124</v>
      </c>
      <c r="M1020" s="48">
        <f t="shared" si="6"/>
        <v>1139</v>
      </c>
      <c r="N1020" s="50">
        <f>IFERROR(__xludf.DUMMYFUNCTION("IFERROR(GOOGLEFINANCE(A1020,""TRADETIME""),)"),46269.64583333333)</f>
        <v>46269.64583</v>
      </c>
      <c r="O1020" s="44"/>
      <c r="P1020" s="44"/>
      <c r="Q1020" s="44"/>
      <c r="R1020" s="44"/>
      <c r="S1020" s="44"/>
      <c r="T1020" s="44"/>
      <c r="U1020" s="44"/>
      <c r="V1020" s="44"/>
      <c r="W1020" s="44"/>
      <c r="X1020" s="44"/>
      <c r="Y1020" s="44"/>
      <c r="Z1020" s="44"/>
    </row>
    <row r="1021" ht="15.75" customHeight="1">
      <c r="A1021" s="51" t="s">
        <v>1067</v>
      </c>
      <c r="B1021" s="51" t="str">
        <f>IFERROR(__xludf.DUMMYFUNCTION("IFERROR(GOOGLEFINANCE(A1021,""NAME""),)"),"Omaxe Ltd")</f>
        <v>Omaxe Ltd</v>
      </c>
      <c r="C1021" s="51">
        <f>IFERROR(__xludf.DUMMYFUNCTION("IFERROR(GOOGLEFINANCE(A1021,""CHANGE""),)"),8.76)</f>
        <v>8.76</v>
      </c>
      <c r="D1021" s="51">
        <f>IFERROR(__xludf.DUMMYFUNCTION("IFERROR(GOOGLEFINANCE(A1021,""CHANGEPCT""),)"),6.88)</f>
        <v>6.88</v>
      </c>
      <c r="E1021" s="51" t="str">
        <f t="shared" si="1"/>
        <v>6.88%</v>
      </c>
      <c r="F1021" s="51">
        <f t="shared" si="2"/>
        <v>6.88</v>
      </c>
      <c r="G1021" s="51" t="str">
        <f t="shared" si="3"/>
        <v/>
      </c>
      <c r="H1021" s="51">
        <f>IFERROR(__xludf.DUMMYFUNCTION("IFERROR(GOOGLEFINANCE(A1021,""PRICE""),)"),136.05)</f>
        <v>136.05</v>
      </c>
      <c r="I1021" s="52">
        <f>IFERROR(__xludf.DUMMYFUNCTION("IFERROR(GOOGLEFINANCE(A1021,""VOLUME""),)"),5607789.0)</f>
        <v>5607789</v>
      </c>
      <c r="J1021" s="51" t="str">
        <f>IFERROR(__xludf.DUMMYFUNCTION("IFERROR(INDEX(SPLIT(A1021,"":""),1,2),)"),"OMAXE")</f>
        <v>OMAXE</v>
      </c>
      <c r="K1021" s="51">
        <f t="shared" si="4"/>
        <v>24</v>
      </c>
      <c r="L1021" s="51" t="str">
        <f t="shared" si="5"/>
        <v/>
      </c>
      <c r="M1021" s="51">
        <f t="shared" si="6"/>
        <v>79</v>
      </c>
      <c r="N1021" s="53">
        <f>IFERROR(__xludf.DUMMYFUNCTION("IFERROR(GOOGLEFINANCE(A1021,""TRADETIME""),)"),46269.64585648148)</f>
        <v>46269.64586</v>
      </c>
      <c r="O1021" s="44"/>
      <c r="P1021" s="44"/>
      <c r="Q1021" s="44"/>
      <c r="R1021" s="44"/>
      <c r="S1021" s="44"/>
      <c r="T1021" s="44"/>
      <c r="U1021" s="44"/>
      <c r="V1021" s="44"/>
      <c r="W1021" s="44"/>
      <c r="X1021" s="44"/>
      <c r="Y1021" s="44"/>
      <c r="Z1021" s="44"/>
    </row>
    <row r="1022" ht="15.75" customHeight="1">
      <c r="A1022" s="48" t="s">
        <v>1068</v>
      </c>
      <c r="B1022" s="48" t="str">
        <f>IFERROR(__xludf.DUMMYFUNCTION("IFERROR(GOOGLEFINANCE(A1022,""NAME""),)"),"")</f>
        <v/>
      </c>
      <c r="C1022" s="48" t="str">
        <f>IFERROR(__xludf.DUMMYFUNCTION("IFERROR(GOOGLEFINANCE(A1022,""CHANGE""),)"),"")</f>
        <v/>
      </c>
      <c r="D1022" s="48" t="str">
        <f>IFERROR(__xludf.DUMMYFUNCTION("IFERROR(GOOGLEFINANCE(A1022,""CHANGEPCT""),)"),"")</f>
        <v/>
      </c>
      <c r="E1022" s="48" t="str">
        <f t="shared" si="1"/>
        <v>%</v>
      </c>
      <c r="F1022" s="48" t="str">
        <f t="shared" si="2"/>
        <v/>
      </c>
      <c r="G1022" s="48" t="str">
        <f t="shared" si="3"/>
        <v/>
      </c>
      <c r="H1022" s="48" t="str">
        <f>IFERROR(__xludf.DUMMYFUNCTION("IFERROR(GOOGLEFINANCE(A1022,""PRICE""),)"),"")</f>
        <v/>
      </c>
      <c r="I1022" s="49" t="str">
        <f>IFERROR(__xludf.DUMMYFUNCTION("IFERROR(GOOGLEFINANCE(A1022,""VOLUME""),)"),"")</f>
        <v/>
      </c>
      <c r="J1022" s="48" t="str">
        <f>IFERROR(__xludf.DUMMYFUNCTION("IFERROR(INDEX(SPLIT(A1022,"":""),1,2),)"),"OMKARCHEM")</f>
        <v>OMKARCHEM</v>
      </c>
      <c r="K1022" s="48" t="str">
        <f t="shared" si="4"/>
        <v/>
      </c>
      <c r="L1022" s="48" t="str">
        <f t="shared" si="5"/>
        <v/>
      </c>
      <c r="M1022" s="48">
        <f t="shared" si="6"/>
        <v>1456</v>
      </c>
      <c r="N1022" s="50" t="str">
        <f>IFERROR(__xludf.DUMMYFUNCTION("IFERROR(GOOGLEFINANCE(A1022,""TRADETIME""),)"),"")</f>
        <v/>
      </c>
      <c r="O1022" s="44"/>
      <c r="P1022" s="44"/>
      <c r="Q1022" s="44"/>
      <c r="R1022" s="44"/>
      <c r="S1022" s="44"/>
      <c r="T1022" s="44"/>
      <c r="U1022" s="44"/>
      <c r="V1022" s="44"/>
      <c r="W1022" s="44"/>
      <c r="X1022" s="44"/>
      <c r="Y1022" s="44"/>
      <c r="Z1022" s="44"/>
    </row>
    <row r="1023" ht="15.75" customHeight="1">
      <c r="A1023" s="51" t="s">
        <v>1069</v>
      </c>
      <c r="B1023" s="51" t="str">
        <f>IFERROR(__xludf.DUMMYFUNCTION("IFERROR(GOOGLEFINANCE(A1023,""NAME""),)"),"Onelife Capital Advisors Ltd")</f>
        <v>Onelife Capital Advisors Ltd</v>
      </c>
      <c r="C1023" s="51">
        <f>IFERROR(__xludf.DUMMYFUNCTION("IFERROR(GOOGLEFINANCE(A1023,""CHANGE""),)"),0.07)</f>
        <v>0.07</v>
      </c>
      <c r="D1023" s="51">
        <f>IFERROR(__xludf.DUMMYFUNCTION("IFERROR(GOOGLEFINANCE(A1023,""CHANGEPCT""),)"),0.22)</f>
        <v>0.22</v>
      </c>
      <c r="E1023" s="51" t="str">
        <f t="shared" si="1"/>
        <v>0.22%</v>
      </c>
      <c r="F1023" s="51">
        <f t="shared" si="2"/>
        <v>0.22</v>
      </c>
      <c r="G1023" s="51" t="str">
        <f t="shared" si="3"/>
        <v/>
      </c>
      <c r="H1023" s="51">
        <f>IFERROR(__xludf.DUMMYFUNCTION("IFERROR(GOOGLEFINANCE(A1023,""PRICE""),)"),32.05)</f>
        <v>32.05</v>
      </c>
      <c r="I1023" s="52">
        <f>IFERROR(__xludf.DUMMYFUNCTION("IFERROR(GOOGLEFINANCE(A1023,""VOLUME""),)"),18280.0)</f>
        <v>18280</v>
      </c>
      <c r="J1023" s="51" t="str">
        <f>IFERROR(__xludf.DUMMYFUNCTION("IFERROR(INDEX(SPLIT(A1023,"":""),1,2),)"),"ONELIFECAP")</f>
        <v>ONELIFECAP</v>
      </c>
      <c r="K1023" s="51">
        <f t="shared" si="4"/>
        <v>686</v>
      </c>
      <c r="L1023" s="51" t="str">
        <f t="shared" si="5"/>
        <v/>
      </c>
      <c r="M1023" s="51">
        <f t="shared" si="6"/>
        <v>1143</v>
      </c>
      <c r="N1023" s="53">
        <f>IFERROR(__xludf.DUMMYFUNCTION("IFERROR(GOOGLEFINANCE(A1023,""TRADETIME""),)"),46269.64583333333)</f>
        <v>46269.64583</v>
      </c>
      <c r="O1023" s="44"/>
      <c r="P1023" s="44"/>
      <c r="Q1023" s="44"/>
      <c r="R1023" s="44"/>
      <c r="S1023" s="44"/>
      <c r="T1023" s="44"/>
      <c r="U1023" s="44"/>
      <c r="V1023" s="44"/>
      <c r="W1023" s="44"/>
      <c r="X1023" s="44"/>
      <c r="Y1023" s="44"/>
      <c r="Z1023" s="44"/>
    </row>
    <row r="1024" ht="15.75" customHeight="1">
      <c r="A1024" s="48" t="s">
        <v>1070</v>
      </c>
      <c r="B1024" s="48" t="str">
        <f>IFERROR(__xludf.DUMMYFUNCTION("IFERROR(GOOGLEFINANCE(A1024,""NAME""),)"),"One Point One Solutions Ltd")</f>
        <v>One Point One Solutions Ltd</v>
      </c>
      <c r="C1024" s="48">
        <f>IFERROR(__xludf.DUMMYFUNCTION("IFERROR(GOOGLEFINANCE(A1024,""CHANGE""),)"),1.78)</f>
        <v>1.78</v>
      </c>
      <c r="D1024" s="48">
        <f>IFERROR(__xludf.DUMMYFUNCTION("IFERROR(GOOGLEFINANCE(A1024,""CHANGEPCT""),)"),3.26)</f>
        <v>3.26</v>
      </c>
      <c r="E1024" s="48" t="str">
        <f t="shared" si="1"/>
        <v>3.26%</v>
      </c>
      <c r="F1024" s="48">
        <f t="shared" si="2"/>
        <v>3.26</v>
      </c>
      <c r="G1024" s="48" t="str">
        <f t="shared" si="3"/>
        <v/>
      </c>
      <c r="H1024" s="48">
        <f>IFERROR(__xludf.DUMMYFUNCTION("IFERROR(GOOGLEFINANCE(A1024,""PRICE""),)"),56.4)</f>
        <v>56.4</v>
      </c>
      <c r="I1024" s="49">
        <f>IFERROR(__xludf.DUMMYFUNCTION("IFERROR(GOOGLEFINANCE(A1024,""VOLUME""),)"),2688123.0)</f>
        <v>2688123</v>
      </c>
      <c r="J1024" s="48" t="str">
        <f>IFERROR(__xludf.DUMMYFUNCTION("IFERROR(INDEX(SPLIT(A1024,"":""),1,2),)"),"ONEPOINT")</f>
        <v>ONEPOINT</v>
      </c>
      <c r="K1024" s="48">
        <f t="shared" si="4"/>
        <v>146</v>
      </c>
      <c r="L1024" s="48" t="str">
        <f t="shared" si="5"/>
        <v/>
      </c>
      <c r="M1024" s="48">
        <f t="shared" si="6"/>
        <v>133</v>
      </c>
      <c r="N1024" s="50">
        <f>IFERROR(__xludf.DUMMYFUNCTION("IFERROR(GOOGLEFINANCE(A1024,""TRADETIME""),)"),46269.64583333333)</f>
        <v>46269.64583</v>
      </c>
      <c r="O1024" s="44"/>
      <c r="P1024" s="44"/>
      <c r="Q1024" s="44"/>
      <c r="R1024" s="44"/>
      <c r="S1024" s="44"/>
      <c r="T1024" s="44"/>
      <c r="U1024" s="44"/>
      <c r="V1024" s="44"/>
      <c r="W1024" s="44"/>
      <c r="X1024" s="44"/>
      <c r="Y1024" s="44"/>
      <c r="Z1024" s="44"/>
    </row>
    <row r="1025" ht="15.75" customHeight="1">
      <c r="A1025" s="51" t="s">
        <v>1071</v>
      </c>
      <c r="B1025" s="51" t="str">
        <f>IFERROR(__xludf.DUMMYFUNCTION("IFERROR(GOOGLEFINANCE(A1025,""NAME""),)"),"Oil and Natural Gas Corporation Ltd")</f>
        <v>Oil and Natural Gas Corporation Ltd</v>
      </c>
      <c r="C1025" s="51">
        <f>IFERROR(__xludf.DUMMYFUNCTION("IFERROR(GOOGLEFINANCE(A1025,""CHANGE""),)"),-1.35)</f>
        <v>-1.35</v>
      </c>
      <c r="D1025" s="51">
        <f>IFERROR(__xludf.DUMMYFUNCTION("IFERROR(GOOGLEFINANCE(A1025,""CHANGEPCT""),)"),-0.57)</f>
        <v>-0.57</v>
      </c>
      <c r="E1025" s="51" t="str">
        <f t="shared" si="1"/>
        <v>-0.57%</v>
      </c>
      <c r="F1025" s="51" t="str">
        <f t="shared" si="2"/>
        <v/>
      </c>
      <c r="G1025" s="51">
        <f t="shared" si="3"/>
        <v>-0.57</v>
      </c>
      <c r="H1025" s="51">
        <f>IFERROR(__xludf.DUMMYFUNCTION("IFERROR(GOOGLEFINANCE(A1025,""PRICE""),)"),234.65)</f>
        <v>234.65</v>
      </c>
      <c r="I1025" s="52">
        <f>IFERROR(__xludf.DUMMYFUNCTION("IFERROR(GOOGLEFINANCE(A1025,""VOLUME""),)"),5338085.0)</f>
        <v>5338085</v>
      </c>
      <c r="J1025" s="51" t="str">
        <f>IFERROR(__xludf.DUMMYFUNCTION("IFERROR(INDEX(SPLIT(A1025,"":""),1,2),)"),"ONGC")</f>
        <v>ONGC</v>
      </c>
      <c r="K1025" s="51" t="str">
        <f t="shared" si="4"/>
        <v/>
      </c>
      <c r="L1025" s="51">
        <f t="shared" si="5"/>
        <v>220</v>
      </c>
      <c r="M1025" s="51">
        <f t="shared" si="6"/>
        <v>82</v>
      </c>
      <c r="N1025" s="53">
        <f>IFERROR(__xludf.DUMMYFUNCTION("IFERROR(GOOGLEFINANCE(A1025,""TRADETIME""),)"),46269.64583333333)</f>
        <v>46269.64583</v>
      </c>
      <c r="O1025" s="44"/>
      <c r="P1025" s="44"/>
      <c r="Q1025" s="44"/>
      <c r="R1025" s="44"/>
      <c r="S1025" s="44"/>
      <c r="T1025" s="44"/>
      <c r="U1025" s="44"/>
      <c r="V1025" s="44"/>
      <c r="W1025" s="44"/>
      <c r="X1025" s="44"/>
      <c r="Y1025" s="44"/>
      <c r="Z1025" s="44"/>
    </row>
    <row r="1026" ht="15.75" customHeight="1">
      <c r="A1026" s="48" t="s">
        <v>1072</v>
      </c>
      <c r="B1026" s="48" t="str">
        <f>IFERROR(__xludf.DUMMYFUNCTION("IFERROR(GOOGLEFINANCE(A1026,""NAME""),)"),"Onmobile Global Ltd")</f>
        <v>Onmobile Global Ltd</v>
      </c>
      <c r="C1026" s="48">
        <f>IFERROR(__xludf.DUMMYFUNCTION("IFERROR(GOOGLEFINANCE(A1026,""CHANGE""),)"),0.95)</f>
        <v>0.95</v>
      </c>
      <c r="D1026" s="48">
        <f>IFERROR(__xludf.DUMMYFUNCTION("IFERROR(GOOGLEFINANCE(A1026,""CHANGEPCT""),)"),2.0)</f>
        <v>2</v>
      </c>
      <c r="E1026" s="48" t="str">
        <f t="shared" si="1"/>
        <v>2%</v>
      </c>
      <c r="F1026" s="48">
        <f t="shared" si="2"/>
        <v>2</v>
      </c>
      <c r="G1026" s="48" t="str">
        <f t="shared" si="3"/>
        <v/>
      </c>
      <c r="H1026" s="48">
        <f>IFERROR(__xludf.DUMMYFUNCTION("IFERROR(GOOGLEFINANCE(A1026,""PRICE""),)"),48.49)</f>
        <v>48.49</v>
      </c>
      <c r="I1026" s="49">
        <f>IFERROR(__xludf.DUMMYFUNCTION("IFERROR(GOOGLEFINANCE(A1026,""VOLUME""),)"),130107.0)</f>
        <v>130107</v>
      </c>
      <c r="J1026" s="48" t="str">
        <f>IFERROR(__xludf.DUMMYFUNCTION("IFERROR(INDEX(SPLIT(A1026,"":""),1,2),)"),"ONMOBILE")</f>
        <v>ONMOBILE</v>
      </c>
      <c r="K1026" s="48">
        <f t="shared" si="4"/>
        <v>257</v>
      </c>
      <c r="L1026" s="48" t="str">
        <f t="shared" si="5"/>
        <v/>
      </c>
      <c r="M1026" s="48">
        <f t="shared" si="6"/>
        <v>722</v>
      </c>
      <c r="N1026" s="50">
        <f>IFERROR(__xludf.DUMMYFUNCTION("IFERROR(GOOGLEFINANCE(A1026,""TRADETIME""),)"),46269.64583333333)</f>
        <v>46269.64583</v>
      </c>
      <c r="O1026" s="44"/>
      <c r="P1026" s="44"/>
      <c r="Q1026" s="44"/>
      <c r="R1026" s="44"/>
      <c r="S1026" s="44"/>
      <c r="T1026" s="44"/>
      <c r="U1026" s="44"/>
      <c r="V1026" s="44"/>
      <c r="W1026" s="44"/>
      <c r="X1026" s="44"/>
      <c r="Y1026" s="44"/>
      <c r="Z1026" s="44"/>
    </row>
    <row r="1027" ht="15.75" customHeight="1">
      <c r="A1027" s="51" t="s">
        <v>1073</v>
      </c>
      <c r="B1027" s="51" t="str">
        <f>IFERROR(__xludf.DUMMYFUNCTION("IFERROR(GOOGLEFINANCE(A1027,""NAME""),)"),"Onward Technologies Ltd")</f>
        <v>Onward Technologies Ltd</v>
      </c>
      <c r="C1027" s="51">
        <f>IFERROR(__xludf.DUMMYFUNCTION("IFERROR(GOOGLEFINANCE(A1027,""CHANGE""),)"),1.2)</f>
        <v>1.2</v>
      </c>
      <c r="D1027" s="51">
        <f>IFERROR(__xludf.DUMMYFUNCTION("IFERROR(GOOGLEFINANCE(A1027,""CHANGEPCT""),)"),0.42)</f>
        <v>0.42</v>
      </c>
      <c r="E1027" s="51" t="str">
        <f t="shared" si="1"/>
        <v>0.42%</v>
      </c>
      <c r="F1027" s="51">
        <f t="shared" si="2"/>
        <v>0.42</v>
      </c>
      <c r="G1027" s="51" t="str">
        <f t="shared" si="3"/>
        <v/>
      </c>
      <c r="H1027" s="51">
        <f>IFERROR(__xludf.DUMMYFUNCTION("IFERROR(GOOGLEFINANCE(A1027,""PRICE""),)"),284.5)</f>
        <v>284.5</v>
      </c>
      <c r="I1027" s="52">
        <f>IFERROR(__xludf.DUMMYFUNCTION("IFERROR(GOOGLEFINANCE(A1027,""VOLUME""),)"),37115.0)</f>
        <v>37115</v>
      </c>
      <c r="J1027" s="51" t="str">
        <f>IFERROR(__xludf.DUMMYFUNCTION("IFERROR(INDEX(SPLIT(A1027,"":""),1,2),)"),"ONWARDTEC")</f>
        <v>ONWARDTEC</v>
      </c>
      <c r="K1027" s="51">
        <f t="shared" si="4"/>
        <v>617</v>
      </c>
      <c r="L1027" s="51" t="str">
        <f t="shared" si="5"/>
        <v/>
      </c>
      <c r="M1027" s="51">
        <f t="shared" si="6"/>
        <v>1017</v>
      </c>
      <c r="N1027" s="53">
        <f>IFERROR(__xludf.DUMMYFUNCTION("IFERROR(GOOGLEFINANCE(A1027,""TRADETIME""),)"),46269.64583333333)</f>
        <v>46269.64583</v>
      </c>
      <c r="O1027" s="44"/>
      <c r="P1027" s="44"/>
      <c r="Q1027" s="44"/>
      <c r="R1027" s="44"/>
      <c r="S1027" s="44"/>
      <c r="T1027" s="44"/>
      <c r="U1027" s="44"/>
      <c r="V1027" s="44"/>
      <c r="W1027" s="44"/>
      <c r="X1027" s="44"/>
      <c r="Y1027" s="44"/>
      <c r="Z1027" s="44"/>
    </row>
    <row r="1028" ht="15.75" customHeight="1">
      <c r="A1028" s="48" t="s">
        <v>1074</v>
      </c>
      <c r="B1028" s="48" t="str">
        <f>IFERROR(__xludf.DUMMYFUNCTION("IFERROR(GOOGLEFINANCE(A1028,""NAME""),)"),"Optiemus Infracom Ltd")</f>
        <v>Optiemus Infracom Ltd</v>
      </c>
      <c r="C1028" s="48">
        <f>IFERROR(__xludf.DUMMYFUNCTION("IFERROR(GOOGLEFINANCE(A1028,""CHANGE""),)"),10.3)</f>
        <v>10.3</v>
      </c>
      <c r="D1028" s="48">
        <f>IFERROR(__xludf.DUMMYFUNCTION("IFERROR(GOOGLEFINANCE(A1028,""CHANGEPCT""),)"),1.82)</f>
        <v>1.82</v>
      </c>
      <c r="E1028" s="48" t="str">
        <f t="shared" si="1"/>
        <v>1.82%</v>
      </c>
      <c r="F1028" s="48">
        <f t="shared" si="2"/>
        <v>1.82</v>
      </c>
      <c r="G1028" s="48" t="str">
        <f t="shared" si="3"/>
        <v/>
      </c>
      <c r="H1028" s="48">
        <f>IFERROR(__xludf.DUMMYFUNCTION("IFERROR(GOOGLEFINANCE(A1028,""PRICE""),)"),575.15)</f>
        <v>575.15</v>
      </c>
      <c r="I1028" s="49">
        <f>IFERROR(__xludf.DUMMYFUNCTION("IFERROR(GOOGLEFINANCE(A1028,""VOLUME""),)"),61281.0)</f>
        <v>61281</v>
      </c>
      <c r="J1028" s="48" t="str">
        <f>IFERROR(__xludf.DUMMYFUNCTION("IFERROR(INDEX(SPLIT(A1028,"":""),1,2),)"),"OPTIEMUS")</f>
        <v>OPTIEMUS</v>
      </c>
      <c r="K1028" s="48">
        <f t="shared" si="4"/>
        <v>292</v>
      </c>
      <c r="L1028" s="48" t="str">
        <f t="shared" si="5"/>
        <v/>
      </c>
      <c r="M1028" s="48">
        <f t="shared" si="6"/>
        <v>897</v>
      </c>
      <c r="N1028" s="50">
        <f>IFERROR(__xludf.DUMMYFUNCTION("IFERROR(GOOGLEFINANCE(A1028,""TRADETIME""),)"),46269.64584490741)</f>
        <v>46269.64584</v>
      </c>
      <c r="O1028" s="44"/>
      <c r="P1028" s="44"/>
      <c r="Q1028" s="44"/>
      <c r="R1028" s="44"/>
      <c r="S1028" s="44"/>
      <c r="T1028" s="44"/>
      <c r="U1028" s="44"/>
      <c r="V1028" s="44"/>
      <c r="W1028" s="44"/>
      <c r="X1028" s="44"/>
      <c r="Y1028" s="44"/>
      <c r="Z1028" s="44"/>
    </row>
    <row r="1029" ht="15.75" customHeight="1">
      <c r="A1029" s="51" t="s">
        <v>1075</v>
      </c>
      <c r="B1029" s="51" t="str">
        <f>IFERROR(__xludf.DUMMYFUNCTION("IFERROR(GOOGLEFINANCE(A1029,""NAME""),)"),"Safari Industries (India) Ltd")</f>
        <v>Safari Industries (India) Ltd</v>
      </c>
      <c r="C1029" s="51">
        <f>IFERROR(__xludf.DUMMYFUNCTION("IFERROR(GOOGLEFINANCE(A1029,""CHANGE""),)"),34.4)</f>
        <v>34.4</v>
      </c>
      <c r="D1029" s="51">
        <f>IFERROR(__xludf.DUMMYFUNCTION("IFERROR(GOOGLEFINANCE(A1029,""CHANGEPCT""),)"),2.28)</f>
        <v>2.28</v>
      </c>
      <c r="E1029" s="51" t="str">
        <f t="shared" si="1"/>
        <v>2.28%</v>
      </c>
      <c r="F1029" s="51">
        <f t="shared" si="2"/>
        <v>2.28</v>
      </c>
      <c r="G1029" s="51" t="str">
        <f t="shared" si="3"/>
        <v/>
      </c>
      <c r="H1029" s="51">
        <f>IFERROR(__xludf.DUMMYFUNCTION("IFERROR(GOOGLEFINANCE(A1029,""PRICE""),)"),1543.9)</f>
        <v>1543.9</v>
      </c>
      <c r="I1029" s="52">
        <f>IFERROR(__xludf.DUMMYFUNCTION("IFERROR(GOOGLEFINANCE(A1029,""VOLUME""),)"),23964.0)</f>
        <v>23964</v>
      </c>
      <c r="J1029" s="51" t="str">
        <f>IFERROR(__xludf.DUMMYFUNCTION("IFERROR(INDEX(SPLIT(A1029,"":""),1,2),)"),"SAFARI")</f>
        <v>SAFARI</v>
      </c>
      <c r="K1029" s="51">
        <f t="shared" si="4"/>
        <v>225</v>
      </c>
      <c r="L1029" s="51" t="str">
        <f t="shared" si="5"/>
        <v/>
      </c>
      <c r="M1029" s="51">
        <f t="shared" si="6"/>
        <v>1093</v>
      </c>
      <c r="N1029" s="53">
        <f>IFERROR(__xludf.DUMMYFUNCTION("IFERROR(GOOGLEFINANCE(A1029,""TRADETIME""),)"),46269.64583333333)</f>
        <v>46269.64583</v>
      </c>
      <c r="O1029" s="44"/>
      <c r="P1029" s="44"/>
      <c r="Q1029" s="44"/>
      <c r="R1029" s="44"/>
      <c r="S1029" s="44"/>
      <c r="T1029" s="44"/>
      <c r="U1029" s="44"/>
      <c r="V1029" s="44"/>
      <c r="W1029" s="44"/>
      <c r="X1029" s="44"/>
      <c r="Y1029" s="44"/>
      <c r="Z1029" s="44"/>
    </row>
    <row r="1030" ht="15.75" customHeight="1">
      <c r="A1030" s="48" t="s">
        <v>1076</v>
      </c>
      <c r="B1030" s="48" t="str">
        <f>IFERROR(__xludf.DUMMYFUNCTION("IFERROR(GOOGLEFINANCE(A1030,""NAME""),)"),"Orbit Exports Ltd")</f>
        <v>Orbit Exports Ltd</v>
      </c>
      <c r="C1030" s="48">
        <f>IFERROR(__xludf.DUMMYFUNCTION("IFERROR(GOOGLEFINANCE(A1030,""CHANGE""),)"),1.03)</f>
        <v>1.03</v>
      </c>
      <c r="D1030" s="48">
        <f>IFERROR(__xludf.DUMMYFUNCTION("IFERROR(GOOGLEFINANCE(A1030,""CHANGEPCT""),)"),0.43)</f>
        <v>0.43</v>
      </c>
      <c r="E1030" s="48" t="str">
        <f t="shared" si="1"/>
        <v>0.43%</v>
      </c>
      <c r="F1030" s="48">
        <f t="shared" si="2"/>
        <v>0.43</v>
      </c>
      <c r="G1030" s="48" t="str">
        <f t="shared" si="3"/>
        <v/>
      </c>
      <c r="H1030" s="48">
        <f>IFERROR(__xludf.DUMMYFUNCTION("IFERROR(GOOGLEFINANCE(A1030,""PRICE""),)"),239.03)</f>
        <v>239.03</v>
      </c>
      <c r="I1030" s="49">
        <f>IFERROR(__xludf.DUMMYFUNCTION("IFERROR(GOOGLEFINANCE(A1030,""VOLUME""),)"),2189.0)</f>
        <v>2189</v>
      </c>
      <c r="J1030" s="48" t="str">
        <f>IFERROR(__xludf.DUMMYFUNCTION("IFERROR(INDEX(SPLIT(A1030,"":""),1,2),)"),"ORBTEXP")</f>
        <v>ORBTEXP</v>
      </c>
      <c r="K1030" s="48">
        <f t="shared" si="4"/>
        <v>615</v>
      </c>
      <c r="L1030" s="48" t="str">
        <f t="shared" si="5"/>
        <v/>
      </c>
      <c r="M1030" s="48">
        <f t="shared" si="6"/>
        <v>1390</v>
      </c>
      <c r="N1030" s="50">
        <f>IFERROR(__xludf.DUMMYFUNCTION("IFERROR(GOOGLEFINANCE(A1030,""TRADETIME""),)"),46269.64583333333)</f>
        <v>46269.64583</v>
      </c>
      <c r="O1030" s="44"/>
      <c r="P1030" s="44"/>
      <c r="Q1030" s="44"/>
      <c r="R1030" s="44"/>
      <c r="S1030" s="44"/>
      <c r="T1030" s="44"/>
      <c r="U1030" s="44"/>
      <c r="V1030" s="44"/>
      <c r="W1030" s="44"/>
      <c r="X1030" s="44"/>
      <c r="Y1030" s="44"/>
      <c r="Z1030" s="44"/>
    </row>
    <row r="1031" ht="15.75" customHeight="1">
      <c r="A1031" s="51" t="s">
        <v>1077</v>
      </c>
      <c r="B1031" s="51" t="str">
        <f>IFERROR(__xludf.DUMMYFUNCTION("IFERROR(GOOGLEFINANCE(A1031,""NAME""),)"),"Orchid Pharma Ltd")</f>
        <v>Orchid Pharma Ltd</v>
      </c>
      <c r="C1031" s="51">
        <f>IFERROR(__xludf.DUMMYFUNCTION("IFERROR(GOOGLEFINANCE(A1031,""CHANGE""),)"),23.35)</f>
        <v>23.35</v>
      </c>
      <c r="D1031" s="51">
        <f>IFERROR(__xludf.DUMMYFUNCTION("IFERROR(GOOGLEFINANCE(A1031,""CHANGEPCT""),)"),2.5)</f>
        <v>2.5</v>
      </c>
      <c r="E1031" s="51" t="str">
        <f t="shared" si="1"/>
        <v>2.5%</v>
      </c>
      <c r="F1031" s="51">
        <f t="shared" si="2"/>
        <v>2.5</v>
      </c>
      <c r="G1031" s="51" t="str">
        <f t="shared" si="3"/>
        <v/>
      </c>
      <c r="H1031" s="51">
        <f>IFERROR(__xludf.DUMMYFUNCTION("IFERROR(GOOGLEFINANCE(A1031,""PRICE""),)"),958.0)</f>
        <v>958</v>
      </c>
      <c r="I1031" s="52">
        <f>IFERROR(__xludf.DUMMYFUNCTION("IFERROR(GOOGLEFINANCE(A1031,""VOLUME""),)"),41657.0)</f>
        <v>41657</v>
      </c>
      <c r="J1031" s="51" t="str">
        <f>IFERROR(__xludf.DUMMYFUNCTION("IFERROR(INDEX(SPLIT(A1031,"":""),1,2),)"),"ORCHPHARMA")</f>
        <v>ORCHPHARMA</v>
      </c>
      <c r="K1031" s="51">
        <f t="shared" si="4"/>
        <v>202</v>
      </c>
      <c r="L1031" s="51" t="str">
        <f t="shared" si="5"/>
        <v/>
      </c>
      <c r="M1031" s="51">
        <f t="shared" si="6"/>
        <v>994</v>
      </c>
      <c r="N1031" s="53">
        <f>IFERROR(__xludf.DUMMYFUNCTION("IFERROR(GOOGLEFINANCE(A1031,""TRADETIME""),)"),46269.64583333333)</f>
        <v>46269.64583</v>
      </c>
      <c r="O1031" s="44"/>
      <c r="P1031" s="44"/>
      <c r="Q1031" s="44"/>
      <c r="R1031" s="44"/>
      <c r="S1031" s="44"/>
      <c r="T1031" s="44"/>
      <c r="U1031" s="44"/>
      <c r="V1031" s="44"/>
      <c r="W1031" s="44"/>
      <c r="X1031" s="44"/>
      <c r="Y1031" s="44"/>
      <c r="Z1031" s="44"/>
    </row>
    <row r="1032" ht="15.75" customHeight="1">
      <c r="A1032" s="48" t="s">
        <v>1078</v>
      </c>
      <c r="B1032" s="48" t="str">
        <f>IFERROR(__xludf.DUMMYFUNCTION("IFERROR(GOOGLEFINANCE(A1032,""NAME""),)"),"Oricon Enterprises Ltd")</f>
        <v>Oricon Enterprises Ltd</v>
      </c>
      <c r="C1032" s="48">
        <f>IFERROR(__xludf.DUMMYFUNCTION("IFERROR(GOOGLEFINANCE(A1032,""CHANGE""),)"),0.61)</f>
        <v>0.61</v>
      </c>
      <c r="D1032" s="48">
        <f>IFERROR(__xludf.DUMMYFUNCTION("IFERROR(GOOGLEFINANCE(A1032,""CHANGEPCT""),)"),1.15)</f>
        <v>1.15</v>
      </c>
      <c r="E1032" s="48" t="str">
        <f t="shared" si="1"/>
        <v>1.15%</v>
      </c>
      <c r="F1032" s="48">
        <f t="shared" si="2"/>
        <v>1.15</v>
      </c>
      <c r="G1032" s="48" t="str">
        <f t="shared" si="3"/>
        <v/>
      </c>
      <c r="H1032" s="48">
        <f>IFERROR(__xludf.DUMMYFUNCTION("IFERROR(GOOGLEFINANCE(A1032,""PRICE""),)"),53.6)</f>
        <v>53.6</v>
      </c>
      <c r="I1032" s="49">
        <f>IFERROR(__xludf.DUMMYFUNCTION("IFERROR(GOOGLEFINANCE(A1032,""VOLUME""),)"),22589.0)</f>
        <v>22589</v>
      </c>
      <c r="J1032" s="48" t="str">
        <f>IFERROR(__xludf.DUMMYFUNCTION("IFERROR(INDEX(SPLIT(A1032,"":""),1,2),)"),"ORICONENT")</f>
        <v>ORICONENT</v>
      </c>
      <c r="K1032" s="48">
        <f t="shared" si="4"/>
        <v>420</v>
      </c>
      <c r="L1032" s="48" t="str">
        <f t="shared" si="5"/>
        <v/>
      </c>
      <c r="M1032" s="48">
        <f t="shared" si="6"/>
        <v>1106</v>
      </c>
      <c r="N1032" s="50">
        <f>IFERROR(__xludf.DUMMYFUNCTION("IFERROR(GOOGLEFINANCE(A1032,""TRADETIME""),)"),46269.64583333333)</f>
        <v>46269.64583</v>
      </c>
      <c r="O1032" s="44"/>
      <c r="P1032" s="44"/>
      <c r="Q1032" s="44"/>
      <c r="R1032" s="44"/>
      <c r="S1032" s="44"/>
      <c r="T1032" s="44"/>
      <c r="U1032" s="44"/>
      <c r="V1032" s="44"/>
      <c r="W1032" s="44"/>
      <c r="X1032" s="44"/>
      <c r="Y1032" s="44"/>
      <c r="Z1032" s="44"/>
    </row>
    <row r="1033" ht="15.75" customHeight="1">
      <c r="A1033" s="51" t="s">
        <v>1079</v>
      </c>
      <c r="B1033" s="51" t="str">
        <f>IFERROR(__xludf.DUMMYFUNCTION("IFERROR(GOOGLEFINANCE(A1033,""NAME""),)"),"")</f>
        <v/>
      </c>
      <c r="C1033" s="51" t="str">
        <f>IFERROR(__xludf.DUMMYFUNCTION("IFERROR(GOOGLEFINANCE(A1033,""CHANGE""),)"),"")</f>
        <v/>
      </c>
      <c r="D1033" s="51" t="str">
        <f>IFERROR(__xludf.DUMMYFUNCTION("IFERROR(GOOGLEFINANCE(A1033,""CHANGEPCT""),)"),"")</f>
        <v/>
      </c>
      <c r="E1033" s="51" t="str">
        <f t="shared" si="1"/>
        <v>%</v>
      </c>
      <c r="F1033" s="51" t="str">
        <f t="shared" si="2"/>
        <v/>
      </c>
      <c r="G1033" s="51" t="str">
        <f t="shared" si="3"/>
        <v/>
      </c>
      <c r="H1033" s="51" t="str">
        <f>IFERROR(__xludf.DUMMYFUNCTION("IFERROR(GOOGLEFINANCE(A1033,""PRICE""),)"),"")</f>
        <v/>
      </c>
      <c r="I1033" s="52" t="str">
        <f>IFERROR(__xludf.DUMMYFUNCTION("IFERROR(GOOGLEFINANCE(A1033,""VOLUME""),)"),"")</f>
        <v/>
      </c>
      <c r="J1033" s="51" t="str">
        <f>IFERROR(__xludf.DUMMYFUNCTION("IFERROR(INDEX(SPLIT(A1033,"":""),1,2),)"),"ORIENTABRA")</f>
        <v>ORIENTABRA</v>
      </c>
      <c r="K1033" s="51" t="str">
        <f t="shared" si="4"/>
        <v/>
      </c>
      <c r="L1033" s="51" t="str">
        <f t="shared" si="5"/>
        <v/>
      </c>
      <c r="M1033" s="51">
        <f t="shared" si="6"/>
        <v>1456</v>
      </c>
      <c r="N1033" s="53" t="str">
        <f>IFERROR(__xludf.DUMMYFUNCTION("IFERROR(GOOGLEFINANCE(A1033,""TRADETIME""),)"),"")</f>
        <v/>
      </c>
      <c r="O1033" s="44"/>
      <c r="P1033" s="44"/>
      <c r="Q1033" s="44"/>
      <c r="R1033" s="44"/>
      <c r="S1033" s="44"/>
      <c r="T1033" s="44"/>
      <c r="U1033" s="44"/>
      <c r="V1033" s="44"/>
      <c r="W1033" s="44"/>
      <c r="X1033" s="44"/>
      <c r="Y1033" s="44"/>
      <c r="Z1033" s="44"/>
    </row>
    <row r="1034" ht="15.75" customHeight="1">
      <c r="A1034" s="48" t="s">
        <v>1080</v>
      </c>
      <c r="B1034" s="48" t="str">
        <f>IFERROR(__xludf.DUMMYFUNCTION("IFERROR(GOOGLEFINANCE(A1034,""NAME""),)"),"Oriental Trimex Ltd")</f>
        <v>Oriental Trimex Ltd</v>
      </c>
      <c r="C1034" s="48">
        <f>IFERROR(__xludf.DUMMYFUNCTION("IFERROR(GOOGLEFINANCE(A1034,""CHANGE""),)"),0.32)</f>
        <v>0.32</v>
      </c>
      <c r="D1034" s="48">
        <f>IFERROR(__xludf.DUMMYFUNCTION("IFERROR(GOOGLEFINANCE(A1034,""CHANGEPCT""),)"),6.37)</f>
        <v>6.37</v>
      </c>
      <c r="E1034" s="48" t="str">
        <f t="shared" si="1"/>
        <v>6.37%</v>
      </c>
      <c r="F1034" s="48">
        <f t="shared" si="2"/>
        <v>6.37</v>
      </c>
      <c r="G1034" s="48" t="str">
        <f t="shared" si="3"/>
        <v/>
      </c>
      <c r="H1034" s="48">
        <f>IFERROR(__xludf.DUMMYFUNCTION("IFERROR(GOOGLEFINANCE(A1034,""PRICE""),)"),5.34)</f>
        <v>5.34</v>
      </c>
      <c r="I1034" s="49">
        <f>IFERROR(__xludf.DUMMYFUNCTION("IFERROR(GOOGLEFINANCE(A1034,""VOLUME""),)"),322042.0)</f>
        <v>322042</v>
      </c>
      <c r="J1034" s="48" t="str">
        <f>IFERROR(__xludf.DUMMYFUNCTION("IFERROR(INDEX(SPLIT(A1034,"":""),1,2),)"),"ORIENTALTL")</f>
        <v>ORIENTALTL</v>
      </c>
      <c r="K1034" s="48">
        <f t="shared" si="4"/>
        <v>30</v>
      </c>
      <c r="L1034" s="48" t="str">
        <f t="shared" si="5"/>
        <v/>
      </c>
      <c r="M1034" s="48">
        <f t="shared" si="6"/>
        <v>494</v>
      </c>
      <c r="N1034" s="50">
        <f>IFERROR(__xludf.DUMMYFUNCTION("IFERROR(GOOGLEFINANCE(A1034,""TRADETIME""),)"),46269.64586805555)</f>
        <v>46269.64587</v>
      </c>
      <c r="O1034" s="44"/>
      <c r="P1034" s="44"/>
      <c r="Q1034" s="44"/>
      <c r="R1034" s="44"/>
      <c r="S1034" s="44"/>
      <c r="T1034" s="44"/>
      <c r="U1034" s="44"/>
      <c r="V1034" s="44"/>
      <c r="W1034" s="44"/>
      <c r="X1034" s="44"/>
      <c r="Y1034" s="44"/>
      <c r="Z1034" s="44"/>
    </row>
    <row r="1035" ht="15.75" customHeight="1">
      <c r="A1035" s="51" t="s">
        <v>1081</v>
      </c>
      <c r="B1035" s="51" t="str">
        <f>IFERROR(__xludf.DUMMYFUNCTION("IFERROR(GOOGLEFINANCE(A1035,""NAME""),)"),"Orient Bell Ltd")</f>
        <v>Orient Bell Ltd</v>
      </c>
      <c r="C1035" s="51">
        <f>IFERROR(__xludf.DUMMYFUNCTION("IFERROR(GOOGLEFINANCE(A1035,""CHANGE""),)"),8.05)</f>
        <v>8.05</v>
      </c>
      <c r="D1035" s="51">
        <f>IFERROR(__xludf.DUMMYFUNCTION("IFERROR(GOOGLEFINANCE(A1035,""CHANGEPCT""),)"),1.95)</f>
        <v>1.95</v>
      </c>
      <c r="E1035" s="51" t="str">
        <f t="shared" si="1"/>
        <v>1.95%</v>
      </c>
      <c r="F1035" s="51">
        <f t="shared" si="2"/>
        <v>1.95</v>
      </c>
      <c r="G1035" s="51" t="str">
        <f t="shared" si="3"/>
        <v/>
      </c>
      <c r="H1035" s="51">
        <f>IFERROR(__xludf.DUMMYFUNCTION("IFERROR(GOOGLEFINANCE(A1035,""PRICE""),)"),420.7)</f>
        <v>420.7</v>
      </c>
      <c r="I1035" s="52">
        <f>IFERROR(__xludf.DUMMYFUNCTION("IFERROR(GOOGLEFINANCE(A1035,""VOLUME""),)"),69026.0)</f>
        <v>69026</v>
      </c>
      <c r="J1035" s="51" t="str">
        <f>IFERROR(__xludf.DUMMYFUNCTION("IFERROR(INDEX(SPLIT(A1035,"":""),1,2),)"),"ORIENTBELL")</f>
        <v>ORIENTBELL</v>
      </c>
      <c r="K1035" s="51">
        <f t="shared" si="4"/>
        <v>268</v>
      </c>
      <c r="L1035" s="51" t="str">
        <f t="shared" si="5"/>
        <v/>
      </c>
      <c r="M1035" s="51">
        <f t="shared" si="6"/>
        <v>864</v>
      </c>
      <c r="N1035" s="53">
        <f>IFERROR(__xludf.DUMMYFUNCTION("IFERROR(GOOGLEFINANCE(A1035,""TRADETIME""),)"),46269.64583333333)</f>
        <v>46269.64583</v>
      </c>
      <c r="O1035" s="44"/>
      <c r="P1035" s="44"/>
      <c r="Q1035" s="44"/>
      <c r="R1035" s="44"/>
      <c r="S1035" s="44"/>
      <c r="T1035" s="44"/>
      <c r="U1035" s="44"/>
      <c r="V1035" s="44"/>
      <c r="W1035" s="44"/>
      <c r="X1035" s="44"/>
      <c r="Y1035" s="44"/>
      <c r="Z1035" s="44"/>
    </row>
    <row r="1036" ht="15.75" customHeight="1">
      <c r="A1036" s="48" t="s">
        <v>1082</v>
      </c>
      <c r="B1036" s="48" t="str">
        <f>IFERROR(__xludf.DUMMYFUNCTION("IFERROR(GOOGLEFINANCE(A1036,""NAME""),)"),"Orient Cement Ltd")</f>
        <v>Orient Cement Ltd</v>
      </c>
      <c r="C1036" s="48">
        <f>IFERROR(__xludf.DUMMYFUNCTION("IFERROR(GOOGLEFINANCE(A1036,""CHANGE""),)"),1.27)</f>
        <v>1.27</v>
      </c>
      <c r="D1036" s="48">
        <f>IFERROR(__xludf.DUMMYFUNCTION("IFERROR(GOOGLEFINANCE(A1036,""CHANGEPCT""),)"),0.99)</f>
        <v>0.99</v>
      </c>
      <c r="E1036" s="48" t="str">
        <f t="shared" si="1"/>
        <v>0.99%</v>
      </c>
      <c r="F1036" s="48">
        <f t="shared" si="2"/>
        <v>0.99</v>
      </c>
      <c r="G1036" s="48" t="str">
        <f t="shared" si="3"/>
        <v/>
      </c>
      <c r="H1036" s="48">
        <f>IFERROR(__xludf.DUMMYFUNCTION("IFERROR(GOOGLEFINANCE(A1036,""PRICE""),)"),129.75)</f>
        <v>129.75</v>
      </c>
      <c r="I1036" s="49">
        <f>IFERROR(__xludf.DUMMYFUNCTION("IFERROR(GOOGLEFINANCE(A1036,""VOLUME""),)"),118199.0)</f>
        <v>118199</v>
      </c>
      <c r="J1036" s="48" t="str">
        <f>IFERROR(__xludf.DUMMYFUNCTION("IFERROR(INDEX(SPLIT(A1036,"":""),1,2),)"),"ORIENTCEM")</f>
        <v>ORIENTCEM</v>
      </c>
      <c r="K1036" s="48">
        <f t="shared" si="4"/>
        <v>451</v>
      </c>
      <c r="L1036" s="48" t="str">
        <f t="shared" si="5"/>
        <v/>
      </c>
      <c r="M1036" s="48">
        <f t="shared" si="6"/>
        <v>740</v>
      </c>
      <c r="N1036" s="50">
        <f>IFERROR(__xludf.DUMMYFUNCTION("IFERROR(GOOGLEFINANCE(A1036,""TRADETIME""),)"),46269.64583333333)</f>
        <v>46269.64583</v>
      </c>
      <c r="O1036" s="44"/>
      <c r="P1036" s="44"/>
      <c r="Q1036" s="44"/>
      <c r="R1036" s="44"/>
      <c r="S1036" s="44"/>
      <c r="T1036" s="44"/>
      <c r="U1036" s="44"/>
      <c r="V1036" s="44"/>
      <c r="W1036" s="44"/>
      <c r="X1036" s="44"/>
      <c r="Y1036" s="44"/>
      <c r="Z1036" s="44"/>
    </row>
    <row r="1037" ht="15.75" customHeight="1">
      <c r="A1037" s="51" t="s">
        <v>1083</v>
      </c>
      <c r="B1037" s="51" t="str">
        <f>IFERROR(__xludf.DUMMYFUNCTION("IFERROR(GOOGLEFINANCE(A1037,""NAME""),)"),"Orient Electric Ltd")</f>
        <v>Orient Electric Ltd</v>
      </c>
      <c r="C1037" s="51">
        <f>IFERROR(__xludf.DUMMYFUNCTION("IFERROR(GOOGLEFINANCE(A1037,""CHANGE""),)"),0.43)</f>
        <v>0.43</v>
      </c>
      <c r="D1037" s="51">
        <f>IFERROR(__xludf.DUMMYFUNCTION("IFERROR(GOOGLEFINANCE(A1037,""CHANGEPCT""),)"),0.24)</f>
        <v>0.24</v>
      </c>
      <c r="E1037" s="51" t="str">
        <f t="shared" si="1"/>
        <v>0.24%</v>
      </c>
      <c r="F1037" s="51">
        <f t="shared" si="2"/>
        <v>0.24</v>
      </c>
      <c r="G1037" s="51" t="str">
        <f t="shared" si="3"/>
        <v/>
      </c>
      <c r="H1037" s="51">
        <f>IFERROR(__xludf.DUMMYFUNCTION("IFERROR(GOOGLEFINANCE(A1037,""PRICE""),)"),178.58)</f>
        <v>178.58</v>
      </c>
      <c r="I1037" s="52">
        <f>IFERROR(__xludf.DUMMYFUNCTION("IFERROR(GOOGLEFINANCE(A1037,""VOLUME""),)"),74074.0)</f>
        <v>74074</v>
      </c>
      <c r="J1037" s="51" t="str">
        <f>IFERROR(__xludf.DUMMYFUNCTION("IFERROR(INDEX(SPLIT(A1037,"":""),1,2),)"),"ORIENTELEC")</f>
        <v>ORIENTELEC</v>
      </c>
      <c r="K1037" s="51">
        <f t="shared" si="4"/>
        <v>681</v>
      </c>
      <c r="L1037" s="51" t="str">
        <f t="shared" si="5"/>
        <v/>
      </c>
      <c r="M1037" s="51">
        <f t="shared" si="6"/>
        <v>847</v>
      </c>
      <c r="N1037" s="53">
        <f>IFERROR(__xludf.DUMMYFUNCTION("IFERROR(GOOGLEFINANCE(A1037,""TRADETIME""),)"),46269.64583333333)</f>
        <v>46269.64583</v>
      </c>
      <c r="O1037" s="44"/>
      <c r="P1037" s="44"/>
      <c r="Q1037" s="44"/>
      <c r="R1037" s="44"/>
      <c r="S1037" s="44"/>
      <c r="T1037" s="44"/>
      <c r="U1037" s="44"/>
      <c r="V1037" s="44"/>
      <c r="W1037" s="44"/>
      <c r="X1037" s="44"/>
      <c r="Y1037" s="44"/>
      <c r="Z1037" s="44"/>
    </row>
    <row r="1038" ht="15.75" customHeight="1">
      <c r="A1038" s="48" t="s">
        <v>1084</v>
      </c>
      <c r="B1038" s="48" t="str">
        <f>IFERROR(__xludf.DUMMYFUNCTION("IFERROR(GOOGLEFINANCE(A1038,""NAME""),)"),"Oriental Hotels Ltd")</f>
        <v>Oriental Hotels Ltd</v>
      </c>
      <c r="C1038" s="48">
        <f>IFERROR(__xludf.DUMMYFUNCTION("IFERROR(GOOGLEFINANCE(A1038,""CHANGE""),)"),-2.82)</f>
        <v>-2.82</v>
      </c>
      <c r="D1038" s="48">
        <f>IFERROR(__xludf.DUMMYFUNCTION("IFERROR(GOOGLEFINANCE(A1038,""CHANGEPCT""),)"),-1.99)</f>
        <v>-1.99</v>
      </c>
      <c r="E1038" s="48" t="str">
        <f t="shared" si="1"/>
        <v>-1.99%</v>
      </c>
      <c r="F1038" s="48" t="str">
        <f t="shared" si="2"/>
        <v/>
      </c>
      <c r="G1038" s="48">
        <f t="shared" si="3"/>
        <v>-1.99</v>
      </c>
      <c r="H1038" s="48">
        <f>IFERROR(__xludf.DUMMYFUNCTION("IFERROR(GOOGLEFINANCE(A1038,""PRICE""),)"),139.14)</f>
        <v>139.14</v>
      </c>
      <c r="I1038" s="49">
        <f>IFERROR(__xludf.DUMMYFUNCTION("IFERROR(GOOGLEFINANCE(A1038,""VOLUME""),)"),301159.0)</f>
        <v>301159</v>
      </c>
      <c r="J1038" s="48" t="str">
        <f>IFERROR(__xludf.DUMMYFUNCTION("IFERROR(INDEX(SPLIT(A1038,"":""),1,2),)"),"ORIENTHOT")</f>
        <v>ORIENTHOT</v>
      </c>
      <c r="K1038" s="48" t="str">
        <f t="shared" si="4"/>
        <v/>
      </c>
      <c r="L1038" s="48">
        <f t="shared" si="5"/>
        <v>533</v>
      </c>
      <c r="M1038" s="48">
        <f t="shared" si="6"/>
        <v>516</v>
      </c>
      <c r="N1038" s="50">
        <f>IFERROR(__xludf.DUMMYFUNCTION("IFERROR(GOOGLEFINANCE(A1038,""TRADETIME""),)"),46269.64583333333)</f>
        <v>46269.64583</v>
      </c>
      <c r="O1038" s="44"/>
      <c r="P1038" s="44"/>
      <c r="Q1038" s="44"/>
      <c r="R1038" s="44"/>
      <c r="S1038" s="44"/>
      <c r="T1038" s="44"/>
      <c r="U1038" s="44"/>
      <c r="V1038" s="44"/>
      <c r="W1038" s="44"/>
      <c r="X1038" s="44"/>
      <c r="Y1038" s="44"/>
      <c r="Z1038" s="44"/>
    </row>
    <row r="1039" ht="15.75" customHeight="1">
      <c r="A1039" s="51" t="s">
        <v>1085</v>
      </c>
      <c r="B1039" s="51" t="str">
        <f>IFERROR(__xludf.DUMMYFUNCTION("IFERROR(GOOGLEFINANCE(A1039,""NAME""),)"),"Orient Press Ltd")</f>
        <v>Orient Press Ltd</v>
      </c>
      <c r="C1039" s="51">
        <f>IFERROR(__xludf.DUMMYFUNCTION("IFERROR(GOOGLEFINANCE(A1039,""CHANGE""),)"),-3.37)</f>
        <v>-3.37</v>
      </c>
      <c r="D1039" s="51">
        <f>IFERROR(__xludf.DUMMYFUNCTION("IFERROR(GOOGLEFINANCE(A1039,""CHANGEPCT""),)"),-4.02)</f>
        <v>-4.02</v>
      </c>
      <c r="E1039" s="51" t="str">
        <f t="shared" si="1"/>
        <v>-4.02%</v>
      </c>
      <c r="F1039" s="51" t="str">
        <f t="shared" si="2"/>
        <v/>
      </c>
      <c r="G1039" s="51">
        <f t="shared" si="3"/>
        <v>-4.02</v>
      </c>
      <c r="H1039" s="51">
        <f>IFERROR(__xludf.DUMMYFUNCTION("IFERROR(GOOGLEFINANCE(A1039,""PRICE""),)"),80.4)</f>
        <v>80.4</v>
      </c>
      <c r="I1039" s="52">
        <f>IFERROR(__xludf.DUMMYFUNCTION("IFERROR(GOOGLEFINANCE(A1039,""VOLUME""),)"),1884.0)</f>
        <v>1884</v>
      </c>
      <c r="J1039" s="51" t="str">
        <f>IFERROR(__xludf.DUMMYFUNCTION("IFERROR(INDEX(SPLIT(A1039,"":""),1,2),)"),"ORIENTLTD")</f>
        <v>ORIENTLTD</v>
      </c>
      <c r="K1039" s="51" t="str">
        <f t="shared" si="4"/>
        <v/>
      </c>
      <c r="L1039" s="51">
        <f t="shared" si="5"/>
        <v>625</v>
      </c>
      <c r="M1039" s="51">
        <f t="shared" si="6"/>
        <v>1398</v>
      </c>
      <c r="N1039" s="53">
        <f>IFERROR(__xludf.DUMMYFUNCTION("IFERROR(GOOGLEFINANCE(A1039,""TRADETIME""),)"),46269.64583333333)</f>
        <v>46269.64583</v>
      </c>
      <c r="O1039" s="44"/>
      <c r="P1039" s="44"/>
      <c r="Q1039" s="44"/>
      <c r="R1039" s="44"/>
      <c r="S1039" s="44"/>
      <c r="T1039" s="44"/>
      <c r="U1039" s="44"/>
      <c r="V1039" s="44"/>
      <c r="W1039" s="44"/>
      <c r="X1039" s="44"/>
      <c r="Y1039" s="44"/>
      <c r="Z1039" s="44"/>
    </row>
    <row r="1040" ht="15.75" customHeight="1">
      <c r="A1040" s="48" t="s">
        <v>1086</v>
      </c>
      <c r="B1040" s="48" t="str">
        <f>IFERROR(__xludf.DUMMYFUNCTION("IFERROR(GOOGLEFINANCE(A1040,""NAME""),)"),"Orient Paper and Industries Ltd")</f>
        <v>Orient Paper and Industries Ltd</v>
      </c>
      <c r="C1040" s="48">
        <f>IFERROR(__xludf.DUMMYFUNCTION("IFERROR(GOOGLEFINANCE(A1040,""CHANGE""),)"),-0.09)</f>
        <v>-0.09</v>
      </c>
      <c r="D1040" s="48">
        <f>IFERROR(__xludf.DUMMYFUNCTION("IFERROR(GOOGLEFINANCE(A1040,""CHANGEPCT""),)"),-0.53)</f>
        <v>-0.53</v>
      </c>
      <c r="E1040" s="48" t="str">
        <f t="shared" si="1"/>
        <v>-0.53%</v>
      </c>
      <c r="F1040" s="48" t="str">
        <f t="shared" si="2"/>
        <v/>
      </c>
      <c r="G1040" s="48">
        <f t="shared" si="3"/>
        <v>-0.53</v>
      </c>
      <c r="H1040" s="48">
        <f>IFERROR(__xludf.DUMMYFUNCTION("IFERROR(GOOGLEFINANCE(A1040,""PRICE""),)"),17.04)</f>
        <v>17.04</v>
      </c>
      <c r="I1040" s="49">
        <f>IFERROR(__xludf.DUMMYFUNCTION("IFERROR(GOOGLEFINANCE(A1040,""VOLUME""),)"),100814.0)</f>
        <v>100814</v>
      </c>
      <c r="J1040" s="48" t="str">
        <f>IFERROR(__xludf.DUMMYFUNCTION("IFERROR(INDEX(SPLIT(A1040,"":""),1,2),)"),"ORIENTPPR")</f>
        <v>ORIENTPPR</v>
      </c>
      <c r="K1040" s="48" t="str">
        <f t="shared" si="4"/>
        <v/>
      </c>
      <c r="L1040" s="48">
        <f t="shared" si="5"/>
        <v>206</v>
      </c>
      <c r="M1040" s="48">
        <f t="shared" si="6"/>
        <v>765</v>
      </c>
      <c r="N1040" s="50">
        <f>IFERROR(__xludf.DUMMYFUNCTION("IFERROR(GOOGLEFINANCE(A1040,""TRADETIME""),)"),46269.64583333333)</f>
        <v>46269.64583</v>
      </c>
      <c r="O1040" s="44"/>
      <c r="P1040" s="44"/>
      <c r="Q1040" s="44"/>
      <c r="R1040" s="44"/>
      <c r="S1040" s="44"/>
      <c r="T1040" s="44"/>
      <c r="U1040" s="44"/>
      <c r="V1040" s="44"/>
      <c r="W1040" s="44"/>
      <c r="X1040" s="44"/>
      <c r="Y1040" s="44"/>
      <c r="Z1040" s="44"/>
    </row>
    <row r="1041" ht="15.75" customHeight="1">
      <c r="A1041" s="51" t="s">
        <v>1087</v>
      </c>
      <c r="B1041" s="51" t="str">
        <f>IFERROR(__xludf.DUMMYFUNCTION("IFERROR(GOOGLEFINANCE(A1041,""NAME""),)"),"RHI Magnesita India Ltd")</f>
        <v>RHI Magnesita India Ltd</v>
      </c>
      <c r="C1041" s="51">
        <f>IFERROR(__xludf.DUMMYFUNCTION("IFERROR(GOOGLEFINANCE(A1041,""CHANGE""),)"),1.95)</f>
        <v>1.95</v>
      </c>
      <c r="D1041" s="51">
        <f>IFERROR(__xludf.DUMMYFUNCTION("IFERROR(GOOGLEFINANCE(A1041,""CHANGEPCT""),)"),0.53)</f>
        <v>0.53</v>
      </c>
      <c r="E1041" s="51" t="str">
        <f t="shared" si="1"/>
        <v>0.53%</v>
      </c>
      <c r="F1041" s="51">
        <f t="shared" si="2"/>
        <v>0.53</v>
      </c>
      <c r="G1041" s="51" t="str">
        <f t="shared" si="3"/>
        <v/>
      </c>
      <c r="H1041" s="51">
        <f>IFERROR(__xludf.DUMMYFUNCTION("IFERROR(GOOGLEFINANCE(A1041,""PRICE""),)"),371.7)</f>
        <v>371.7</v>
      </c>
      <c r="I1041" s="52">
        <f>IFERROR(__xludf.DUMMYFUNCTION("IFERROR(GOOGLEFINANCE(A1041,""VOLUME""),)"),97629.0)</f>
        <v>97629</v>
      </c>
      <c r="J1041" s="51" t="str">
        <f>IFERROR(__xludf.DUMMYFUNCTION("IFERROR(INDEX(SPLIT(A1041,"":""),1,2),)"),"RHIM")</f>
        <v>RHIM</v>
      </c>
      <c r="K1041" s="51">
        <f t="shared" si="4"/>
        <v>586</v>
      </c>
      <c r="L1041" s="51" t="str">
        <f t="shared" si="5"/>
        <v/>
      </c>
      <c r="M1041" s="51">
        <f t="shared" si="6"/>
        <v>777</v>
      </c>
      <c r="N1041" s="53">
        <f>IFERROR(__xludf.DUMMYFUNCTION("IFERROR(GOOGLEFINANCE(A1041,""TRADETIME""),)"),46269.64584490741)</f>
        <v>46269.64584</v>
      </c>
      <c r="O1041" s="44"/>
      <c r="P1041" s="44"/>
      <c r="Q1041" s="44"/>
      <c r="R1041" s="44"/>
      <c r="S1041" s="44"/>
      <c r="T1041" s="44"/>
      <c r="U1041" s="44"/>
      <c r="V1041" s="44"/>
      <c r="W1041" s="44"/>
      <c r="X1041" s="44"/>
      <c r="Y1041" s="44"/>
      <c r="Z1041" s="44"/>
    </row>
    <row r="1042" ht="15.75" customHeight="1">
      <c r="A1042" s="48" t="s">
        <v>1088</v>
      </c>
      <c r="B1042" s="48" t="str">
        <f>IFERROR(__xludf.DUMMYFUNCTION("IFERROR(GOOGLEFINANCE(A1042,""NAME""),)"),"Orissa Minerals Development Company Ltd")</f>
        <v>Orissa Minerals Development Company Ltd</v>
      </c>
      <c r="C1042" s="48">
        <f>IFERROR(__xludf.DUMMYFUNCTION("IFERROR(GOOGLEFINANCE(A1042,""CHANGE""),)"),4.7)</f>
        <v>4.7</v>
      </c>
      <c r="D1042" s="48">
        <f>IFERROR(__xludf.DUMMYFUNCTION("IFERROR(GOOGLEFINANCE(A1042,""CHANGEPCT""),)"),0.11)</f>
        <v>0.11</v>
      </c>
      <c r="E1042" s="48" t="str">
        <f t="shared" si="1"/>
        <v>0.11%</v>
      </c>
      <c r="F1042" s="48">
        <f t="shared" si="2"/>
        <v>0.11</v>
      </c>
      <c r="G1042" s="48" t="str">
        <f t="shared" si="3"/>
        <v/>
      </c>
      <c r="H1042" s="48">
        <f>IFERROR(__xludf.DUMMYFUNCTION("IFERROR(GOOGLEFINANCE(A1042,""PRICE""),)"),4295.0)</f>
        <v>4295</v>
      </c>
      <c r="I1042" s="49">
        <f>IFERROR(__xludf.DUMMYFUNCTION("IFERROR(GOOGLEFINANCE(A1042,""VOLUME""),)"),4863.0)</f>
        <v>4863</v>
      </c>
      <c r="J1042" s="48" t="str">
        <f>IFERROR(__xludf.DUMMYFUNCTION("IFERROR(INDEX(SPLIT(A1042,"":""),1,2),)"),"ORISSAMINE")</f>
        <v>ORISSAMINE</v>
      </c>
      <c r="K1042" s="48">
        <f t="shared" si="4"/>
        <v>736</v>
      </c>
      <c r="L1042" s="48" t="str">
        <f t="shared" si="5"/>
        <v/>
      </c>
      <c r="M1042" s="48">
        <f t="shared" si="6"/>
        <v>1328</v>
      </c>
      <c r="N1042" s="50">
        <f>IFERROR(__xludf.DUMMYFUNCTION("IFERROR(GOOGLEFINANCE(A1042,""TRADETIME""),)"),46269.64583333333)</f>
        <v>46269.64583</v>
      </c>
      <c r="O1042" s="44"/>
      <c r="P1042" s="44"/>
      <c r="Q1042" s="44"/>
      <c r="R1042" s="44"/>
      <c r="S1042" s="44"/>
      <c r="T1042" s="44"/>
      <c r="U1042" s="44"/>
      <c r="V1042" s="44"/>
      <c r="W1042" s="44"/>
      <c r="X1042" s="44"/>
      <c r="Y1042" s="44"/>
      <c r="Z1042" s="44"/>
    </row>
    <row r="1043" ht="15.75" customHeight="1">
      <c r="A1043" s="51" t="s">
        <v>1089</v>
      </c>
      <c r="B1043" s="51" t="str">
        <f>IFERROR(__xludf.DUMMYFUNCTION("IFERROR(GOOGLEFINANCE(A1043,""NAME""),)"),"Ortel Communications Ltd")</f>
        <v>Ortel Communications Ltd</v>
      </c>
      <c r="C1043" s="51">
        <f>IFERROR(__xludf.DUMMYFUNCTION("IFERROR(GOOGLEFINANCE(A1043,""CHANGE""),)"),-0.1)</f>
        <v>-0.1</v>
      </c>
      <c r="D1043" s="51">
        <f>IFERROR(__xludf.DUMMYFUNCTION("IFERROR(GOOGLEFINANCE(A1043,""CHANGEPCT""),)"),-5.0)</f>
        <v>-5</v>
      </c>
      <c r="E1043" s="51" t="str">
        <f t="shared" si="1"/>
        <v>-5%</v>
      </c>
      <c r="F1043" s="51" t="str">
        <f t="shared" si="2"/>
        <v/>
      </c>
      <c r="G1043" s="51">
        <f t="shared" si="3"/>
        <v>-5</v>
      </c>
      <c r="H1043" s="51">
        <f>IFERROR(__xludf.DUMMYFUNCTION("IFERROR(GOOGLEFINANCE(A1043,""PRICE""),)"),1.9)</f>
        <v>1.9</v>
      </c>
      <c r="I1043" s="52">
        <f>IFERROR(__xludf.DUMMYFUNCTION("IFERROR(GOOGLEFINANCE(A1043,""VOLUME""),)"),7481.0)</f>
        <v>7481</v>
      </c>
      <c r="J1043" s="51" t="str">
        <f>IFERROR(__xludf.DUMMYFUNCTION("IFERROR(INDEX(SPLIT(A1043,"":""),1,2),)"),"ORTEL")</f>
        <v>ORTEL</v>
      </c>
      <c r="K1043" s="51" t="str">
        <f t="shared" si="4"/>
        <v/>
      </c>
      <c r="L1043" s="51">
        <f t="shared" si="5"/>
        <v>642</v>
      </c>
      <c r="M1043" s="51">
        <f t="shared" si="6"/>
        <v>1274</v>
      </c>
      <c r="N1043" s="53">
        <f>IFERROR(__xludf.DUMMYFUNCTION("IFERROR(GOOGLEFINANCE(A1043,""TRADETIME""),)"),46265.64583333333)</f>
        <v>46265.64583</v>
      </c>
      <c r="O1043" s="44"/>
      <c r="P1043" s="44"/>
      <c r="Q1043" s="44"/>
      <c r="R1043" s="44"/>
      <c r="S1043" s="44"/>
      <c r="T1043" s="44"/>
      <c r="U1043" s="44"/>
      <c r="V1043" s="44"/>
      <c r="W1043" s="44"/>
      <c r="X1043" s="44"/>
      <c r="Y1043" s="44"/>
      <c r="Z1043" s="44"/>
    </row>
    <row r="1044" ht="15.75" customHeight="1">
      <c r="A1044" s="48" t="s">
        <v>1090</v>
      </c>
      <c r="B1044" s="48" t="str">
        <f>IFERROR(__xludf.DUMMYFUNCTION("IFERROR(GOOGLEFINANCE(A1044,""NAME""),)"),"Oswal Agro Mills Ltd")</f>
        <v>Oswal Agro Mills Ltd</v>
      </c>
      <c r="C1044" s="48">
        <f>IFERROR(__xludf.DUMMYFUNCTION("IFERROR(GOOGLEFINANCE(A1044,""CHANGE""),)"),-0.22)</f>
        <v>-0.22</v>
      </c>
      <c r="D1044" s="48">
        <f>IFERROR(__xludf.DUMMYFUNCTION("IFERROR(GOOGLEFINANCE(A1044,""CHANGEPCT""),)"),-0.6)</f>
        <v>-0.6</v>
      </c>
      <c r="E1044" s="48" t="str">
        <f t="shared" si="1"/>
        <v>-0.6%</v>
      </c>
      <c r="F1044" s="48" t="str">
        <f t="shared" si="2"/>
        <v/>
      </c>
      <c r="G1044" s="48">
        <f t="shared" si="3"/>
        <v>-0.6</v>
      </c>
      <c r="H1044" s="48">
        <f>IFERROR(__xludf.DUMMYFUNCTION("IFERROR(GOOGLEFINANCE(A1044,""PRICE""),)"),36.66)</f>
        <v>36.66</v>
      </c>
      <c r="I1044" s="49">
        <f>IFERROR(__xludf.DUMMYFUNCTION("IFERROR(GOOGLEFINANCE(A1044,""VOLUME""),)"),21089.0)</f>
        <v>21089</v>
      </c>
      <c r="J1044" s="48" t="str">
        <f>IFERROR(__xludf.DUMMYFUNCTION("IFERROR(INDEX(SPLIT(A1044,"":""),1,2),)"),"OSWALAGRO")</f>
        <v>OSWALAGRO</v>
      </c>
      <c r="K1044" s="48" t="str">
        <f t="shared" si="4"/>
        <v/>
      </c>
      <c r="L1044" s="48">
        <f t="shared" si="5"/>
        <v>226</v>
      </c>
      <c r="M1044" s="48">
        <f t="shared" si="6"/>
        <v>1115</v>
      </c>
      <c r="N1044" s="50">
        <f>IFERROR(__xludf.DUMMYFUNCTION("IFERROR(GOOGLEFINANCE(A1044,""TRADETIME""),)"),46269.64583333333)</f>
        <v>46269.64583</v>
      </c>
      <c r="O1044" s="44"/>
      <c r="P1044" s="44"/>
      <c r="Q1044" s="44"/>
      <c r="R1044" s="44"/>
      <c r="S1044" s="44"/>
      <c r="T1044" s="44"/>
      <c r="U1044" s="44"/>
      <c r="V1044" s="44"/>
      <c r="W1044" s="44"/>
      <c r="X1044" s="44"/>
      <c r="Y1044" s="44"/>
      <c r="Z1044" s="44"/>
    </row>
    <row r="1045" ht="15.75" customHeight="1">
      <c r="A1045" s="51" t="s">
        <v>1091</v>
      </c>
      <c r="B1045" s="51" t="str">
        <f>IFERROR(__xludf.DUMMYFUNCTION("IFERROR(GOOGLEFINANCE(A1045,""NAME""),)"),"Page Industries Ltd")</f>
        <v>Page Industries Ltd</v>
      </c>
      <c r="C1045" s="51">
        <f>IFERROR(__xludf.DUMMYFUNCTION("IFERROR(GOOGLEFINANCE(A1045,""CHANGE""),)"),460.0)</f>
        <v>460</v>
      </c>
      <c r="D1045" s="51">
        <f>IFERROR(__xludf.DUMMYFUNCTION("IFERROR(GOOGLEFINANCE(A1045,""CHANGEPCT""),)"),1.28)</f>
        <v>1.28</v>
      </c>
      <c r="E1045" s="51" t="str">
        <f t="shared" si="1"/>
        <v>1.28%</v>
      </c>
      <c r="F1045" s="51">
        <f t="shared" si="2"/>
        <v>1.28</v>
      </c>
      <c r="G1045" s="51" t="str">
        <f t="shared" si="3"/>
        <v/>
      </c>
      <c r="H1045" s="51">
        <f>IFERROR(__xludf.DUMMYFUNCTION("IFERROR(GOOGLEFINANCE(A1045,""PRICE""),)"),36325.0)</f>
        <v>36325</v>
      </c>
      <c r="I1045" s="52">
        <f>IFERROR(__xludf.DUMMYFUNCTION("IFERROR(GOOGLEFINANCE(A1045,""VOLUME""),)"),14523.0)</f>
        <v>14523</v>
      </c>
      <c r="J1045" s="51" t="str">
        <f>IFERROR(__xludf.DUMMYFUNCTION("IFERROR(INDEX(SPLIT(A1045,"":""),1,2),)"),"PAGEIND")</f>
        <v>PAGEIND</v>
      </c>
      <c r="K1045" s="51">
        <f t="shared" si="4"/>
        <v>388</v>
      </c>
      <c r="L1045" s="51" t="str">
        <f t="shared" si="5"/>
        <v/>
      </c>
      <c r="M1045" s="51">
        <f t="shared" si="6"/>
        <v>1185</v>
      </c>
      <c r="N1045" s="53">
        <f>IFERROR(__xludf.DUMMYFUNCTION("IFERROR(GOOGLEFINANCE(A1045,""TRADETIME""),)"),46269.64583333333)</f>
        <v>46269.64583</v>
      </c>
      <c r="O1045" s="44"/>
      <c r="P1045" s="44"/>
      <c r="Q1045" s="44"/>
      <c r="R1045" s="44"/>
      <c r="S1045" s="44"/>
      <c r="T1045" s="44"/>
      <c r="U1045" s="44"/>
      <c r="V1045" s="44"/>
      <c r="W1045" s="44"/>
      <c r="X1045" s="44"/>
      <c r="Y1045" s="44"/>
      <c r="Z1045" s="44"/>
    </row>
    <row r="1046" ht="15.75" customHeight="1">
      <c r="A1046" s="48" t="s">
        <v>1092</v>
      </c>
      <c r="B1046" s="48" t="str">
        <f>IFERROR(__xludf.DUMMYFUNCTION("IFERROR(GOOGLEFINANCE(A1046,""NAME""),)"),"Paisalo Digital Ltd")</f>
        <v>Paisalo Digital Ltd</v>
      </c>
      <c r="C1046" s="48">
        <f>IFERROR(__xludf.DUMMYFUNCTION("IFERROR(GOOGLEFINANCE(A1046,""CHANGE""),)"),3.74)</f>
        <v>3.74</v>
      </c>
      <c r="D1046" s="48">
        <f>IFERROR(__xludf.DUMMYFUNCTION("IFERROR(GOOGLEFINANCE(A1046,""CHANGEPCT""),)"),5.32)</f>
        <v>5.32</v>
      </c>
      <c r="E1046" s="48" t="str">
        <f t="shared" si="1"/>
        <v>5.32%</v>
      </c>
      <c r="F1046" s="48">
        <f t="shared" si="2"/>
        <v>5.32</v>
      </c>
      <c r="G1046" s="48" t="str">
        <f t="shared" si="3"/>
        <v/>
      </c>
      <c r="H1046" s="48">
        <f>IFERROR(__xludf.DUMMYFUNCTION("IFERROR(GOOGLEFINANCE(A1046,""PRICE""),)"),74.02)</f>
        <v>74.02</v>
      </c>
      <c r="I1046" s="49">
        <f>IFERROR(__xludf.DUMMYFUNCTION("IFERROR(GOOGLEFINANCE(A1046,""VOLUME""),)"),3.1201929E7)</f>
        <v>31201929</v>
      </c>
      <c r="J1046" s="48" t="str">
        <f>IFERROR(__xludf.DUMMYFUNCTION("IFERROR(INDEX(SPLIT(A1046,"":""),1,2),)"),"PAISALO")</f>
        <v>PAISALO</v>
      </c>
      <c r="K1046" s="48">
        <f t="shared" si="4"/>
        <v>44</v>
      </c>
      <c r="L1046" s="48" t="str">
        <f t="shared" si="5"/>
        <v/>
      </c>
      <c r="M1046" s="48">
        <f t="shared" si="6"/>
        <v>13</v>
      </c>
      <c r="N1046" s="50">
        <f>IFERROR(__xludf.DUMMYFUNCTION("IFERROR(GOOGLEFINANCE(A1046,""TRADETIME""),)"),46269.64583333333)</f>
        <v>46269.64583</v>
      </c>
      <c r="O1046" s="44"/>
      <c r="P1046" s="44"/>
      <c r="Q1046" s="44"/>
      <c r="R1046" s="44"/>
      <c r="S1046" s="44"/>
      <c r="T1046" s="44"/>
      <c r="U1046" s="44"/>
      <c r="V1046" s="44"/>
      <c r="W1046" s="44"/>
      <c r="X1046" s="44"/>
      <c r="Y1046" s="44"/>
      <c r="Z1046" s="44"/>
    </row>
    <row r="1047" ht="15.75" customHeight="1">
      <c r="A1047" s="51" t="s">
        <v>1093</v>
      </c>
      <c r="B1047" s="51" t="str">
        <f>IFERROR(__xludf.DUMMYFUNCTION("IFERROR(GOOGLEFINANCE(A1047,""NAME""),)"),"Palash Securities Ltd")</f>
        <v>Palash Securities Ltd</v>
      </c>
      <c r="C1047" s="51">
        <f>IFERROR(__xludf.DUMMYFUNCTION("IFERROR(GOOGLEFINANCE(A1047,""CHANGE""),)"),2.17)</f>
        <v>2.17</v>
      </c>
      <c r="D1047" s="51">
        <f>IFERROR(__xludf.DUMMYFUNCTION("IFERROR(GOOGLEFINANCE(A1047,""CHANGEPCT""),)"),2.45)</f>
        <v>2.45</v>
      </c>
      <c r="E1047" s="51" t="str">
        <f t="shared" si="1"/>
        <v>2.45%</v>
      </c>
      <c r="F1047" s="51">
        <f t="shared" si="2"/>
        <v>2.45</v>
      </c>
      <c r="G1047" s="51" t="str">
        <f t="shared" si="3"/>
        <v/>
      </c>
      <c r="H1047" s="51">
        <f>IFERROR(__xludf.DUMMYFUNCTION("IFERROR(GOOGLEFINANCE(A1047,""PRICE""),)"),90.6)</f>
        <v>90.6</v>
      </c>
      <c r="I1047" s="52">
        <f>IFERROR(__xludf.DUMMYFUNCTION("IFERROR(GOOGLEFINANCE(A1047,""VOLUME""),)"),427.0)</f>
        <v>427</v>
      </c>
      <c r="J1047" s="51" t="str">
        <f>IFERROR(__xludf.DUMMYFUNCTION("IFERROR(INDEX(SPLIT(A1047,"":""),1,2),)"),"PALASHSECU")</f>
        <v>PALASHSECU</v>
      </c>
      <c r="K1047" s="51">
        <f t="shared" si="4"/>
        <v>213</v>
      </c>
      <c r="L1047" s="51" t="str">
        <f t="shared" si="5"/>
        <v/>
      </c>
      <c r="M1047" s="51">
        <f t="shared" si="6"/>
        <v>1442</v>
      </c>
      <c r="N1047" s="53">
        <f>IFERROR(__xludf.DUMMYFUNCTION("IFERROR(GOOGLEFINANCE(A1047,""TRADETIME""),)"),46269.64583333333)</f>
        <v>46269.64583</v>
      </c>
      <c r="O1047" s="44"/>
      <c r="P1047" s="44"/>
      <c r="Q1047" s="44"/>
      <c r="R1047" s="44"/>
      <c r="S1047" s="44"/>
      <c r="T1047" s="44"/>
      <c r="U1047" s="44"/>
      <c r="V1047" s="44"/>
      <c r="W1047" s="44"/>
      <c r="X1047" s="44"/>
      <c r="Y1047" s="44"/>
      <c r="Z1047" s="44"/>
    </row>
    <row r="1048" ht="15.75" customHeight="1">
      <c r="A1048" s="48" t="s">
        <v>1094</v>
      </c>
      <c r="B1048" s="48" t="str">
        <f>IFERROR(__xludf.DUMMYFUNCTION("IFERROR(GOOGLEFINANCE(A1048,""NAME""),)"),"Palred Technologies Ltd")</f>
        <v>Palred Technologies Ltd</v>
      </c>
      <c r="C1048" s="48">
        <f>IFERROR(__xludf.DUMMYFUNCTION("IFERROR(GOOGLEFINANCE(A1048,""CHANGE""),)"),2.5)</f>
        <v>2.5</v>
      </c>
      <c r="D1048" s="48">
        <f>IFERROR(__xludf.DUMMYFUNCTION("IFERROR(GOOGLEFINANCE(A1048,""CHANGEPCT""),)"),4.7)</f>
        <v>4.7</v>
      </c>
      <c r="E1048" s="48" t="str">
        <f t="shared" si="1"/>
        <v>4.7%</v>
      </c>
      <c r="F1048" s="48">
        <f t="shared" si="2"/>
        <v>4.7</v>
      </c>
      <c r="G1048" s="48" t="str">
        <f t="shared" si="3"/>
        <v/>
      </c>
      <c r="H1048" s="48">
        <f>IFERROR(__xludf.DUMMYFUNCTION("IFERROR(GOOGLEFINANCE(A1048,""PRICE""),)"),55.7)</f>
        <v>55.7</v>
      </c>
      <c r="I1048" s="49">
        <f>IFERROR(__xludf.DUMMYFUNCTION("IFERROR(GOOGLEFINANCE(A1048,""VOLUME""),)"),7128.0)</f>
        <v>7128</v>
      </c>
      <c r="J1048" s="48" t="str">
        <f>IFERROR(__xludf.DUMMYFUNCTION("IFERROR(INDEX(SPLIT(A1048,"":""),1,2),)"),"PALREDTEC")</f>
        <v>PALREDTEC</v>
      </c>
      <c r="K1048" s="48">
        <f t="shared" si="4"/>
        <v>90</v>
      </c>
      <c r="L1048" s="48" t="str">
        <f t="shared" si="5"/>
        <v/>
      </c>
      <c r="M1048" s="48">
        <f t="shared" si="6"/>
        <v>1286</v>
      </c>
      <c r="N1048" s="50">
        <f>IFERROR(__xludf.DUMMYFUNCTION("IFERROR(GOOGLEFINANCE(A1048,""TRADETIME""),)"),46269.64583333333)</f>
        <v>46269.64583</v>
      </c>
      <c r="O1048" s="44"/>
      <c r="P1048" s="44"/>
      <c r="Q1048" s="44"/>
      <c r="R1048" s="44"/>
      <c r="S1048" s="44"/>
      <c r="T1048" s="44"/>
      <c r="U1048" s="44"/>
      <c r="V1048" s="44"/>
      <c r="W1048" s="44"/>
      <c r="X1048" s="44"/>
      <c r="Y1048" s="44"/>
      <c r="Z1048" s="44"/>
    </row>
    <row r="1049" ht="15.75" customHeight="1">
      <c r="A1049" s="51" t="s">
        <v>1095</v>
      </c>
      <c r="B1049" s="51" t="str">
        <f>IFERROR(__xludf.DUMMYFUNCTION("IFERROR(GOOGLEFINANCE(A1049,""NAME""),)"),"Panacea Biotec Ltd")</f>
        <v>Panacea Biotec Ltd</v>
      </c>
      <c r="C1049" s="51">
        <f>IFERROR(__xludf.DUMMYFUNCTION("IFERROR(GOOGLEFINANCE(A1049,""CHANGE""),)"),-8.95)</f>
        <v>-8.95</v>
      </c>
      <c r="D1049" s="51">
        <f>IFERROR(__xludf.DUMMYFUNCTION("IFERROR(GOOGLEFINANCE(A1049,""CHANGEPCT""),)"),-2.3)</f>
        <v>-2.3</v>
      </c>
      <c r="E1049" s="51" t="str">
        <f t="shared" si="1"/>
        <v>-2.3%</v>
      </c>
      <c r="F1049" s="51" t="str">
        <f t="shared" si="2"/>
        <v/>
      </c>
      <c r="G1049" s="51">
        <f t="shared" si="3"/>
        <v>-2.3</v>
      </c>
      <c r="H1049" s="51">
        <f>IFERROR(__xludf.DUMMYFUNCTION("IFERROR(GOOGLEFINANCE(A1049,""PRICE""),)"),380.1)</f>
        <v>380.1</v>
      </c>
      <c r="I1049" s="52">
        <f>IFERROR(__xludf.DUMMYFUNCTION("IFERROR(GOOGLEFINANCE(A1049,""VOLUME""),)"),56486.0)</f>
        <v>56486</v>
      </c>
      <c r="J1049" s="51" t="str">
        <f>IFERROR(__xludf.DUMMYFUNCTION("IFERROR(INDEX(SPLIT(A1049,"":""),1,2),)"),"PANACEABIO")</f>
        <v>PANACEABIO</v>
      </c>
      <c r="K1049" s="51" t="str">
        <f t="shared" si="4"/>
        <v/>
      </c>
      <c r="L1049" s="51">
        <f t="shared" si="5"/>
        <v>559</v>
      </c>
      <c r="M1049" s="51">
        <f t="shared" si="6"/>
        <v>914</v>
      </c>
      <c r="N1049" s="53">
        <f>IFERROR(__xludf.DUMMYFUNCTION("IFERROR(GOOGLEFINANCE(A1049,""TRADETIME""),)"),46269.64583333333)</f>
        <v>46269.64583</v>
      </c>
      <c r="O1049" s="44"/>
      <c r="P1049" s="44"/>
      <c r="Q1049" s="44"/>
      <c r="R1049" s="44"/>
      <c r="S1049" s="44"/>
      <c r="T1049" s="44"/>
      <c r="U1049" s="44"/>
      <c r="V1049" s="44"/>
      <c r="W1049" s="44"/>
      <c r="X1049" s="44"/>
      <c r="Y1049" s="44"/>
      <c r="Z1049" s="44"/>
    </row>
    <row r="1050" ht="15.75" customHeight="1">
      <c r="A1050" s="48" t="s">
        <v>1096</v>
      </c>
      <c r="B1050" s="48" t="str">
        <f>IFERROR(__xludf.DUMMYFUNCTION("IFERROR(GOOGLEFINANCE(A1050,""NAME""),)"),"Panache Digilife Ltd")</f>
        <v>Panache Digilife Ltd</v>
      </c>
      <c r="C1050" s="48">
        <f>IFERROR(__xludf.DUMMYFUNCTION("IFERROR(GOOGLEFINANCE(A1050,""CHANGE""),)"),0.0)</f>
        <v>0</v>
      </c>
      <c r="D1050" s="48">
        <f>IFERROR(__xludf.DUMMYFUNCTION("IFERROR(GOOGLEFINANCE(A1050,""CHANGEPCT""),)"),0.0)</f>
        <v>0</v>
      </c>
      <c r="E1050" s="48" t="str">
        <f t="shared" si="1"/>
        <v>0%</v>
      </c>
      <c r="F1050" s="48" t="str">
        <f t="shared" si="2"/>
        <v/>
      </c>
      <c r="G1050" s="48" t="str">
        <f t="shared" si="3"/>
        <v/>
      </c>
      <c r="H1050" s="48">
        <f>IFERROR(__xludf.DUMMYFUNCTION("IFERROR(GOOGLEFINANCE(A1050,""PRICE""),)"),525.0)</f>
        <v>525</v>
      </c>
      <c r="I1050" s="49">
        <f>IFERROR(__xludf.DUMMYFUNCTION("IFERROR(GOOGLEFINANCE(A1050,""VOLUME""),)"),3723.0)</f>
        <v>3723</v>
      </c>
      <c r="J1050" s="48" t="str">
        <f>IFERROR(__xludf.DUMMYFUNCTION("IFERROR(INDEX(SPLIT(A1050,"":""),1,2),)"),"PANACHE")</f>
        <v>PANACHE</v>
      </c>
      <c r="K1050" s="48" t="str">
        <f t="shared" si="4"/>
        <v/>
      </c>
      <c r="L1050" s="48" t="str">
        <f t="shared" si="5"/>
        <v/>
      </c>
      <c r="M1050" s="48">
        <f t="shared" si="6"/>
        <v>1352</v>
      </c>
      <c r="N1050" s="50">
        <f>IFERROR(__xludf.DUMMYFUNCTION("IFERROR(GOOGLEFINANCE(A1050,""TRADETIME""),)"),46269.64583333333)</f>
        <v>46269.64583</v>
      </c>
      <c r="O1050" s="44"/>
      <c r="P1050" s="44"/>
      <c r="Q1050" s="44"/>
      <c r="R1050" s="44"/>
      <c r="S1050" s="44"/>
      <c r="T1050" s="44"/>
      <c r="U1050" s="44"/>
      <c r="V1050" s="44"/>
      <c r="W1050" s="44"/>
      <c r="X1050" s="44"/>
      <c r="Y1050" s="44"/>
      <c r="Z1050" s="44"/>
    </row>
    <row r="1051" ht="15.75" customHeight="1">
      <c r="A1051" s="51" t="s">
        <v>1097</v>
      </c>
      <c r="B1051" s="51" t="str">
        <f>IFERROR(__xludf.DUMMYFUNCTION("IFERROR(GOOGLEFINANCE(A1051,""NAME""),)"),"Panama Petrochem Ltd")</f>
        <v>Panama Petrochem Ltd</v>
      </c>
      <c r="C1051" s="51">
        <f>IFERROR(__xludf.DUMMYFUNCTION("IFERROR(GOOGLEFINANCE(A1051,""CHANGE""),)"),12.45)</f>
        <v>12.45</v>
      </c>
      <c r="D1051" s="51">
        <f>IFERROR(__xludf.DUMMYFUNCTION("IFERROR(GOOGLEFINANCE(A1051,""CHANGEPCT""),)"),2.57)</f>
        <v>2.57</v>
      </c>
      <c r="E1051" s="51" t="str">
        <f t="shared" si="1"/>
        <v>2.57%</v>
      </c>
      <c r="F1051" s="51">
        <f t="shared" si="2"/>
        <v>2.57</v>
      </c>
      <c r="G1051" s="51" t="str">
        <f t="shared" si="3"/>
        <v/>
      </c>
      <c r="H1051" s="51">
        <f>IFERROR(__xludf.DUMMYFUNCTION("IFERROR(GOOGLEFINANCE(A1051,""PRICE""),)"),497.0)</f>
        <v>497</v>
      </c>
      <c r="I1051" s="52">
        <f>IFERROR(__xludf.DUMMYFUNCTION("IFERROR(GOOGLEFINANCE(A1051,""VOLUME""),)"),242825.0)</f>
        <v>242825</v>
      </c>
      <c r="J1051" s="51" t="str">
        <f>IFERROR(__xludf.DUMMYFUNCTION("IFERROR(INDEX(SPLIT(A1051,"":""),1,2),)"),"PANAMAPET")</f>
        <v>PANAMAPET</v>
      </c>
      <c r="K1051" s="51">
        <f t="shared" si="4"/>
        <v>193</v>
      </c>
      <c r="L1051" s="51" t="str">
        <f t="shared" si="5"/>
        <v/>
      </c>
      <c r="M1051" s="51">
        <f t="shared" si="6"/>
        <v>576</v>
      </c>
      <c r="N1051" s="53">
        <f>IFERROR(__xludf.DUMMYFUNCTION("IFERROR(GOOGLEFINANCE(A1051,""TRADETIME""),)"),46269.64583333333)</f>
        <v>46269.64583</v>
      </c>
      <c r="O1051" s="44"/>
      <c r="P1051" s="44"/>
      <c r="Q1051" s="44"/>
      <c r="R1051" s="44"/>
      <c r="S1051" s="44"/>
      <c r="T1051" s="44"/>
      <c r="U1051" s="44"/>
      <c r="V1051" s="44"/>
      <c r="W1051" s="44"/>
      <c r="X1051" s="44"/>
      <c r="Y1051" s="44"/>
      <c r="Z1051" s="44"/>
    </row>
    <row r="1052" ht="15.75" customHeight="1">
      <c r="A1052" s="48" t="s">
        <v>1098</v>
      </c>
      <c r="B1052" s="48" t="str">
        <f>IFERROR(__xludf.DUMMYFUNCTION("IFERROR(GOOGLEFINANCE(A1052,""NAME""),)"),"Paramount Communications Ltd")</f>
        <v>Paramount Communications Ltd</v>
      </c>
      <c r="C1052" s="48">
        <f>IFERROR(__xludf.DUMMYFUNCTION("IFERROR(GOOGLEFINANCE(A1052,""CHANGE""),)"),1.1)</f>
        <v>1.1</v>
      </c>
      <c r="D1052" s="48">
        <f>IFERROR(__xludf.DUMMYFUNCTION("IFERROR(GOOGLEFINANCE(A1052,""CHANGEPCT""),)"),1.71)</f>
        <v>1.71</v>
      </c>
      <c r="E1052" s="48" t="str">
        <f t="shared" si="1"/>
        <v>1.71%</v>
      </c>
      <c r="F1052" s="48">
        <f t="shared" si="2"/>
        <v>1.71</v>
      </c>
      <c r="G1052" s="48" t="str">
        <f t="shared" si="3"/>
        <v/>
      </c>
      <c r="H1052" s="48">
        <f>IFERROR(__xludf.DUMMYFUNCTION("IFERROR(GOOGLEFINANCE(A1052,""PRICE""),)"),65.4)</f>
        <v>65.4</v>
      </c>
      <c r="I1052" s="49">
        <f>IFERROR(__xludf.DUMMYFUNCTION("IFERROR(GOOGLEFINANCE(A1052,""VOLUME""),)"),4472304.0)</f>
        <v>4472304</v>
      </c>
      <c r="J1052" s="48" t="str">
        <f>IFERROR(__xludf.DUMMYFUNCTION("IFERROR(INDEX(SPLIT(A1052,"":""),1,2),)"),"PARACABLES")</f>
        <v>PARACABLES</v>
      </c>
      <c r="K1052" s="48">
        <f t="shared" si="4"/>
        <v>310</v>
      </c>
      <c r="L1052" s="48" t="str">
        <f t="shared" si="5"/>
        <v/>
      </c>
      <c r="M1052" s="48">
        <f t="shared" si="6"/>
        <v>92</v>
      </c>
      <c r="N1052" s="50">
        <f>IFERROR(__xludf.DUMMYFUNCTION("IFERROR(GOOGLEFINANCE(A1052,""TRADETIME""),)"),46269.64585648148)</f>
        <v>46269.64586</v>
      </c>
      <c r="O1052" s="44"/>
      <c r="P1052" s="44"/>
      <c r="Q1052" s="44"/>
      <c r="R1052" s="44"/>
      <c r="S1052" s="44"/>
      <c r="T1052" s="44"/>
      <c r="U1052" s="44"/>
      <c r="V1052" s="44"/>
      <c r="W1052" s="44"/>
      <c r="X1052" s="44"/>
      <c r="Y1052" s="44"/>
      <c r="Z1052" s="44"/>
    </row>
    <row r="1053" ht="15.75" customHeight="1">
      <c r="A1053" s="51" t="s">
        <v>1099</v>
      </c>
      <c r="B1053" s="51" t="str">
        <f>IFERROR(__xludf.DUMMYFUNCTION("IFERROR(GOOGLEFINANCE(A1053,""NAME""),)"),"Parag Milk Foods Ltd")</f>
        <v>Parag Milk Foods Ltd</v>
      </c>
      <c r="C1053" s="51">
        <f>IFERROR(__xludf.DUMMYFUNCTION("IFERROR(GOOGLEFINANCE(A1053,""CHANGE""),)"),-3.4)</f>
        <v>-3.4</v>
      </c>
      <c r="D1053" s="51">
        <f>IFERROR(__xludf.DUMMYFUNCTION("IFERROR(GOOGLEFINANCE(A1053,""CHANGEPCT""),)"),-1.34)</f>
        <v>-1.34</v>
      </c>
      <c r="E1053" s="51" t="str">
        <f t="shared" si="1"/>
        <v>-1.34%</v>
      </c>
      <c r="F1053" s="51" t="str">
        <f t="shared" si="2"/>
        <v/>
      </c>
      <c r="G1053" s="51">
        <f t="shared" si="3"/>
        <v>-1.34</v>
      </c>
      <c r="H1053" s="51">
        <f>IFERROR(__xludf.DUMMYFUNCTION("IFERROR(GOOGLEFINANCE(A1053,""PRICE""),)"),250.8)</f>
        <v>250.8</v>
      </c>
      <c r="I1053" s="52">
        <f>IFERROR(__xludf.DUMMYFUNCTION("IFERROR(GOOGLEFINANCE(A1053,""VOLUME""),)"),613677.0)</f>
        <v>613677</v>
      </c>
      <c r="J1053" s="51" t="str">
        <f>IFERROR(__xludf.DUMMYFUNCTION("IFERROR(INDEX(SPLIT(A1053,"":""),1,2),)"),"PARAGMILK")</f>
        <v>PARAGMILK</v>
      </c>
      <c r="K1053" s="51" t="str">
        <f t="shared" si="4"/>
        <v/>
      </c>
      <c r="L1053" s="51">
        <f t="shared" si="5"/>
        <v>416</v>
      </c>
      <c r="M1053" s="51">
        <f t="shared" si="6"/>
        <v>353</v>
      </c>
      <c r="N1053" s="53">
        <f>IFERROR(__xludf.DUMMYFUNCTION("IFERROR(GOOGLEFINANCE(A1053,""TRADETIME""),)"),46269.64583333333)</f>
        <v>46269.64583</v>
      </c>
      <c r="O1053" s="44"/>
      <c r="P1053" s="44"/>
      <c r="Q1053" s="44"/>
      <c r="R1053" s="44"/>
      <c r="S1053" s="44"/>
      <c r="T1053" s="44"/>
      <c r="U1053" s="44"/>
      <c r="V1053" s="44"/>
      <c r="W1053" s="44"/>
      <c r="X1053" s="44"/>
      <c r="Y1053" s="44"/>
      <c r="Z1053" s="44"/>
    </row>
    <row r="1054" ht="15.75" customHeight="1">
      <c r="A1054" s="48" t="s">
        <v>1100</v>
      </c>
      <c r="B1054" s="48" t="str">
        <f>IFERROR(__xludf.DUMMYFUNCTION("IFERROR(GOOGLEFINANCE(A1054,""NAME""),)"),"Parsvnath Developers Ltd")</f>
        <v>Parsvnath Developers Ltd</v>
      </c>
      <c r="C1054" s="48">
        <f>IFERROR(__xludf.DUMMYFUNCTION("IFERROR(GOOGLEFINANCE(A1054,""CHANGE""),)"),0.03)</f>
        <v>0.03</v>
      </c>
      <c r="D1054" s="48">
        <f>IFERROR(__xludf.DUMMYFUNCTION("IFERROR(GOOGLEFINANCE(A1054,""CHANGEPCT""),)"),1.95)</f>
        <v>1.95</v>
      </c>
      <c r="E1054" s="48" t="str">
        <f t="shared" si="1"/>
        <v>1.95%</v>
      </c>
      <c r="F1054" s="48">
        <f t="shared" si="2"/>
        <v>1.95</v>
      </c>
      <c r="G1054" s="48" t="str">
        <f t="shared" si="3"/>
        <v/>
      </c>
      <c r="H1054" s="48">
        <f>IFERROR(__xludf.DUMMYFUNCTION("IFERROR(GOOGLEFINANCE(A1054,""PRICE""),)"),1.57)</f>
        <v>1.57</v>
      </c>
      <c r="I1054" s="49">
        <f>IFERROR(__xludf.DUMMYFUNCTION("IFERROR(GOOGLEFINANCE(A1054,""VOLUME""),)"),127768.0)</f>
        <v>127768</v>
      </c>
      <c r="J1054" s="48" t="str">
        <f>IFERROR(__xludf.DUMMYFUNCTION("IFERROR(INDEX(SPLIT(A1054,"":""),1,2),)"),"PARSVNATH")</f>
        <v>PARSVNATH</v>
      </c>
      <c r="K1054" s="48">
        <f t="shared" si="4"/>
        <v>269</v>
      </c>
      <c r="L1054" s="48" t="str">
        <f t="shared" si="5"/>
        <v/>
      </c>
      <c r="M1054" s="48">
        <f t="shared" si="6"/>
        <v>726</v>
      </c>
      <c r="N1054" s="50">
        <f>IFERROR(__xludf.DUMMYFUNCTION("IFERROR(GOOGLEFINANCE(A1054,""TRADETIME""),)"),46269.64583333333)</f>
        <v>46269.64583</v>
      </c>
      <c r="O1054" s="44"/>
      <c r="P1054" s="44"/>
      <c r="Q1054" s="44"/>
      <c r="R1054" s="44"/>
      <c r="S1054" s="44"/>
      <c r="T1054" s="44"/>
      <c r="U1054" s="44"/>
      <c r="V1054" s="44"/>
      <c r="W1054" s="44"/>
      <c r="X1054" s="44"/>
      <c r="Y1054" s="44"/>
      <c r="Z1054" s="44"/>
    </row>
    <row r="1055" ht="15.75" customHeight="1">
      <c r="A1055" s="51" t="s">
        <v>1101</v>
      </c>
      <c r="B1055" s="51" t="str">
        <f>IFERROR(__xludf.DUMMYFUNCTION("IFERROR(GOOGLEFINANCE(A1055,""NAME""),)"),"Patel Engineering Ltd")</f>
        <v>Patel Engineering Ltd</v>
      </c>
      <c r="C1055" s="51">
        <f>IFERROR(__xludf.DUMMYFUNCTION("IFERROR(GOOGLEFINANCE(A1055,""CHANGE""),)"),0.19)</f>
        <v>0.19</v>
      </c>
      <c r="D1055" s="51">
        <f>IFERROR(__xludf.DUMMYFUNCTION("IFERROR(GOOGLEFINANCE(A1055,""CHANGEPCT""),)"),0.7)</f>
        <v>0.7</v>
      </c>
      <c r="E1055" s="51" t="str">
        <f t="shared" si="1"/>
        <v>0.7%</v>
      </c>
      <c r="F1055" s="51">
        <f t="shared" si="2"/>
        <v>0.7</v>
      </c>
      <c r="G1055" s="51" t="str">
        <f t="shared" si="3"/>
        <v/>
      </c>
      <c r="H1055" s="51">
        <f>IFERROR(__xludf.DUMMYFUNCTION("IFERROR(GOOGLEFINANCE(A1055,""PRICE""),)"),27.3)</f>
        <v>27.3</v>
      </c>
      <c r="I1055" s="52">
        <f>IFERROR(__xludf.DUMMYFUNCTION("IFERROR(GOOGLEFINANCE(A1055,""VOLUME""),)"),2330616.0)</f>
        <v>2330616</v>
      </c>
      <c r="J1055" s="51" t="str">
        <f>IFERROR(__xludf.DUMMYFUNCTION("IFERROR(INDEX(SPLIT(A1055,"":""),1,2),)"),"PATELENG")</f>
        <v>PATELENG</v>
      </c>
      <c r="K1055" s="51">
        <f t="shared" si="4"/>
        <v>530</v>
      </c>
      <c r="L1055" s="51" t="str">
        <f t="shared" si="5"/>
        <v/>
      </c>
      <c r="M1055" s="51">
        <f t="shared" si="6"/>
        <v>156</v>
      </c>
      <c r="N1055" s="53">
        <f>IFERROR(__xludf.DUMMYFUNCTION("IFERROR(GOOGLEFINANCE(A1055,""TRADETIME""),)"),46269.64585648148)</f>
        <v>46269.64586</v>
      </c>
      <c r="O1055" s="44"/>
      <c r="P1055" s="44"/>
      <c r="Q1055" s="44"/>
      <c r="R1055" s="44"/>
      <c r="S1055" s="44"/>
      <c r="T1055" s="44"/>
      <c r="U1055" s="44"/>
      <c r="V1055" s="44"/>
      <c r="W1055" s="44"/>
      <c r="X1055" s="44"/>
      <c r="Y1055" s="44"/>
      <c r="Z1055" s="44"/>
    </row>
    <row r="1056" ht="15.75" customHeight="1">
      <c r="A1056" s="48" t="s">
        <v>1102</v>
      </c>
      <c r="B1056" s="48" t="str">
        <f>IFERROR(__xludf.DUMMYFUNCTION("IFERROR(GOOGLEFINANCE(A1056,""NAME""),)"),"Patel Integrated Logistics Ltd")</f>
        <v>Patel Integrated Logistics Ltd</v>
      </c>
      <c r="C1056" s="48">
        <f>IFERROR(__xludf.DUMMYFUNCTION("IFERROR(GOOGLEFINANCE(A1056,""CHANGE""),)"),-0.14)</f>
        <v>-0.14</v>
      </c>
      <c r="D1056" s="48">
        <f>IFERROR(__xludf.DUMMYFUNCTION("IFERROR(GOOGLEFINANCE(A1056,""CHANGEPCT""),)"),-1.04)</f>
        <v>-1.04</v>
      </c>
      <c r="E1056" s="48" t="str">
        <f t="shared" si="1"/>
        <v>-1.04%</v>
      </c>
      <c r="F1056" s="48" t="str">
        <f t="shared" si="2"/>
        <v/>
      </c>
      <c r="G1056" s="48">
        <f t="shared" si="3"/>
        <v>-1.04</v>
      </c>
      <c r="H1056" s="48">
        <f>IFERROR(__xludf.DUMMYFUNCTION("IFERROR(GOOGLEFINANCE(A1056,""PRICE""),)"),13.27)</f>
        <v>13.27</v>
      </c>
      <c r="I1056" s="49">
        <f>IFERROR(__xludf.DUMMYFUNCTION("IFERROR(GOOGLEFINANCE(A1056,""VOLUME""),)"),22681.0)</f>
        <v>22681</v>
      </c>
      <c r="J1056" s="48" t="str">
        <f>IFERROR(__xludf.DUMMYFUNCTION("IFERROR(INDEX(SPLIT(A1056,"":""),1,2),)"),"PATINTLOG")</f>
        <v>PATINTLOG</v>
      </c>
      <c r="K1056" s="48" t="str">
        <f t="shared" si="4"/>
        <v/>
      </c>
      <c r="L1056" s="48">
        <f t="shared" si="5"/>
        <v>349</v>
      </c>
      <c r="M1056" s="48">
        <f t="shared" si="6"/>
        <v>1104</v>
      </c>
      <c r="N1056" s="50">
        <f>IFERROR(__xludf.DUMMYFUNCTION("IFERROR(GOOGLEFINANCE(A1056,""TRADETIME""),)"),46269.64583333333)</f>
        <v>46269.64583</v>
      </c>
      <c r="O1056" s="44"/>
      <c r="P1056" s="44"/>
      <c r="Q1056" s="44"/>
      <c r="R1056" s="44"/>
      <c r="S1056" s="44"/>
      <c r="T1056" s="44"/>
      <c r="U1056" s="44"/>
      <c r="V1056" s="44"/>
      <c r="W1056" s="44"/>
      <c r="X1056" s="44"/>
      <c r="Y1056" s="44"/>
      <c r="Z1056" s="44"/>
    </row>
    <row r="1057" ht="15.75" customHeight="1">
      <c r="A1057" s="51" t="s">
        <v>1103</v>
      </c>
      <c r="B1057" s="51" t="str">
        <f>IFERROR(__xludf.DUMMYFUNCTION("IFERROR(GOOGLEFINANCE(A1057,""NAME""),)"),"PC Jeweller Ltd")</f>
        <v>PC Jeweller Ltd</v>
      </c>
      <c r="C1057" s="51">
        <f>IFERROR(__xludf.DUMMYFUNCTION("IFERROR(GOOGLEFINANCE(A1057,""CHANGE""),)"),1.47)</f>
        <v>1.47</v>
      </c>
      <c r="D1057" s="51">
        <f>IFERROR(__xludf.DUMMYFUNCTION("IFERROR(GOOGLEFINANCE(A1057,""CHANGEPCT""),)"),13.97)</f>
        <v>13.97</v>
      </c>
      <c r="E1057" s="51" t="str">
        <f t="shared" si="1"/>
        <v>13.97%</v>
      </c>
      <c r="F1057" s="51">
        <f t="shared" si="2"/>
        <v>13.97</v>
      </c>
      <c r="G1057" s="51" t="str">
        <f t="shared" si="3"/>
        <v/>
      </c>
      <c r="H1057" s="51">
        <f>IFERROR(__xludf.DUMMYFUNCTION("IFERROR(GOOGLEFINANCE(A1057,""PRICE""),)"),11.99)</f>
        <v>11.99</v>
      </c>
      <c r="I1057" s="52">
        <f>IFERROR(__xludf.DUMMYFUNCTION("IFERROR(GOOGLEFINANCE(A1057,""VOLUME""),)"),1.088942848E9)</f>
        <v>1088942848</v>
      </c>
      <c r="J1057" s="51" t="str">
        <f>IFERROR(__xludf.DUMMYFUNCTION("IFERROR(INDEX(SPLIT(A1057,"":""),1,2),)"),"PCJEWELLER")</f>
        <v>PCJEWELLER</v>
      </c>
      <c r="K1057" s="51">
        <f t="shared" si="4"/>
        <v>5</v>
      </c>
      <c r="L1057" s="51" t="str">
        <f t="shared" si="5"/>
        <v/>
      </c>
      <c r="M1057" s="51">
        <f t="shared" si="6"/>
        <v>1</v>
      </c>
      <c r="N1057" s="53">
        <f>IFERROR(__xludf.DUMMYFUNCTION("IFERROR(GOOGLEFINANCE(A1057,""TRADETIME""),)"),46269.64583333333)</f>
        <v>46269.64583</v>
      </c>
      <c r="O1057" s="44"/>
      <c r="P1057" s="44"/>
      <c r="Q1057" s="44"/>
      <c r="R1057" s="44"/>
      <c r="S1057" s="44"/>
      <c r="T1057" s="44"/>
      <c r="U1057" s="44"/>
      <c r="V1057" s="44"/>
      <c r="W1057" s="44"/>
      <c r="X1057" s="44"/>
      <c r="Y1057" s="44"/>
      <c r="Z1057" s="44"/>
    </row>
    <row r="1058" ht="15.75" customHeight="1">
      <c r="A1058" s="48" t="s">
        <v>1104</v>
      </c>
      <c r="B1058" s="48" t="str">
        <f>IFERROR(__xludf.DUMMYFUNCTION("IFERROR(GOOGLEFINANCE(A1058,""NAME""),)"),"Pudumjee Paper Products Ltd")</f>
        <v>Pudumjee Paper Products Ltd</v>
      </c>
      <c r="C1058" s="48">
        <f>IFERROR(__xludf.DUMMYFUNCTION("IFERROR(GOOGLEFINANCE(A1058,""CHANGE""),)"),-0.57)</f>
        <v>-0.57</v>
      </c>
      <c r="D1058" s="48">
        <f>IFERROR(__xludf.DUMMYFUNCTION("IFERROR(GOOGLEFINANCE(A1058,""CHANGEPCT""),)"),-0.6)</f>
        <v>-0.6</v>
      </c>
      <c r="E1058" s="48" t="str">
        <f t="shared" si="1"/>
        <v>-0.6%</v>
      </c>
      <c r="F1058" s="48" t="str">
        <f t="shared" si="2"/>
        <v/>
      </c>
      <c r="G1058" s="48">
        <f t="shared" si="3"/>
        <v>-0.6</v>
      </c>
      <c r="H1058" s="48">
        <f>IFERROR(__xludf.DUMMYFUNCTION("IFERROR(GOOGLEFINANCE(A1058,""PRICE""),)"),94.0)</f>
        <v>94</v>
      </c>
      <c r="I1058" s="49">
        <f>IFERROR(__xludf.DUMMYFUNCTION("IFERROR(GOOGLEFINANCE(A1058,""VOLUME""),)"),86197.0)</f>
        <v>86197</v>
      </c>
      <c r="J1058" s="48" t="str">
        <f>IFERROR(__xludf.DUMMYFUNCTION("IFERROR(INDEX(SPLIT(A1058,"":""),1,2),)"),"PDMJEPAPER")</f>
        <v>PDMJEPAPER</v>
      </c>
      <c r="K1058" s="48" t="str">
        <f t="shared" si="4"/>
        <v/>
      </c>
      <c r="L1058" s="48">
        <f t="shared" si="5"/>
        <v>227</v>
      </c>
      <c r="M1058" s="48">
        <f t="shared" si="6"/>
        <v>810</v>
      </c>
      <c r="N1058" s="50">
        <f>IFERROR(__xludf.DUMMYFUNCTION("IFERROR(GOOGLEFINANCE(A1058,""TRADETIME""),)"),46269.64583333333)</f>
        <v>46269.64583</v>
      </c>
      <c r="O1058" s="44"/>
      <c r="P1058" s="44"/>
      <c r="Q1058" s="44"/>
      <c r="R1058" s="44"/>
      <c r="S1058" s="44"/>
      <c r="T1058" s="44"/>
      <c r="U1058" s="44"/>
      <c r="V1058" s="44"/>
      <c r="W1058" s="44"/>
      <c r="X1058" s="44"/>
      <c r="Y1058" s="44"/>
      <c r="Z1058" s="44"/>
    </row>
    <row r="1059" ht="15.75" customHeight="1">
      <c r="A1059" s="51" t="s">
        <v>1105</v>
      </c>
      <c r="B1059" s="51" t="str">
        <f>IFERROR(__xludf.DUMMYFUNCTION("IFERROR(GOOGLEFINANCE(A1059,""NAME""),)"),"PDS Ltd")</f>
        <v>PDS Ltd</v>
      </c>
      <c r="C1059" s="51">
        <f>IFERROR(__xludf.DUMMYFUNCTION("IFERROR(GOOGLEFINANCE(A1059,""CHANGE""),)"),6.1)</f>
        <v>6.1</v>
      </c>
      <c r="D1059" s="51">
        <f>IFERROR(__xludf.DUMMYFUNCTION("IFERROR(GOOGLEFINANCE(A1059,""CHANGEPCT""),)"),1.72)</f>
        <v>1.72</v>
      </c>
      <c r="E1059" s="51" t="str">
        <f t="shared" si="1"/>
        <v>1.72%</v>
      </c>
      <c r="F1059" s="51">
        <f t="shared" si="2"/>
        <v>1.72</v>
      </c>
      <c r="G1059" s="51" t="str">
        <f t="shared" si="3"/>
        <v/>
      </c>
      <c r="H1059" s="51">
        <f>IFERROR(__xludf.DUMMYFUNCTION("IFERROR(GOOGLEFINANCE(A1059,""PRICE""),)"),360.0)</f>
        <v>360</v>
      </c>
      <c r="I1059" s="52">
        <f>IFERROR(__xludf.DUMMYFUNCTION("IFERROR(GOOGLEFINANCE(A1059,""VOLUME""),)"),97344.0)</f>
        <v>97344</v>
      </c>
      <c r="J1059" s="51" t="str">
        <f>IFERROR(__xludf.DUMMYFUNCTION("IFERROR(INDEX(SPLIT(A1059,"":""),1,2),)"),"PDSL")</f>
        <v>PDSL</v>
      </c>
      <c r="K1059" s="51">
        <f t="shared" si="4"/>
        <v>305</v>
      </c>
      <c r="L1059" s="51" t="str">
        <f t="shared" si="5"/>
        <v/>
      </c>
      <c r="M1059" s="51">
        <f t="shared" si="6"/>
        <v>782</v>
      </c>
      <c r="N1059" s="53">
        <f>IFERROR(__xludf.DUMMYFUNCTION("IFERROR(GOOGLEFINANCE(A1059,""TRADETIME""),)"),46269.64583333333)</f>
        <v>46269.64583</v>
      </c>
      <c r="O1059" s="44"/>
      <c r="P1059" s="44"/>
      <c r="Q1059" s="44"/>
      <c r="R1059" s="44"/>
      <c r="S1059" s="44"/>
      <c r="T1059" s="44"/>
      <c r="U1059" s="44"/>
      <c r="V1059" s="44"/>
      <c r="W1059" s="44"/>
      <c r="X1059" s="44"/>
      <c r="Y1059" s="44"/>
      <c r="Z1059" s="44"/>
    </row>
    <row r="1060" ht="15.75" customHeight="1">
      <c r="A1060" s="48" t="s">
        <v>1106</v>
      </c>
      <c r="B1060" s="48" t="str">
        <f>IFERROR(__xludf.DUMMYFUNCTION("IFERROR(GOOGLEFINANCE(A1060,""NAME""),)"),"Pearl Polymers Ltd")</f>
        <v>Pearl Polymers Ltd</v>
      </c>
      <c r="C1060" s="48">
        <f>IFERROR(__xludf.DUMMYFUNCTION("IFERROR(GOOGLEFINANCE(A1060,""CHANGE""),)"),-0.24)</f>
        <v>-0.24</v>
      </c>
      <c r="D1060" s="48">
        <f>IFERROR(__xludf.DUMMYFUNCTION("IFERROR(GOOGLEFINANCE(A1060,""CHANGEPCT""),)"),-1.57)</f>
        <v>-1.57</v>
      </c>
      <c r="E1060" s="48" t="str">
        <f t="shared" si="1"/>
        <v>-1.57%</v>
      </c>
      <c r="F1060" s="48" t="str">
        <f t="shared" si="2"/>
        <v/>
      </c>
      <c r="G1060" s="48">
        <f t="shared" si="3"/>
        <v>-1.57</v>
      </c>
      <c r="H1060" s="48">
        <f>IFERROR(__xludf.DUMMYFUNCTION("IFERROR(GOOGLEFINANCE(A1060,""PRICE""),)"),15.05)</f>
        <v>15.05</v>
      </c>
      <c r="I1060" s="49">
        <f>IFERROR(__xludf.DUMMYFUNCTION("IFERROR(GOOGLEFINANCE(A1060,""VOLUME""),)"),14296.0)</f>
        <v>14296</v>
      </c>
      <c r="J1060" s="48" t="str">
        <f>IFERROR(__xludf.DUMMYFUNCTION("IFERROR(INDEX(SPLIT(A1060,"":""),1,2),)"),"PEARLPOLY")</f>
        <v>PEARLPOLY</v>
      </c>
      <c r="K1060" s="48" t="str">
        <f t="shared" si="4"/>
        <v/>
      </c>
      <c r="L1060" s="48">
        <f t="shared" si="5"/>
        <v>464</v>
      </c>
      <c r="M1060" s="48">
        <f t="shared" si="6"/>
        <v>1188</v>
      </c>
      <c r="N1060" s="50">
        <f>IFERROR(__xludf.DUMMYFUNCTION("IFERROR(GOOGLEFINANCE(A1060,""TRADETIME""),)"),46269.64583333333)</f>
        <v>46269.64583</v>
      </c>
      <c r="O1060" s="44"/>
      <c r="P1060" s="44"/>
      <c r="Q1060" s="44"/>
      <c r="R1060" s="44"/>
      <c r="S1060" s="44"/>
      <c r="T1060" s="44"/>
      <c r="U1060" s="44"/>
      <c r="V1060" s="44"/>
      <c r="W1060" s="44"/>
      <c r="X1060" s="44"/>
      <c r="Y1060" s="44"/>
      <c r="Z1060" s="44"/>
    </row>
    <row r="1061" ht="15.75" customHeight="1">
      <c r="A1061" s="51" t="s">
        <v>1107</v>
      </c>
      <c r="B1061" s="51" t="str">
        <f>IFERROR(__xludf.DUMMYFUNCTION("IFERROR(GOOGLEFINANCE(A1061,""NAME""),)"),"")</f>
        <v/>
      </c>
      <c r="C1061" s="51" t="str">
        <f>IFERROR(__xludf.DUMMYFUNCTION("IFERROR(GOOGLEFINANCE(A1061,""CHANGE""),)"),"")</f>
        <v/>
      </c>
      <c r="D1061" s="51" t="str">
        <f>IFERROR(__xludf.DUMMYFUNCTION("IFERROR(GOOGLEFINANCE(A1061,""CHANGEPCT""),)"),"")</f>
        <v/>
      </c>
      <c r="E1061" s="51" t="str">
        <f t="shared" si="1"/>
        <v>%</v>
      </c>
      <c r="F1061" s="51" t="str">
        <f t="shared" si="2"/>
        <v/>
      </c>
      <c r="G1061" s="51" t="str">
        <f t="shared" si="3"/>
        <v/>
      </c>
      <c r="H1061" s="51" t="str">
        <f>IFERROR(__xludf.DUMMYFUNCTION("IFERROR(GOOGLEFINANCE(A1061,""PRICE""),)"),"")</f>
        <v/>
      </c>
      <c r="I1061" s="52" t="str">
        <f>IFERROR(__xludf.DUMMYFUNCTION("IFERROR(GOOGLEFINANCE(A1061,""VOLUME""),)"),"")</f>
        <v/>
      </c>
      <c r="J1061" s="51" t="str">
        <f>IFERROR(__xludf.DUMMYFUNCTION("IFERROR(INDEX(SPLIT(A1061,"":""),1,2),)"),"PEL")</f>
        <v>PEL</v>
      </c>
      <c r="K1061" s="51" t="str">
        <f t="shared" si="4"/>
        <v/>
      </c>
      <c r="L1061" s="51" t="str">
        <f t="shared" si="5"/>
        <v/>
      </c>
      <c r="M1061" s="51">
        <f t="shared" si="6"/>
        <v>1456</v>
      </c>
      <c r="N1061" s="53" t="str">
        <f>IFERROR(__xludf.DUMMYFUNCTION("IFERROR(GOOGLEFINANCE(A1061,""TRADETIME""),)"),"")</f>
        <v/>
      </c>
      <c r="O1061" s="44"/>
      <c r="P1061" s="44"/>
      <c r="Q1061" s="44"/>
      <c r="R1061" s="44"/>
      <c r="S1061" s="44"/>
      <c r="T1061" s="44"/>
      <c r="U1061" s="44"/>
      <c r="V1061" s="44"/>
      <c r="W1061" s="44"/>
      <c r="X1061" s="44"/>
      <c r="Y1061" s="44"/>
      <c r="Z1061" s="44"/>
    </row>
    <row r="1062" ht="15.75" customHeight="1">
      <c r="A1062" s="48" t="s">
        <v>1108</v>
      </c>
      <c r="B1062" s="48" t="str">
        <f>IFERROR(__xludf.DUMMYFUNCTION("IFERROR(GOOGLEFINANCE(A1062,""NAME""),)"),"Pennar Industries Ltd")</f>
        <v>Pennar Industries Ltd</v>
      </c>
      <c r="C1062" s="48">
        <f>IFERROR(__xludf.DUMMYFUNCTION("IFERROR(GOOGLEFINANCE(A1062,""CHANGE""),)"),1.94)</f>
        <v>1.94</v>
      </c>
      <c r="D1062" s="48">
        <f>IFERROR(__xludf.DUMMYFUNCTION("IFERROR(GOOGLEFINANCE(A1062,""CHANGEPCT""),)"),1.16)</f>
        <v>1.16</v>
      </c>
      <c r="E1062" s="48" t="str">
        <f t="shared" si="1"/>
        <v>1.16%</v>
      </c>
      <c r="F1062" s="48">
        <f t="shared" si="2"/>
        <v>1.16</v>
      </c>
      <c r="G1062" s="48" t="str">
        <f t="shared" si="3"/>
        <v/>
      </c>
      <c r="H1062" s="48">
        <f>IFERROR(__xludf.DUMMYFUNCTION("IFERROR(GOOGLEFINANCE(A1062,""PRICE""),)"),168.82)</f>
        <v>168.82</v>
      </c>
      <c r="I1062" s="49">
        <f>IFERROR(__xludf.DUMMYFUNCTION("IFERROR(GOOGLEFINANCE(A1062,""VOLUME""),)"),477553.0)</f>
        <v>477553</v>
      </c>
      <c r="J1062" s="48" t="str">
        <f>IFERROR(__xludf.DUMMYFUNCTION("IFERROR(INDEX(SPLIT(A1062,"":""),1,2),)"),"PENIND")</f>
        <v>PENIND</v>
      </c>
      <c r="K1062" s="48">
        <f t="shared" si="4"/>
        <v>417</v>
      </c>
      <c r="L1062" s="48" t="str">
        <f t="shared" si="5"/>
        <v/>
      </c>
      <c r="M1062" s="48">
        <f t="shared" si="6"/>
        <v>403</v>
      </c>
      <c r="N1062" s="50">
        <f>IFERROR(__xludf.DUMMYFUNCTION("IFERROR(GOOGLEFINANCE(A1062,""TRADETIME""),)"),46269.64583333333)</f>
        <v>46269.64583</v>
      </c>
      <c r="O1062" s="44"/>
      <c r="P1062" s="44"/>
      <c r="Q1062" s="44"/>
      <c r="R1062" s="44"/>
      <c r="S1062" s="44"/>
      <c r="T1062" s="44"/>
      <c r="U1062" s="44"/>
      <c r="V1062" s="44"/>
      <c r="W1062" s="44"/>
      <c r="X1062" s="44"/>
      <c r="Y1062" s="44"/>
      <c r="Z1062" s="44"/>
    </row>
    <row r="1063" ht="15.75" customHeight="1">
      <c r="A1063" s="51" t="s">
        <v>1109</v>
      </c>
      <c r="B1063" s="51" t="str">
        <f>IFERROR(__xludf.DUMMYFUNCTION("IFERROR(GOOGLEFINANCE(A1063,""NAME""),)"),"Peninsula Land Ltd")</f>
        <v>Peninsula Land Ltd</v>
      </c>
      <c r="C1063" s="51">
        <f>IFERROR(__xludf.DUMMYFUNCTION("IFERROR(GOOGLEFINANCE(A1063,""CHANGE""),)"),0.5)</f>
        <v>0.5</v>
      </c>
      <c r="D1063" s="51">
        <f>IFERROR(__xludf.DUMMYFUNCTION("IFERROR(GOOGLEFINANCE(A1063,""CHANGEPCT""),)"),3.11)</f>
        <v>3.11</v>
      </c>
      <c r="E1063" s="51" t="str">
        <f t="shared" si="1"/>
        <v>3.11%</v>
      </c>
      <c r="F1063" s="51">
        <f t="shared" si="2"/>
        <v>3.11</v>
      </c>
      <c r="G1063" s="51" t="str">
        <f t="shared" si="3"/>
        <v/>
      </c>
      <c r="H1063" s="51">
        <f>IFERROR(__xludf.DUMMYFUNCTION("IFERROR(GOOGLEFINANCE(A1063,""PRICE""),)"),16.56)</f>
        <v>16.56</v>
      </c>
      <c r="I1063" s="52">
        <f>IFERROR(__xludf.DUMMYFUNCTION("IFERROR(GOOGLEFINANCE(A1063,""VOLUME""),)"),90635.0)</f>
        <v>90635</v>
      </c>
      <c r="J1063" s="51" t="str">
        <f>IFERROR(__xludf.DUMMYFUNCTION("IFERROR(INDEX(SPLIT(A1063,"":""),1,2),)"),"PENINLAND")</f>
        <v>PENINLAND</v>
      </c>
      <c r="K1063" s="51">
        <f t="shared" si="4"/>
        <v>158</v>
      </c>
      <c r="L1063" s="51" t="str">
        <f t="shared" si="5"/>
        <v/>
      </c>
      <c r="M1063" s="51">
        <f t="shared" si="6"/>
        <v>796</v>
      </c>
      <c r="N1063" s="53">
        <f>IFERROR(__xludf.DUMMYFUNCTION("IFERROR(GOOGLEFINANCE(A1063,""TRADETIME""),)"),46269.64583333333)</f>
        <v>46269.64583</v>
      </c>
      <c r="O1063" s="44"/>
      <c r="P1063" s="44"/>
      <c r="Q1063" s="44"/>
      <c r="R1063" s="44"/>
      <c r="S1063" s="44"/>
      <c r="T1063" s="44"/>
      <c r="U1063" s="44"/>
      <c r="V1063" s="44"/>
      <c r="W1063" s="44"/>
      <c r="X1063" s="44"/>
      <c r="Y1063" s="44"/>
      <c r="Z1063" s="44"/>
    </row>
    <row r="1064" ht="15.75" customHeight="1">
      <c r="A1064" s="48" t="s">
        <v>1110</v>
      </c>
      <c r="B1064" s="48" t="str">
        <f>IFERROR(__xludf.DUMMYFUNCTION("IFERROR(GOOGLEFINANCE(A1064,""NAME""),)"),"Persistent Systems Ltd")</f>
        <v>Persistent Systems Ltd</v>
      </c>
      <c r="C1064" s="48">
        <f>IFERROR(__xludf.DUMMYFUNCTION("IFERROR(GOOGLEFINANCE(A1064,""CHANGE""),)"),-21.0)</f>
        <v>-21</v>
      </c>
      <c r="D1064" s="48">
        <f>IFERROR(__xludf.DUMMYFUNCTION("IFERROR(GOOGLEFINANCE(A1064,""CHANGEPCT""),)"),-0.37)</f>
        <v>-0.37</v>
      </c>
      <c r="E1064" s="48" t="str">
        <f t="shared" si="1"/>
        <v>-0.37%</v>
      </c>
      <c r="F1064" s="48" t="str">
        <f t="shared" si="2"/>
        <v/>
      </c>
      <c r="G1064" s="48">
        <f t="shared" si="3"/>
        <v>-0.37</v>
      </c>
      <c r="H1064" s="48">
        <f>IFERROR(__xludf.DUMMYFUNCTION("IFERROR(GOOGLEFINANCE(A1064,""PRICE""),)"),5636.0)</f>
        <v>5636</v>
      </c>
      <c r="I1064" s="49">
        <f>IFERROR(__xludf.DUMMYFUNCTION("IFERROR(GOOGLEFINANCE(A1064,""VOLUME""),)"),302507.0)</f>
        <v>302507</v>
      </c>
      <c r="J1064" s="48" t="str">
        <f>IFERROR(__xludf.DUMMYFUNCTION("IFERROR(INDEX(SPLIT(A1064,"":""),1,2),)"),"PERSISTENT")</f>
        <v>PERSISTENT</v>
      </c>
      <c r="K1064" s="48" t="str">
        <f t="shared" si="4"/>
        <v/>
      </c>
      <c r="L1064" s="48">
        <f t="shared" si="5"/>
        <v>143</v>
      </c>
      <c r="M1064" s="48">
        <f t="shared" si="6"/>
        <v>515</v>
      </c>
      <c r="N1064" s="50">
        <f>IFERROR(__xludf.DUMMYFUNCTION("IFERROR(GOOGLEFINANCE(A1064,""TRADETIME""),)"),46269.64583333333)</f>
        <v>46269.64583</v>
      </c>
      <c r="O1064" s="44"/>
      <c r="P1064" s="44"/>
      <c r="Q1064" s="44"/>
      <c r="R1064" s="44"/>
      <c r="S1064" s="44"/>
      <c r="T1064" s="44"/>
      <c r="U1064" s="44"/>
      <c r="V1064" s="44"/>
      <c r="W1064" s="44"/>
      <c r="X1064" s="44"/>
      <c r="Y1064" s="44"/>
      <c r="Z1064" s="44"/>
    </row>
    <row r="1065" ht="15.75" customHeight="1">
      <c r="A1065" s="51" t="s">
        <v>1111</v>
      </c>
      <c r="B1065" s="51" t="str">
        <f>IFERROR(__xludf.DUMMYFUNCTION("IFERROR(GOOGLEFINANCE(A1065,""NAME""),)"),"Petronet LNG Ltd")</f>
        <v>Petronet LNG Ltd</v>
      </c>
      <c r="C1065" s="51">
        <f>IFERROR(__xludf.DUMMYFUNCTION("IFERROR(GOOGLEFINANCE(A1065,""CHANGE""),)"),-0.8)</f>
        <v>-0.8</v>
      </c>
      <c r="D1065" s="51">
        <f>IFERROR(__xludf.DUMMYFUNCTION("IFERROR(GOOGLEFINANCE(A1065,""CHANGEPCT""),)"),-0.28)</f>
        <v>-0.28</v>
      </c>
      <c r="E1065" s="51" t="str">
        <f t="shared" si="1"/>
        <v>-0.28%</v>
      </c>
      <c r="F1065" s="51" t="str">
        <f t="shared" si="2"/>
        <v/>
      </c>
      <c r="G1065" s="51">
        <f t="shared" si="3"/>
        <v>-0.28</v>
      </c>
      <c r="H1065" s="51">
        <f>IFERROR(__xludf.DUMMYFUNCTION("IFERROR(GOOGLEFINANCE(A1065,""PRICE""),)"),288.7)</f>
        <v>288.7</v>
      </c>
      <c r="I1065" s="52">
        <f>IFERROR(__xludf.DUMMYFUNCTION("IFERROR(GOOGLEFINANCE(A1065,""VOLUME""),)"),1412952.0)</f>
        <v>1412952</v>
      </c>
      <c r="J1065" s="51" t="str">
        <f>IFERROR(__xludf.DUMMYFUNCTION("IFERROR(INDEX(SPLIT(A1065,"":""),1,2),)"),"PETRONET")</f>
        <v>PETRONET</v>
      </c>
      <c r="K1065" s="51" t="str">
        <f t="shared" si="4"/>
        <v/>
      </c>
      <c r="L1065" s="51">
        <f t="shared" si="5"/>
        <v>101</v>
      </c>
      <c r="M1065" s="51">
        <f t="shared" si="6"/>
        <v>216</v>
      </c>
      <c r="N1065" s="53">
        <f>IFERROR(__xludf.DUMMYFUNCTION("IFERROR(GOOGLEFINANCE(A1065,""TRADETIME""),)"),46269.64583333333)</f>
        <v>46269.64583</v>
      </c>
      <c r="O1065" s="44"/>
      <c r="P1065" s="44"/>
      <c r="Q1065" s="44"/>
      <c r="R1065" s="44"/>
      <c r="S1065" s="44"/>
      <c r="T1065" s="44"/>
      <c r="U1065" s="44"/>
      <c r="V1065" s="44"/>
      <c r="W1065" s="44"/>
      <c r="X1065" s="44"/>
      <c r="Y1065" s="44"/>
      <c r="Z1065" s="44"/>
    </row>
    <row r="1066" ht="15.75" customHeight="1">
      <c r="A1066" s="48" t="s">
        <v>1112</v>
      </c>
      <c r="B1066" s="48" t="str">
        <f>IFERROR(__xludf.DUMMYFUNCTION("IFERROR(GOOGLEFINANCE(A1066,""NAME""),)"),"Power Finance Corporation Ltd")</f>
        <v>Power Finance Corporation Ltd</v>
      </c>
      <c r="C1066" s="48">
        <f>IFERROR(__xludf.DUMMYFUNCTION("IFERROR(GOOGLEFINANCE(A1066,""CHANGE""),)"),10.35)</f>
        <v>10.35</v>
      </c>
      <c r="D1066" s="48">
        <f>IFERROR(__xludf.DUMMYFUNCTION("IFERROR(GOOGLEFINANCE(A1066,""CHANGEPCT""),)"),3.0)</f>
        <v>3</v>
      </c>
      <c r="E1066" s="48" t="str">
        <f t="shared" si="1"/>
        <v>3%</v>
      </c>
      <c r="F1066" s="48">
        <f t="shared" si="2"/>
        <v>3</v>
      </c>
      <c r="G1066" s="48" t="str">
        <f t="shared" si="3"/>
        <v/>
      </c>
      <c r="H1066" s="48">
        <f>IFERROR(__xludf.DUMMYFUNCTION("IFERROR(GOOGLEFINANCE(A1066,""PRICE""),)"),355.85)</f>
        <v>355.85</v>
      </c>
      <c r="I1066" s="49">
        <f>IFERROR(__xludf.DUMMYFUNCTION("IFERROR(GOOGLEFINANCE(A1066,""VOLUME""),)"),1.920629E7)</f>
        <v>19206290</v>
      </c>
      <c r="J1066" s="48" t="str">
        <f>IFERROR(__xludf.DUMMYFUNCTION("IFERROR(INDEX(SPLIT(A1066,"":""),1,2),)"),"PFC")</f>
        <v>PFC</v>
      </c>
      <c r="K1066" s="48">
        <f t="shared" si="4"/>
        <v>164</v>
      </c>
      <c r="L1066" s="48" t="str">
        <f t="shared" si="5"/>
        <v/>
      </c>
      <c r="M1066" s="48">
        <f t="shared" si="6"/>
        <v>23</v>
      </c>
      <c r="N1066" s="50">
        <f>IFERROR(__xludf.DUMMYFUNCTION("IFERROR(GOOGLEFINANCE(A1066,""TRADETIME""),)"),46269.64583333333)</f>
        <v>46269.64583</v>
      </c>
      <c r="O1066" s="44"/>
      <c r="P1066" s="44"/>
      <c r="Q1066" s="44"/>
      <c r="R1066" s="44"/>
      <c r="S1066" s="44"/>
      <c r="T1066" s="44"/>
      <c r="U1066" s="44"/>
      <c r="V1066" s="44"/>
      <c r="W1066" s="44"/>
      <c r="X1066" s="44"/>
      <c r="Y1066" s="44"/>
      <c r="Z1066" s="44"/>
    </row>
    <row r="1067" ht="15.75" customHeight="1">
      <c r="A1067" s="51" t="s">
        <v>1113</v>
      </c>
      <c r="B1067" s="51" t="str">
        <f>IFERROR(__xludf.DUMMYFUNCTION("IFERROR(GOOGLEFINANCE(A1067,""NAME""),)"),"Pfizer Ltd")</f>
        <v>Pfizer Ltd</v>
      </c>
      <c r="C1067" s="51">
        <f>IFERROR(__xludf.DUMMYFUNCTION("IFERROR(GOOGLEFINANCE(A1067,""CHANGE""),)"),-43.7)</f>
        <v>-43.7</v>
      </c>
      <c r="D1067" s="51">
        <f>IFERROR(__xludf.DUMMYFUNCTION("IFERROR(GOOGLEFINANCE(A1067,""CHANGEPCT""),)"),-0.94)</f>
        <v>-0.94</v>
      </c>
      <c r="E1067" s="51" t="str">
        <f t="shared" si="1"/>
        <v>-0.94%</v>
      </c>
      <c r="F1067" s="51" t="str">
        <f t="shared" si="2"/>
        <v/>
      </c>
      <c r="G1067" s="51">
        <f t="shared" si="3"/>
        <v>-0.94</v>
      </c>
      <c r="H1067" s="51">
        <f>IFERROR(__xludf.DUMMYFUNCTION("IFERROR(GOOGLEFINANCE(A1067,""PRICE""),)"),4600.0)</f>
        <v>4600</v>
      </c>
      <c r="I1067" s="52">
        <f>IFERROR(__xludf.DUMMYFUNCTION("IFERROR(GOOGLEFINANCE(A1067,""VOLUME""),)"),32739.0)</f>
        <v>32739</v>
      </c>
      <c r="J1067" s="51" t="str">
        <f>IFERROR(__xludf.DUMMYFUNCTION("IFERROR(INDEX(SPLIT(A1067,"":""),1,2),)"),"PFIZER")</f>
        <v>PFIZER</v>
      </c>
      <c r="K1067" s="51" t="str">
        <f t="shared" si="4"/>
        <v/>
      </c>
      <c r="L1067" s="51">
        <f t="shared" si="5"/>
        <v>325</v>
      </c>
      <c r="M1067" s="51">
        <f t="shared" si="6"/>
        <v>1037</v>
      </c>
      <c r="N1067" s="53">
        <f>IFERROR(__xludf.DUMMYFUNCTION("IFERROR(GOOGLEFINANCE(A1067,""TRADETIME""),)"),46269.64583333333)</f>
        <v>46269.64583</v>
      </c>
      <c r="O1067" s="44"/>
      <c r="P1067" s="44"/>
      <c r="Q1067" s="44"/>
      <c r="R1067" s="44"/>
      <c r="S1067" s="44"/>
      <c r="T1067" s="44"/>
      <c r="U1067" s="44"/>
      <c r="V1067" s="44"/>
      <c r="W1067" s="44"/>
      <c r="X1067" s="44"/>
      <c r="Y1067" s="44"/>
      <c r="Z1067" s="44"/>
    </row>
    <row r="1068" ht="15.75" customHeight="1">
      <c r="A1068" s="48" t="s">
        <v>1114</v>
      </c>
      <c r="B1068" s="48" t="str">
        <f>IFERROR(__xludf.DUMMYFUNCTION("IFERROR(GOOGLEFINANCE(A1068,""NAME""),)"),"Prime Focus Limited")</f>
        <v>Prime Focus Limited</v>
      </c>
      <c r="C1068" s="48">
        <f>IFERROR(__xludf.DUMMYFUNCTION("IFERROR(GOOGLEFINANCE(A1068,""CHANGE""),)"),15.4)</f>
        <v>15.4</v>
      </c>
      <c r="D1068" s="48">
        <f>IFERROR(__xludf.DUMMYFUNCTION("IFERROR(GOOGLEFINANCE(A1068,""CHANGEPCT""),)"),5.28)</f>
        <v>5.28</v>
      </c>
      <c r="E1068" s="48" t="str">
        <f t="shared" si="1"/>
        <v>5.28%</v>
      </c>
      <c r="F1068" s="48">
        <f t="shared" si="2"/>
        <v>5.28</v>
      </c>
      <c r="G1068" s="48" t="str">
        <f t="shared" si="3"/>
        <v/>
      </c>
      <c r="H1068" s="48">
        <f>IFERROR(__xludf.DUMMYFUNCTION("IFERROR(GOOGLEFINANCE(A1068,""PRICE""),)"),307.05)</f>
        <v>307.05</v>
      </c>
      <c r="I1068" s="49">
        <f>IFERROR(__xludf.DUMMYFUNCTION("IFERROR(GOOGLEFINANCE(A1068,""VOLUME""),)"),1960283.0)</f>
        <v>1960283</v>
      </c>
      <c r="J1068" s="48" t="str">
        <f>IFERROR(__xludf.DUMMYFUNCTION("IFERROR(INDEX(SPLIT(A1068,"":""),1,2),)"),"PFOCUS")</f>
        <v>PFOCUS</v>
      </c>
      <c r="K1068" s="48">
        <f t="shared" si="4"/>
        <v>49</v>
      </c>
      <c r="L1068" s="48" t="str">
        <f t="shared" si="5"/>
        <v/>
      </c>
      <c r="M1068" s="48">
        <f t="shared" si="6"/>
        <v>174</v>
      </c>
      <c r="N1068" s="50">
        <f>IFERROR(__xludf.DUMMYFUNCTION("IFERROR(GOOGLEFINANCE(A1068,""TRADETIME""),)"),46269.64585648148)</f>
        <v>46269.64586</v>
      </c>
      <c r="O1068" s="44"/>
      <c r="P1068" s="44"/>
      <c r="Q1068" s="44"/>
      <c r="R1068" s="44"/>
      <c r="S1068" s="44"/>
      <c r="T1068" s="44"/>
      <c r="U1068" s="44"/>
      <c r="V1068" s="44"/>
      <c r="W1068" s="44"/>
      <c r="X1068" s="44"/>
      <c r="Y1068" s="44"/>
      <c r="Z1068" s="44"/>
    </row>
    <row r="1069" ht="15.75" customHeight="1">
      <c r="A1069" s="51" t="s">
        <v>1115</v>
      </c>
      <c r="B1069" s="51" t="str">
        <f>IFERROR(__xludf.DUMMYFUNCTION("IFERROR(GOOGLEFINANCE(A1069,""NAME""),)"),"PTC India Financial Services Ltd")</f>
        <v>PTC India Financial Services Ltd</v>
      </c>
      <c r="C1069" s="51">
        <f>IFERROR(__xludf.DUMMYFUNCTION("IFERROR(GOOGLEFINANCE(A1069,""CHANGE""),)"),-0.12)</f>
        <v>-0.12</v>
      </c>
      <c r="D1069" s="51">
        <f>IFERROR(__xludf.DUMMYFUNCTION("IFERROR(GOOGLEFINANCE(A1069,""CHANGEPCT""),)"),-0.44)</f>
        <v>-0.44</v>
      </c>
      <c r="E1069" s="51" t="str">
        <f t="shared" si="1"/>
        <v>-0.44%</v>
      </c>
      <c r="F1069" s="51" t="str">
        <f t="shared" si="2"/>
        <v/>
      </c>
      <c r="G1069" s="51">
        <f t="shared" si="3"/>
        <v>-0.44</v>
      </c>
      <c r="H1069" s="51">
        <f>IFERROR(__xludf.DUMMYFUNCTION("IFERROR(GOOGLEFINANCE(A1069,""PRICE""),)"),26.99)</f>
        <v>26.99</v>
      </c>
      <c r="I1069" s="52">
        <f>IFERROR(__xludf.DUMMYFUNCTION("IFERROR(GOOGLEFINANCE(A1069,""VOLUME""),)"),481425.0)</f>
        <v>481425</v>
      </c>
      <c r="J1069" s="51" t="str">
        <f>IFERROR(__xludf.DUMMYFUNCTION("IFERROR(INDEX(SPLIT(A1069,"":""),1,2),)"),"PFS")</f>
        <v>PFS</v>
      </c>
      <c r="K1069" s="51" t="str">
        <f t="shared" si="4"/>
        <v/>
      </c>
      <c r="L1069" s="51">
        <f t="shared" si="5"/>
        <v>171</v>
      </c>
      <c r="M1069" s="51">
        <f t="shared" si="6"/>
        <v>402</v>
      </c>
      <c r="N1069" s="53">
        <f>IFERROR(__xludf.DUMMYFUNCTION("IFERROR(GOOGLEFINANCE(A1069,""TRADETIME""),)"),46269.64583333333)</f>
        <v>46269.64583</v>
      </c>
      <c r="O1069" s="44"/>
      <c r="P1069" s="44"/>
      <c r="Q1069" s="44"/>
      <c r="R1069" s="44"/>
      <c r="S1069" s="44"/>
      <c r="T1069" s="44"/>
      <c r="U1069" s="44"/>
      <c r="V1069" s="44"/>
      <c r="W1069" s="44"/>
      <c r="X1069" s="44"/>
      <c r="Y1069" s="44"/>
      <c r="Z1069" s="44"/>
    </row>
    <row r="1070" ht="15.75" customHeight="1">
      <c r="A1070" s="48" t="s">
        <v>1116</v>
      </c>
      <c r="B1070" s="48" t="str">
        <f>IFERROR(__xludf.DUMMYFUNCTION("IFERROR(GOOGLEFINANCE(A1070,""NAME""),)"),"PG Electroplast Ltd")</f>
        <v>PG Electroplast Ltd</v>
      </c>
      <c r="C1070" s="48">
        <f>IFERROR(__xludf.DUMMYFUNCTION("IFERROR(GOOGLEFINANCE(A1070,""CHANGE""),)"),8.5)</f>
        <v>8.5</v>
      </c>
      <c r="D1070" s="48">
        <f>IFERROR(__xludf.DUMMYFUNCTION("IFERROR(GOOGLEFINANCE(A1070,""CHANGEPCT""),)"),1.53)</f>
        <v>1.53</v>
      </c>
      <c r="E1070" s="48" t="str">
        <f t="shared" si="1"/>
        <v>1.53%</v>
      </c>
      <c r="F1070" s="48">
        <f t="shared" si="2"/>
        <v>1.53</v>
      </c>
      <c r="G1070" s="48" t="str">
        <f t="shared" si="3"/>
        <v/>
      </c>
      <c r="H1070" s="48">
        <f>IFERROR(__xludf.DUMMYFUNCTION("IFERROR(GOOGLEFINANCE(A1070,""PRICE""),)"),562.4)</f>
        <v>562.4</v>
      </c>
      <c r="I1070" s="49">
        <f>IFERROR(__xludf.DUMMYFUNCTION("IFERROR(GOOGLEFINANCE(A1070,""VOLUME""),)"),990864.0)</f>
        <v>990864</v>
      </c>
      <c r="J1070" s="48" t="str">
        <f>IFERROR(__xludf.DUMMYFUNCTION("IFERROR(INDEX(SPLIT(A1070,"":""),1,2),)"),"PGEL")</f>
        <v>PGEL</v>
      </c>
      <c r="K1070" s="48">
        <f t="shared" si="4"/>
        <v>340</v>
      </c>
      <c r="L1070" s="48" t="str">
        <f t="shared" si="5"/>
        <v/>
      </c>
      <c r="M1070" s="48">
        <f t="shared" si="6"/>
        <v>277</v>
      </c>
      <c r="N1070" s="50">
        <f>IFERROR(__xludf.DUMMYFUNCTION("IFERROR(GOOGLEFINANCE(A1070,""TRADETIME""),)"),46269.64583333333)</f>
        <v>46269.64583</v>
      </c>
      <c r="O1070" s="44"/>
      <c r="P1070" s="44"/>
      <c r="Q1070" s="44"/>
      <c r="R1070" s="44"/>
      <c r="S1070" s="44"/>
      <c r="T1070" s="44"/>
      <c r="U1070" s="44"/>
      <c r="V1070" s="44"/>
      <c r="W1070" s="44"/>
      <c r="X1070" s="44"/>
      <c r="Y1070" s="44"/>
      <c r="Z1070" s="44"/>
    </row>
    <row r="1071" ht="15.75" customHeight="1">
      <c r="A1071" s="51" t="s">
        <v>1117</v>
      </c>
      <c r="B1071" s="51" t="str">
        <f>IFERROR(__xludf.DUMMYFUNCTION("IFERROR(GOOGLEFINANCE(A1071,""NAME""),)"),"Procter &amp; Gamble Hygiene &amp; Health Care")</f>
        <v>Procter &amp; Gamble Hygiene &amp; Health Care</v>
      </c>
      <c r="C1071" s="51">
        <f>IFERROR(__xludf.DUMMYFUNCTION("IFERROR(GOOGLEFINANCE(A1071,""CHANGE""),)"),-66.0)</f>
        <v>-66</v>
      </c>
      <c r="D1071" s="51">
        <f>IFERROR(__xludf.DUMMYFUNCTION("IFERROR(GOOGLEFINANCE(A1071,""CHANGEPCT""),)"),-0.85)</f>
        <v>-0.85</v>
      </c>
      <c r="E1071" s="51" t="str">
        <f t="shared" si="1"/>
        <v>-0.85%</v>
      </c>
      <c r="F1071" s="51" t="str">
        <f t="shared" si="2"/>
        <v/>
      </c>
      <c r="G1071" s="51">
        <f t="shared" si="3"/>
        <v>-0.85</v>
      </c>
      <c r="H1071" s="51">
        <f>IFERROR(__xludf.DUMMYFUNCTION("IFERROR(GOOGLEFINANCE(A1071,""PRICE""),)"),7659.0)</f>
        <v>7659</v>
      </c>
      <c r="I1071" s="52">
        <f>IFERROR(__xludf.DUMMYFUNCTION("IFERROR(GOOGLEFINANCE(A1071,""VOLUME""),)"),21072.0)</f>
        <v>21072</v>
      </c>
      <c r="J1071" s="51" t="str">
        <f>IFERROR(__xludf.DUMMYFUNCTION("IFERROR(INDEX(SPLIT(A1071,"":""),1,2),)"),"PGHH")</f>
        <v>PGHH</v>
      </c>
      <c r="K1071" s="51" t="str">
        <f t="shared" si="4"/>
        <v/>
      </c>
      <c r="L1071" s="51">
        <f t="shared" si="5"/>
        <v>309</v>
      </c>
      <c r="M1071" s="51">
        <f t="shared" si="6"/>
        <v>1116</v>
      </c>
      <c r="N1071" s="53">
        <f>IFERROR(__xludf.DUMMYFUNCTION("IFERROR(GOOGLEFINANCE(A1071,""TRADETIME""),)"),46269.64583333333)</f>
        <v>46269.64583</v>
      </c>
      <c r="O1071" s="44"/>
      <c r="P1071" s="44"/>
      <c r="Q1071" s="44"/>
      <c r="R1071" s="44"/>
      <c r="S1071" s="44"/>
      <c r="T1071" s="44"/>
      <c r="U1071" s="44"/>
      <c r="V1071" s="44"/>
      <c r="W1071" s="44"/>
      <c r="X1071" s="44"/>
      <c r="Y1071" s="44"/>
      <c r="Z1071" s="44"/>
    </row>
    <row r="1072" ht="15.75" customHeight="1">
      <c r="A1072" s="48" t="s">
        <v>1118</v>
      </c>
      <c r="B1072" s="48" t="str">
        <f>IFERROR(__xludf.DUMMYFUNCTION("IFERROR(GOOGLEFINANCE(A1072,""NAME""),)"),"Procter &amp; Gamble Health Ltd")</f>
        <v>Procter &amp; Gamble Health Ltd</v>
      </c>
      <c r="C1072" s="48">
        <f>IFERROR(__xludf.DUMMYFUNCTION("IFERROR(GOOGLEFINANCE(A1072,""CHANGE""),)"),-106.5)</f>
        <v>-106.5</v>
      </c>
      <c r="D1072" s="48">
        <f>IFERROR(__xludf.DUMMYFUNCTION("IFERROR(GOOGLEFINANCE(A1072,""CHANGEPCT""),)"),-1.85)</f>
        <v>-1.85</v>
      </c>
      <c r="E1072" s="48" t="str">
        <f t="shared" si="1"/>
        <v>-1.85%</v>
      </c>
      <c r="F1072" s="48" t="str">
        <f t="shared" si="2"/>
        <v/>
      </c>
      <c r="G1072" s="48">
        <f t="shared" si="3"/>
        <v>-1.85</v>
      </c>
      <c r="H1072" s="48">
        <f>IFERROR(__xludf.DUMMYFUNCTION("IFERROR(GOOGLEFINANCE(A1072,""PRICE""),)"),5651.0)</f>
        <v>5651</v>
      </c>
      <c r="I1072" s="49">
        <f>IFERROR(__xludf.DUMMYFUNCTION("IFERROR(GOOGLEFINANCE(A1072,""VOLUME""),)"),7255.0)</f>
        <v>7255</v>
      </c>
      <c r="J1072" s="48" t="str">
        <f>IFERROR(__xludf.DUMMYFUNCTION("IFERROR(INDEX(SPLIT(A1072,"":""),1,2),)"),"PGHL")</f>
        <v>PGHL</v>
      </c>
      <c r="K1072" s="48" t="str">
        <f t="shared" si="4"/>
        <v/>
      </c>
      <c r="L1072" s="48">
        <f t="shared" si="5"/>
        <v>499</v>
      </c>
      <c r="M1072" s="48">
        <f t="shared" si="6"/>
        <v>1279</v>
      </c>
      <c r="N1072" s="50">
        <f>IFERROR(__xludf.DUMMYFUNCTION("IFERROR(GOOGLEFINANCE(A1072,""TRADETIME""),)"),46269.64585648148)</f>
        <v>46269.64586</v>
      </c>
      <c r="O1072" s="44"/>
      <c r="P1072" s="44"/>
      <c r="Q1072" s="44"/>
      <c r="R1072" s="44"/>
      <c r="S1072" s="44"/>
      <c r="T1072" s="44"/>
      <c r="U1072" s="44"/>
      <c r="V1072" s="44"/>
      <c r="W1072" s="44"/>
      <c r="X1072" s="44"/>
      <c r="Y1072" s="44"/>
      <c r="Z1072" s="44"/>
    </row>
    <row r="1073" ht="15.75" customHeight="1">
      <c r="A1073" s="51" t="s">
        <v>1119</v>
      </c>
      <c r="B1073" s="51" t="str">
        <f>IFERROR(__xludf.DUMMYFUNCTION("IFERROR(GOOGLEFINANCE(A1073,""NAME""),)"),"Pearl Global Industries Ltd")</f>
        <v>Pearl Global Industries Ltd</v>
      </c>
      <c r="C1073" s="51">
        <f>IFERROR(__xludf.DUMMYFUNCTION("IFERROR(GOOGLEFINANCE(A1073,""CHANGE""),)"),-52.0)</f>
        <v>-52</v>
      </c>
      <c r="D1073" s="51">
        <f>IFERROR(__xludf.DUMMYFUNCTION("IFERROR(GOOGLEFINANCE(A1073,""CHANGEPCT""),)"),-2.23)</f>
        <v>-2.23</v>
      </c>
      <c r="E1073" s="51" t="str">
        <f t="shared" si="1"/>
        <v>-2.23%</v>
      </c>
      <c r="F1073" s="51" t="str">
        <f t="shared" si="2"/>
        <v/>
      </c>
      <c r="G1073" s="51">
        <f t="shared" si="3"/>
        <v>-2.23</v>
      </c>
      <c r="H1073" s="51">
        <f>IFERROR(__xludf.DUMMYFUNCTION("IFERROR(GOOGLEFINANCE(A1073,""PRICE""),)"),2277.0)</f>
        <v>2277</v>
      </c>
      <c r="I1073" s="52">
        <f>IFERROR(__xludf.DUMMYFUNCTION("IFERROR(GOOGLEFINANCE(A1073,""VOLUME""),)"),82043.0)</f>
        <v>82043</v>
      </c>
      <c r="J1073" s="51" t="str">
        <f>IFERROR(__xludf.DUMMYFUNCTION("IFERROR(INDEX(SPLIT(A1073,"":""),1,2),)"),"PGIL")</f>
        <v>PGIL</v>
      </c>
      <c r="K1073" s="51" t="str">
        <f t="shared" si="4"/>
        <v/>
      </c>
      <c r="L1073" s="51">
        <f t="shared" si="5"/>
        <v>553</v>
      </c>
      <c r="M1073" s="51">
        <f t="shared" si="6"/>
        <v>821</v>
      </c>
      <c r="N1073" s="53">
        <f>IFERROR(__xludf.DUMMYFUNCTION("IFERROR(GOOGLEFINANCE(A1073,""TRADETIME""),)"),46269.64583333333)</f>
        <v>46269.64583</v>
      </c>
      <c r="O1073" s="44"/>
      <c r="P1073" s="44"/>
      <c r="Q1073" s="44"/>
      <c r="R1073" s="44"/>
      <c r="S1073" s="44"/>
      <c r="T1073" s="44"/>
      <c r="U1073" s="44"/>
      <c r="V1073" s="44"/>
      <c r="W1073" s="44"/>
      <c r="X1073" s="44"/>
      <c r="Y1073" s="44"/>
      <c r="Z1073" s="44"/>
    </row>
    <row r="1074" ht="15.75" customHeight="1">
      <c r="A1074" s="48" t="s">
        <v>1120</v>
      </c>
      <c r="B1074" s="48" t="str">
        <f>IFERROR(__xludf.DUMMYFUNCTION("IFERROR(GOOGLEFINANCE(A1074,""NAME""),)"),"PCBL Chemical Ltd")</f>
        <v>PCBL Chemical Ltd</v>
      </c>
      <c r="C1074" s="48">
        <f>IFERROR(__xludf.DUMMYFUNCTION("IFERROR(GOOGLEFINANCE(A1074,""CHANGE""),)"),3.85)</f>
        <v>3.85</v>
      </c>
      <c r="D1074" s="48">
        <f>IFERROR(__xludf.DUMMYFUNCTION("IFERROR(GOOGLEFINANCE(A1074,""CHANGEPCT""),)"),1.23)</f>
        <v>1.23</v>
      </c>
      <c r="E1074" s="48" t="str">
        <f t="shared" si="1"/>
        <v>1.23%</v>
      </c>
      <c r="F1074" s="48">
        <f t="shared" si="2"/>
        <v>1.23</v>
      </c>
      <c r="G1074" s="48" t="str">
        <f t="shared" si="3"/>
        <v/>
      </c>
      <c r="H1074" s="48">
        <f>IFERROR(__xludf.DUMMYFUNCTION("IFERROR(GOOGLEFINANCE(A1074,""PRICE""),)"),318.1)</f>
        <v>318.1</v>
      </c>
      <c r="I1074" s="49">
        <f>IFERROR(__xludf.DUMMYFUNCTION("IFERROR(GOOGLEFINANCE(A1074,""VOLUME""),)"),621744.0)</f>
        <v>621744</v>
      </c>
      <c r="J1074" s="48" t="str">
        <f>IFERROR(__xludf.DUMMYFUNCTION("IFERROR(INDEX(SPLIT(A1074,"":""),1,2),)"),"PCBL")</f>
        <v>PCBL</v>
      </c>
      <c r="K1074" s="48">
        <f t="shared" si="4"/>
        <v>398</v>
      </c>
      <c r="L1074" s="48" t="str">
        <f t="shared" si="5"/>
        <v/>
      </c>
      <c r="M1074" s="48">
        <f t="shared" si="6"/>
        <v>350</v>
      </c>
      <c r="N1074" s="50">
        <f>IFERROR(__xludf.DUMMYFUNCTION("IFERROR(GOOGLEFINANCE(A1074,""TRADETIME""),)"),46269.64583333333)</f>
        <v>46269.64583</v>
      </c>
      <c r="O1074" s="44"/>
      <c r="P1074" s="44"/>
      <c r="Q1074" s="44"/>
      <c r="R1074" s="44"/>
      <c r="S1074" s="44"/>
      <c r="T1074" s="44"/>
      <c r="U1074" s="44"/>
      <c r="V1074" s="44"/>
      <c r="W1074" s="44"/>
      <c r="X1074" s="44"/>
      <c r="Y1074" s="44"/>
      <c r="Z1074" s="44"/>
    </row>
    <row r="1075" ht="15.75" customHeight="1">
      <c r="A1075" s="51" t="s">
        <v>1121</v>
      </c>
      <c r="B1075" s="51" t="str">
        <f>IFERROR(__xludf.DUMMYFUNCTION("IFERROR(GOOGLEFINANCE(A1075,""NAME""),)"),"Phoenix Mills Ltd")</f>
        <v>Phoenix Mills Ltd</v>
      </c>
      <c r="C1075" s="51">
        <f>IFERROR(__xludf.DUMMYFUNCTION("IFERROR(GOOGLEFINANCE(A1075,""CHANGE""),)"),-15.2)</f>
        <v>-15.2</v>
      </c>
      <c r="D1075" s="51">
        <f>IFERROR(__xludf.DUMMYFUNCTION("IFERROR(GOOGLEFINANCE(A1075,""CHANGEPCT""),)"),-0.78)</f>
        <v>-0.78</v>
      </c>
      <c r="E1075" s="51" t="str">
        <f t="shared" si="1"/>
        <v>-0.78%</v>
      </c>
      <c r="F1075" s="51" t="str">
        <f t="shared" si="2"/>
        <v/>
      </c>
      <c r="G1075" s="51">
        <f t="shared" si="3"/>
        <v>-0.78</v>
      </c>
      <c r="H1075" s="51">
        <f>IFERROR(__xludf.DUMMYFUNCTION("IFERROR(GOOGLEFINANCE(A1075,""PRICE""),)"),1944.8)</f>
        <v>1944.8</v>
      </c>
      <c r="I1075" s="52">
        <f>IFERROR(__xludf.DUMMYFUNCTION("IFERROR(GOOGLEFINANCE(A1075,""VOLUME""),)"),263929.0)</f>
        <v>263929</v>
      </c>
      <c r="J1075" s="51" t="str">
        <f>IFERROR(__xludf.DUMMYFUNCTION("IFERROR(INDEX(SPLIT(A1075,"":""),1,2),)"),"PHOENIXLTD")</f>
        <v>PHOENIXLTD</v>
      </c>
      <c r="K1075" s="51" t="str">
        <f t="shared" si="4"/>
        <v/>
      </c>
      <c r="L1075" s="51">
        <f t="shared" si="5"/>
        <v>295</v>
      </c>
      <c r="M1075" s="51">
        <f t="shared" si="6"/>
        <v>555</v>
      </c>
      <c r="N1075" s="53">
        <f>IFERROR(__xludf.DUMMYFUNCTION("IFERROR(GOOGLEFINANCE(A1075,""TRADETIME""),)"),46269.64583333333)</f>
        <v>46269.64583</v>
      </c>
      <c r="O1075" s="44"/>
      <c r="P1075" s="44"/>
      <c r="Q1075" s="44"/>
      <c r="R1075" s="44"/>
      <c r="S1075" s="44"/>
      <c r="T1075" s="44"/>
      <c r="U1075" s="44"/>
      <c r="V1075" s="44"/>
      <c r="W1075" s="44"/>
      <c r="X1075" s="44"/>
      <c r="Y1075" s="44"/>
      <c r="Z1075" s="44"/>
    </row>
    <row r="1076" ht="15.75" customHeight="1">
      <c r="A1076" s="48" t="s">
        <v>1122</v>
      </c>
      <c r="B1076" s="48" t="str">
        <f>IFERROR(__xludf.DUMMYFUNCTION("IFERROR(GOOGLEFINANCE(A1076,""NAME""),)"),"Pidilite Industries Ltd")</f>
        <v>Pidilite Industries Ltd</v>
      </c>
      <c r="C1076" s="48">
        <f>IFERROR(__xludf.DUMMYFUNCTION("IFERROR(GOOGLEFINANCE(A1076,""CHANGE""),)"),-4.2)</f>
        <v>-4.2</v>
      </c>
      <c r="D1076" s="48">
        <f>IFERROR(__xludf.DUMMYFUNCTION("IFERROR(GOOGLEFINANCE(A1076,""CHANGEPCT""),)"),-0.26)</f>
        <v>-0.26</v>
      </c>
      <c r="E1076" s="48" t="str">
        <f t="shared" si="1"/>
        <v>-0.26%</v>
      </c>
      <c r="F1076" s="48" t="str">
        <f t="shared" si="2"/>
        <v/>
      </c>
      <c r="G1076" s="48">
        <f t="shared" si="3"/>
        <v>-0.26</v>
      </c>
      <c r="H1076" s="48">
        <f>IFERROR(__xludf.DUMMYFUNCTION("IFERROR(GOOGLEFINANCE(A1076,""PRICE""),)"),1634.1)</f>
        <v>1634.1</v>
      </c>
      <c r="I1076" s="49">
        <f>IFERROR(__xludf.DUMMYFUNCTION("IFERROR(GOOGLEFINANCE(A1076,""VOLUME""),)"),605836.0)</f>
        <v>605836</v>
      </c>
      <c r="J1076" s="48" t="str">
        <f>IFERROR(__xludf.DUMMYFUNCTION("IFERROR(INDEX(SPLIT(A1076,"":""),1,2),)"),"PIDILITIND")</f>
        <v>PIDILITIND</v>
      </c>
      <c r="K1076" s="48" t="str">
        <f t="shared" si="4"/>
        <v/>
      </c>
      <c r="L1076" s="48">
        <f t="shared" si="5"/>
        <v>95</v>
      </c>
      <c r="M1076" s="48">
        <f t="shared" si="6"/>
        <v>356</v>
      </c>
      <c r="N1076" s="50">
        <f>IFERROR(__xludf.DUMMYFUNCTION("IFERROR(GOOGLEFINANCE(A1076,""TRADETIME""),)"),46269.64583333333)</f>
        <v>46269.64583</v>
      </c>
      <c r="O1076" s="44"/>
      <c r="P1076" s="44"/>
      <c r="Q1076" s="44"/>
      <c r="R1076" s="44"/>
      <c r="S1076" s="44"/>
      <c r="T1076" s="44"/>
      <c r="U1076" s="44"/>
      <c r="V1076" s="44"/>
      <c r="W1076" s="44"/>
      <c r="X1076" s="44"/>
      <c r="Y1076" s="44"/>
      <c r="Z1076" s="44"/>
    </row>
    <row r="1077" ht="15.75" customHeight="1">
      <c r="A1077" s="51" t="s">
        <v>1123</v>
      </c>
      <c r="B1077" s="51" t="str">
        <f>IFERROR(__xludf.DUMMYFUNCTION("IFERROR(GOOGLEFINANCE(A1077,""NAME""),)"),"PI Industries Ltd")</f>
        <v>PI Industries Ltd</v>
      </c>
      <c r="C1077" s="51">
        <f>IFERROR(__xludf.DUMMYFUNCTION("IFERROR(GOOGLEFINANCE(A1077,""CHANGE""),)"),55.1)</f>
        <v>55.1</v>
      </c>
      <c r="D1077" s="51">
        <f>IFERROR(__xludf.DUMMYFUNCTION("IFERROR(GOOGLEFINANCE(A1077,""CHANGEPCT""),)"),2.28)</f>
        <v>2.28</v>
      </c>
      <c r="E1077" s="51" t="str">
        <f t="shared" si="1"/>
        <v>2.28%</v>
      </c>
      <c r="F1077" s="51">
        <f t="shared" si="2"/>
        <v>2.28</v>
      </c>
      <c r="G1077" s="51" t="str">
        <f t="shared" si="3"/>
        <v/>
      </c>
      <c r="H1077" s="51">
        <f>IFERROR(__xludf.DUMMYFUNCTION("IFERROR(GOOGLEFINANCE(A1077,""PRICE""),)"),2475.0)</f>
        <v>2475</v>
      </c>
      <c r="I1077" s="52">
        <f>IFERROR(__xludf.DUMMYFUNCTION("IFERROR(GOOGLEFINANCE(A1077,""VOLUME""),)"),415878.0)</f>
        <v>415878</v>
      </c>
      <c r="J1077" s="51" t="str">
        <f>IFERROR(__xludf.DUMMYFUNCTION("IFERROR(INDEX(SPLIT(A1077,"":""),1,2),)"),"PIIND")</f>
        <v>PIIND</v>
      </c>
      <c r="K1077" s="51">
        <f t="shared" si="4"/>
        <v>226</v>
      </c>
      <c r="L1077" s="51" t="str">
        <f t="shared" si="5"/>
        <v/>
      </c>
      <c r="M1077" s="51">
        <f t="shared" si="6"/>
        <v>435</v>
      </c>
      <c r="N1077" s="53">
        <f>IFERROR(__xludf.DUMMYFUNCTION("IFERROR(GOOGLEFINANCE(A1077,""TRADETIME""),)"),46269.64583333333)</f>
        <v>46269.64583</v>
      </c>
      <c r="O1077" s="44"/>
      <c r="P1077" s="44"/>
      <c r="Q1077" s="44"/>
      <c r="R1077" s="44"/>
      <c r="S1077" s="44"/>
      <c r="T1077" s="44"/>
      <c r="U1077" s="44"/>
      <c r="V1077" s="44"/>
      <c r="W1077" s="44"/>
      <c r="X1077" s="44"/>
      <c r="Y1077" s="44"/>
      <c r="Z1077" s="44"/>
    </row>
    <row r="1078" ht="15.75" customHeight="1">
      <c r="A1078" s="48" t="s">
        <v>1124</v>
      </c>
      <c r="B1078" s="48" t="str">
        <f>IFERROR(__xludf.DUMMYFUNCTION("IFERROR(GOOGLEFINANCE(A1078,""NAME""),)"),"Pilani Investment &amp; Industries Corp Ltd")</f>
        <v>Pilani Investment &amp; Industries Corp Ltd</v>
      </c>
      <c r="C1078" s="48">
        <f>IFERROR(__xludf.DUMMYFUNCTION("IFERROR(GOOGLEFINANCE(A1078,""CHANGE""),)"),-32.5)</f>
        <v>-32.5</v>
      </c>
      <c r="D1078" s="48">
        <f>IFERROR(__xludf.DUMMYFUNCTION("IFERROR(GOOGLEFINANCE(A1078,""CHANGEPCT""),)"),-0.75)</f>
        <v>-0.75</v>
      </c>
      <c r="E1078" s="48" t="str">
        <f t="shared" si="1"/>
        <v>-0.75%</v>
      </c>
      <c r="F1078" s="48" t="str">
        <f t="shared" si="2"/>
        <v/>
      </c>
      <c r="G1078" s="48">
        <f t="shared" si="3"/>
        <v>-0.75</v>
      </c>
      <c r="H1078" s="48">
        <f>IFERROR(__xludf.DUMMYFUNCTION("IFERROR(GOOGLEFINANCE(A1078,""PRICE""),)"),4322.0)</f>
        <v>4322</v>
      </c>
      <c r="I1078" s="49">
        <f>IFERROR(__xludf.DUMMYFUNCTION("IFERROR(GOOGLEFINANCE(A1078,""VOLUME""),)"),699.0)</f>
        <v>699</v>
      </c>
      <c r="J1078" s="48" t="str">
        <f>IFERROR(__xludf.DUMMYFUNCTION("IFERROR(INDEX(SPLIT(A1078,"":""),1,2),)"),"PILANIINVS")</f>
        <v>PILANIINVS</v>
      </c>
      <c r="K1078" s="48" t="str">
        <f t="shared" si="4"/>
        <v/>
      </c>
      <c r="L1078" s="48">
        <f t="shared" si="5"/>
        <v>284</v>
      </c>
      <c r="M1078" s="48">
        <f t="shared" si="6"/>
        <v>1435</v>
      </c>
      <c r="N1078" s="50">
        <f>IFERROR(__xludf.DUMMYFUNCTION("IFERROR(GOOGLEFINANCE(A1078,""TRADETIME""),)"),46269.64583333333)</f>
        <v>46269.64583</v>
      </c>
      <c r="O1078" s="44"/>
      <c r="P1078" s="44"/>
      <c r="Q1078" s="44"/>
      <c r="R1078" s="44"/>
      <c r="S1078" s="44"/>
      <c r="T1078" s="44"/>
      <c r="U1078" s="44"/>
      <c r="V1078" s="44"/>
      <c r="W1078" s="44"/>
      <c r="X1078" s="44"/>
      <c r="Y1078" s="44"/>
      <c r="Z1078" s="44"/>
    </row>
    <row r="1079" ht="15.75" customHeight="1">
      <c r="A1079" s="51" t="s">
        <v>1125</v>
      </c>
      <c r="B1079" s="51" t="str">
        <f>IFERROR(__xludf.DUMMYFUNCTION("IFERROR(GOOGLEFINANCE(A1079,""NAME""),)"),"Pil Italica Lifestyle Ltd")</f>
        <v>Pil Italica Lifestyle Ltd</v>
      </c>
      <c r="C1079" s="51">
        <f>IFERROR(__xludf.DUMMYFUNCTION("IFERROR(GOOGLEFINANCE(A1079,""CHANGE""),)"),0.05)</f>
        <v>0.05</v>
      </c>
      <c r="D1079" s="51">
        <f>IFERROR(__xludf.DUMMYFUNCTION("IFERROR(GOOGLEFINANCE(A1079,""CHANGEPCT""),)"),0.63)</f>
        <v>0.63</v>
      </c>
      <c r="E1079" s="51" t="str">
        <f t="shared" si="1"/>
        <v>0.63%</v>
      </c>
      <c r="F1079" s="51">
        <f t="shared" si="2"/>
        <v>0.63</v>
      </c>
      <c r="G1079" s="51" t="str">
        <f t="shared" si="3"/>
        <v/>
      </c>
      <c r="H1079" s="51">
        <f>IFERROR(__xludf.DUMMYFUNCTION("IFERROR(GOOGLEFINANCE(A1079,""PRICE""),)"),8.0)</f>
        <v>8</v>
      </c>
      <c r="I1079" s="52">
        <f>IFERROR(__xludf.DUMMYFUNCTION("IFERROR(GOOGLEFINANCE(A1079,""VOLUME""),)"),40149.0)</f>
        <v>40149</v>
      </c>
      <c r="J1079" s="51" t="str">
        <f>IFERROR(__xludf.DUMMYFUNCTION("IFERROR(INDEX(SPLIT(A1079,"":""),1,2),)"),"PILITA")</f>
        <v>PILITA</v>
      </c>
      <c r="K1079" s="51">
        <f t="shared" si="4"/>
        <v>554</v>
      </c>
      <c r="L1079" s="51" t="str">
        <f t="shared" si="5"/>
        <v/>
      </c>
      <c r="M1079" s="51">
        <f t="shared" si="6"/>
        <v>1005</v>
      </c>
      <c r="N1079" s="53">
        <f>IFERROR(__xludf.DUMMYFUNCTION("IFERROR(GOOGLEFINANCE(A1079,""TRADETIME""),)"),46269.64583333333)</f>
        <v>46269.64583</v>
      </c>
      <c r="O1079" s="44"/>
      <c r="P1079" s="44"/>
      <c r="Q1079" s="44"/>
      <c r="R1079" s="44"/>
      <c r="S1079" s="44"/>
      <c r="T1079" s="44"/>
      <c r="U1079" s="44"/>
      <c r="V1079" s="44"/>
      <c r="W1079" s="44"/>
      <c r="X1079" s="44"/>
      <c r="Y1079" s="44"/>
      <c r="Z1079" s="44"/>
    </row>
    <row r="1080" ht="15.75" customHeight="1">
      <c r="A1080" s="48" t="s">
        <v>1126</v>
      </c>
      <c r="B1080" s="48" t="str">
        <f>IFERROR(__xludf.DUMMYFUNCTION("IFERROR(GOOGLEFINANCE(A1080,""NAME""),)"),"Pioneer Embroideries Ltd")</f>
        <v>Pioneer Embroideries Ltd</v>
      </c>
      <c r="C1080" s="48">
        <f>IFERROR(__xludf.DUMMYFUNCTION("IFERROR(GOOGLEFINANCE(A1080,""CHANGE""),)"),-0.05)</f>
        <v>-0.05</v>
      </c>
      <c r="D1080" s="48">
        <f>IFERROR(__xludf.DUMMYFUNCTION("IFERROR(GOOGLEFINANCE(A1080,""CHANGEPCT""),)"),-0.23)</f>
        <v>-0.23</v>
      </c>
      <c r="E1080" s="48" t="str">
        <f t="shared" si="1"/>
        <v>-0.23%</v>
      </c>
      <c r="F1080" s="48" t="str">
        <f t="shared" si="2"/>
        <v/>
      </c>
      <c r="G1080" s="48">
        <f t="shared" si="3"/>
        <v>-0.23</v>
      </c>
      <c r="H1080" s="48">
        <f>IFERROR(__xludf.DUMMYFUNCTION("IFERROR(GOOGLEFINANCE(A1080,""PRICE""),)"),21.6)</f>
        <v>21.6</v>
      </c>
      <c r="I1080" s="49">
        <f>IFERROR(__xludf.DUMMYFUNCTION("IFERROR(GOOGLEFINANCE(A1080,""VOLUME""),)"),62157.0)</f>
        <v>62157</v>
      </c>
      <c r="J1080" s="48" t="str">
        <f>IFERROR(__xludf.DUMMYFUNCTION("IFERROR(INDEX(SPLIT(A1080,"":""),1,2),)"),"PIONEEREMB")</f>
        <v>PIONEEREMB</v>
      </c>
      <c r="K1080" s="48" t="str">
        <f t="shared" si="4"/>
        <v/>
      </c>
      <c r="L1080" s="48">
        <f t="shared" si="5"/>
        <v>84</v>
      </c>
      <c r="M1080" s="48">
        <f t="shared" si="6"/>
        <v>894</v>
      </c>
      <c r="N1080" s="50">
        <f>IFERROR(__xludf.DUMMYFUNCTION("IFERROR(GOOGLEFINANCE(A1080,""TRADETIME""),)"),46269.64583333333)</f>
        <v>46269.64583</v>
      </c>
      <c r="O1080" s="44"/>
      <c r="P1080" s="44"/>
      <c r="Q1080" s="44"/>
      <c r="R1080" s="44"/>
      <c r="S1080" s="44"/>
      <c r="T1080" s="44"/>
      <c r="U1080" s="44"/>
      <c r="V1080" s="44"/>
      <c r="W1080" s="44"/>
      <c r="X1080" s="44"/>
      <c r="Y1080" s="44"/>
      <c r="Z1080" s="44"/>
    </row>
    <row r="1081" ht="15.75" customHeight="1">
      <c r="A1081" s="51" t="s">
        <v>1127</v>
      </c>
      <c r="B1081" s="51" t="str">
        <f>IFERROR(__xludf.DUMMYFUNCTION("IFERROR(GOOGLEFINANCE(A1081,""NAME""),)"),"Pitti Engineering Ltd")</f>
        <v>Pitti Engineering Ltd</v>
      </c>
      <c r="C1081" s="51">
        <f>IFERROR(__xludf.DUMMYFUNCTION("IFERROR(GOOGLEFINANCE(A1081,""CHANGE""),)"),-15.1)</f>
        <v>-15.1</v>
      </c>
      <c r="D1081" s="51">
        <f>IFERROR(__xludf.DUMMYFUNCTION("IFERROR(GOOGLEFINANCE(A1081,""CHANGEPCT""),)"),-1.37)</f>
        <v>-1.37</v>
      </c>
      <c r="E1081" s="51" t="str">
        <f t="shared" si="1"/>
        <v>-1.37%</v>
      </c>
      <c r="F1081" s="51" t="str">
        <f t="shared" si="2"/>
        <v/>
      </c>
      <c r="G1081" s="51">
        <f t="shared" si="3"/>
        <v>-1.37</v>
      </c>
      <c r="H1081" s="51">
        <f>IFERROR(__xludf.DUMMYFUNCTION("IFERROR(GOOGLEFINANCE(A1081,""PRICE""),)"),1090.0)</f>
        <v>1090</v>
      </c>
      <c r="I1081" s="52">
        <f>IFERROR(__xludf.DUMMYFUNCTION("IFERROR(GOOGLEFINANCE(A1081,""VOLUME""),)"),48625.0)</f>
        <v>48625</v>
      </c>
      <c r="J1081" s="51" t="str">
        <f>IFERROR(__xludf.DUMMYFUNCTION("IFERROR(INDEX(SPLIT(A1081,"":""),1,2),)"),"PITTIENG")</f>
        <v>PITTIENG</v>
      </c>
      <c r="K1081" s="51" t="str">
        <f t="shared" si="4"/>
        <v/>
      </c>
      <c r="L1081" s="51">
        <f t="shared" si="5"/>
        <v>422</v>
      </c>
      <c r="M1081" s="51">
        <f t="shared" si="6"/>
        <v>955</v>
      </c>
      <c r="N1081" s="53">
        <f>IFERROR(__xludf.DUMMYFUNCTION("IFERROR(GOOGLEFINANCE(A1081,""TRADETIME""),)"),46269.64583333333)</f>
        <v>46269.64583</v>
      </c>
      <c r="O1081" s="44"/>
      <c r="P1081" s="44"/>
      <c r="Q1081" s="44"/>
      <c r="R1081" s="44"/>
      <c r="S1081" s="44"/>
      <c r="T1081" s="44"/>
      <c r="U1081" s="44"/>
      <c r="V1081" s="44"/>
      <c r="W1081" s="44"/>
      <c r="X1081" s="44"/>
      <c r="Y1081" s="44"/>
      <c r="Z1081" s="44"/>
    </row>
    <row r="1082" ht="15.75" customHeight="1">
      <c r="A1082" s="48" t="s">
        <v>1128</v>
      </c>
      <c r="B1082" s="48" t="str">
        <f>IFERROR(__xludf.DUMMYFUNCTION("IFERROR(GOOGLEFINANCE(A1082,""NAME""),)"),"Peria Karamalai Tea and Produc Cmpny Ltd")</f>
        <v>Peria Karamalai Tea and Produc Cmpny Ltd</v>
      </c>
      <c r="C1082" s="48">
        <f>IFERROR(__xludf.DUMMYFUNCTION("IFERROR(GOOGLEFINANCE(A1082,""CHANGE""),)"),46.25)</f>
        <v>46.25</v>
      </c>
      <c r="D1082" s="48">
        <f>IFERROR(__xludf.DUMMYFUNCTION("IFERROR(GOOGLEFINANCE(A1082,""CHANGEPCT""),)"),6.15)</f>
        <v>6.15</v>
      </c>
      <c r="E1082" s="48" t="str">
        <f t="shared" si="1"/>
        <v>6.15%</v>
      </c>
      <c r="F1082" s="48">
        <f t="shared" si="2"/>
        <v>6.15</v>
      </c>
      <c r="G1082" s="48" t="str">
        <f t="shared" si="3"/>
        <v/>
      </c>
      <c r="H1082" s="48">
        <f>IFERROR(__xludf.DUMMYFUNCTION("IFERROR(GOOGLEFINANCE(A1082,""PRICE""),)"),798.0)</f>
        <v>798</v>
      </c>
      <c r="I1082" s="49">
        <f>IFERROR(__xludf.DUMMYFUNCTION("IFERROR(GOOGLEFINANCE(A1082,""VOLUME""),)"),6257.0)</f>
        <v>6257</v>
      </c>
      <c r="J1082" s="48" t="str">
        <f>IFERROR(__xludf.DUMMYFUNCTION("IFERROR(INDEX(SPLIT(A1082,"":""),1,2),)"),"PKTEA")</f>
        <v>PKTEA</v>
      </c>
      <c r="K1082" s="48">
        <f t="shared" si="4"/>
        <v>32</v>
      </c>
      <c r="L1082" s="48" t="str">
        <f t="shared" si="5"/>
        <v/>
      </c>
      <c r="M1082" s="48">
        <f t="shared" si="6"/>
        <v>1302</v>
      </c>
      <c r="N1082" s="50">
        <f>IFERROR(__xludf.DUMMYFUNCTION("IFERROR(GOOGLEFINANCE(A1082,""TRADETIME""),)"),46269.64583333333)</f>
        <v>46269.64583</v>
      </c>
      <c r="O1082" s="44"/>
      <c r="P1082" s="44"/>
      <c r="Q1082" s="44"/>
      <c r="R1082" s="44"/>
      <c r="S1082" s="44"/>
      <c r="T1082" s="44"/>
      <c r="U1082" s="44"/>
      <c r="V1082" s="44"/>
      <c r="W1082" s="44"/>
      <c r="X1082" s="44"/>
      <c r="Y1082" s="44"/>
      <c r="Z1082" s="44"/>
    </row>
    <row r="1083" ht="15.75" customHeight="1">
      <c r="A1083" s="51" t="s">
        <v>1129</v>
      </c>
      <c r="B1083" s="51" t="str">
        <f>IFERROR(__xludf.DUMMYFUNCTION("IFERROR(GOOGLEFINANCE(A1083,""NAME""),)"),"Plastiblends India Ltd")</f>
        <v>Plastiblends India Ltd</v>
      </c>
      <c r="C1083" s="51">
        <f>IFERROR(__xludf.DUMMYFUNCTION("IFERROR(GOOGLEFINANCE(A1083,""CHANGE""),)"),-0.73)</f>
        <v>-0.73</v>
      </c>
      <c r="D1083" s="51">
        <f>IFERROR(__xludf.DUMMYFUNCTION("IFERROR(GOOGLEFINANCE(A1083,""CHANGEPCT""),)"),-0.39)</f>
        <v>-0.39</v>
      </c>
      <c r="E1083" s="51" t="str">
        <f t="shared" si="1"/>
        <v>-0.39%</v>
      </c>
      <c r="F1083" s="51" t="str">
        <f t="shared" si="2"/>
        <v/>
      </c>
      <c r="G1083" s="51">
        <f t="shared" si="3"/>
        <v>-0.39</v>
      </c>
      <c r="H1083" s="51">
        <f>IFERROR(__xludf.DUMMYFUNCTION("IFERROR(GOOGLEFINANCE(A1083,""PRICE""),)"),187.6)</f>
        <v>187.6</v>
      </c>
      <c r="I1083" s="52">
        <f>IFERROR(__xludf.DUMMYFUNCTION("IFERROR(GOOGLEFINANCE(A1083,""VOLUME""),)"),13407.0)</f>
        <v>13407</v>
      </c>
      <c r="J1083" s="51" t="str">
        <f>IFERROR(__xludf.DUMMYFUNCTION("IFERROR(INDEX(SPLIT(A1083,"":""),1,2),)"),"PLASTIBLEN")</f>
        <v>PLASTIBLEN</v>
      </c>
      <c r="K1083" s="51" t="str">
        <f t="shared" si="4"/>
        <v/>
      </c>
      <c r="L1083" s="51">
        <f t="shared" si="5"/>
        <v>151</v>
      </c>
      <c r="M1083" s="51">
        <f t="shared" si="6"/>
        <v>1194</v>
      </c>
      <c r="N1083" s="53">
        <f>IFERROR(__xludf.DUMMYFUNCTION("IFERROR(GOOGLEFINANCE(A1083,""TRADETIME""),)"),46269.64583333333)</f>
        <v>46269.64583</v>
      </c>
      <c r="O1083" s="44"/>
      <c r="P1083" s="44"/>
      <c r="Q1083" s="44"/>
      <c r="R1083" s="44"/>
      <c r="S1083" s="44"/>
      <c r="T1083" s="44"/>
      <c r="U1083" s="44"/>
      <c r="V1083" s="44"/>
      <c r="W1083" s="44"/>
      <c r="X1083" s="44"/>
      <c r="Y1083" s="44"/>
      <c r="Z1083" s="44"/>
    </row>
    <row r="1084" ht="15.75" customHeight="1">
      <c r="A1084" s="48" t="s">
        <v>1130</v>
      </c>
      <c r="B1084" s="48" t="str">
        <f>IFERROR(__xludf.DUMMYFUNCTION("IFERROR(GOOGLEFINANCE(A1084,""NAME""),)"),"Punjab National Bank")</f>
        <v>Punjab National Bank</v>
      </c>
      <c r="C1084" s="48">
        <f>IFERROR(__xludf.DUMMYFUNCTION("IFERROR(GOOGLEFINANCE(A1084,""CHANGE""),)"),0.92)</f>
        <v>0.92</v>
      </c>
      <c r="D1084" s="48">
        <f>IFERROR(__xludf.DUMMYFUNCTION("IFERROR(GOOGLEFINANCE(A1084,""CHANGEPCT""),)"),0.79)</f>
        <v>0.79</v>
      </c>
      <c r="E1084" s="48" t="str">
        <f t="shared" si="1"/>
        <v>0.79%</v>
      </c>
      <c r="F1084" s="48">
        <f t="shared" si="2"/>
        <v>0.79</v>
      </c>
      <c r="G1084" s="48" t="str">
        <f t="shared" si="3"/>
        <v/>
      </c>
      <c r="H1084" s="48">
        <f>IFERROR(__xludf.DUMMYFUNCTION("IFERROR(GOOGLEFINANCE(A1084,""PRICE""),)"),117.24)</f>
        <v>117.24</v>
      </c>
      <c r="I1084" s="49">
        <f>IFERROR(__xludf.DUMMYFUNCTION("IFERROR(GOOGLEFINANCE(A1084,""VOLUME""),)"),1.1160741E7)</f>
        <v>11160741</v>
      </c>
      <c r="J1084" s="48" t="str">
        <f>IFERROR(__xludf.DUMMYFUNCTION("IFERROR(INDEX(SPLIT(A1084,"":""),1,2),)"),"PNB")</f>
        <v>PNB</v>
      </c>
      <c r="K1084" s="48">
        <f t="shared" si="4"/>
        <v>505</v>
      </c>
      <c r="L1084" s="48" t="str">
        <f t="shared" si="5"/>
        <v/>
      </c>
      <c r="M1084" s="48">
        <f t="shared" si="6"/>
        <v>43</v>
      </c>
      <c r="N1084" s="50">
        <f>IFERROR(__xludf.DUMMYFUNCTION("IFERROR(GOOGLEFINANCE(A1084,""TRADETIME""),)"),46269.64583333333)</f>
        <v>46269.64583</v>
      </c>
      <c r="O1084" s="44"/>
      <c r="P1084" s="44"/>
      <c r="Q1084" s="44"/>
      <c r="R1084" s="44"/>
      <c r="S1084" s="44"/>
      <c r="T1084" s="44"/>
      <c r="U1084" s="44"/>
      <c r="V1084" s="44"/>
      <c r="W1084" s="44"/>
      <c r="X1084" s="44"/>
      <c r="Y1084" s="44"/>
      <c r="Z1084" s="44"/>
    </row>
    <row r="1085" ht="15.75" customHeight="1">
      <c r="A1085" s="51" t="s">
        <v>1131</v>
      </c>
      <c r="B1085" s="51" t="str">
        <f>IFERROR(__xludf.DUMMYFUNCTION("IFERROR(GOOGLEFINANCE(A1085,""NAME""),)"),"PNB Gilts Ltd")</f>
        <v>PNB Gilts Ltd</v>
      </c>
      <c r="C1085" s="51">
        <f>IFERROR(__xludf.DUMMYFUNCTION("IFERROR(GOOGLEFINANCE(A1085,""CHANGE""),)"),4.67)</f>
        <v>4.67</v>
      </c>
      <c r="D1085" s="51">
        <f>IFERROR(__xludf.DUMMYFUNCTION("IFERROR(GOOGLEFINANCE(A1085,""CHANGEPCT""),)"),5.94)</f>
        <v>5.94</v>
      </c>
      <c r="E1085" s="51" t="str">
        <f t="shared" si="1"/>
        <v>5.94%</v>
      </c>
      <c r="F1085" s="51">
        <f t="shared" si="2"/>
        <v>5.94</v>
      </c>
      <c r="G1085" s="51" t="str">
        <f t="shared" si="3"/>
        <v/>
      </c>
      <c r="H1085" s="51">
        <f>IFERROR(__xludf.DUMMYFUNCTION("IFERROR(GOOGLEFINANCE(A1085,""PRICE""),)"),83.3)</f>
        <v>83.3</v>
      </c>
      <c r="I1085" s="52">
        <f>IFERROR(__xludf.DUMMYFUNCTION("IFERROR(GOOGLEFINANCE(A1085,""VOLUME""),)"),2416618.0)</f>
        <v>2416618</v>
      </c>
      <c r="J1085" s="51" t="str">
        <f>IFERROR(__xludf.DUMMYFUNCTION("IFERROR(INDEX(SPLIT(A1085,"":""),1,2),)"),"PNBGILTS")</f>
        <v>PNBGILTS</v>
      </c>
      <c r="K1085" s="51">
        <f t="shared" si="4"/>
        <v>37</v>
      </c>
      <c r="L1085" s="51" t="str">
        <f t="shared" si="5"/>
        <v/>
      </c>
      <c r="M1085" s="51">
        <f t="shared" si="6"/>
        <v>151</v>
      </c>
      <c r="N1085" s="53">
        <f>IFERROR(__xludf.DUMMYFUNCTION("IFERROR(GOOGLEFINANCE(A1085,""TRADETIME""),)"),46269.64583333333)</f>
        <v>46269.64583</v>
      </c>
      <c r="O1085" s="44"/>
      <c r="P1085" s="44"/>
      <c r="Q1085" s="44"/>
      <c r="R1085" s="44"/>
      <c r="S1085" s="44"/>
      <c r="T1085" s="44"/>
      <c r="U1085" s="44"/>
      <c r="V1085" s="44"/>
      <c r="W1085" s="44"/>
      <c r="X1085" s="44"/>
      <c r="Y1085" s="44"/>
      <c r="Z1085" s="44"/>
    </row>
    <row r="1086" ht="15.75" customHeight="1">
      <c r="A1086" s="48" t="s">
        <v>1132</v>
      </c>
      <c r="B1086" s="48" t="str">
        <f>IFERROR(__xludf.DUMMYFUNCTION("IFERROR(GOOGLEFINANCE(A1086,""NAME""),)"),"PNB Housing Finance Ltd.")</f>
        <v>PNB Housing Finance Ltd.</v>
      </c>
      <c r="C1086" s="48">
        <f>IFERROR(__xludf.DUMMYFUNCTION("IFERROR(GOOGLEFINANCE(A1086,""CHANGE""),)"),19.5)</f>
        <v>19.5</v>
      </c>
      <c r="D1086" s="48">
        <f>IFERROR(__xludf.DUMMYFUNCTION("IFERROR(GOOGLEFINANCE(A1086,""CHANGEPCT""),)"),1.7)</f>
        <v>1.7</v>
      </c>
      <c r="E1086" s="48" t="str">
        <f t="shared" si="1"/>
        <v>1.7%</v>
      </c>
      <c r="F1086" s="48">
        <f t="shared" si="2"/>
        <v>1.7</v>
      </c>
      <c r="G1086" s="48" t="str">
        <f t="shared" si="3"/>
        <v/>
      </c>
      <c r="H1086" s="48">
        <f>IFERROR(__xludf.DUMMYFUNCTION("IFERROR(GOOGLEFINANCE(A1086,""PRICE""),)"),1165.0)</f>
        <v>1165</v>
      </c>
      <c r="I1086" s="49">
        <f>IFERROR(__xludf.DUMMYFUNCTION("IFERROR(GOOGLEFINANCE(A1086,""VOLUME""),)"),923575.0)</f>
        <v>923575</v>
      </c>
      <c r="J1086" s="48" t="str">
        <f>IFERROR(__xludf.DUMMYFUNCTION("IFERROR(INDEX(SPLIT(A1086,"":""),1,2),)"),"PNBHOUSING")</f>
        <v>PNBHOUSING</v>
      </c>
      <c r="K1086" s="48">
        <f t="shared" si="4"/>
        <v>311</v>
      </c>
      <c r="L1086" s="48" t="str">
        <f t="shared" si="5"/>
        <v/>
      </c>
      <c r="M1086" s="48">
        <f t="shared" si="6"/>
        <v>290</v>
      </c>
      <c r="N1086" s="50">
        <f>IFERROR(__xludf.DUMMYFUNCTION("IFERROR(GOOGLEFINANCE(A1086,""TRADETIME""),)"),46269.64583333333)</f>
        <v>46269.64583</v>
      </c>
      <c r="O1086" s="44"/>
      <c r="P1086" s="44"/>
      <c r="Q1086" s="44"/>
      <c r="R1086" s="44"/>
      <c r="S1086" s="44"/>
      <c r="T1086" s="44"/>
      <c r="U1086" s="44"/>
      <c r="V1086" s="44"/>
      <c r="W1086" s="44"/>
      <c r="X1086" s="44"/>
      <c r="Y1086" s="44"/>
      <c r="Z1086" s="44"/>
    </row>
    <row r="1087" ht="15.75" customHeight="1">
      <c r="A1087" s="51" t="s">
        <v>1133</v>
      </c>
      <c r="B1087" s="51" t="str">
        <f>IFERROR(__xludf.DUMMYFUNCTION("IFERROR(GOOGLEFINANCE(A1087,""NAME""),)"),"Pritish Nandy Communications Ltd")</f>
        <v>Pritish Nandy Communications Ltd</v>
      </c>
      <c r="C1087" s="51">
        <f>IFERROR(__xludf.DUMMYFUNCTION("IFERROR(GOOGLEFINANCE(A1087,""CHANGE""),)"),0.13)</f>
        <v>0.13</v>
      </c>
      <c r="D1087" s="51">
        <f>IFERROR(__xludf.DUMMYFUNCTION("IFERROR(GOOGLEFINANCE(A1087,""CHANGEPCT""),)"),0.78)</f>
        <v>0.78</v>
      </c>
      <c r="E1087" s="51" t="str">
        <f t="shared" si="1"/>
        <v>0.78%</v>
      </c>
      <c r="F1087" s="51">
        <f t="shared" si="2"/>
        <v>0.78</v>
      </c>
      <c r="G1087" s="51" t="str">
        <f t="shared" si="3"/>
        <v/>
      </c>
      <c r="H1087" s="51">
        <f>IFERROR(__xludf.DUMMYFUNCTION("IFERROR(GOOGLEFINANCE(A1087,""PRICE""),)"),16.75)</f>
        <v>16.75</v>
      </c>
      <c r="I1087" s="52">
        <f>IFERROR(__xludf.DUMMYFUNCTION("IFERROR(GOOGLEFINANCE(A1087,""VOLUME""),)"),4397.0)</f>
        <v>4397</v>
      </c>
      <c r="J1087" s="51" t="str">
        <f>IFERROR(__xludf.DUMMYFUNCTION("IFERROR(INDEX(SPLIT(A1087,"":""),1,2),)"),"PNC")</f>
        <v>PNC</v>
      </c>
      <c r="K1087" s="51">
        <f t="shared" si="4"/>
        <v>507</v>
      </c>
      <c r="L1087" s="51" t="str">
        <f t="shared" si="5"/>
        <v/>
      </c>
      <c r="M1087" s="51">
        <f t="shared" si="6"/>
        <v>1338</v>
      </c>
      <c r="N1087" s="53">
        <f>IFERROR(__xludf.DUMMYFUNCTION("IFERROR(GOOGLEFINANCE(A1087,""TRADETIME""),)"),46269.64583333333)</f>
        <v>46269.64583</v>
      </c>
      <c r="O1087" s="44"/>
      <c r="P1087" s="44"/>
      <c r="Q1087" s="44"/>
      <c r="R1087" s="44"/>
      <c r="S1087" s="44"/>
      <c r="T1087" s="44"/>
      <c r="U1087" s="44"/>
      <c r="V1087" s="44"/>
      <c r="W1087" s="44"/>
      <c r="X1087" s="44"/>
      <c r="Y1087" s="44"/>
      <c r="Z1087" s="44"/>
    </row>
    <row r="1088" ht="15.75" customHeight="1">
      <c r="A1088" s="48" t="s">
        <v>1134</v>
      </c>
      <c r="B1088" s="48" t="str">
        <f>IFERROR(__xludf.DUMMYFUNCTION("IFERROR(GOOGLEFINANCE(A1088,""NAME""),)"),"PNC Infratech Ltd")</f>
        <v>PNC Infratech Ltd</v>
      </c>
      <c r="C1088" s="48">
        <f>IFERROR(__xludf.DUMMYFUNCTION("IFERROR(GOOGLEFINANCE(A1088,""CHANGE""),)"),0.03)</f>
        <v>0.03</v>
      </c>
      <c r="D1088" s="48">
        <f>IFERROR(__xludf.DUMMYFUNCTION("IFERROR(GOOGLEFINANCE(A1088,""CHANGEPCT""),)"),0.02)</f>
        <v>0.02</v>
      </c>
      <c r="E1088" s="48" t="str">
        <f t="shared" si="1"/>
        <v>0.02%</v>
      </c>
      <c r="F1088" s="48">
        <f t="shared" si="2"/>
        <v>0.02</v>
      </c>
      <c r="G1088" s="48" t="str">
        <f t="shared" si="3"/>
        <v/>
      </c>
      <c r="H1088" s="48">
        <f>IFERROR(__xludf.DUMMYFUNCTION("IFERROR(GOOGLEFINANCE(A1088,""PRICE""),)"),183.0)</f>
        <v>183</v>
      </c>
      <c r="I1088" s="49">
        <f>IFERROR(__xludf.DUMMYFUNCTION("IFERROR(GOOGLEFINANCE(A1088,""VOLUME""),)"),499774.0)</f>
        <v>499774</v>
      </c>
      <c r="J1088" s="48" t="str">
        <f>IFERROR(__xludf.DUMMYFUNCTION("IFERROR(INDEX(SPLIT(A1088,"":""),1,2),)"),"PNCINFRA")</f>
        <v>PNCINFRA</v>
      </c>
      <c r="K1088" s="48">
        <f t="shared" si="4"/>
        <v>776</v>
      </c>
      <c r="L1088" s="48" t="str">
        <f t="shared" si="5"/>
        <v/>
      </c>
      <c r="M1088" s="48">
        <f t="shared" si="6"/>
        <v>394</v>
      </c>
      <c r="N1088" s="50">
        <f>IFERROR(__xludf.DUMMYFUNCTION("IFERROR(GOOGLEFINANCE(A1088,""TRADETIME""),)"),46269.64585648148)</f>
        <v>46269.64586</v>
      </c>
      <c r="O1088" s="44"/>
      <c r="P1088" s="44"/>
      <c r="Q1088" s="44"/>
      <c r="R1088" s="44"/>
      <c r="S1088" s="44"/>
      <c r="T1088" s="44"/>
      <c r="U1088" s="44"/>
      <c r="V1088" s="44"/>
      <c r="W1088" s="44"/>
      <c r="X1088" s="44"/>
      <c r="Y1088" s="44"/>
      <c r="Z1088" s="44"/>
    </row>
    <row r="1089" ht="15.75" customHeight="1">
      <c r="A1089" s="51" t="s">
        <v>1135</v>
      </c>
      <c r="B1089" s="51" t="str">
        <f>IFERROR(__xludf.DUMMYFUNCTION("IFERROR(GOOGLEFINANCE(A1089,""NAME""),)"),"")</f>
        <v/>
      </c>
      <c r="C1089" s="51" t="str">
        <f>IFERROR(__xludf.DUMMYFUNCTION("IFERROR(GOOGLEFINANCE(A1089,""CHANGE""),)"),"")</f>
        <v/>
      </c>
      <c r="D1089" s="51" t="str">
        <f>IFERROR(__xludf.DUMMYFUNCTION("IFERROR(GOOGLEFINANCE(A1089,""CHANGEPCT""),)"),"")</f>
        <v/>
      </c>
      <c r="E1089" s="51" t="str">
        <f t="shared" si="1"/>
        <v>%</v>
      </c>
      <c r="F1089" s="51" t="str">
        <f t="shared" si="2"/>
        <v/>
      </c>
      <c r="G1089" s="51" t="str">
        <f t="shared" si="3"/>
        <v/>
      </c>
      <c r="H1089" s="51" t="str">
        <f>IFERROR(__xludf.DUMMYFUNCTION("IFERROR(GOOGLEFINANCE(A1089,""PRICE""),)"),"")</f>
        <v/>
      </c>
      <c r="I1089" s="52" t="str">
        <f>IFERROR(__xludf.DUMMYFUNCTION("IFERROR(GOOGLEFINANCE(A1089,""VOLUME""),)"),"")</f>
        <v/>
      </c>
      <c r="J1089" s="51" t="str">
        <f>IFERROR(__xludf.DUMMYFUNCTION("IFERROR(INDEX(SPLIT(A1089,"":""),1,2),)"),"PODDARHOUS")</f>
        <v>PODDARHOUS</v>
      </c>
      <c r="K1089" s="51" t="str">
        <f t="shared" si="4"/>
        <v/>
      </c>
      <c r="L1089" s="51" t="str">
        <f t="shared" si="5"/>
        <v/>
      </c>
      <c r="M1089" s="51">
        <f t="shared" si="6"/>
        <v>1456</v>
      </c>
      <c r="N1089" s="53" t="str">
        <f>IFERROR(__xludf.DUMMYFUNCTION("IFERROR(GOOGLEFINANCE(A1089,""TRADETIME""),)"),"")</f>
        <v/>
      </c>
      <c r="O1089" s="44"/>
      <c r="P1089" s="44"/>
      <c r="Q1089" s="44"/>
      <c r="R1089" s="44"/>
      <c r="S1089" s="44"/>
      <c r="T1089" s="44"/>
      <c r="U1089" s="44"/>
      <c r="V1089" s="44"/>
      <c r="W1089" s="44"/>
      <c r="X1089" s="44"/>
      <c r="Y1089" s="44"/>
      <c r="Z1089" s="44"/>
    </row>
    <row r="1090" ht="15.75" customHeight="1">
      <c r="A1090" s="48" t="s">
        <v>1136</v>
      </c>
      <c r="B1090" s="48" t="str">
        <f>IFERROR(__xludf.DUMMYFUNCTION("IFERROR(GOOGLEFINANCE(A1090,""NAME""),)"),"Poddar Pigments Ltd")</f>
        <v>Poddar Pigments Ltd</v>
      </c>
      <c r="C1090" s="48">
        <f>IFERROR(__xludf.DUMMYFUNCTION("IFERROR(GOOGLEFINANCE(A1090,""CHANGE""),)"),2.15)</f>
        <v>2.15</v>
      </c>
      <c r="D1090" s="48">
        <f>IFERROR(__xludf.DUMMYFUNCTION("IFERROR(GOOGLEFINANCE(A1090,""CHANGEPCT""),)"),0.84)</f>
        <v>0.84</v>
      </c>
      <c r="E1090" s="48" t="str">
        <f t="shared" si="1"/>
        <v>0.84%</v>
      </c>
      <c r="F1090" s="48">
        <f t="shared" si="2"/>
        <v>0.84</v>
      </c>
      <c r="G1090" s="48" t="str">
        <f t="shared" si="3"/>
        <v/>
      </c>
      <c r="H1090" s="48">
        <f>IFERROR(__xludf.DUMMYFUNCTION("IFERROR(GOOGLEFINANCE(A1090,""PRICE""),)"),257.75)</f>
        <v>257.75</v>
      </c>
      <c r="I1090" s="49">
        <f>IFERROR(__xludf.DUMMYFUNCTION("IFERROR(GOOGLEFINANCE(A1090,""VOLUME""),)"),2908.0)</f>
        <v>2908</v>
      </c>
      <c r="J1090" s="48" t="str">
        <f>IFERROR(__xludf.DUMMYFUNCTION("IFERROR(INDEX(SPLIT(A1090,"":""),1,2),)"),"PODDARMENT")</f>
        <v>PODDARMENT</v>
      </c>
      <c r="K1090" s="48">
        <f t="shared" si="4"/>
        <v>489</v>
      </c>
      <c r="L1090" s="48" t="str">
        <f t="shared" si="5"/>
        <v/>
      </c>
      <c r="M1090" s="48">
        <f t="shared" si="6"/>
        <v>1369</v>
      </c>
      <c r="N1090" s="50">
        <f>IFERROR(__xludf.DUMMYFUNCTION("IFERROR(GOOGLEFINANCE(A1090,""TRADETIME""),)"),46269.64583333333)</f>
        <v>46269.64583</v>
      </c>
      <c r="O1090" s="44"/>
      <c r="P1090" s="44"/>
      <c r="Q1090" s="44"/>
      <c r="R1090" s="44"/>
      <c r="S1090" s="44"/>
      <c r="T1090" s="44"/>
      <c r="U1090" s="44"/>
      <c r="V1090" s="44"/>
      <c r="W1090" s="44"/>
      <c r="X1090" s="44"/>
      <c r="Y1090" s="44"/>
      <c r="Z1090" s="44"/>
    </row>
    <row r="1091" ht="15.75" customHeight="1">
      <c r="A1091" s="51" t="s">
        <v>1137</v>
      </c>
      <c r="B1091" s="51" t="str">
        <f>IFERROR(__xludf.DUMMYFUNCTION("IFERROR(GOOGLEFINANCE(A1091,""NAME""),)"),"Pokarna Ltd")</f>
        <v>Pokarna Ltd</v>
      </c>
      <c r="C1091" s="51">
        <f>IFERROR(__xludf.DUMMYFUNCTION("IFERROR(GOOGLEFINANCE(A1091,""CHANGE""),)"),-14.8)</f>
        <v>-14.8</v>
      </c>
      <c r="D1091" s="51">
        <f>IFERROR(__xludf.DUMMYFUNCTION("IFERROR(GOOGLEFINANCE(A1091,""CHANGEPCT""),)"),-1.78)</f>
        <v>-1.78</v>
      </c>
      <c r="E1091" s="51" t="str">
        <f t="shared" si="1"/>
        <v>-1.78%</v>
      </c>
      <c r="F1091" s="51" t="str">
        <f t="shared" si="2"/>
        <v/>
      </c>
      <c r="G1091" s="51">
        <f t="shared" si="3"/>
        <v>-1.78</v>
      </c>
      <c r="H1091" s="51">
        <f>IFERROR(__xludf.DUMMYFUNCTION("IFERROR(GOOGLEFINANCE(A1091,""PRICE""),)"),816.6)</f>
        <v>816.6</v>
      </c>
      <c r="I1091" s="52">
        <f>IFERROR(__xludf.DUMMYFUNCTION("IFERROR(GOOGLEFINANCE(A1091,""VOLUME""),)"),49926.0)</f>
        <v>49926</v>
      </c>
      <c r="J1091" s="51" t="str">
        <f>IFERROR(__xludf.DUMMYFUNCTION("IFERROR(INDEX(SPLIT(A1091,"":""),1,2),)"),"POKARNA")</f>
        <v>POKARNA</v>
      </c>
      <c r="K1091" s="51" t="str">
        <f t="shared" si="4"/>
        <v/>
      </c>
      <c r="L1091" s="51">
        <f t="shared" si="5"/>
        <v>491</v>
      </c>
      <c r="M1091" s="51">
        <f t="shared" si="6"/>
        <v>947</v>
      </c>
      <c r="N1091" s="53">
        <f>IFERROR(__xludf.DUMMYFUNCTION("IFERROR(GOOGLEFINANCE(A1091,""TRADETIME""),)"),46269.64583333333)</f>
        <v>46269.64583</v>
      </c>
      <c r="O1091" s="44"/>
      <c r="P1091" s="44"/>
      <c r="Q1091" s="44"/>
      <c r="R1091" s="44"/>
      <c r="S1091" s="44"/>
      <c r="T1091" s="44"/>
      <c r="U1091" s="44"/>
      <c r="V1091" s="44"/>
      <c r="W1091" s="44"/>
      <c r="X1091" s="44"/>
      <c r="Y1091" s="44"/>
      <c r="Z1091" s="44"/>
    </row>
    <row r="1092" ht="15.75" customHeight="1">
      <c r="A1092" s="48" t="s">
        <v>1138</v>
      </c>
      <c r="B1092" s="48" t="str">
        <f>IFERROR(__xludf.DUMMYFUNCTION("IFERROR(GOOGLEFINANCE(A1092,""NAME""),)"),"Polycab India Ltd")</f>
        <v>Polycab India Ltd</v>
      </c>
      <c r="C1092" s="48">
        <f>IFERROR(__xludf.DUMMYFUNCTION("IFERROR(GOOGLEFINANCE(A1092,""CHANGE""),)"),-490.0)</f>
        <v>-490</v>
      </c>
      <c r="D1092" s="48">
        <f>IFERROR(__xludf.DUMMYFUNCTION("IFERROR(GOOGLEFINANCE(A1092,""CHANGEPCT""),)"),-5.56)</f>
        <v>-5.56</v>
      </c>
      <c r="E1092" s="48" t="str">
        <f t="shared" si="1"/>
        <v>-5.56%</v>
      </c>
      <c r="F1092" s="48" t="str">
        <f t="shared" si="2"/>
        <v/>
      </c>
      <c r="G1092" s="48">
        <f t="shared" si="3"/>
        <v>-5.56</v>
      </c>
      <c r="H1092" s="48">
        <f>IFERROR(__xludf.DUMMYFUNCTION("IFERROR(GOOGLEFINANCE(A1092,""PRICE""),)"),8317.5)</f>
        <v>8317.5</v>
      </c>
      <c r="I1092" s="49">
        <f>IFERROR(__xludf.DUMMYFUNCTION("IFERROR(GOOGLEFINANCE(A1092,""VOLUME""),)"),1559741.0)</f>
        <v>1559741</v>
      </c>
      <c r="J1092" s="48" t="str">
        <f>IFERROR(__xludf.DUMMYFUNCTION("IFERROR(INDEX(SPLIT(A1092,"":""),1,2),)"),"POLYCAB")</f>
        <v>POLYCAB</v>
      </c>
      <c r="K1092" s="48" t="str">
        <f t="shared" si="4"/>
        <v/>
      </c>
      <c r="L1092" s="48">
        <f t="shared" si="5"/>
        <v>645</v>
      </c>
      <c r="M1092" s="48">
        <f t="shared" si="6"/>
        <v>204</v>
      </c>
      <c r="N1092" s="50">
        <f>IFERROR(__xludf.DUMMYFUNCTION("IFERROR(GOOGLEFINANCE(A1092,""TRADETIME""),)"),46269.64583333333)</f>
        <v>46269.64583</v>
      </c>
      <c r="O1092" s="44"/>
      <c r="P1092" s="44"/>
      <c r="Q1092" s="44"/>
      <c r="R1092" s="44"/>
      <c r="S1092" s="44"/>
      <c r="T1092" s="44"/>
      <c r="U1092" s="44"/>
      <c r="V1092" s="44"/>
      <c r="W1092" s="44"/>
      <c r="X1092" s="44"/>
      <c r="Y1092" s="44"/>
      <c r="Z1092" s="44"/>
    </row>
    <row r="1093" ht="15.75" customHeight="1">
      <c r="A1093" s="51" t="s">
        <v>1139</v>
      </c>
      <c r="B1093" s="51" t="str">
        <f>IFERROR(__xludf.DUMMYFUNCTION("IFERROR(GOOGLEFINANCE(A1093,""NAME""),)"),"Poly Medicure Ltd.")</f>
        <v>Poly Medicure Ltd.</v>
      </c>
      <c r="C1093" s="51">
        <f>IFERROR(__xludf.DUMMYFUNCTION("IFERROR(GOOGLEFINANCE(A1093,""CHANGE""),)"),-68.8)</f>
        <v>-68.8</v>
      </c>
      <c r="D1093" s="51">
        <f>IFERROR(__xludf.DUMMYFUNCTION("IFERROR(GOOGLEFINANCE(A1093,""CHANGEPCT""),)"),-3.89)</f>
        <v>-3.89</v>
      </c>
      <c r="E1093" s="51" t="str">
        <f t="shared" si="1"/>
        <v>-3.89%</v>
      </c>
      <c r="F1093" s="51" t="str">
        <f t="shared" si="2"/>
        <v/>
      </c>
      <c r="G1093" s="51">
        <f t="shared" si="3"/>
        <v>-3.89</v>
      </c>
      <c r="H1093" s="51">
        <f>IFERROR(__xludf.DUMMYFUNCTION("IFERROR(GOOGLEFINANCE(A1093,""PRICE""),)"),1699.9)</f>
        <v>1699.9</v>
      </c>
      <c r="I1093" s="52">
        <f>IFERROR(__xludf.DUMMYFUNCTION("IFERROR(GOOGLEFINANCE(A1093,""VOLUME""),)"),171700.0)</f>
        <v>171700</v>
      </c>
      <c r="J1093" s="51" t="str">
        <f>IFERROR(__xludf.DUMMYFUNCTION("IFERROR(INDEX(SPLIT(A1093,"":""),1,2),)"),"POLYMED")</f>
        <v>POLYMED</v>
      </c>
      <c r="K1093" s="51" t="str">
        <f t="shared" si="4"/>
        <v/>
      </c>
      <c r="L1093" s="51">
        <f t="shared" si="5"/>
        <v>621</v>
      </c>
      <c r="M1093" s="51">
        <f t="shared" si="6"/>
        <v>659</v>
      </c>
      <c r="N1093" s="53">
        <f>IFERROR(__xludf.DUMMYFUNCTION("IFERROR(GOOGLEFINANCE(A1093,""TRADETIME""),)"),46269.64585648148)</f>
        <v>46269.64586</v>
      </c>
      <c r="O1093" s="44"/>
      <c r="P1093" s="44"/>
      <c r="Q1093" s="44"/>
      <c r="R1093" s="44"/>
      <c r="S1093" s="44"/>
      <c r="T1093" s="44"/>
      <c r="U1093" s="44"/>
      <c r="V1093" s="44"/>
      <c r="W1093" s="44"/>
      <c r="X1093" s="44"/>
      <c r="Y1093" s="44"/>
      <c r="Z1093" s="44"/>
    </row>
    <row r="1094" ht="15.75" customHeight="1">
      <c r="A1094" s="48" t="s">
        <v>1140</v>
      </c>
      <c r="B1094" s="48" t="str">
        <f>IFERROR(__xludf.DUMMYFUNCTION("IFERROR(GOOGLEFINANCE(A1094,""NAME""),)"),"Polyplex Corp Ltd")</f>
        <v>Polyplex Corp Ltd</v>
      </c>
      <c r="C1094" s="48">
        <f>IFERROR(__xludf.DUMMYFUNCTION("IFERROR(GOOGLEFINANCE(A1094,""CHANGE""),)"),-14.7)</f>
        <v>-14.7</v>
      </c>
      <c r="D1094" s="48">
        <f>IFERROR(__xludf.DUMMYFUNCTION("IFERROR(GOOGLEFINANCE(A1094,""CHANGEPCT""),)"),-1.22)</f>
        <v>-1.22</v>
      </c>
      <c r="E1094" s="48" t="str">
        <f t="shared" si="1"/>
        <v>-1.22%</v>
      </c>
      <c r="F1094" s="48" t="str">
        <f t="shared" si="2"/>
        <v/>
      </c>
      <c r="G1094" s="48">
        <f t="shared" si="3"/>
        <v>-1.22</v>
      </c>
      <c r="H1094" s="48">
        <f>IFERROR(__xludf.DUMMYFUNCTION("IFERROR(GOOGLEFINANCE(A1094,""PRICE""),)"),1188.0)</f>
        <v>1188</v>
      </c>
      <c r="I1094" s="49">
        <f>IFERROR(__xludf.DUMMYFUNCTION("IFERROR(GOOGLEFINANCE(A1094,""VOLUME""),)"),72824.0)</f>
        <v>72824</v>
      </c>
      <c r="J1094" s="48" t="str">
        <f>IFERROR(__xludf.DUMMYFUNCTION("IFERROR(INDEX(SPLIT(A1094,"":""),1,2),)"),"POLYPLEX")</f>
        <v>POLYPLEX</v>
      </c>
      <c r="K1094" s="48" t="str">
        <f t="shared" si="4"/>
        <v/>
      </c>
      <c r="L1094" s="48">
        <f t="shared" si="5"/>
        <v>379</v>
      </c>
      <c r="M1094" s="48">
        <f t="shared" si="6"/>
        <v>853</v>
      </c>
      <c r="N1094" s="50">
        <f>IFERROR(__xludf.DUMMYFUNCTION("IFERROR(GOOGLEFINANCE(A1094,""TRADETIME""),)"),46269.64583333333)</f>
        <v>46269.64583</v>
      </c>
      <c r="O1094" s="44"/>
      <c r="P1094" s="44"/>
      <c r="Q1094" s="44"/>
      <c r="R1094" s="44"/>
      <c r="S1094" s="44"/>
      <c r="T1094" s="44"/>
      <c r="U1094" s="44"/>
      <c r="V1094" s="44"/>
      <c r="W1094" s="44"/>
      <c r="X1094" s="44"/>
      <c r="Y1094" s="44"/>
      <c r="Z1094" s="44"/>
    </row>
    <row r="1095" ht="15.75" customHeight="1">
      <c r="A1095" s="51" t="s">
        <v>1141</v>
      </c>
      <c r="B1095" s="51" t="str">
        <f>IFERROR(__xludf.DUMMYFUNCTION("IFERROR(GOOGLEFINANCE(A1095,""NAME""),)"),"Ponni Sugars (Erode) Ltd")</f>
        <v>Ponni Sugars (Erode) Ltd</v>
      </c>
      <c r="C1095" s="51">
        <f>IFERROR(__xludf.DUMMYFUNCTION("IFERROR(GOOGLEFINANCE(A1095,""CHANGE""),)"),-15.25)</f>
        <v>-15.25</v>
      </c>
      <c r="D1095" s="51">
        <f>IFERROR(__xludf.DUMMYFUNCTION("IFERROR(GOOGLEFINANCE(A1095,""CHANGEPCT""),)"),-3.83)</f>
        <v>-3.83</v>
      </c>
      <c r="E1095" s="51" t="str">
        <f t="shared" si="1"/>
        <v>-3.83%</v>
      </c>
      <c r="F1095" s="51" t="str">
        <f t="shared" si="2"/>
        <v/>
      </c>
      <c r="G1095" s="51">
        <f t="shared" si="3"/>
        <v>-3.83</v>
      </c>
      <c r="H1095" s="51">
        <f>IFERROR(__xludf.DUMMYFUNCTION("IFERROR(GOOGLEFINANCE(A1095,""PRICE""),)"),383.4)</f>
        <v>383.4</v>
      </c>
      <c r="I1095" s="52">
        <f>IFERROR(__xludf.DUMMYFUNCTION("IFERROR(GOOGLEFINANCE(A1095,""VOLUME""),)"),31436.0)</f>
        <v>31436</v>
      </c>
      <c r="J1095" s="51" t="str">
        <f>IFERROR(__xludf.DUMMYFUNCTION("IFERROR(INDEX(SPLIT(A1095,"":""),1,2),)"),"PONNIERODE")</f>
        <v>PONNIERODE</v>
      </c>
      <c r="K1095" s="51" t="str">
        <f t="shared" si="4"/>
        <v/>
      </c>
      <c r="L1095" s="51">
        <f t="shared" si="5"/>
        <v>620</v>
      </c>
      <c r="M1095" s="51">
        <f t="shared" si="6"/>
        <v>1045</v>
      </c>
      <c r="N1095" s="53">
        <f>IFERROR(__xludf.DUMMYFUNCTION("IFERROR(GOOGLEFINANCE(A1095,""TRADETIME""),)"),46269.64583333333)</f>
        <v>46269.64583</v>
      </c>
      <c r="O1095" s="44"/>
      <c r="P1095" s="44"/>
      <c r="Q1095" s="44"/>
      <c r="R1095" s="44"/>
      <c r="S1095" s="44"/>
      <c r="T1095" s="44"/>
      <c r="U1095" s="44"/>
      <c r="V1095" s="44"/>
      <c r="W1095" s="44"/>
      <c r="X1095" s="44"/>
      <c r="Y1095" s="44"/>
      <c r="Z1095" s="44"/>
    </row>
    <row r="1096" ht="15.75" customHeight="1">
      <c r="A1096" s="48" t="s">
        <v>1142</v>
      </c>
      <c r="B1096" s="48" t="str">
        <f>IFERROR(__xludf.DUMMYFUNCTION("IFERROR(GOOGLEFINANCE(A1096,""NAME""),)"),"Power Grid Corporation of India Ltd")</f>
        <v>Power Grid Corporation of India Ltd</v>
      </c>
      <c r="C1096" s="48">
        <f>IFERROR(__xludf.DUMMYFUNCTION("IFERROR(GOOGLEFINANCE(A1096,""CHANGE""),)"),0.0)</f>
        <v>0</v>
      </c>
      <c r="D1096" s="48">
        <f>IFERROR(__xludf.DUMMYFUNCTION("IFERROR(GOOGLEFINANCE(A1096,""CHANGEPCT""),)"),0.0)</f>
        <v>0</v>
      </c>
      <c r="E1096" s="48" t="str">
        <f t="shared" si="1"/>
        <v>0%</v>
      </c>
      <c r="F1096" s="48" t="str">
        <f t="shared" si="2"/>
        <v/>
      </c>
      <c r="G1096" s="48" t="str">
        <f t="shared" si="3"/>
        <v/>
      </c>
      <c r="H1096" s="48">
        <f>IFERROR(__xludf.DUMMYFUNCTION("IFERROR(GOOGLEFINANCE(A1096,""PRICE""),)"),265.6)</f>
        <v>265.6</v>
      </c>
      <c r="I1096" s="49">
        <f>IFERROR(__xludf.DUMMYFUNCTION("IFERROR(GOOGLEFINANCE(A1096,""VOLUME""),)"),7967122.0)</f>
        <v>7967122</v>
      </c>
      <c r="J1096" s="48" t="str">
        <f>IFERROR(__xludf.DUMMYFUNCTION("IFERROR(INDEX(SPLIT(A1096,"":""),1,2),)"),"POWERGRID")</f>
        <v>POWERGRID</v>
      </c>
      <c r="K1096" s="48" t="str">
        <f t="shared" si="4"/>
        <v/>
      </c>
      <c r="L1096" s="48" t="str">
        <f t="shared" si="5"/>
        <v/>
      </c>
      <c r="M1096" s="48">
        <f t="shared" si="6"/>
        <v>56</v>
      </c>
      <c r="N1096" s="50">
        <f>IFERROR(__xludf.DUMMYFUNCTION("IFERROR(GOOGLEFINANCE(A1096,""TRADETIME""),)"),46269.64583333333)</f>
        <v>46269.64583</v>
      </c>
      <c r="O1096" s="44"/>
      <c r="P1096" s="44"/>
      <c r="Q1096" s="44"/>
      <c r="R1096" s="44"/>
      <c r="S1096" s="44"/>
      <c r="T1096" s="44"/>
      <c r="U1096" s="44"/>
      <c r="V1096" s="44"/>
      <c r="W1096" s="44"/>
      <c r="X1096" s="44"/>
      <c r="Y1096" s="44"/>
      <c r="Z1096" s="44"/>
    </row>
    <row r="1097" ht="15.75" customHeight="1">
      <c r="A1097" s="51" t="s">
        <v>1143</v>
      </c>
      <c r="B1097" s="51" t="str">
        <f>IFERROR(__xludf.DUMMYFUNCTION("IFERROR(GOOGLEFINANCE(A1097,""NAME""),)"),"Hitachi Energy India Ltd")</f>
        <v>Hitachi Energy India Ltd</v>
      </c>
      <c r="C1097" s="51">
        <f>IFERROR(__xludf.DUMMYFUNCTION("IFERROR(GOOGLEFINANCE(A1097,""CHANGE""),)"),-300.0)</f>
        <v>-300</v>
      </c>
      <c r="D1097" s="51">
        <f>IFERROR(__xludf.DUMMYFUNCTION("IFERROR(GOOGLEFINANCE(A1097,""CHANGEPCT""),)"),-0.94)</f>
        <v>-0.94</v>
      </c>
      <c r="E1097" s="51" t="str">
        <f t="shared" si="1"/>
        <v>-0.94%</v>
      </c>
      <c r="F1097" s="51" t="str">
        <f t="shared" si="2"/>
        <v/>
      </c>
      <c r="G1097" s="51">
        <f t="shared" si="3"/>
        <v>-0.94</v>
      </c>
      <c r="H1097" s="51">
        <f>IFERROR(__xludf.DUMMYFUNCTION("IFERROR(GOOGLEFINANCE(A1097,""PRICE""),)"),31700.0)</f>
        <v>31700</v>
      </c>
      <c r="I1097" s="52">
        <f>IFERROR(__xludf.DUMMYFUNCTION("IFERROR(GOOGLEFINANCE(A1097,""VOLUME""),)"),83443.0)</f>
        <v>83443</v>
      </c>
      <c r="J1097" s="51" t="str">
        <f>IFERROR(__xludf.DUMMYFUNCTION("IFERROR(INDEX(SPLIT(A1097,"":""),1,2),)"),"POWERINDIA")</f>
        <v>POWERINDIA</v>
      </c>
      <c r="K1097" s="51" t="str">
        <f t="shared" si="4"/>
        <v/>
      </c>
      <c r="L1097" s="51">
        <f t="shared" si="5"/>
        <v>326</v>
      </c>
      <c r="M1097" s="51">
        <f t="shared" si="6"/>
        <v>815</v>
      </c>
      <c r="N1097" s="53">
        <f>IFERROR(__xludf.DUMMYFUNCTION("IFERROR(GOOGLEFINANCE(A1097,""TRADETIME""),)"),46269.64583333333)</f>
        <v>46269.64583</v>
      </c>
      <c r="O1097" s="44"/>
      <c r="P1097" s="44"/>
      <c r="Q1097" s="44"/>
      <c r="R1097" s="44"/>
      <c r="S1097" s="44"/>
      <c r="T1097" s="44"/>
      <c r="U1097" s="44"/>
      <c r="V1097" s="44"/>
      <c r="W1097" s="44"/>
      <c r="X1097" s="44"/>
      <c r="Y1097" s="44"/>
      <c r="Z1097" s="44"/>
    </row>
    <row r="1098" ht="15.75" customHeight="1">
      <c r="A1098" s="48" t="s">
        <v>1144</v>
      </c>
      <c r="B1098" s="48" t="str">
        <f>IFERROR(__xludf.DUMMYFUNCTION("IFERROR(GOOGLEFINANCE(A1098,""NAME""),)"),"Power Mech Projects Ltd")</f>
        <v>Power Mech Projects Ltd</v>
      </c>
      <c r="C1098" s="48">
        <f>IFERROR(__xludf.DUMMYFUNCTION("IFERROR(GOOGLEFINANCE(A1098,""CHANGE""),)"),-63.8)</f>
        <v>-63.8</v>
      </c>
      <c r="D1098" s="48">
        <f>IFERROR(__xludf.DUMMYFUNCTION("IFERROR(GOOGLEFINANCE(A1098,""CHANGEPCT""),)"),-2.66)</f>
        <v>-2.66</v>
      </c>
      <c r="E1098" s="48" t="str">
        <f t="shared" si="1"/>
        <v>-2.66%</v>
      </c>
      <c r="F1098" s="48" t="str">
        <f t="shared" si="2"/>
        <v/>
      </c>
      <c r="G1098" s="48">
        <f t="shared" si="3"/>
        <v>-2.66</v>
      </c>
      <c r="H1098" s="48">
        <f>IFERROR(__xludf.DUMMYFUNCTION("IFERROR(GOOGLEFINANCE(A1098,""PRICE""),)"),2336.0)</f>
        <v>2336</v>
      </c>
      <c r="I1098" s="49">
        <f>IFERROR(__xludf.DUMMYFUNCTION("IFERROR(GOOGLEFINANCE(A1098,""VOLUME""),)"),135843.0)</f>
        <v>135843</v>
      </c>
      <c r="J1098" s="48" t="str">
        <f>IFERROR(__xludf.DUMMYFUNCTION("IFERROR(INDEX(SPLIT(A1098,"":""),1,2),)"),"POWERMECH")</f>
        <v>POWERMECH</v>
      </c>
      <c r="K1098" s="48" t="str">
        <f t="shared" si="4"/>
        <v/>
      </c>
      <c r="L1098" s="48">
        <f t="shared" si="5"/>
        <v>581</v>
      </c>
      <c r="M1098" s="48">
        <f t="shared" si="6"/>
        <v>711</v>
      </c>
      <c r="N1098" s="50">
        <f>IFERROR(__xludf.DUMMYFUNCTION("IFERROR(GOOGLEFINANCE(A1098,""TRADETIME""),)"),46269.64583333333)</f>
        <v>46269.64583</v>
      </c>
      <c r="O1098" s="44"/>
      <c r="P1098" s="44"/>
      <c r="Q1098" s="44"/>
      <c r="R1098" s="44"/>
      <c r="S1098" s="44"/>
      <c r="T1098" s="44"/>
      <c r="U1098" s="44"/>
      <c r="V1098" s="44"/>
      <c r="W1098" s="44"/>
      <c r="X1098" s="44"/>
      <c r="Y1098" s="44"/>
      <c r="Z1098" s="44"/>
    </row>
    <row r="1099" ht="15.75" customHeight="1">
      <c r="A1099" s="51" t="s">
        <v>1145</v>
      </c>
      <c r="B1099" s="51" t="str">
        <f>IFERROR(__xludf.DUMMYFUNCTION("IFERROR(GOOGLEFINANCE(A1099,""NAME""),)"),"PPAP Automotive Ltd")</f>
        <v>PPAP Automotive Ltd</v>
      </c>
      <c r="C1099" s="51">
        <f>IFERROR(__xludf.DUMMYFUNCTION("IFERROR(GOOGLEFINANCE(A1099,""CHANGE""),)"),5.2)</f>
        <v>5.2</v>
      </c>
      <c r="D1099" s="51">
        <f>IFERROR(__xludf.DUMMYFUNCTION("IFERROR(GOOGLEFINANCE(A1099,""CHANGEPCT""),)"),2.03)</f>
        <v>2.03</v>
      </c>
      <c r="E1099" s="51" t="str">
        <f t="shared" si="1"/>
        <v>2.03%</v>
      </c>
      <c r="F1099" s="51">
        <f t="shared" si="2"/>
        <v>2.03</v>
      </c>
      <c r="G1099" s="51" t="str">
        <f t="shared" si="3"/>
        <v/>
      </c>
      <c r="H1099" s="51">
        <f>IFERROR(__xludf.DUMMYFUNCTION("IFERROR(GOOGLEFINANCE(A1099,""PRICE""),)"),261.9)</f>
        <v>261.9</v>
      </c>
      <c r="I1099" s="52">
        <f>IFERROR(__xludf.DUMMYFUNCTION("IFERROR(GOOGLEFINANCE(A1099,""VOLUME""),)"),10692.0)</f>
        <v>10692</v>
      </c>
      <c r="J1099" s="51" t="str">
        <f>IFERROR(__xludf.DUMMYFUNCTION("IFERROR(INDEX(SPLIT(A1099,"":""),1,2),)"),"PPAP")</f>
        <v>PPAP</v>
      </c>
      <c r="K1099" s="51">
        <f t="shared" si="4"/>
        <v>250</v>
      </c>
      <c r="L1099" s="51" t="str">
        <f t="shared" si="5"/>
        <v/>
      </c>
      <c r="M1099" s="51">
        <f t="shared" si="6"/>
        <v>1222</v>
      </c>
      <c r="N1099" s="53">
        <f>IFERROR(__xludf.DUMMYFUNCTION("IFERROR(GOOGLEFINANCE(A1099,""TRADETIME""),)"),46269.64583333333)</f>
        <v>46269.64583</v>
      </c>
      <c r="O1099" s="44"/>
      <c r="P1099" s="44"/>
      <c r="Q1099" s="44"/>
      <c r="R1099" s="44"/>
      <c r="S1099" s="44"/>
      <c r="T1099" s="44"/>
      <c r="U1099" s="44"/>
      <c r="V1099" s="44"/>
      <c r="W1099" s="44"/>
      <c r="X1099" s="44"/>
      <c r="Y1099" s="44"/>
      <c r="Z1099" s="44"/>
    </row>
    <row r="1100" ht="15.75" customHeight="1">
      <c r="A1100" s="48" t="s">
        <v>1146</v>
      </c>
      <c r="B1100" s="48" t="str">
        <f>IFERROR(__xludf.DUMMYFUNCTION("IFERROR(GOOGLEFINANCE(A1100,""NAME""),)"),"Prakash Pipes Ltd")</f>
        <v>Prakash Pipes Ltd</v>
      </c>
      <c r="C1100" s="48">
        <f>IFERROR(__xludf.DUMMYFUNCTION("IFERROR(GOOGLEFINANCE(A1100,""CHANGE""),)"),4.75)</f>
        <v>4.75</v>
      </c>
      <c r="D1100" s="48">
        <f>IFERROR(__xludf.DUMMYFUNCTION("IFERROR(GOOGLEFINANCE(A1100,""CHANGEPCT""),)"),1.85)</f>
        <v>1.85</v>
      </c>
      <c r="E1100" s="48" t="str">
        <f t="shared" si="1"/>
        <v>1.85%</v>
      </c>
      <c r="F1100" s="48">
        <f t="shared" si="2"/>
        <v>1.85</v>
      </c>
      <c r="G1100" s="48" t="str">
        <f t="shared" si="3"/>
        <v/>
      </c>
      <c r="H1100" s="48">
        <f>IFERROR(__xludf.DUMMYFUNCTION("IFERROR(GOOGLEFINANCE(A1100,""PRICE""),)"),262.15)</f>
        <v>262.15</v>
      </c>
      <c r="I1100" s="49">
        <f>IFERROR(__xludf.DUMMYFUNCTION("IFERROR(GOOGLEFINANCE(A1100,""VOLUME""),)"),23505.0)</f>
        <v>23505</v>
      </c>
      <c r="J1100" s="48" t="str">
        <f>IFERROR(__xludf.DUMMYFUNCTION("IFERROR(INDEX(SPLIT(A1100,"":""),1,2),)"),"PPL")</f>
        <v>PPL</v>
      </c>
      <c r="K1100" s="48">
        <f t="shared" si="4"/>
        <v>289</v>
      </c>
      <c r="L1100" s="48" t="str">
        <f t="shared" si="5"/>
        <v/>
      </c>
      <c r="M1100" s="48">
        <f t="shared" si="6"/>
        <v>1098</v>
      </c>
      <c r="N1100" s="50">
        <f>IFERROR(__xludf.DUMMYFUNCTION("IFERROR(GOOGLEFINANCE(A1100,""TRADETIME""),)"),46269.64583333333)</f>
        <v>46269.64583</v>
      </c>
      <c r="O1100" s="44"/>
      <c r="P1100" s="44"/>
      <c r="Q1100" s="44"/>
      <c r="R1100" s="44"/>
      <c r="S1100" s="44"/>
      <c r="T1100" s="44"/>
      <c r="U1100" s="44"/>
      <c r="V1100" s="44"/>
      <c r="W1100" s="44"/>
      <c r="X1100" s="44"/>
      <c r="Y1100" s="44"/>
      <c r="Z1100" s="44"/>
    </row>
    <row r="1101" ht="15.75" customHeight="1">
      <c r="A1101" s="51" t="s">
        <v>1147</v>
      </c>
      <c r="B1101" s="51" t="str">
        <f>IFERROR(__xludf.DUMMYFUNCTION("IFERROR(GOOGLEFINANCE(A1101,""NAME""),)"),"Prajay Engineers Syndicate Ltd")</f>
        <v>Prajay Engineers Syndicate Ltd</v>
      </c>
      <c r="C1101" s="51">
        <f>IFERROR(__xludf.DUMMYFUNCTION("IFERROR(GOOGLEFINANCE(A1101,""CHANGE""),)"),-1.12)</f>
        <v>-1.12</v>
      </c>
      <c r="D1101" s="51">
        <f>IFERROR(__xludf.DUMMYFUNCTION("IFERROR(GOOGLEFINANCE(A1101,""CHANGEPCT""),)"),-4.35)</f>
        <v>-4.35</v>
      </c>
      <c r="E1101" s="51" t="str">
        <f t="shared" si="1"/>
        <v>-4.35%</v>
      </c>
      <c r="F1101" s="51" t="str">
        <f t="shared" si="2"/>
        <v/>
      </c>
      <c r="G1101" s="51">
        <f t="shared" si="3"/>
        <v>-4.35</v>
      </c>
      <c r="H1101" s="51">
        <f>IFERROR(__xludf.DUMMYFUNCTION("IFERROR(GOOGLEFINANCE(A1101,""PRICE""),)"),24.63)</f>
        <v>24.63</v>
      </c>
      <c r="I1101" s="52">
        <f>IFERROR(__xludf.DUMMYFUNCTION("IFERROR(GOOGLEFINANCE(A1101,""VOLUME""),)"),154995.0)</f>
        <v>154995</v>
      </c>
      <c r="J1101" s="51" t="str">
        <f>IFERROR(__xludf.DUMMYFUNCTION("IFERROR(INDEX(SPLIT(A1101,"":""),1,2),)"),"PRAENG")</f>
        <v>PRAENG</v>
      </c>
      <c r="K1101" s="51" t="str">
        <f t="shared" si="4"/>
        <v/>
      </c>
      <c r="L1101" s="51">
        <f t="shared" si="5"/>
        <v>629</v>
      </c>
      <c r="M1101" s="51">
        <f t="shared" si="6"/>
        <v>683</v>
      </c>
      <c r="N1101" s="53">
        <f>IFERROR(__xludf.DUMMYFUNCTION("IFERROR(GOOGLEFINANCE(A1101,""TRADETIME""),)"),46269.64583333333)</f>
        <v>46269.64583</v>
      </c>
      <c r="O1101" s="44"/>
      <c r="P1101" s="44"/>
      <c r="Q1101" s="44"/>
      <c r="R1101" s="44"/>
      <c r="S1101" s="44"/>
      <c r="T1101" s="44"/>
      <c r="U1101" s="44"/>
      <c r="V1101" s="44"/>
      <c r="W1101" s="44"/>
      <c r="X1101" s="44"/>
      <c r="Y1101" s="44"/>
      <c r="Z1101" s="44"/>
    </row>
    <row r="1102" ht="15.75" customHeight="1">
      <c r="A1102" s="48" t="s">
        <v>1148</v>
      </c>
      <c r="B1102" s="48" t="str">
        <f>IFERROR(__xludf.DUMMYFUNCTION("IFERROR(GOOGLEFINANCE(A1102,""NAME""),)"),"Praj Industries Ltd")</f>
        <v>Praj Industries Ltd</v>
      </c>
      <c r="C1102" s="48">
        <f>IFERROR(__xludf.DUMMYFUNCTION("IFERROR(GOOGLEFINANCE(A1102,""CHANGE""),)"),-6.6)</f>
        <v>-6.6</v>
      </c>
      <c r="D1102" s="48">
        <f>IFERROR(__xludf.DUMMYFUNCTION("IFERROR(GOOGLEFINANCE(A1102,""CHANGEPCT""),)"),-1.93)</f>
        <v>-1.93</v>
      </c>
      <c r="E1102" s="48" t="str">
        <f t="shared" si="1"/>
        <v>-1.93%</v>
      </c>
      <c r="F1102" s="48" t="str">
        <f t="shared" si="2"/>
        <v/>
      </c>
      <c r="G1102" s="48">
        <f t="shared" si="3"/>
        <v>-1.93</v>
      </c>
      <c r="H1102" s="48">
        <f>IFERROR(__xludf.DUMMYFUNCTION("IFERROR(GOOGLEFINANCE(A1102,""PRICE""),)"),335.0)</f>
        <v>335</v>
      </c>
      <c r="I1102" s="49">
        <f>IFERROR(__xludf.DUMMYFUNCTION("IFERROR(GOOGLEFINANCE(A1102,""VOLUME""),)"),425298.0)</f>
        <v>425298</v>
      </c>
      <c r="J1102" s="48" t="str">
        <f>IFERROR(__xludf.DUMMYFUNCTION("IFERROR(INDEX(SPLIT(A1102,"":""),1,2),)"),"PRAJIND")</f>
        <v>PRAJIND</v>
      </c>
      <c r="K1102" s="48" t="str">
        <f t="shared" si="4"/>
        <v/>
      </c>
      <c r="L1102" s="48">
        <f t="shared" si="5"/>
        <v>514</v>
      </c>
      <c r="M1102" s="48">
        <f t="shared" si="6"/>
        <v>431</v>
      </c>
      <c r="N1102" s="50">
        <f>IFERROR(__xludf.DUMMYFUNCTION("IFERROR(GOOGLEFINANCE(A1102,""TRADETIME""),)"),46269.64583333333)</f>
        <v>46269.64583</v>
      </c>
      <c r="O1102" s="44"/>
      <c r="P1102" s="44"/>
      <c r="Q1102" s="44"/>
      <c r="R1102" s="44"/>
      <c r="S1102" s="44"/>
      <c r="T1102" s="44"/>
      <c r="U1102" s="44"/>
      <c r="V1102" s="44"/>
      <c r="W1102" s="44"/>
      <c r="X1102" s="44"/>
      <c r="Y1102" s="44"/>
      <c r="Z1102" s="44"/>
    </row>
    <row r="1103" ht="15.75" customHeight="1">
      <c r="A1103" s="51" t="s">
        <v>1149</v>
      </c>
      <c r="B1103" s="51" t="str">
        <f>IFERROR(__xludf.DUMMYFUNCTION("IFERROR(GOOGLEFINANCE(A1103,""NAME""),)"),"Prakash Industries Ltd")</f>
        <v>Prakash Industries Ltd</v>
      </c>
      <c r="C1103" s="51">
        <f>IFERROR(__xludf.DUMMYFUNCTION("IFERROR(GOOGLEFINANCE(A1103,""CHANGE""),)"),2.34)</f>
        <v>2.34</v>
      </c>
      <c r="D1103" s="51">
        <f>IFERROR(__xludf.DUMMYFUNCTION("IFERROR(GOOGLEFINANCE(A1103,""CHANGEPCT""),)"),1.89)</f>
        <v>1.89</v>
      </c>
      <c r="E1103" s="51" t="str">
        <f t="shared" si="1"/>
        <v>1.89%</v>
      </c>
      <c r="F1103" s="51">
        <f t="shared" si="2"/>
        <v>1.89</v>
      </c>
      <c r="G1103" s="51" t="str">
        <f t="shared" si="3"/>
        <v/>
      </c>
      <c r="H1103" s="51">
        <f>IFERROR(__xludf.DUMMYFUNCTION("IFERROR(GOOGLEFINANCE(A1103,""PRICE""),)"),126.0)</f>
        <v>126</v>
      </c>
      <c r="I1103" s="52">
        <f>IFERROR(__xludf.DUMMYFUNCTION("IFERROR(GOOGLEFINANCE(A1103,""VOLUME""),)"),297033.0)</f>
        <v>297033</v>
      </c>
      <c r="J1103" s="51" t="str">
        <f>IFERROR(__xludf.DUMMYFUNCTION("IFERROR(INDEX(SPLIT(A1103,"":""),1,2),)"),"PRAKASH")</f>
        <v>PRAKASH</v>
      </c>
      <c r="K1103" s="51">
        <f t="shared" si="4"/>
        <v>279</v>
      </c>
      <c r="L1103" s="51" t="str">
        <f t="shared" si="5"/>
        <v/>
      </c>
      <c r="M1103" s="51">
        <f t="shared" si="6"/>
        <v>520</v>
      </c>
      <c r="N1103" s="53">
        <f>IFERROR(__xludf.DUMMYFUNCTION("IFERROR(GOOGLEFINANCE(A1103,""TRADETIME""),)"),46269.64585648148)</f>
        <v>46269.64586</v>
      </c>
      <c r="O1103" s="44"/>
      <c r="P1103" s="44"/>
      <c r="Q1103" s="44"/>
      <c r="R1103" s="44"/>
      <c r="S1103" s="44"/>
      <c r="T1103" s="44"/>
      <c r="U1103" s="44"/>
      <c r="V1103" s="44"/>
      <c r="W1103" s="44"/>
      <c r="X1103" s="44"/>
      <c r="Y1103" s="44"/>
      <c r="Z1103" s="44"/>
    </row>
    <row r="1104" ht="15.75" customHeight="1">
      <c r="A1104" s="48" t="s">
        <v>1150</v>
      </c>
      <c r="B1104" s="48" t="str">
        <f>IFERROR(__xludf.DUMMYFUNCTION("IFERROR(GOOGLEFINANCE(A1104,""NAME""),)"),"Prakash Steelage Limited")</f>
        <v>Prakash Steelage Limited</v>
      </c>
      <c r="C1104" s="48">
        <f>IFERROR(__xludf.DUMMYFUNCTION("IFERROR(GOOGLEFINANCE(A1104,""CHANGE""),)"),0.18)</f>
        <v>0.18</v>
      </c>
      <c r="D1104" s="48">
        <f>IFERROR(__xludf.DUMMYFUNCTION("IFERROR(GOOGLEFINANCE(A1104,""CHANGEPCT""),)"),4.93)</f>
        <v>4.93</v>
      </c>
      <c r="E1104" s="48" t="str">
        <f t="shared" si="1"/>
        <v>4.93%</v>
      </c>
      <c r="F1104" s="48">
        <f t="shared" si="2"/>
        <v>4.93</v>
      </c>
      <c r="G1104" s="48" t="str">
        <f t="shared" si="3"/>
        <v/>
      </c>
      <c r="H1104" s="48">
        <f>IFERROR(__xludf.DUMMYFUNCTION("IFERROR(GOOGLEFINANCE(A1104,""PRICE""),)"),3.83)</f>
        <v>3.83</v>
      </c>
      <c r="I1104" s="49">
        <f>IFERROR(__xludf.DUMMYFUNCTION("IFERROR(GOOGLEFINANCE(A1104,""VOLUME""),)"),213981.0)</f>
        <v>213981</v>
      </c>
      <c r="J1104" s="48" t="str">
        <f>IFERROR(__xludf.DUMMYFUNCTION("IFERROR(INDEX(SPLIT(A1104,"":""),1,2),)"),"PRAKASHSTL")</f>
        <v>PRAKASHSTL</v>
      </c>
      <c r="K1104" s="48">
        <f t="shared" si="4"/>
        <v>79</v>
      </c>
      <c r="L1104" s="48" t="str">
        <f t="shared" si="5"/>
        <v/>
      </c>
      <c r="M1104" s="48">
        <f t="shared" si="6"/>
        <v>606</v>
      </c>
      <c r="N1104" s="50">
        <f>IFERROR(__xludf.DUMMYFUNCTION("IFERROR(GOOGLEFINANCE(A1104,""TRADETIME""),)"),46269.64583333333)</f>
        <v>46269.64583</v>
      </c>
      <c r="O1104" s="44"/>
      <c r="P1104" s="44"/>
      <c r="Q1104" s="44"/>
      <c r="R1104" s="44"/>
      <c r="S1104" s="44"/>
      <c r="T1104" s="44"/>
      <c r="U1104" s="44"/>
      <c r="V1104" s="44"/>
      <c r="W1104" s="44"/>
      <c r="X1104" s="44"/>
      <c r="Y1104" s="44"/>
      <c r="Z1104" s="44"/>
    </row>
    <row r="1105" ht="15.75" customHeight="1">
      <c r="A1105" s="51" t="s">
        <v>1151</v>
      </c>
      <c r="B1105" s="51" t="str">
        <f>IFERROR(__xludf.DUMMYFUNCTION("IFERROR(GOOGLEFINANCE(A1105,""NAME""),)"),"Praxis Home Retail Ltd")</f>
        <v>Praxis Home Retail Ltd</v>
      </c>
      <c r="C1105" s="51">
        <f>IFERROR(__xludf.DUMMYFUNCTION("IFERROR(GOOGLEFINANCE(A1105,""CHANGE""),)"),0.22)</f>
        <v>0.22</v>
      </c>
      <c r="D1105" s="51">
        <f>IFERROR(__xludf.DUMMYFUNCTION("IFERROR(GOOGLEFINANCE(A1105,""CHANGEPCT""),)"),4.97)</f>
        <v>4.97</v>
      </c>
      <c r="E1105" s="51" t="str">
        <f t="shared" si="1"/>
        <v>4.97%</v>
      </c>
      <c r="F1105" s="51">
        <f t="shared" si="2"/>
        <v>4.97</v>
      </c>
      <c r="G1105" s="51" t="str">
        <f t="shared" si="3"/>
        <v/>
      </c>
      <c r="H1105" s="51">
        <f>IFERROR(__xludf.DUMMYFUNCTION("IFERROR(GOOGLEFINANCE(A1105,""PRICE""),)"),4.65)</f>
        <v>4.65</v>
      </c>
      <c r="I1105" s="52">
        <f>IFERROR(__xludf.DUMMYFUNCTION("IFERROR(GOOGLEFINANCE(A1105,""VOLUME""),)"),292373.0)</f>
        <v>292373</v>
      </c>
      <c r="J1105" s="51" t="str">
        <f>IFERROR(__xludf.DUMMYFUNCTION("IFERROR(INDEX(SPLIT(A1105,"":""),1,2),)"),"PRAXIS")</f>
        <v>PRAXIS</v>
      </c>
      <c r="K1105" s="51">
        <f t="shared" si="4"/>
        <v>74</v>
      </c>
      <c r="L1105" s="51" t="str">
        <f t="shared" si="5"/>
        <v/>
      </c>
      <c r="M1105" s="51">
        <f t="shared" si="6"/>
        <v>526</v>
      </c>
      <c r="N1105" s="53">
        <f>IFERROR(__xludf.DUMMYFUNCTION("IFERROR(GOOGLEFINANCE(A1105,""TRADETIME""),)"),46269.64583333333)</f>
        <v>46269.64583</v>
      </c>
      <c r="O1105" s="44"/>
      <c r="P1105" s="44"/>
      <c r="Q1105" s="44"/>
      <c r="R1105" s="44"/>
      <c r="S1105" s="44"/>
      <c r="T1105" s="44"/>
      <c r="U1105" s="44"/>
      <c r="V1105" s="44"/>
      <c r="W1105" s="44"/>
      <c r="X1105" s="44"/>
      <c r="Y1105" s="44"/>
      <c r="Z1105" s="44"/>
    </row>
    <row r="1106" ht="15.75" customHeight="1">
      <c r="A1106" s="48" t="s">
        <v>1152</v>
      </c>
      <c r="B1106" s="48" t="str">
        <f>IFERROR(__xludf.DUMMYFUNCTION("IFERROR(GOOGLEFINANCE(A1106,""NAME""),)"),"Precision Camshafts Ltd")</f>
        <v>Precision Camshafts Ltd</v>
      </c>
      <c r="C1106" s="48">
        <f>IFERROR(__xludf.DUMMYFUNCTION("IFERROR(GOOGLEFINANCE(A1106,""CHANGE""),)"),2.3)</f>
        <v>2.3</v>
      </c>
      <c r="D1106" s="48">
        <f>IFERROR(__xludf.DUMMYFUNCTION("IFERROR(GOOGLEFINANCE(A1106,""CHANGEPCT""),)"),1.88)</f>
        <v>1.88</v>
      </c>
      <c r="E1106" s="48" t="str">
        <f t="shared" si="1"/>
        <v>1.88%</v>
      </c>
      <c r="F1106" s="48">
        <f t="shared" si="2"/>
        <v>1.88</v>
      </c>
      <c r="G1106" s="48" t="str">
        <f t="shared" si="3"/>
        <v/>
      </c>
      <c r="H1106" s="48">
        <f>IFERROR(__xludf.DUMMYFUNCTION("IFERROR(GOOGLEFINANCE(A1106,""PRICE""),)"),124.4)</f>
        <v>124.4</v>
      </c>
      <c r="I1106" s="49">
        <f>IFERROR(__xludf.DUMMYFUNCTION("IFERROR(GOOGLEFINANCE(A1106,""VOLUME""),)"),118929.0)</f>
        <v>118929</v>
      </c>
      <c r="J1106" s="48" t="str">
        <f>IFERROR(__xludf.DUMMYFUNCTION("IFERROR(INDEX(SPLIT(A1106,"":""),1,2),)"),"PRECAM")</f>
        <v>PRECAM</v>
      </c>
      <c r="K1106" s="48">
        <f t="shared" si="4"/>
        <v>281</v>
      </c>
      <c r="L1106" s="48" t="str">
        <f t="shared" si="5"/>
        <v/>
      </c>
      <c r="M1106" s="48">
        <f t="shared" si="6"/>
        <v>737</v>
      </c>
      <c r="N1106" s="50">
        <f>IFERROR(__xludf.DUMMYFUNCTION("IFERROR(GOOGLEFINANCE(A1106,""TRADETIME""),)"),46269.64583333333)</f>
        <v>46269.64583</v>
      </c>
      <c r="O1106" s="44"/>
      <c r="P1106" s="44"/>
      <c r="Q1106" s="44"/>
      <c r="R1106" s="44"/>
      <c r="S1106" s="44"/>
      <c r="T1106" s="44"/>
      <c r="U1106" s="44"/>
      <c r="V1106" s="44"/>
      <c r="W1106" s="44"/>
      <c r="X1106" s="44"/>
      <c r="Y1106" s="44"/>
      <c r="Z1106" s="44"/>
    </row>
    <row r="1107" ht="15.75" customHeight="1">
      <c r="A1107" s="51" t="s">
        <v>1153</v>
      </c>
      <c r="B1107" s="51" t="str">
        <f>IFERROR(__xludf.DUMMYFUNCTION("IFERROR(GOOGLEFINANCE(A1107,""NAME""),)"),"Precot Ltd")</f>
        <v>Precot Ltd</v>
      </c>
      <c r="C1107" s="51">
        <f>IFERROR(__xludf.DUMMYFUNCTION("IFERROR(GOOGLEFINANCE(A1107,""CHANGE""),)"),-7.9)</f>
        <v>-7.9</v>
      </c>
      <c r="D1107" s="51">
        <f>IFERROR(__xludf.DUMMYFUNCTION("IFERROR(GOOGLEFINANCE(A1107,""CHANGEPCT""),)"),-1.13)</f>
        <v>-1.13</v>
      </c>
      <c r="E1107" s="51" t="str">
        <f t="shared" si="1"/>
        <v>-1.13%</v>
      </c>
      <c r="F1107" s="51" t="str">
        <f t="shared" si="2"/>
        <v/>
      </c>
      <c r="G1107" s="51">
        <f t="shared" si="3"/>
        <v>-1.13</v>
      </c>
      <c r="H1107" s="51">
        <f>IFERROR(__xludf.DUMMYFUNCTION("IFERROR(GOOGLEFINANCE(A1107,""PRICE""),)"),692.0)</f>
        <v>692</v>
      </c>
      <c r="I1107" s="52">
        <f>IFERROR(__xludf.DUMMYFUNCTION("IFERROR(GOOGLEFINANCE(A1107,""VOLUME""),)"),2308.0)</f>
        <v>2308</v>
      </c>
      <c r="J1107" s="51" t="str">
        <f>IFERROR(__xludf.DUMMYFUNCTION("IFERROR(INDEX(SPLIT(A1107,"":""),1,2),)"),"PRECOT")</f>
        <v>PRECOT</v>
      </c>
      <c r="K1107" s="51" t="str">
        <f t="shared" si="4"/>
        <v/>
      </c>
      <c r="L1107" s="51">
        <f t="shared" si="5"/>
        <v>365</v>
      </c>
      <c r="M1107" s="51">
        <f t="shared" si="6"/>
        <v>1387</v>
      </c>
      <c r="N1107" s="53">
        <f>IFERROR(__xludf.DUMMYFUNCTION("IFERROR(GOOGLEFINANCE(A1107,""TRADETIME""),)"),46269.64583333333)</f>
        <v>46269.64583</v>
      </c>
      <c r="O1107" s="44"/>
      <c r="P1107" s="44"/>
      <c r="Q1107" s="44"/>
      <c r="R1107" s="44"/>
      <c r="S1107" s="44"/>
      <c r="T1107" s="44"/>
      <c r="U1107" s="44"/>
      <c r="V1107" s="44"/>
      <c r="W1107" s="44"/>
      <c r="X1107" s="44"/>
      <c r="Y1107" s="44"/>
      <c r="Z1107" s="44"/>
    </row>
    <row r="1108" ht="15.75" customHeight="1">
      <c r="A1108" s="48" t="s">
        <v>1154</v>
      </c>
      <c r="B1108" s="48" t="str">
        <f>IFERROR(__xludf.DUMMYFUNCTION("IFERROR(GOOGLEFINANCE(A1108,""NAME""),)"),"Precision Wires India Ltd")</f>
        <v>Precision Wires India Ltd</v>
      </c>
      <c r="C1108" s="48">
        <f>IFERROR(__xludf.DUMMYFUNCTION("IFERROR(GOOGLEFINANCE(A1108,""CHANGE""),)"),-15.85)</f>
        <v>-15.85</v>
      </c>
      <c r="D1108" s="48">
        <f>IFERROR(__xludf.DUMMYFUNCTION("IFERROR(GOOGLEFINANCE(A1108,""CHANGEPCT""),)"),-3.25)</f>
        <v>-3.25</v>
      </c>
      <c r="E1108" s="48" t="str">
        <f t="shared" si="1"/>
        <v>-3.25%</v>
      </c>
      <c r="F1108" s="48" t="str">
        <f t="shared" si="2"/>
        <v/>
      </c>
      <c r="G1108" s="48">
        <f t="shared" si="3"/>
        <v>-3.25</v>
      </c>
      <c r="H1108" s="48">
        <f>IFERROR(__xludf.DUMMYFUNCTION("IFERROR(GOOGLEFINANCE(A1108,""PRICE""),)"),472.0)</f>
        <v>472</v>
      </c>
      <c r="I1108" s="49">
        <f>IFERROR(__xludf.DUMMYFUNCTION("IFERROR(GOOGLEFINANCE(A1108,""VOLUME""),)"),830119.0)</f>
        <v>830119</v>
      </c>
      <c r="J1108" s="48" t="str">
        <f>IFERROR(__xludf.DUMMYFUNCTION("IFERROR(INDEX(SPLIT(A1108,"":""),1,2),)"),"PRECWIRE")</f>
        <v>PRECWIRE</v>
      </c>
      <c r="K1108" s="48" t="str">
        <f t="shared" si="4"/>
        <v/>
      </c>
      <c r="L1108" s="48">
        <f t="shared" si="5"/>
        <v>598</v>
      </c>
      <c r="M1108" s="48">
        <f t="shared" si="6"/>
        <v>305</v>
      </c>
      <c r="N1108" s="50">
        <f>IFERROR(__xludf.DUMMYFUNCTION("IFERROR(GOOGLEFINANCE(A1108,""TRADETIME""),)"),46269.64583333333)</f>
        <v>46269.64583</v>
      </c>
      <c r="O1108" s="44"/>
      <c r="P1108" s="44"/>
      <c r="Q1108" s="44"/>
      <c r="R1108" s="44"/>
      <c r="S1108" s="44"/>
      <c r="T1108" s="44"/>
      <c r="U1108" s="44"/>
      <c r="V1108" s="44"/>
      <c r="W1108" s="44"/>
      <c r="X1108" s="44"/>
      <c r="Y1108" s="44"/>
      <c r="Z1108" s="44"/>
    </row>
    <row r="1109" ht="15.75" customHeight="1">
      <c r="A1109" s="51" t="s">
        <v>1155</v>
      </c>
      <c r="B1109" s="51" t="str">
        <f>IFERROR(__xludf.DUMMYFUNCTION("IFERROR(GOOGLEFINANCE(A1109,""NAME""),)"),"Premier Explosives Ltd")</f>
        <v>Premier Explosives Ltd</v>
      </c>
      <c r="C1109" s="51">
        <f>IFERROR(__xludf.DUMMYFUNCTION("IFERROR(GOOGLEFINANCE(A1109,""CHANGE""),)"),-2.35)</f>
        <v>-2.35</v>
      </c>
      <c r="D1109" s="51">
        <f>IFERROR(__xludf.DUMMYFUNCTION("IFERROR(GOOGLEFINANCE(A1109,""CHANGEPCT""),)"),-0.35)</f>
        <v>-0.35</v>
      </c>
      <c r="E1109" s="51" t="str">
        <f t="shared" si="1"/>
        <v>-0.35%</v>
      </c>
      <c r="F1109" s="51" t="str">
        <f t="shared" si="2"/>
        <v/>
      </c>
      <c r="G1109" s="51">
        <f t="shared" si="3"/>
        <v>-0.35</v>
      </c>
      <c r="H1109" s="51">
        <f>IFERROR(__xludf.DUMMYFUNCTION("IFERROR(GOOGLEFINANCE(A1109,""PRICE""),)"),664.0)</f>
        <v>664</v>
      </c>
      <c r="I1109" s="52">
        <f>IFERROR(__xludf.DUMMYFUNCTION("IFERROR(GOOGLEFINANCE(A1109,""VOLUME""),)"),305895.0)</f>
        <v>305895</v>
      </c>
      <c r="J1109" s="51" t="str">
        <f>IFERROR(__xludf.DUMMYFUNCTION("IFERROR(INDEX(SPLIT(A1109,"":""),1,2),)"),"PREMEXPLN")</f>
        <v>PREMEXPLN</v>
      </c>
      <c r="K1109" s="51" t="str">
        <f t="shared" si="4"/>
        <v/>
      </c>
      <c r="L1109" s="51">
        <f t="shared" si="5"/>
        <v>135</v>
      </c>
      <c r="M1109" s="51">
        <f t="shared" si="6"/>
        <v>510</v>
      </c>
      <c r="N1109" s="53">
        <f>IFERROR(__xludf.DUMMYFUNCTION("IFERROR(GOOGLEFINANCE(A1109,""TRADETIME""),)"),46269.64583333333)</f>
        <v>46269.64583</v>
      </c>
      <c r="O1109" s="44"/>
      <c r="P1109" s="44"/>
      <c r="Q1109" s="44"/>
      <c r="R1109" s="44"/>
      <c r="S1109" s="44"/>
      <c r="T1109" s="44"/>
      <c r="U1109" s="44"/>
      <c r="V1109" s="44"/>
      <c r="W1109" s="44"/>
      <c r="X1109" s="44"/>
      <c r="Y1109" s="44"/>
      <c r="Z1109" s="44"/>
    </row>
    <row r="1110" ht="15.75" customHeight="1">
      <c r="A1110" s="48" t="s">
        <v>1156</v>
      </c>
      <c r="B1110" s="48" t="str">
        <f>IFERROR(__xludf.DUMMYFUNCTION("IFERROR(GOOGLEFINANCE(A1110,""NAME""),)"),"Premier Ltd")</f>
        <v>Premier Ltd</v>
      </c>
      <c r="C1110" s="48">
        <f>IFERROR(__xludf.DUMMYFUNCTION("IFERROR(GOOGLEFINANCE(A1110,""CHANGE""),)"),0.11)</f>
        <v>0.11</v>
      </c>
      <c r="D1110" s="48">
        <f>IFERROR(__xludf.DUMMYFUNCTION("IFERROR(GOOGLEFINANCE(A1110,""CHANGEPCT""),)"),4.17)</f>
        <v>4.17</v>
      </c>
      <c r="E1110" s="48" t="str">
        <f t="shared" si="1"/>
        <v>4.17%</v>
      </c>
      <c r="F1110" s="48">
        <f t="shared" si="2"/>
        <v>4.17</v>
      </c>
      <c r="G1110" s="48" t="str">
        <f t="shared" si="3"/>
        <v/>
      </c>
      <c r="H1110" s="48">
        <f>IFERROR(__xludf.DUMMYFUNCTION("IFERROR(GOOGLEFINANCE(A1110,""PRICE""),)"),2.75)</f>
        <v>2.75</v>
      </c>
      <c r="I1110" s="49">
        <f>IFERROR(__xludf.DUMMYFUNCTION("IFERROR(GOOGLEFINANCE(A1110,""VOLUME""),)"),8850.0)</f>
        <v>8850</v>
      </c>
      <c r="J1110" s="48" t="str">
        <f>IFERROR(__xludf.DUMMYFUNCTION("IFERROR(INDEX(SPLIT(A1110,"":""),1,2),)"),"PREMIER")</f>
        <v>PREMIER</v>
      </c>
      <c r="K1110" s="48">
        <f t="shared" si="4"/>
        <v>107</v>
      </c>
      <c r="L1110" s="48" t="str">
        <f t="shared" si="5"/>
        <v/>
      </c>
      <c r="M1110" s="48">
        <f t="shared" si="6"/>
        <v>1247</v>
      </c>
      <c r="N1110" s="50">
        <f>IFERROR(__xludf.DUMMYFUNCTION("IFERROR(GOOGLEFINANCE(A1110,""TRADETIME""),)"),46269.64583333333)</f>
        <v>46269.64583</v>
      </c>
      <c r="O1110" s="44"/>
      <c r="P1110" s="44"/>
      <c r="Q1110" s="44"/>
      <c r="R1110" s="44"/>
      <c r="S1110" s="44"/>
      <c r="T1110" s="44"/>
      <c r="U1110" s="44"/>
      <c r="V1110" s="44"/>
      <c r="W1110" s="44"/>
      <c r="X1110" s="44"/>
      <c r="Y1110" s="44"/>
      <c r="Z1110" s="44"/>
    </row>
    <row r="1111" ht="15.75" customHeight="1">
      <c r="A1111" s="51" t="s">
        <v>1157</v>
      </c>
      <c r="B1111" s="51" t="str">
        <f>IFERROR(__xludf.DUMMYFUNCTION("IFERROR(GOOGLEFINANCE(A1111,""NAME""),)"),"Premier Polyfilm Ltd(NDA)")</f>
        <v>Premier Polyfilm Ltd(NDA)</v>
      </c>
      <c r="C1111" s="51">
        <f>IFERROR(__xludf.DUMMYFUNCTION("IFERROR(GOOGLEFINANCE(A1111,""CHANGE""),)"),3.65)</f>
        <v>3.65</v>
      </c>
      <c r="D1111" s="51">
        <f>IFERROR(__xludf.DUMMYFUNCTION("IFERROR(GOOGLEFINANCE(A1111,""CHANGEPCT""),)"),3.95)</f>
        <v>3.95</v>
      </c>
      <c r="E1111" s="51" t="str">
        <f t="shared" si="1"/>
        <v>3.95%</v>
      </c>
      <c r="F1111" s="51">
        <f t="shared" si="2"/>
        <v>3.95</v>
      </c>
      <c r="G1111" s="51" t="str">
        <f t="shared" si="3"/>
        <v/>
      </c>
      <c r="H1111" s="51">
        <f>IFERROR(__xludf.DUMMYFUNCTION("IFERROR(GOOGLEFINANCE(A1111,""PRICE""),)"),96.0)</f>
        <v>96</v>
      </c>
      <c r="I1111" s="52">
        <f>IFERROR(__xludf.DUMMYFUNCTION("IFERROR(GOOGLEFINANCE(A1111,""VOLUME""),)"),1113475.0)</f>
        <v>1113475</v>
      </c>
      <c r="J1111" s="51" t="str">
        <f>IFERROR(__xludf.DUMMYFUNCTION("IFERROR(INDEX(SPLIT(A1111,"":""),1,2),)"),"PREMIERPOL")</f>
        <v>PREMIERPOL</v>
      </c>
      <c r="K1111" s="51">
        <f t="shared" si="4"/>
        <v>120</v>
      </c>
      <c r="L1111" s="51" t="str">
        <f t="shared" si="5"/>
        <v/>
      </c>
      <c r="M1111" s="51">
        <f t="shared" si="6"/>
        <v>254</v>
      </c>
      <c r="N1111" s="53">
        <f>IFERROR(__xludf.DUMMYFUNCTION("IFERROR(GOOGLEFINANCE(A1111,""TRADETIME""),)"),46269.64583333333)</f>
        <v>46269.64583</v>
      </c>
      <c r="O1111" s="44"/>
      <c r="P1111" s="44"/>
      <c r="Q1111" s="44"/>
      <c r="R1111" s="44"/>
      <c r="S1111" s="44"/>
      <c r="T1111" s="44"/>
      <c r="U1111" s="44"/>
      <c r="V1111" s="44"/>
      <c r="W1111" s="44"/>
      <c r="X1111" s="44"/>
      <c r="Y1111" s="44"/>
      <c r="Z1111" s="44"/>
    </row>
    <row r="1112" ht="15.75" customHeight="1">
      <c r="A1112" s="48" t="s">
        <v>1158</v>
      </c>
      <c r="B1112" s="48" t="str">
        <f>IFERROR(__xludf.DUMMYFUNCTION("IFERROR(GOOGLEFINANCE(A1112,""NAME""),)"),"")</f>
        <v/>
      </c>
      <c r="C1112" s="48" t="str">
        <f>IFERROR(__xludf.DUMMYFUNCTION("IFERROR(GOOGLEFINANCE(A1112,""CHANGE""),)"),"")</f>
        <v/>
      </c>
      <c r="D1112" s="48" t="str">
        <f>IFERROR(__xludf.DUMMYFUNCTION("IFERROR(GOOGLEFINANCE(A1112,""CHANGEPCT""),)"),"")</f>
        <v/>
      </c>
      <c r="E1112" s="48" t="str">
        <f t="shared" si="1"/>
        <v>%</v>
      </c>
      <c r="F1112" s="48" t="str">
        <f t="shared" si="2"/>
        <v/>
      </c>
      <c r="G1112" s="48" t="str">
        <f t="shared" si="3"/>
        <v/>
      </c>
      <c r="H1112" s="48" t="str">
        <f>IFERROR(__xludf.DUMMYFUNCTION("IFERROR(GOOGLEFINANCE(A1112,""PRICE""),)"),"")</f>
        <v/>
      </c>
      <c r="I1112" s="49" t="str">
        <f>IFERROR(__xludf.DUMMYFUNCTION("IFERROR(GOOGLEFINANCE(A1112,""VOLUME""),)"),"")</f>
        <v/>
      </c>
      <c r="J1112" s="48" t="str">
        <f>IFERROR(__xludf.DUMMYFUNCTION("IFERROR(INDEX(SPLIT(A1112,"":""),1,2),)"),"PRESSMN")</f>
        <v>PRESSMN</v>
      </c>
      <c r="K1112" s="48" t="str">
        <f t="shared" si="4"/>
        <v/>
      </c>
      <c r="L1112" s="48" t="str">
        <f t="shared" si="5"/>
        <v/>
      </c>
      <c r="M1112" s="48">
        <f t="shared" si="6"/>
        <v>1456</v>
      </c>
      <c r="N1112" s="50" t="str">
        <f>IFERROR(__xludf.DUMMYFUNCTION("IFERROR(GOOGLEFINANCE(A1112,""TRADETIME""),)"),"")</f>
        <v/>
      </c>
      <c r="O1112" s="44"/>
      <c r="P1112" s="44"/>
      <c r="Q1112" s="44"/>
      <c r="R1112" s="44"/>
      <c r="S1112" s="44"/>
      <c r="T1112" s="44"/>
      <c r="U1112" s="44"/>
      <c r="V1112" s="44"/>
      <c r="W1112" s="44"/>
      <c r="X1112" s="44"/>
      <c r="Y1112" s="44"/>
      <c r="Z1112" s="44"/>
    </row>
    <row r="1113" ht="15.75" customHeight="1">
      <c r="A1113" s="51" t="s">
        <v>1159</v>
      </c>
      <c r="B1113" s="51" t="str">
        <f>IFERROR(__xludf.DUMMYFUNCTION("IFERROR(GOOGLEFINANCE(A1113,""NAME""),)"),"Prestige Estates Projects Limited")</f>
        <v>Prestige Estates Projects Limited</v>
      </c>
      <c r="C1113" s="51">
        <f>IFERROR(__xludf.DUMMYFUNCTION("IFERROR(GOOGLEFINANCE(A1113,""CHANGE""),)"),-26.7)</f>
        <v>-26.7</v>
      </c>
      <c r="D1113" s="51">
        <f>IFERROR(__xludf.DUMMYFUNCTION("IFERROR(GOOGLEFINANCE(A1113,""CHANGEPCT""),)"),-1.65)</f>
        <v>-1.65</v>
      </c>
      <c r="E1113" s="51" t="str">
        <f t="shared" si="1"/>
        <v>-1.65%</v>
      </c>
      <c r="F1113" s="51" t="str">
        <f t="shared" si="2"/>
        <v/>
      </c>
      <c r="G1113" s="51">
        <f t="shared" si="3"/>
        <v>-1.65</v>
      </c>
      <c r="H1113" s="51">
        <f>IFERROR(__xludf.DUMMYFUNCTION("IFERROR(GOOGLEFINANCE(A1113,""PRICE""),)"),1588.5)</f>
        <v>1588.5</v>
      </c>
      <c r="I1113" s="52">
        <f>IFERROR(__xludf.DUMMYFUNCTION("IFERROR(GOOGLEFINANCE(A1113,""VOLUME""),)"),588022.0)</f>
        <v>588022</v>
      </c>
      <c r="J1113" s="51" t="str">
        <f>IFERROR(__xludf.DUMMYFUNCTION("IFERROR(INDEX(SPLIT(A1113,"":""),1,2),)"),"PRESTIGE")</f>
        <v>PRESTIGE</v>
      </c>
      <c r="K1113" s="51" t="str">
        <f t="shared" si="4"/>
        <v/>
      </c>
      <c r="L1113" s="51">
        <f t="shared" si="5"/>
        <v>477</v>
      </c>
      <c r="M1113" s="51">
        <f t="shared" si="6"/>
        <v>363</v>
      </c>
      <c r="N1113" s="53">
        <f>IFERROR(__xludf.DUMMYFUNCTION("IFERROR(GOOGLEFINANCE(A1113,""TRADETIME""),)"),46269.64583333333)</f>
        <v>46269.64583</v>
      </c>
      <c r="O1113" s="44"/>
      <c r="P1113" s="44"/>
      <c r="Q1113" s="44"/>
      <c r="R1113" s="44"/>
      <c r="S1113" s="44"/>
      <c r="T1113" s="44"/>
      <c r="U1113" s="44"/>
      <c r="V1113" s="44"/>
      <c r="W1113" s="44"/>
      <c r="X1113" s="44"/>
      <c r="Y1113" s="44"/>
      <c r="Z1113" s="44"/>
    </row>
    <row r="1114" ht="15.75" customHeight="1">
      <c r="A1114" s="48" t="s">
        <v>1160</v>
      </c>
      <c r="B1114" s="48" t="str">
        <f>IFERROR(__xludf.DUMMYFUNCTION("IFERROR(GOOGLEFINANCE(A1114,""NAME""),)"),"Pricol Ltd")</f>
        <v>Pricol Ltd</v>
      </c>
      <c r="C1114" s="48">
        <f>IFERROR(__xludf.DUMMYFUNCTION("IFERROR(GOOGLEFINANCE(A1114,""CHANGE""),)"),-5.4)</f>
        <v>-5.4</v>
      </c>
      <c r="D1114" s="48">
        <f>IFERROR(__xludf.DUMMYFUNCTION("IFERROR(GOOGLEFINANCE(A1114,""CHANGEPCT""),)"),-0.7)</f>
        <v>-0.7</v>
      </c>
      <c r="E1114" s="48" t="str">
        <f t="shared" si="1"/>
        <v>-0.7%</v>
      </c>
      <c r="F1114" s="48" t="str">
        <f t="shared" si="2"/>
        <v/>
      </c>
      <c r="G1114" s="48">
        <f t="shared" si="3"/>
        <v>-0.7</v>
      </c>
      <c r="H1114" s="48">
        <f>IFERROR(__xludf.DUMMYFUNCTION("IFERROR(GOOGLEFINANCE(A1114,""PRICE""),)"),763.0)</f>
        <v>763</v>
      </c>
      <c r="I1114" s="49">
        <f>IFERROR(__xludf.DUMMYFUNCTION("IFERROR(GOOGLEFINANCE(A1114,""VOLUME""),)"),246508.0)</f>
        <v>246508</v>
      </c>
      <c r="J1114" s="48" t="str">
        <f>IFERROR(__xludf.DUMMYFUNCTION("IFERROR(INDEX(SPLIT(A1114,"":""),1,2),)"),"PRICOLLTD")</f>
        <v>PRICOLLTD</v>
      </c>
      <c r="K1114" s="48" t="str">
        <f t="shared" si="4"/>
        <v/>
      </c>
      <c r="L1114" s="48">
        <f t="shared" si="5"/>
        <v>269</v>
      </c>
      <c r="M1114" s="48">
        <f t="shared" si="6"/>
        <v>573</v>
      </c>
      <c r="N1114" s="50">
        <f>IFERROR(__xludf.DUMMYFUNCTION("IFERROR(GOOGLEFINANCE(A1114,""TRADETIME""),)"),46269.64583333333)</f>
        <v>46269.64583</v>
      </c>
      <c r="O1114" s="44"/>
      <c r="P1114" s="44"/>
      <c r="Q1114" s="44"/>
      <c r="R1114" s="44"/>
      <c r="S1114" s="44"/>
      <c r="T1114" s="44"/>
      <c r="U1114" s="44"/>
      <c r="V1114" s="44"/>
      <c r="W1114" s="44"/>
      <c r="X1114" s="44"/>
      <c r="Y1114" s="44"/>
      <c r="Z1114" s="44"/>
    </row>
    <row r="1115" ht="15.75" customHeight="1">
      <c r="A1115" s="51" t="s">
        <v>1161</v>
      </c>
      <c r="B1115" s="51" t="str">
        <f>IFERROR(__xludf.DUMMYFUNCTION("IFERROR(GOOGLEFINANCE(A1115,""NAME""),)"),"Prime Securities Ltd")</f>
        <v>Prime Securities Ltd</v>
      </c>
      <c r="C1115" s="51">
        <f>IFERROR(__xludf.DUMMYFUNCTION("IFERROR(GOOGLEFINANCE(A1115,""CHANGE""),)"),-8.55)</f>
        <v>-8.55</v>
      </c>
      <c r="D1115" s="51">
        <f>IFERROR(__xludf.DUMMYFUNCTION("IFERROR(GOOGLEFINANCE(A1115,""CHANGEPCT""),)"),-2.95)</f>
        <v>-2.95</v>
      </c>
      <c r="E1115" s="51" t="str">
        <f t="shared" si="1"/>
        <v>-2.95%</v>
      </c>
      <c r="F1115" s="51" t="str">
        <f t="shared" si="2"/>
        <v/>
      </c>
      <c r="G1115" s="51">
        <f t="shared" si="3"/>
        <v>-2.95</v>
      </c>
      <c r="H1115" s="51">
        <f>IFERROR(__xludf.DUMMYFUNCTION("IFERROR(GOOGLEFINANCE(A1115,""PRICE""),)"),281.65)</f>
        <v>281.65</v>
      </c>
      <c r="I1115" s="52">
        <f>IFERROR(__xludf.DUMMYFUNCTION("IFERROR(GOOGLEFINANCE(A1115,""VOLUME""),)"),24727.0)</f>
        <v>24727</v>
      </c>
      <c r="J1115" s="51" t="str">
        <f>IFERROR(__xludf.DUMMYFUNCTION("IFERROR(INDEX(SPLIT(A1115,"":""),1,2),)"),"PRIMESECU")</f>
        <v>PRIMESECU</v>
      </c>
      <c r="K1115" s="51" t="str">
        <f t="shared" si="4"/>
        <v/>
      </c>
      <c r="L1115" s="51">
        <f t="shared" si="5"/>
        <v>588</v>
      </c>
      <c r="M1115" s="51">
        <f t="shared" si="6"/>
        <v>1085</v>
      </c>
      <c r="N1115" s="53">
        <f>IFERROR(__xludf.DUMMYFUNCTION("IFERROR(GOOGLEFINANCE(A1115,""TRADETIME""),)"),46269.64583333333)</f>
        <v>46269.64583</v>
      </c>
      <c r="O1115" s="44"/>
      <c r="P1115" s="44"/>
      <c r="Q1115" s="44"/>
      <c r="R1115" s="44"/>
      <c r="S1115" s="44"/>
      <c r="T1115" s="44"/>
      <c r="U1115" s="44"/>
      <c r="V1115" s="44"/>
      <c r="W1115" s="44"/>
      <c r="X1115" s="44"/>
      <c r="Y1115" s="44"/>
      <c r="Z1115" s="44"/>
    </row>
    <row r="1116" ht="15.75" customHeight="1">
      <c r="A1116" s="48" t="s">
        <v>1162</v>
      </c>
      <c r="B1116" s="48" t="str">
        <f>IFERROR(__xludf.DUMMYFUNCTION("IFERROR(GOOGLEFINANCE(A1116,""NAME""),)"),"Prince Pipes and Fittings Ltd")</f>
        <v>Prince Pipes and Fittings Ltd</v>
      </c>
      <c r="C1116" s="48">
        <f>IFERROR(__xludf.DUMMYFUNCTION("IFERROR(GOOGLEFINANCE(A1116,""CHANGE""),)"),-5.5)</f>
        <v>-5.5</v>
      </c>
      <c r="D1116" s="48">
        <f>IFERROR(__xludf.DUMMYFUNCTION("IFERROR(GOOGLEFINANCE(A1116,""CHANGEPCT""),)"),-1.9)</f>
        <v>-1.9</v>
      </c>
      <c r="E1116" s="48" t="str">
        <f t="shared" si="1"/>
        <v>-1.9%</v>
      </c>
      <c r="F1116" s="48" t="str">
        <f t="shared" si="2"/>
        <v/>
      </c>
      <c r="G1116" s="48">
        <f t="shared" si="3"/>
        <v>-1.9</v>
      </c>
      <c r="H1116" s="48">
        <f>IFERROR(__xludf.DUMMYFUNCTION("IFERROR(GOOGLEFINANCE(A1116,""PRICE""),)"),284.0)</f>
        <v>284</v>
      </c>
      <c r="I1116" s="49">
        <f>IFERROR(__xludf.DUMMYFUNCTION("IFERROR(GOOGLEFINANCE(A1116,""VOLUME""),)"),140756.0)</f>
        <v>140756</v>
      </c>
      <c r="J1116" s="48" t="str">
        <f>IFERROR(__xludf.DUMMYFUNCTION("IFERROR(INDEX(SPLIT(A1116,"":""),1,2),)"),"PRINCEPIPE")</f>
        <v>PRINCEPIPE</v>
      </c>
      <c r="K1116" s="48" t="str">
        <f t="shared" si="4"/>
        <v/>
      </c>
      <c r="L1116" s="48">
        <f t="shared" si="5"/>
        <v>509</v>
      </c>
      <c r="M1116" s="48">
        <f t="shared" si="6"/>
        <v>704</v>
      </c>
      <c r="N1116" s="50">
        <f>IFERROR(__xludf.DUMMYFUNCTION("IFERROR(GOOGLEFINANCE(A1116,""TRADETIME""),)"),46269.64585648148)</f>
        <v>46269.64586</v>
      </c>
      <c r="O1116" s="44"/>
      <c r="P1116" s="44"/>
      <c r="Q1116" s="44"/>
      <c r="R1116" s="44"/>
      <c r="S1116" s="44"/>
      <c r="T1116" s="44"/>
      <c r="U1116" s="44"/>
      <c r="V1116" s="44"/>
      <c r="W1116" s="44"/>
      <c r="X1116" s="44"/>
      <c r="Y1116" s="44"/>
      <c r="Z1116" s="44"/>
    </row>
    <row r="1117" ht="15.75" customHeight="1">
      <c r="A1117" s="51" t="s">
        <v>1163</v>
      </c>
      <c r="B1117" s="51" t="str">
        <f>IFERROR(__xludf.DUMMYFUNCTION("IFERROR(GOOGLEFINANCE(A1117,""NAME""),)"),"Privi Speciality Chemicals Ltd")</f>
        <v>Privi Speciality Chemicals Ltd</v>
      </c>
      <c r="C1117" s="51">
        <f>IFERROR(__xludf.DUMMYFUNCTION("IFERROR(GOOGLEFINANCE(A1117,""CHANGE""),)"),27.2)</f>
        <v>27.2</v>
      </c>
      <c r="D1117" s="51">
        <f>IFERROR(__xludf.DUMMYFUNCTION("IFERROR(GOOGLEFINANCE(A1117,""CHANGEPCT""),)"),0.81)</f>
        <v>0.81</v>
      </c>
      <c r="E1117" s="51" t="str">
        <f t="shared" si="1"/>
        <v>0.81%</v>
      </c>
      <c r="F1117" s="51">
        <f t="shared" si="2"/>
        <v>0.81</v>
      </c>
      <c r="G1117" s="51" t="str">
        <f t="shared" si="3"/>
        <v/>
      </c>
      <c r="H1117" s="51">
        <f>IFERROR(__xludf.DUMMYFUNCTION("IFERROR(GOOGLEFINANCE(A1117,""PRICE""),)"),3400.7)</f>
        <v>3400.7</v>
      </c>
      <c r="I1117" s="52">
        <f>IFERROR(__xludf.DUMMYFUNCTION("IFERROR(GOOGLEFINANCE(A1117,""VOLUME""),)"),42021.0)</f>
        <v>42021</v>
      </c>
      <c r="J1117" s="51" t="str">
        <f>IFERROR(__xludf.DUMMYFUNCTION("IFERROR(INDEX(SPLIT(A1117,"":""),1,2),)"),"PRIVISCL")</f>
        <v>PRIVISCL</v>
      </c>
      <c r="K1117" s="51">
        <f t="shared" si="4"/>
        <v>498</v>
      </c>
      <c r="L1117" s="51" t="str">
        <f t="shared" si="5"/>
        <v/>
      </c>
      <c r="M1117" s="51">
        <f t="shared" si="6"/>
        <v>991</v>
      </c>
      <c r="N1117" s="53">
        <f>IFERROR(__xludf.DUMMYFUNCTION("IFERROR(GOOGLEFINANCE(A1117,""TRADETIME""),)"),46269.64583333333)</f>
        <v>46269.64583</v>
      </c>
      <c r="O1117" s="44"/>
      <c r="P1117" s="44"/>
      <c r="Q1117" s="44"/>
      <c r="R1117" s="44"/>
      <c r="S1117" s="44"/>
      <c r="T1117" s="44"/>
      <c r="U1117" s="44"/>
      <c r="V1117" s="44"/>
      <c r="W1117" s="44"/>
      <c r="X1117" s="44"/>
      <c r="Y1117" s="44"/>
      <c r="Z1117" s="44"/>
    </row>
    <row r="1118" ht="15.75" customHeight="1">
      <c r="A1118" s="48" t="s">
        <v>1164</v>
      </c>
      <c r="B1118" s="48" t="str">
        <f>IFERROR(__xludf.DUMMYFUNCTION("IFERROR(GOOGLEFINANCE(A1118,""NAME""),)"),"")</f>
        <v/>
      </c>
      <c r="C1118" s="48" t="str">
        <f>IFERROR(__xludf.DUMMYFUNCTION("IFERROR(GOOGLEFINANCE(A1118,""CHANGE""),)"),"")</f>
        <v/>
      </c>
      <c r="D1118" s="48" t="str">
        <f>IFERROR(__xludf.DUMMYFUNCTION("IFERROR(GOOGLEFINANCE(A1118,""CHANGEPCT""),)"),"")</f>
        <v/>
      </c>
      <c r="E1118" s="48" t="str">
        <f t="shared" si="1"/>
        <v>%</v>
      </c>
      <c r="F1118" s="48" t="str">
        <f t="shared" si="2"/>
        <v/>
      </c>
      <c r="G1118" s="48" t="str">
        <f t="shared" si="3"/>
        <v/>
      </c>
      <c r="H1118" s="48" t="str">
        <f>IFERROR(__xludf.DUMMYFUNCTION("IFERROR(GOOGLEFINANCE(A1118,""PRICE""),)"),"")</f>
        <v/>
      </c>
      <c r="I1118" s="49" t="str">
        <f>IFERROR(__xludf.DUMMYFUNCTION("IFERROR(GOOGLEFINANCE(A1118,""VOLUME""),)"),"")</f>
        <v/>
      </c>
      <c r="J1118" s="48" t="str">
        <f>IFERROR(__xludf.DUMMYFUNCTION("IFERROR(INDEX(SPLIT(A1118,"":""),1,2),)"),"PROZONINTU")</f>
        <v>PROZONINTU</v>
      </c>
      <c r="K1118" s="48" t="str">
        <f t="shared" si="4"/>
        <v/>
      </c>
      <c r="L1118" s="48" t="str">
        <f t="shared" si="5"/>
        <v/>
      </c>
      <c r="M1118" s="48">
        <f t="shared" si="6"/>
        <v>1456</v>
      </c>
      <c r="N1118" s="50" t="str">
        <f>IFERROR(__xludf.DUMMYFUNCTION("IFERROR(GOOGLEFINANCE(A1118,""TRADETIME""),)"),"")</f>
        <v/>
      </c>
      <c r="O1118" s="44"/>
      <c r="P1118" s="44"/>
      <c r="Q1118" s="44"/>
      <c r="R1118" s="44"/>
      <c r="S1118" s="44"/>
      <c r="T1118" s="44"/>
      <c r="U1118" s="44"/>
      <c r="V1118" s="44"/>
      <c r="W1118" s="44"/>
      <c r="X1118" s="44"/>
      <c r="Y1118" s="44"/>
      <c r="Z1118" s="44"/>
    </row>
    <row r="1119" ht="15.75" customHeight="1">
      <c r="A1119" s="51" t="s">
        <v>1165</v>
      </c>
      <c r="B1119" s="51" t="str">
        <f>IFERROR(__xludf.DUMMYFUNCTION("IFERROR(GOOGLEFINANCE(A1119,""NAME""),)"),"Prism Johnson Ltd")</f>
        <v>Prism Johnson Ltd</v>
      </c>
      <c r="C1119" s="51">
        <f>IFERROR(__xludf.DUMMYFUNCTION("IFERROR(GOOGLEFINANCE(A1119,""CHANGE""),)"),-0.31)</f>
        <v>-0.31</v>
      </c>
      <c r="D1119" s="51">
        <f>IFERROR(__xludf.DUMMYFUNCTION("IFERROR(GOOGLEFINANCE(A1119,""CHANGEPCT""),)"),-0.28)</f>
        <v>-0.28</v>
      </c>
      <c r="E1119" s="51" t="str">
        <f t="shared" si="1"/>
        <v>-0.28%</v>
      </c>
      <c r="F1119" s="51" t="str">
        <f t="shared" si="2"/>
        <v/>
      </c>
      <c r="G1119" s="51">
        <f t="shared" si="3"/>
        <v>-0.28</v>
      </c>
      <c r="H1119" s="51">
        <f>IFERROR(__xludf.DUMMYFUNCTION("IFERROR(GOOGLEFINANCE(A1119,""PRICE""),)"),111.0)</f>
        <v>111</v>
      </c>
      <c r="I1119" s="52">
        <f>IFERROR(__xludf.DUMMYFUNCTION("IFERROR(GOOGLEFINANCE(A1119,""VOLUME""),)"),167167.0)</f>
        <v>167167</v>
      </c>
      <c r="J1119" s="51" t="str">
        <f>IFERROR(__xludf.DUMMYFUNCTION("IFERROR(INDEX(SPLIT(A1119,"":""),1,2),)"),"PRSMJOHNSN")</f>
        <v>PRSMJOHNSN</v>
      </c>
      <c r="K1119" s="51" t="str">
        <f t="shared" si="4"/>
        <v/>
      </c>
      <c r="L1119" s="51">
        <f t="shared" si="5"/>
        <v>102</v>
      </c>
      <c r="M1119" s="51">
        <f t="shared" si="6"/>
        <v>666</v>
      </c>
      <c r="N1119" s="53">
        <f>IFERROR(__xludf.DUMMYFUNCTION("IFERROR(GOOGLEFINANCE(A1119,""TRADETIME""),)"),46269.64583333333)</f>
        <v>46269.64583</v>
      </c>
      <c r="O1119" s="44"/>
      <c r="P1119" s="44"/>
      <c r="Q1119" s="44"/>
      <c r="R1119" s="44"/>
      <c r="S1119" s="44"/>
      <c r="T1119" s="44"/>
      <c r="U1119" s="44"/>
      <c r="V1119" s="44"/>
      <c r="W1119" s="44"/>
      <c r="X1119" s="44"/>
      <c r="Y1119" s="44"/>
      <c r="Z1119" s="44"/>
    </row>
    <row r="1120" ht="15.75" customHeight="1">
      <c r="A1120" s="48" t="s">
        <v>1166</v>
      </c>
      <c r="B1120" s="48" t="str">
        <f>IFERROR(__xludf.DUMMYFUNCTION("IFERROR(GOOGLEFINANCE(A1120,""NAME""),)"),"Punjab &amp; Sind Bank")</f>
        <v>Punjab &amp; Sind Bank</v>
      </c>
      <c r="C1120" s="48">
        <f>IFERROR(__xludf.DUMMYFUNCTION("IFERROR(GOOGLEFINANCE(A1120,""CHANGE""),)"),0.26)</f>
        <v>0.26</v>
      </c>
      <c r="D1120" s="48">
        <f>IFERROR(__xludf.DUMMYFUNCTION("IFERROR(GOOGLEFINANCE(A1120,""CHANGEPCT""),)"),1.13)</f>
        <v>1.13</v>
      </c>
      <c r="E1120" s="48" t="str">
        <f t="shared" si="1"/>
        <v>1.13%</v>
      </c>
      <c r="F1120" s="48">
        <f t="shared" si="2"/>
        <v>1.13</v>
      </c>
      <c r="G1120" s="48" t="str">
        <f t="shared" si="3"/>
        <v/>
      </c>
      <c r="H1120" s="48">
        <f>IFERROR(__xludf.DUMMYFUNCTION("IFERROR(GOOGLEFINANCE(A1120,""PRICE""),)"),23.31)</f>
        <v>23.31</v>
      </c>
      <c r="I1120" s="49">
        <f>IFERROR(__xludf.DUMMYFUNCTION("IFERROR(GOOGLEFINANCE(A1120,""VOLUME""),)"),1431638.0)</f>
        <v>1431638</v>
      </c>
      <c r="J1120" s="48" t="str">
        <f>IFERROR(__xludf.DUMMYFUNCTION("IFERROR(INDEX(SPLIT(A1120,"":""),1,2),)"),"PSB")</f>
        <v>PSB</v>
      </c>
      <c r="K1120" s="48">
        <f t="shared" si="4"/>
        <v>428</v>
      </c>
      <c r="L1120" s="48" t="str">
        <f t="shared" si="5"/>
        <v/>
      </c>
      <c r="M1120" s="48">
        <f t="shared" si="6"/>
        <v>215</v>
      </c>
      <c r="N1120" s="50">
        <f>IFERROR(__xludf.DUMMYFUNCTION("IFERROR(GOOGLEFINANCE(A1120,""TRADETIME""),)"),46269.64585648148)</f>
        <v>46269.64586</v>
      </c>
      <c r="O1120" s="44"/>
      <c r="P1120" s="44"/>
      <c r="Q1120" s="44"/>
      <c r="R1120" s="44"/>
      <c r="S1120" s="44"/>
      <c r="T1120" s="44"/>
      <c r="U1120" s="44"/>
      <c r="V1120" s="44"/>
      <c r="W1120" s="44"/>
      <c r="X1120" s="44"/>
      <c r="Y1120" s="44"/>
      <c r="Z1120" s="44"/>
    </row>
    <row r="1121" ht="15.75" customHeight="1">
      <c r="A1121" s="51" t="s">
        <v>1167</v>
      </c>
      <c r="B1121" s="51" t="str">
        <f>IFERROR(__xludf.DUMMYFUNCTION("IFERROR(GOOGLEFINANCE(A1121,""NAME""),)"),"Psp Projects Ltd")</f>
        <v>Psp Projects Ltd</v>
      </c>
      <c r="C1121" s="51">
        <f>IFERROR(__xludf.DUMMYFUNCTION("IFERROR(GOOGLEFINANCE(A1121,""CHANGE""),)"),22.05)</f>
        <v>22.05</v>
      </c>
      <c r="D1121" s="51">
        <f>IFERROR(__xludf.DUMMYFUNCTION("IFERROR(GOOGLEFINANCE(A1121,""CHANGEPCT""),)"),2.56)</f>
        <v>2.56</v>
      </c>
      <c r="E1121" s="51" t="str">
        <f t="shared" si="1"/>
        <v>2.56%</v>
      </c>
      <c r="F1121" s="51">
        <f t="shared" si="2"/>
        <v>2.56</v>
      </c>
      <c r="G1121" s="51" t="str">
        <f t="shared" si="3"/>
        <v/>
      </c>
      <c r="H1121" s="51">
        <f>IFERROR(__xludf.DUMMYFUNCTION("IFERROR(GOOGLEFINANCE(A1121,""PRICE""),)"),884.0)</f>
        <v>884</v>
      </c>
      <c r="I1121" s="52">
        <f>IFERROR(__xludf.DUMMYFUNCTION("IFERROR(GOOGLEFINANCE(A1121,""VOLUME""),)"),51382.0)</f>
        <v>51382</v>
      </c>
      <c r="J1121" s="51" t="str">
        <f>IFERROR(__xludf.DUMMYFUNCTION("IFERROR(INDEX(SPLIT(A1121,"":""),1,2),)"),"PSPPROJECT")</f>
        <v>PSPPROJECT</v>
      </c>
      <c r="K1121" s="51">
        <f t="shared" si="4"/>
        <v>194</v>
      </c>
      <c r="L1121" s="51" t="str">
        <f t="shared" si="5"/>
        <v/>
      </c>
      <c r="M1121" s="51">
        <f t="shared" si="6"/>
        <v>938</v>
      </c>
      <c r="N1121" s="53">
        <f>IFERROR(__xludf.DUMMYFUNCTION("IFERROR(GOOGLEFINANCE(A1121,""TRADETIME""),)"),46269.64583333333)</f>
        <v>46269.64583</v>
      </c>
      <c r="O1121" s="44"/>
      <c r="P1121" s="44"/>
      <c r="Q1121" s="44"/>
      <c r="R1121" s="44"/>
      <c r="S1121" s="44"/>
      <c r="T1121" s="44"/>
      <c r="U1121" s="44"/>
      <c r="V1121" s="44"/>
      <c r="W1121" s="44"/>
      <c r="X1121" s="44"/>
      <c r="Y1121" s="44"/>
      <c r="Z1121" s="44"/>
    </row>
    <row r="1122" ht="15.75" customHeight="1">
      <c r="A1122" s="48" t="s">
        <v>1168</v>
      </c>
      <c r="B1122" s="48" t="str">
        <f>IFERROR(__xludf.DUMMYFUNCTION("IFERROR(GOOGLEFINANCE(A1122,""NAME""),)"),"PTC India Ltd")</f>
        <v>PTC India Ltd</v>
      </c>
      <c r="C1122" s="48">
        <f>IFERROR(__xludf.DUMMYFUNCTION("IFERROR(GOOGLEFINANCE(A1122,""CHANGE""),)"),1.25)</f>
        <v>1.25</v>
      </c>
      <c r="D1122" s="48">
        <f>IFERROR(__xludf.DUMMYFUNCTION("IFERROR(GOOGLEFINANCE(A1122,""CHANGEPCT""),)"),0.81)</f>
        <v>0.81</v>
      </c>
      <c r="E1122" s="48" t="str">
        <f t="shared" si="1"/>
        <v>0.81%</v>
      </c>
      <c r="F1122" s="48">
        <f t="shared" si="2"/>
        <v>0.81</v>
      </c>
      <c r="G1122" s="48" t="str">
        <f t="shared" si="3"/>
        <v/>
      </c>
      <c r="H1122" s="48">
        <f>IFERROR(__xludf.DUMMYFUNCTION("IFERROR(GOOGLEFINANCE(A1122,""PRICE""),)"),156.5)</f>
        <v>156.5</v>
      </c>
      <c r="I1122" s="49">
        <f>IFERROR(__xludf.DUMMYFUNCTION("IFERROR(GOOGLEFINANCE(A1122,""VOLUME""),)"),849440.0)</f>
        <v>849440</v>
      </c>
      <c r="J1122" s="48" t="str">
        <f>IFERROR(__xludf.DUMMYFUNCTION("IFERROR(INDEX(SPLIT(A1122,"":""),1,2),)"),"PTC")</f>
        <v>PTC</v>
      </c>
      <c r="K1122" s="48">
        <f t="shared" si="4"/>
        <v>499</v>
      </c>
      <c r="L1122" s="48" t="str">
        <f t="shared" si="5"/>
        <v/>
      </c>
      <c r="M1122" s="48">
        <f t="shared" si="6"/>
        <v>300</v>
      </c>
      <c r="N1122" s="50">
        <f>IFERROR(__xludf.DUMMYFUNCTION("IFERROR(GOOGLEFINANCE(A1122,""TRADETIME""),)"),46269.64583333333)</f>
        <v>46269.64583</v>
      </c>
      <c r="O1122" s="44"/>
      <c r="P1122" s="44"/>
      <c r="Q1122" s="44"/>
      <c r="R1122" s="44"/>
      <c r="S1122" s="44"/>
      <c r="T1122" s="44"/>
      <c r="U1122" s="44"/>
      <c r="V1122" s="44"/>
      <c r="W1122" s="44"/>
      <c r="X1122" s="44"/>
      <c r="Y1122" s="44"/>
      <c r="Z1122" s="44"/>
    </row>
    <row r="1123" ht="15.75" customHeight="1">
      <c r="A1123" s="51" t="s">
        <v>1169</v>
      </c>
      <c r="B1123" s="51" t="str">
        <f>IFERROR(__xludf.DUMMYFUNCTION("IFERROR(GOOGLEFINANCE(A1123,""NAME""),)"),"PTL Enterprises Ltd")</f>
        <v>PTL Enterprises Ltd</v>
      </c>
      <c r="C1123" s="51">
        <f>IFERROR(__xludf.DUMMYFUNCTION("IFERROR(GOOGLEFINANCE(A1123,""CHANGE""),)"),0.33)</f>
        <v>0.33</v>
      </c>
      <c r="D1123" s="51">
        <f>IFERROR(__xludf.DUMMYFUNCTION("IFERROR(GOOGLEFINANCE(A1123,""CHANGEPCT""),)"),0.86)</f>
        <v>0.86</v>
      </c>
      <c r="E1123" s="51" t="str">
        <f t="shared" si="1"/>
        <v>0.86%</v>
      </c>
      <c r="F1123" s="51">
        <f t="shared" si="2"/>
        <v>0.86</v>
      </c>
      <c r="G1123" s="51" t="str">
        <f t="shared" si="3"/>
        <v/>
      </c>
      <c r="H1123" s="51">
        <f>IFERROR(__xludf.DUMMYFUNCTION("IFERROR(GOOGLEFINANCE(A1123,""PRICE""),)"),38.55)</f>
        <v>38.55</v>
      </c>
      <c r="I1123" s="52">
        <f>IFERROR(__xludf.DUMMYFUNCTION("IFERROR(GOOGLEFINANCE(A1123,""VOLUME""),)"),62624.0)</f>
        <v>62624</v>
      </c>
      <c r="J1123" s="51" t="str">
        <f>IFERROR(__xludf.DUMMYFUNCTION("IFERROR(INDEX(SPLIT(A1123,"":""),1,2),)"),"PTL")</f>
        <v>PTL</v>
      </c>
      <c r="K1123" s="51">
        <f t="shared" si="4"/>
        <v>483</v>
      </c>
      <c r="L1123" s="51" t="str">
        <f t="shared" si="5"/>
        <v/>
      </c>
      <c r="M1123" s="51">
        <f t="shared" si="6"/>
        <v>892</v>
      </c>
      <c r="N1123" s="53">
        <f>IFERROR(__xludf.DUMMYFUNCTION("IFERROR(GOOGLEFINANCE(A1123,""TRADETIME""),)"),46269.64583333333)</f>
        <v>46269.64583</v>
      </c>
      <c r="O1123" s="44"/>
      <c r="P1123" s="44"/>
      <c r="Q1123" s="44"/>
      <c r="R1123" s="44"/>
      <c r="S1123" s="44"/>
      <c r="T1123" s="44"/>
      <c r="U1123" s="44"/>
      <c r="V1123" s="44"/>
      <c r="W1123" s="44"/>
      <c r="X1123" s="44"/>
      <c r="Y1123" s="44"/>
      <c r="Z1123" s="44"/>
    </row>
    <row r="1124" ht="15.75" customHeight="1">
      <c r="A1124" s="48" t="s">
        <v>1170</v>
      </c>
      <c r="B1124" s="48" t="str">
        <f>IFERROR(__xludf.DUMMYFUNCTION("IFERROR(GOOGLEFINANCE(A1124,""NAME""),)"),"Punjab Chemicals and Crop Protection Ltd")</f>
        <v>Punjab Chemicals and Crop Protection Ltd</v>
      </c>
      <c r="C1124" s="48">
        <f>IFERROR(__xludf.DUMMYFUNCTION("IFERROR(GOOGLEFINANCE(A1124,""CHANGE""),)"),9.0)</f>
        <v>9</v>
      </c>
      <c r="D1124" s="48">
        <f>IFERROR(__xludf.DUMMYFUNCTION("IFERROR(GOOGLEFINANCE(A1124,""CHANGEPCT""),)"),0.82)</f>
        <v>0.82</v>
      </c>
      <c r="E1124" s="48" t="str">
        <f t="shared" si="1"/>
        <v>0.82%</v>
      </c>
      <c r="F1124" s="48">
        <f t="shared" si="2"/>
        <v>0.82</v>
      </c>
      <c r="G1124" s="48" t="str">
        <f t="shared" si="3"/>
        <v/>
      </c>
      <c r="H1124" s="48">
        <f>IFERROR(__xludf.DUMMYFUNCTION("IFERROR(GOOGLEFINANCE(A1124,""PRICE""),)"),1106.0)</f>
        <v>1106</v>
      </c>
      <c r="I1124" s="49">
        <f>IFERROR(__xludf.DUMMYFUNCTION("IFERROR(GOOGLEFINANCE(A1124,""VOLUME""),)"),2842.0)</f>
        <v>2842</v>
      </c>
      <c r="J1124" s="48" t="str">
        <f>IFERROR(__xludf.DUMMYFUNCTION("IFERROR(INDEX(SPLIT(A1124,"":""),1,2),)"),"PUNJABCHEM")</f>
        <v>PUNJABCHEM</v>
      </c>
      <c r="K1124" s="48">
        <f t="shared" si="4"/>
        <v>494</v>
      </c>
      <c r="L1124" s="48" t="str">
        <f t="shared" si="5"/>
        <v/>
      </c>
      <c r="M1124" s="48">
        <f t="shared" si="6"/>
        <v>1371</v>
      </c>
      <c r="N1124" s="50">
        <f>IFERROR(__xludf.DUMMYFUNCTION("IFERROR(GOOGLEFINANCE(A1124,""TRADETIME""),)"),46269.64584490741)</f>
        <v>46269.64584</v>
      </c>
      <c r="O1124" s="44"/>
      <c r="P1124" s="44"/>
      <c r="Q1124" s="44"/>
      <c r="R1124" s="44"/>
      <c r="S1124" s="44"/>
      <c r="T1124" s="44"/>
      <c r="U1124" s="44"/>
      <c r="V1124" s="44"/>
      <c r="W1124" s="44"/>
      <c r="X1124" s="44"/>
      <c r="Y1124" s="44"/>
      <c r="Z1124" s="44"/>
    </row>
    <row r="1125" ht="15.75" customHeight="1">
      <c r="A1125" s="51" t="s">
        <v>1171</v>
      </c>
      <c r="B1125" s="51" t="str">
        <f>IFERROR(__xludf.DUMMYFUNCTION("IFERROR(GOOGLEFINANCE(A1125,""NAME""),)"),"Puravankara Ltd")</f>
        <v>Puravankara Ltd</v>
      </c>
      <c r="C1125" s="51">
        <f>IFERROR(__xludf.DUMMYFUNCTION("IFERROR(GOOGLEFINANCE(A1125,""CHANGE""),)"),16.41)</f>
        <v>16.41</v>
      </c>
      <c r="D1125" s="51">
        <f>IFERROR(__xludf.DUMMYFUNCTION("IFERROR(GOOGLEFINANCE(A1125,""CHANGEPCT""),)"),7.77)</f>
        <v>7.77</v>
      </c>
      <c r="E1125" s="51" t="str">
        <f t="shared" si="1"/>
        <v>7.77%</v>
      </c>
      <c r="F1125" s="51">
        <f t="shared" si="2"/>
        <v>7.77</v>
      </c>
      <c r="G1125" s="51" t="str">
        <f t="shared" si="3"/>
        <v/>
      </c>
      <c r="H1125" s="51">
        <f>IFERROR(__xludf.DUMMYFUNCTION("IFERROR(GOOGLEFINANCE(A1125,""PRICE""),)"),227.5)</f>
        <v>227.5</v>
      </c>
      <c r="I1125" s="52">
        <f>IFERROR(__xludf.DUMMYFUNCTION("IFERROR(GOOGLEFINANCE(A1125,""VOLUME""),)"),1.7390475E7)</f>
        <v>17390475</v>
      </c>
      <c r="J1125" s="51" t="str">
        <f>IFERROR(__xludf.DUMMYFUNCTION("IFERROR(INDEX(SPLIT(A1125,"":""),1,2),)"),"PURVA")</f>
        <v>PURVA</v>
      </c>
      <c r="K1125" s="51">
        <f t="shared" si="4"/>
        <v>18</v>
      </c>
      <c r="L1125" s="51" t="str">
        <f t="shared" si="5"/>
        <v/>
      </c>
      <c r="M1125" s="51">
        <f t="shared" si="6"/>
        <v>26</v>
      </c>
      <c r="N1125" s="53">
        <f>IFERROR(__xludf.DUMMYFUNCTION("IFERROR(GOOGLEFINANCE(A1125,""TRADETIME""),)"),46269.64585648148)</f>
        <v>46269.64586</v>
      </c>
      <c r="O1125" s="44"/>
      <c r="P1125" s="44"/>
      <c r="Q1125" s="44"/>
      <c r="R1125" s="44"/>
      <c r="S1125" s="44"/>
      <c r="T1125" s="44"/>
      <c r="U1125" s="44"/>
      <c r="V1125" s="44"/>
      <c r="W1125" s="44"/>
      <c r="X1125" s="44"/>
      <c r="Y1125" s="44"/>
      <c r="Z1125" s="44"/>
    </row>
    <row r="1126" ht="15.75" customHeight="1">
      <c r="A1126" s="48" t="s">
        <v>1172</v>
      </c>
      <c r="B1126" s="48" t="str">
        <f>IFERROR(__xludf.DUMMYFUNCTION("IFERROR(GOOGLEFINANCE(A1126,""NAME""),)"),"")</f>
        <v/>
      </c>
      <c r="C1126" s="48" t="str">
        <f>IFERROR(__xludf.DUMMYFUNCTION("IFERROR(GOOGLEFINANCE(A1126,""CHANGE""),)"),"")</f>
        <v/>
      </c>
      <c r="D1126" s="48" t="str">
        <f>IFERROR(__xludf.DUMMYFUNCTION("IFERROR(GOOGLEFINANCE(A1126,""CHANGEPCT""),)"),"")</f>
        <v/>
      </c>
      <c r="E1126" s="48" t="str">
        <f t="shared" si="1"/>
        <v>%</v>
      </c>
      <c r="F1126" s="48" t="str">
        <f t="shared" si="2"/>
        <v/>
      </c>
      <c r="G1126" s="48" t="str">
        <f t="shared" si="3"/>
        <v/>
      </c>
      <c r="H1126" s="48" t="str">
        <f>IFERROR(__xludf.DUMMYFUNCTION("IFERROR(GOOGLEFINANCE(A1126,""PRICE""),)"),"")</f>
        <v/>
      </c>
      <c r="I1126" s="49" t="str">
        <f>IFERROR(__xludf.DUMMYFUNCTION("IFERROR(GOOGLEFINANCE(A1126,""VOLUME""),)"),"")</f>
        <v/>
      </c>
      <c r="J1126" s="48" t="str">
        <f>IFERROR(__xludf.DUMMYFUNCTION("IFERROR(INDEX(SPLIT(A1126,"":""),1,2),)"),"PVR")</f>
        <v>PVR</v>
      </c>
      <c r="K1126" s="48" t="str">
        <f t="shared" si="4"/>
        <v/>
      </c>
      <c r="L1126" s="48" t="str">
        <f t="shared" si="5"/>
        <v/>
      </c>
      <c r="M1126" s="48">
        <f t="shared" si="6"/>
        <v>1456</v>
      </c>
      <c r="N1126" s="50" t="str">
        <f>IFERROR(__xludf.DUMMYFUNCTION("IFERROR(GOOGLEFINANCE(A1126,""TRADETIME""),)"),"")</f>
        <v/>
      </c>
      <c r="O1126" s="44"/>
      <c r="P1126" s="44"/>
      <c r="Q1126" s="44"/>
      <c r="R1126" s="44"/>
      <c r="S1126" s="44"/>
      <c r="T1126" s="44"/>
      <c r="U1126" s="44"/>
      <c r="V1126" s="44"/>
      <c r="W1126" s="44"/>
      <c r="X1126" s="44"/>
      <c r="Y1126" s="44"/>
      <c r="Z1126" s="44"/>
    </row>
    <row r="1127" ht="15.75" customHeight="1">
      <c r="A1127" s="51" t="s">
        <v>1173</v>
      </c>
      <c r="B1127" s="51" t="str">
        <f>IFERROR(__xludf.DUMMYFUNCTION("IFERROR(GOOGLEFINANCE(A1127,""NAME""),)"),"Quess Corp Ltd")</f>
        <v>Quess Corp Ltd</v>
      </c>
      <c r="C1127" s="51">
        <f>IFERROR(__xludf.DUMMYFUNCTION("IFERROR(GOOGLEFINANCE(A1127,""CHANGE""),)"),-11.05)</f>
        <v>-11.05</v>
      </c>
      <c r="D1127" s="51">
        <f>IFERROR(__xludf.DUMMYFUNCTION("IFERROR(GOOGLEFINANCE(A1127,""CHANGEPCT""),)"),-3.01)</f>
        <v>-3.01</v>
      </c>
      <c r="E1127" s="51" t="str">
        <f t="shared" si="1"/>
        <v>-3.01%</v>
      </c>
      <c r="F1127" s="51" t="str">
        <f t="shared" si="2"/>
        <v/>
      </c>
      <c r="G1127" s="51">
        <f t="shared" si="3"/>
        <v>-3.01</v>
      </c>
      <c r="H1127" s="51">
        <f>IFERROR(__xludf.DUMMYFUNCTION("IFERROR(GOOGLEFINANCE(A1127,""PRICE""),)"),355.5)</f>
        <v>355.5</v>
      </c>
      <c r="I1127" s="52">
        <f>IFERROR(__xludf.DUMMYFUNCTION("IFERROR(GOOGLEFINANCE(A1127,""VOLUME""),)"),974018.0)</f>
        <v>974018</v>
      </c>
      <c r="J1127" s="51" t="str">
        <f>IFERROR(__xludf.DUMMYFUNCTION("IFERROR(INDEX(SPLIT(A1127,"":""),1,2),)"),"QUESS")</f>
        <v>QUESS</v>
      </c>
      <c r="K1127" s="51" t="str">
        <f t="shared" si="4"/>
        <v/>
      </c>
      <c r="L1127" s="51">
        <f t="shared" si="5"/>
        <v>591</v>
      </c>
      <c r="M1127" s="51">
        <f t="shared" si="6"/>
        <v>281</v>
      </c>
      <c r="N1127" s="53">
        <f>IFERROR(__xludf.DUMMYFUNCTION("IFERROR(GOOGLEFINANCE(A1127,""TRADETIME""),)"),46269.64583333333)</f>
        <v>46269.64583</v>
      </c>
      <c r="O1127" s="44"/>
      <c r="P1127" s="44"/>
      <c r="Q1127" s="44"/>
      <c r="R1127" s="44"/>
      <c r="S1127" s="44"/>
      <c r="T1127" s="44"/>
      <c r="U1127" s="44"/>
      <c r="V1127" s="44"/>
      <c r="W1127" s="44"/>
      <c r="X1127" s="44"/>
      <c r="Y1127" s="44"/>
      <c r="Z1127" s="44"/>
    </row>
    <row r="1128" ht="15.75" customHeight="1">
      <c r="A1128" s="48" t="s">
        <v>1174</v>
      </c>
      <c r="B1128" s="48" t="str">
        <f>IFERROR(__xludf.DUMMYFUNCTION("IFERROR(GOOGLEFINANCE(A1128,""NAME""),)"),"Quick Heal Technologies Ltd")</f>
        <v>Quick Heal Technologies Ltd</v>
      </c>
      <c r="C1128" s="48">
        <f>IFERROR(__xludf.DUMMYFUNCTION("IFERROR(GOOGLEFINANCE(A1128,""CHANGE""),)"),3.86)</f>
        <v>3.86</v>
      </c>
      <c r="D1128" s="48">
        <f>IFERROR(__xludf.DUMMYFUNCTION("IFERROR(GOOGLEFINANCE(A1128,""CHANGEPCT""),)"),2.81)</f>
        <v>2.81</v>
      </c>
      <c r="E1128" s="48" t="str">
        <f t="shared" si="1"/>
        <v>2.81%</v>
      </c>
      <c r="F1128" s="48">
        <f t="shared" si="2"/>
        <v>2.81</v>
      </c>
      <c r="G1128" s="48" t="str">
        <f t="shared" si="3"/>
        <v/>
      </c>
      <c r="H1128" s="48">
        <f>IFERROR(__xludf.DUMMYFUNCTION("IFERROR(GOOGLEFINANCE(A1128,""PRICE""),)"),141.0)</f>
        <v>141</v>
      </c>
      <c r="I1128" s="49">
        <f>IFERROR(__xludf.DUMMYFUNCTION("IFERROR(GOOGLEFINANCE(A1128,""VOLUME""),)"),56701.0)</f>
        <v>56701</v>
      </c>
      <c r="J1128" s="48" t="str">
        <f>IFERROR(__xludf.DUMMYFUNCTION("IFERROR(INDEX(SPLIT(A1128,"":""),1,2),)"),"QUICKHEAL")</f>
        <v>QUICKHEAL</v>
      </c>
      <c r="K1128" s="48">
        <f t="shared" si="4"/>
        <v>174</v>
      </c>
      <c r="L1128" s="48" t="str">
        <f t="shared" si="5"/>
        <v/>
      </c>
      <c r="M1128" s="48">
        <f t="shared" si="6"/>
        <v>911</v>
      </c>
      <c r="N1128" s="50">
        <f>IFERROR(__xludf.DUMMYFUNCTION("IFERROR(GOOGLEFINANCE(A1128,""TRADETIME""),)"),46269.64583333333)</f>
        <v>46269.64583</v>
      </c>
      <c r="O1128" s="44"/>
      <c r="P1128" s="44"/>
      <c r="Q1128" s="44"/>
      <c r="R1128" s="44"/>
      <c r="S1128" s="44"/>
      <c r="T1128" s="44"/>
      <c r="U1128" s="44"/>
      <c r="V1128" s="44"/>
      <c r="W1128" s="44"/>
      <c r="X1128" s="44"/>
      <c r="Y1128" s="44"/>
      <c r="Z1128" s="44"/>
    </row>
    <row r="1129" ht="15.75" customHeight="1">
      <c r="A1129" s="51" t="s">
        <v>1175</v>
      </c>
      <c r="B1129" s="51" t="str">
        <f>IFERROR(__xludf.DUMMYFUNCTION("IFERROR(GOOGLEFINANCE(A1129,""NAME""),)"),"Radaan Media Works India Ltd")</f>
        <v>Radaan Media Works India Ltd</v>
      </c>
      <c r="C1129" s="51">
        <f>IFERROR(__xludf.DUMMYFUNCTION("IFERROR(GOOGLEFINANCE(A1129,""CHANGE""),)"),0.08)</f>
        <v>0.08</v>
      </c>
      <c r="D1129" s="51">
        <f>IFERROR(__xludf.DUMMYFUNCTION("IFERROR(GOOGLEFINANCE(A1129,""CHANGEPCT""),)"),2.77)</f>
        <v>2.77</v>
      </c>
      <c r="E1129" s="51" t="str">
        <f t="shared" si="1"/>
        <v>2.77%</v>
      </c>
      <c r="F1129" s="51">
        <f t="shared" si="2"/>
        <v>2.77</v>
      </c>
      <c r="G1129" s="51" t="str">
        <f t="shared" si="3"/>
        <v/>
      </c>
      <c r="H1129" s="51">
        <f>IFERROR(__xludf.DUMMYFUNCTION("IFERROR(GOOGLEFINANCE(A1129,""PRICE""),)"),2.97)</f>
        <v>2.97</v>
      </c>
      <c r="I1129" s="52">
        <f>IFERROR(__xludf.DUMMYFUNCTION("IFERROR(GOOGLEFINANCE(A1129,""VOLUME""),)"),44053.0)</f>
        <v>44053</v>
      </c>
      <c r="J1129" s="51" t="str">
        <f>IFERROR(__xludf.DUMMYFUNCTION("IFERROR(INDEX(SPLIT(A1129,"":""),1,2),)"),"RADAAN")</f>
        <v>RADAAN</v>
      </c>
      <c r="K1129" s="51">
        <f t="shared" si="4"/>
        <v>179</v>
      </c>
      <c r="L1129" s="51" t="str">
        <f t="shared" si="5"/>
        <v/>
      </c>
      <c r="M1129" s="51">
        <f t="shared" si="6"/>
        <v>976</v>
      </c>
      <c r="N1129" s="53">
        <f>IFERROR(__xludf.DUMMYFUNCTION("IFERROR(GOOGLEFINANCE(A1129,""TRADETIME""),)"),46269.64583333333)</f>
        <v>46269.64583</v>
      </c>
      <c r="O1129" s="44"/>
      <c r="P1129" s="44"/>
      <c r="Q1129" s="44"/>
      <c r="R1129" s="44"/>
      <c r="S1129" s="44"/>
      <c r="T1129" s="44"/>
      <c r="U1129" s="44"/>
      <c r="V1129" s="44"/>
      <c r="W1129" s="44"/>
      <c r="X1129" s="44"/>
      <c r="Y1129" s="44"/>
      <c r="Z1129" s="44"/>
    </row>
    <row r="1130" ht="15.75" customHeight="1">
      <c r="A1130" s="48" t="s">
        <v>1176</v>
      </c>
      <c r="B1130" s="48" t="str">
        <f>IFERROR(__xludf.DUMMYFUNCTION("IFERROR(GOOGLEFINANCE(A1130,""NAME""),)"),"Radico Khaitan Ltd")</f>
        <v>Radico Khaitan Ltd</v>
      </c>
      <c r="C1130" s="48">
        <f>IFERROR(__xludf.DUMMYFUNCTION("IFERROR(GOOGLEFINANCE(A1130,""CHANGE""),)"),-84.0)</f>
        <v>-84</v>
      </c>
      <c r="D1130" s="48">
        <f>IFERROR(__xludf.DUMMYFUNCTION("IFERROR(GOOGLEFINANCE(A1130,""CHANGEPCT""),)"),-1.84)</f>
        <v>-1.84</v>
      </c>
      <c r="E1130" s="48" t="str">
        <f t="shared" si="1"/>
        <v>-1.84%</v>
      </c>
      <c r="F1130" s="48" t="str">
        <f t="shared" si="2"/>
        <v/>
      </c>
      <c r="G1130" s="48">
        <f t="shared" si="3"/>
        <v>-1.84</v>
      </c>
      <c r="H1130" s="48">
        <f>IFERROR(__xludf.DUMMYFUNCTION("IFERROR(GOOGLEFINANCE(A1130,""PRICE""),)"),4475.0)</f>
        <v>4475</v>
      </c>
      <c r="I1130" s="49">
        <f>IFERROR(__xludf.DUMMYFUNCTION("IFERROR(GOOGLEFINANCE(A1130,""VOLUME""),)"),205308.0)</f>
        <v>205308</v>
      </c>
      <c r="J1130" s="48" t="str">
        <f>IFERROR(__xludf.DUMMYFUNCTION("IFERROR(INDEX(SPLIT(A1130,"":""),1,2),)"),"RADICO")</f>
        <v>RADICO</v>
      </c>
      <c r="K1130" s="48" t="str">
        <f t="shared" si="4"/>
        <v/>
      </c>
      <c r="L1130" s="48">
        <f t="shared" si="5"/>
        <v>498</v>
      </c>
      <c r="M1130" s="48">
        <f t="shared" si="6"/>
        <v>620</v>
      </c>
      <c r="N1130" s="50">
        <f>IFERROR(__xludf.DUMMYFUNCTION("IFERROR(GOOGLEFINANCE(A1130,""TRADETIME""),)"),46269.64583333333)</f>
        <v>46269.64583</v>
      </c>
      <c r="O1130" s="44"/>
      <c r="P1130" s="44"/>
      <c r="Q1130" s="44"/>
      <c r="R1130" s="44"/>
      <c r="S1130" s="44"/>
      <c r="T1130" s="44"/>
      <c r="U1130" s="44"/>
      <c r="V1130" s="44"/>
      <c r="W1130" s="44"/>
      <c r="X1130" s="44"/>
      <c r="Y1130" s="44"/>
      <c r="Z1130" s="44"/>
    </row>
    <row r="1131" ht="15.75" customHeight="1">
      <c r="A1131" s="51" t="s">
        <v>1177</v>
      </c>
      <c r="B1131" s="51" t="str">
        <f>IFERROR(__xludf.DUMMYFUNCTION("IFERROR(GOOGLEFINANCE(A1131,""NAME""),)"),"Music Broadcast Ltd")</f>
        <v>Music Broadcast Ltd</v>
      </c>
      <c r="C1131" s="51">
        <f>IFERROR(__xludf.DUMMYFUNCTION("IFERROR(GOOGLEFINANCE(A1131,""CHANGE""),)"),0.06)</f>
        <v>0.06</v>
      </c>
      <c r="D1131" s="51">
        <f>IFERROR(__xludf.DUMMYFUNCTION("IFERROR(GOOGLEFINANCE(A1131,""CHANGEPCT""),)"),0.96)</f>
        <v>0.96</v>
      </c>
      <c r="E1131" s="51" t="str">
        <f t="shared" si="1"/>
        <v>0.96%</v>
      </c>
      <c r="F1131" s="51">
        <f t="shared" si="2"/>
        <v>0.96</v>
      </c>
      <c r="G1131" s="51" t="str">
        <f t="shared" si="3"/>
        <v/>
      </c>
      <c r="H1131" s="51">
        <f>IFERROR(__xludf.DUMMYFUNCTION("IFERROR(GOOGLEFINANCE(A1131,""PRICE""),)"),6.3)</f>
        <v>6.3</v>
      </c>
      <c r="I1131" s="52">
        <f>IFERROR(__xludf.DUMMYFUNCTION("IFERROR(GOOGLEFINANCE(A1131,""VOLUME""),)"),60215.0)</f>
        <v>60215</v>
      </c>
      <c r="J1131" s="51" t="str">
        <f>IFERROR(__xludf.DUMMYFUNCTION("IFERROR(INDEX(SPLIT(A1131,"":""),1,2),)"),"RADIOCITY")</f>
        <v>RADIOCITY</v>
      </c>
      <c r="K1131" s="51">
        <f t="shared" si="4"/>
        <v>457</v>
      </c>
      <c r="L1131" s="51" t="str">
        <f t="shared" si="5"/>
        <v/>
      </c>
      <c r="M1131" s="51">
        <f t="shared" si="6"/>
        <v>904</v>
      </c>
      <c r="N1131" s="53">
        <f>IFERROR(__xludf.DUMMYFUNCTION("IFERROR(GOOGLEFINANCE(A1131,""TRADETIME""),)"),46269.64583333333)</f>
        <v>46269.64583</v>
      </c>
      <c r="O1131" s="44"/>
      <c r="P1131" s="44"/>
      <c r="Q1131" s="44"/>
      <c r="R1131" s="44"/>
      <c r="S1131" s="44"/>
      <c r="T1131" s="44"/>
      <c r="U1131" s="44"/>
      <c r="V1131" s="44"/>
      <c r="W1131" s="44"/>
      <c r="X1131" s="44"/>
      <c r="Y1131" s="44"/>
      <c r="Z1131" s="44"/>
    </row>
    <row r="1132" ht="15.75" customHeight="1">
      <c r="A1132" s="48" t="s">
        <v>1178</v>
      </c>
      <c r="B1132" s="48" t="str">
        <f>IFERROR(__xludf.DUMMYFUNCTION("IFERROR(GOOGLEFINANCE(A1132,""NAME""),)"),"Rain Industries Ltd")</f>
        <v>Rain Industries Ltd</v>
      </c>
      <c r="C1132" s="48">
        <f>IFERROR(__xludf.DUMMYFUNCTION("IFERROR(GOOGLEFINANCE(A1132,""CHANGE""),)"),3.27)</f>
        <v>3.27</v>
      </c>
      <c r="D1132" s="48">
        <f>IFERROR(__xludf.DUMMYFUNCTION("IFERROR(GOOGLEFINANCE(A1132,""CHANGEPCT""),)"),1.54)</f>
        <v>1.54</v>
      </c>
      <c r="E1132" s="48" t="str">
        <f t="shared" si="1"/>
        <v>1.54%</v>
      </c>
      <c r="F1132" s="48">
        <f t="shared" si="2"/>
        <v>1.54</v>
      </c>
      <c r="G1132" s="48" t="str">
        <f t="shared" si="3"/>
        <v/>
      </c>
      <c r="H1132" s="48">
        <f>IFERROR(__xludf.DUMMYFUNCTION("IFERROR(GOOGLEFINANCE(A1132,""PRICE""),)"),214.98)</f>
        <v>214.98</v>
      </c>
      <c r="I1132" s="49">
        <f>IFERROR(__xludf.DUMMYFUNCTION("IFERROR(GOOGLEFINANCE(A1132,""VOLUME""),)"),4009182.0)</f>
        <v>4009182</v>
      </c>
      <c r="J1132" s="48" t="str">
        <f>IFERROR(__xludf.DUMMYFUNCTION("IFERROR(INDEX(SPLIT(A1132,"":""),1,2),)"),"RAIN")</f>
        <v>RAIN</v>
      </c>
      <c r="K1132" s="48">
        <f t="shared" si="4"/>
        <v>336</v>
      </c>
      <c r="L1132" s="48" t="str">
        <f t="shared" si="5"/>
        <v/>
      </c>
      <c r="M1132" s="48">
        <f t="shared" si="6"/>
        <v>102</v>
      </c>
      <c r="N1132" s="50">
        <f>IFERROR(__xludf.DUMMYFUNCTION("IFERROR(GOOGLEFINANCE(A1132,""TRADETIME""),)"),46269.64584490741)</f>
        <v>46269.64584</v>
      </c>
      <c r="O1132" s="44"/>
      <c r="P1132" s="44"/>
      <c r="Q1132" s="44"/>
      <c r="R1132" s="44"/>
      <c r="S1132" s="44"/>
      <c r="T1132" s="44"/>
      <c r="U1132" s="44"/>
      <c r="V1132" s="44"/>
      <c r="W1132" s="44"/>
      <c r="X1132" s="44"/>
      <c r="Y1132" s="44"/>
      <c r="Z1132" s="44"/>
    </row>
    <row r="1133" ht="15.75" customHeight="1">
      <c r="A1133" s="51" t="s">
        <v>1179</v>
      </c>
      <c r="B1133" s="51" t="str">
        <f>IFERROR(__xludf.DUMMYFUNCTION("IFERROR(GOOGLEFINANCE(A1133,""NAME""),)"),"Rajesh Exports Ltd")</f>
        <v>Rajesh Exports Ltd</v>
      </c>
      <c r="C1133" s="51">
        <f>IFERROR(__xludf.DUMMYFUNCTION("IFERROR(GOOGLEFINANCE(A1133,""CHANGE""),)"),-0.56)</f>
        <v>-0.56</v>
      </c>
      <c r="D1133" s="51">
        <f>IFERROR(__xludf.DUMMYFUNCTION("IFERROR(GOOGLEFINANCE(A1133,""CHANGEPCT""),)"),-0.67)</f>
        <v>-0.67</v>
      </c>
      <c r="E1133" s="51" t="str">
        <f t="shared" si="1"/>
        <v>-0.67%</v>
      </c>
      <c r="F1133" s="51" t="str">
        <f t="shared" si="2"/>
        <v/>
      </c>
      <c r="G1133" s="51">
        <f t="shared" si="3"/>
        <v>-0.67</v>
      </c>
      <c r="H1133" s="51">
        <f>IFERROR(__xludf.DUMMYFUNCTION("IFERROR(GOOGLEFINANCE(A1133,""PRICE""),)"),82.9)</f>
        <v>82.9</v>
      </c>
      <c r="I1133" s="52">
        <f>IFERROR(__xludf.DUMMYFUNCTION("IFERROR(GOOGLEFINANCE(A1133,""VOLUME""),)"),234404.0)</f>
        <v>234404</v>
      </c>
      <c r="J1133" s="51" t="str">
        <f>IFERROR(__xludf.DUMMYFUNCTION("IFERROR(INDEX(SPLIT(A1133,"":""),1,2),)"),"RAJESHEXPO")</f>
        <v>RAJESHEXPO</v>
      </c>
      <c r="K1133" s="51" t="str">
        <f t="shared" si="4"/>
        <v/>
      </c>
      <c r="L1133" s="51">
        <f t="shared" si="5"/>
        <v>248</v>
      </c>
      <c r="M1133" s="51">
        <f t="shared" si="6"/>
        <v>584</v>
      </c>
      <c r="N1133" s="53">
        <f>IFERROR(__xludf.DUMMYFUNCTION("IFERROR(GOOGLEFINANCE(A1133,""TRADETIME""),)"),46269.64584490741)</f>
        <v>46269.64584</v>
      </c>
      <c r="O1133" s="44"/>
      <c r="P1133" s="44"/>
      <c r="Q1133" s="44"/>
      <c r="R1133" s="44"/>
      <c r="S1133" s="44"/>
      <c r="T1133" s="44"/>
      <c r="U1133" s="44"/>
      <c r="V1133" s="44"/>
      <c r="W1133" s="44"/>
      <c r="X1133" s="44"/>
      <c r="Y1133" s="44"/>
      <c r="Z1133" s="44"/>
    </row>
    <row r="1134" ht="15.75" customHeight="1">
      <c r="A1134" s="48" t="s">
        <v>1180</v>
      </c>
      <c r="B1134" s="48" t="str">
        <f>IFERROR(__xludf.DUMMYFUNCTION("IFERROR(GOOGLEFINANCE(A1134,""NAME""),)"),"Rajnandini Metal Ltd")</f>
        <v>Rajnandini Metal Ltd</v>
      </c>
      <c r="C1134" s="48">
        <f>IFERROR(__xludf.DUMMYFUNCTION("IFERROR(GOOGLEFINANCE(A1134,""CHANGE""),)"),0.07)</f>
        <v>0.07</v>
      </c>
      <c r="D1134" s="48">
        <f>IFERROR(__xludf.DUMMYFUNCTION("IFERROR(GOOGLEFINANCE(A1134,""CHANGEPCT""),)"),2.25)</f>
        <v>2.25</v>
      </c>
      <c r="E1134" s="48" t="str">
        <f t="shared" si="1"/>
        <v>2.25%</v>
      </c>
      <c r="F1134" s="48">
        <f t="shared" si="2"/>
        <v>2.25</v>
      </c>
      <c r="G1134" s="48" t="str">
        <f t="shared" si="3"/>
        <v/>
      </c>
      <c r="H1134" s="48">
        <f>IFERROR(__xludf.DUMMYFUNCTION("IFERROR(GOOGLEFINANCE(A1134,""PRICE""),)"),3.18)</f>
        <v>3.18</v>
      </c>
      <c r="I1134" s="49">
        <f>IFERROR(__xludf.DUMMYFUNCTION("IFERROR(GOOGLEFINANCE(A1134,""VOLUME""),)"),289526.0)</f>
        <v>289526</v>
      </c>
      <c r="J1134" s="48" t="str">
        <f>IFERROR(__xludf.DUMMYFUNCTION("IFERROR(INDEX(SPLIT(A1134,"":""),1,2),)"),"RAJMET")</f>
        <v>RAJMET</v>
      </c>
      <c r="K1134" s="48">
        <f t="shared" si="4"/>
        <v>230</v>
      </c>
      <c r="L1134" s="48" t="str">
        <f t="shared" si="5"/>
        <v/>
      </c>
      <c r="M1134" s="48">
        <f t="shared" si="6"/>
        <v>528</v>
      </c>
      <c r="N1134" s="50">
        <f>IFERROR(__xludf.DUMMYFUNCTION("IFERROR(GOOGLEFINANCE(A1134,""TRADETIME""),)"),46269.64583333333)</f>
        <v>46269.64583</v>
      </c>
      <c r="O1134" s="44"/>
      <c r="P1134" s="44"/>
      <c r="Q1134" s="44"/>
      <c r="R1134" s="44"/>
      <c r="S1134" s="44"/>
      <c r="T1134" s="44"/>
      <c r="U1134" s="44"/>
      <c r="V1134" s="44"/>
      <c r="W1134" s="44"/>
      <c r="X1134" s="44"/>
      <c r="Y1134" s="44"/>
      <c r="Z1134" s="44"/>
    </row>
    <row r="1135" ht="15.75" customHeight="1">
      <c r="A1135" s="51" t="s">
        <v>1181</v>
      </c>
      <c r="B1135" s="51" t="str">
        <f>IFERROR(__xludf.DUMMYFUNCTION("IFERROR(GOOGLEFINANCE(A1135,""NAME""),)"),"Rajratan Global Wire Ltd")</f>
        <v>Rajratan Global Wire Ltd</v>
      </c>
      <c r="C1135" s="51">
        <f>IFERROR(__xludf.DUMMYFUNCTION("IFERROR(GOOGLEFINANCE(A1135,""CHANGE""),)"),7.9)</f>
        <v>7.9</v>
      </c>
      <c r="D1135" s="51">
        <f>IFERROR(__xludf.DUMMYFUNCTION("IFERROR(GOOGLEFINANCE(A1135,""CHANGEPCT""),)"),1.6)</f>
        <v>1.6</v>
      </c>
      <c r="E1135" s="51" t="str">
        <f t="shared" si="1"/>
        <v>1.6%</v>
      </c>
      <c r="F1135" s="51">
        <f t="shared" si="2"/>
        <v>1.6</v>
      </c>
      <c r="G1135" s="51" t="str">
        <f t="shared" si="3"/>
        <v/>
      </c>
      <c r="H1135" s="51">
        <f>IFERROR(__xludf.DUMMYFUNCTION("IFERROR(GOOGLEFINANCE(A1135,""PRICE""),)"),503.0)</f>
        <v>503</v>
      </c>
      <c r="I1135" s="52">
        <f>IFERROR(__xludf.DUMMYFUNCTION("IFERROR(GOOGLEFINANCE(A1135,""VOLUME""),)"),99899.0)</f>
        <v>99899</v>
      </c>
      <c r="J1135" s="51" t="str">
        <f>IFERROR(__xludf.DUMMYFUNCTION("IFERROR(INDEX(SPLIT(A1135,"":""),1,2),)"),"RAJRATAN")</f>
        <v>RAJRATAN</v>
      </c>
      <c r="K1135" s="51">
        <f t="shared" si="4"/>
        <v>328</v>
      </c>
      <c r="L1135" s="51" t="str">
        <f t="shared" si="5"/>
        <v/>
      </c>
      <c r="M1135" s="51">
        <f t="shared" si="6"/>
        <v>768</v>
      </c>
      <c r="N1135" s="53">
        <f>IFERROR(__xludf.DUMMYFUNCTION("IFERROR(GOOGLEFINANCE(A1135,""TRADETIME""),)"),46269.64583333333)</f>
        <v>46269.64583</v>
      </c>
      <c r="O1135" s="44"/>
      <c r="P1135" s="44"/>
      <c r="Q1135" s="44"/>
      <c r="R1135" s="44"/>
      <c r="S1135" s="44"/>
      <c r="T1135" s="44"/>
      <c r="U1135" s="44"/>
      <c r="V1135" s="44"/>
      <c r="W1135" s="44"/>
      <c r="X1135" s="44"/>
      <c r="Y1135" s="44"/>
      <c r="Z1135" s="44"/>
    </row>
    <row r="1136" ht="15.75" customHeight="1">
      <c r="A1136" s="48" t="s">
        <v>1182</v>
      </c>
      <c r="B1136" s="48" t="str">
        <f>IFERROR(__xludf.DUMMYFUNCTION("IFERROR(GOOGLEFINANCE(A1136,""NAME""),)"),"Rajshree Sugars &amp; Chemicals Ltd")</f>
        <v>Rajshree Sugars &amp; Chemicals Ltd</v>
      </c>
      <c r="C1136" s="48">
        <f>IFERROR(__xludf.DUMMYFUNCTION("IFERROR(GOOGLEFINANCE(A1136,""CHANGE""),)"),-0.88)</f>
        <v>-0.88</v>
      </c>
      <c r="D1136" s="48">
        <f>IFERROR(__xludf.DUMMYFUNCTION("IFERROR(GOOGLEFINANCE(A1136,""CHANGEPCT""),)"),-2.42)</f>
        <v>-2.42</v>
      </c>
      <c r="E1136" s="48" t="str">
        <f t="shared" si="1"/>
        <v>-2.42%</v>
      </c>
      <c r="F1136" s="48" t="str">
        <f t="shared" si="2"/>
        <v/>
      </c>
      <c r="G1136" s="48">
        <f t="shared" si="3"/>
        <v>-2.42</v>
      </c>
      <c r="H1136" s="48">
        <f>IFERROR(__xludf.DUMMYFUNCTION("IFERROR(GOOGLEFINANCE(A1136,""PRICE""),)"),35.55)</f>
        <v>35.55</v>
      </c>
      <c r="I1136" s="49">
        <f>IFERROR(__xludf.DUMMYFUNCTION("IFERROR(GOOGLEFINANCE(A1136,""VOLUME""),)"),29765.0)</f>
        <v>29765</v>
      </c>
      <c r="J1136" s="48" t="str">
        <f>IFERROR(__xludf.DUMMYFUNCTION("IFERROR(INDEX(SPLIT(A1136,"":""),1,2),)"),"RAJSREESUG")</f>
        <v>RAJSREESUG</v>
      </c>
      <c r="K1136" s="48" t="str">
        <f t="shared" si="4"/>
        <v/>
      </c>
      <c r="L1136" s="48">
        <f t="shared" si="5"/>
        <v>567</v>
      </c>
      <c r="M1136" s="48">
        <f t="shared" si="6"/>
        <v>1056</v>
      </c>
      <c r="N1136" s="50">
        <f>IFERROR(__xludf.DUMMYFUNCTION("IFERROR(GOOGLEFINANCE(A1136,""TRADETIME""),)"),46269.64583333333)</f>
        <v>46269.64583</v>
      </c>
      <c r="O1136" s="44"/>
      <c r="P1136" s="44"/>
      <c r="Q1136" s="44"/>
      <c r="R1136" s="44"/>
      <c r="S1136" s="44"/>
      <c r="T1136" s="44"/>
      <c r="U1136" s="44"/>
      <c r="V1136" s="44"/>
      <c r="W1136" s="44"/>
      <c r="X1136" s="44"/>
      <c r="Y1136" s="44"/>
      <c r="Z1136" s="44"/>
    </row>
    <row r="1137" ht="15.75" customHeight="1">
      <c r="A1137" s="51" t="s">
        <v>1183</v>
      </c>
      <c r="B1137" s="51" t="str">
        <f>IFERROR(__xludf.DUMMYFUNCTION("IFERROR(GOOGLEFINANCE(A1137,""NAME""),)"),"Raj Television Network Ltd")</f>
        <v>Raj Television Network Ltd</v>
      </c>
      <c r="C1137" s="51">
        <f>IFERROR(__xludf.DUMMYFUNCTION("IFERROR(GOOGLEFINANCE(A1137,""CHANGE""),)"),-0.42)</f>
        <v>-0.42</v>
      </c>
      <c r="D1137" s="51">
        <f>IFERROR(__xludf.DUMMYFUNCTION("IFERROR(GOOGLEFINANCE(A1137,""CHANGEPCT""),)"),-4.95)</f>
        <v>-4.95</v>
      </c>
      <c r="E1137" s="51" t="str">
        <f t="shared" si="1"/>
        <v>-4.95%</v>
      </c>
      <c r="F1137" s="51" t="str">
        <f t="shared" si="2"/>
        <v/>
      </c>
      <c r="G1137" s="51">
        <f t="shared" si="3"/>
        <v>-4.95</v>
      </c>
      <c r="H1137" s="51">
        <f>IFERROR(__xludf.DUMMYFUNCTION("IFERROR(GOOGLEFINANCE(A1137,""PRICE""),)"),8.07)</f>
        <v>8.07</v>
      </c>
      <c r="I1137" s="52">
        <f>IFERROR(__xludf.DUMMYFUNCTION("IFERROR(GOOGLEFINANCE(A1137,""VOLUME""),)"),220386.0)</f>
        <v>220386</v>
      </c>
      <c r="J1137" s="51" t="str">
        <f>IFERROR(__xludf.DUMMYFUNCTION("IFERROR(INDEX(SPLIT(A1137,"":""),1,2),)"),"RAJTV")</f>
        <v>RAJTV</v>
      </c>
      <c r="K1137" s="51" t="str">
        <f t="shared" si="4"/>
        <v/>
      </c>
      <c r="L1137" s="51">
        <f t="shared" si="5"/>
        <v>639</v>
      </c>
      <c r="M1137" s="51">
        <f t="shared" si="6"/>
        <v>597</v>
      </c>
      <c r="N1137" s="53">
        <f>IFERROR(__xludf.DUMMYFUNCTION("IFERROR(GOOGLEFINANCE(A1137,""TRADETIME""),)"),46269.64583333333)</f>
        <v>46269.64583</v>
      </c>
      <c r="O1137" s="44"/>
      <c r="P1137" s="44"/>
      <c r="Q1137" s="44"/>
      <c r="R1137" s="44"/>
      <c r="S1137" s="44"/>
      <c r="T1137" s="44"/>
      <c r="U1137" s="44"/>
      <c r="V1137" s="44"/>
      <c r="W1137" s="44"/>
      <c r="X1137" s="44"/>
      <c r="Y1137" s="44"/>
      <c r="Z1137" s="44"/>
    </row>
    <row r="1138" ht="15.75" customHeight="1">
      <c r="A1138" s="48" t="s">
        <v>1184</v>
      </c>
      <c r="B1138" s="48" t="str">
        <f>IFERROR(__xludf.DUMMYFUNCTION("IFERROR(GOOGLEFINANCE(A1138,""NAME""),)"),"Rallis India Ltd")</f>
        <v>Rallis India Ltd</v>
      </c>
      <c r="C1138" s="48">
        <f>IFERROR(__xludf.DUMMYFUNCTION("IFERROR(GOOGLEFINANCE(A1138,""CHANGE""),)"),-0.73)</f>
        <v>-0.73</v>
      </c>
      <c r="D1138" s="48">
        <f>IFERROR(__xludf.DUMMYFUNCTION("IFERROR(GOOGLEFINANCE(A1138,""CHANGEPCT""),)"),-0.35)</f>
        <v>-0.35</v>
      </c>
      <c r="E1138" s="48" t="str">
        <f t="shared" si="1"/>
        <v>-0.35%</v>
      </c>
      <c r="F1138" s="48" t="str">
        <f t="shared" si="2"/>
        <v/>
      </c>
      <c r="G1138" s="48">
        <f t="shared" si="3"/>
        <v>-0.35</v>
      </c>
      <c r="H1138" s="48">
        <f>IFERROR(__xludf.DUMMYFUNCTION("IFERROR(GOOGLEFINANCE(A1138,""PRICE""),)"),209.1)</f>
        <v>209.1</v>
      </c>
      <c r="I1138" s="49">
        <f>IFERROR(__xludf.DUMMYFUNCTION("IFERROR(GOOGLEFINANCE(A1138,""VOLUME""),)"),361939.0)</f>
        <v>361939</v>
      </c>
      <c r="J1138" s="48" t="str">
        <f>IFERROR(__xludf.DUMMYFUNCTION("IFERROR(INDEX(SPLIT(A1138,"":""),1,2),)"),"RALLIS")</f>
        <v>RALLIS</v>
      </c>
      <c r="K1138" s="48" t="str">
        <f t="shared" si="4"/>
        <v/>
      </c>
      <c r="L1138" s="48">
        <f t="shared" si="5"/>
        <v>136</v>
      </c>
      <c r="M1138" s="48">
        <f t="shared" si="6"/>
        <v>463</v>
      </c>
      <c r="N1138" s="50">
        <f>IFERROR(__xludf.DUMMYFUNCTION("IFERROR(GOOGLEFINANCE(A1138,""TRADETIME""),)"),46269.64583333333)</f>
        <v>46269.64583</v>
      </c>
      <c r="O1138" s="44"/>
      <c r="P1138" s="44"/>
      <c r="Q1138" s="44"/>
      <c r="R1138" s="44"/>
      <c r="S1138" s="44"/>
      <c r="T1138" s="44"/>
      <c r="U1138" s="44"/>
      <c r="V1138" s="44"/>
      <c r="W1138" s="44"/>
      <c r="X1138" s="44"/>
      <c r="Y1138" s="44"/>
      <c r="Z1138" s="44"/>
    </row>
    <row r="1139" ht="15.75" customHeight="1">
      <c r="A1139" s="51" t="s">
        <v>1185</v>
      </c>
      <c r="B1139" s="51" t="str">
        <f>IFERROR(__xludf.DUMMYFUNCTION("IFERROR(GOOGLEFINANCE(A1139,""NAME""),)"),"Shree Rama Newsprint Ltd")</f>
        <v>Shree Rama Newsprint Ltd</v>
      </c>
      <c r="C1139" s="51">
        <f>IFERROR(__xludf.DUMMYFUNCTION("IFERROR(GOOGLEFINANCE(A1139,""CHANGE""),)"),-0.45)</f>
        <v>-0.45</v>
      </c>
      <c r="D1139" s="51">
        <f>IFERROR(__xludf.DUMMYFUNCTION("IFERROR(GOOGLEFINANCE(A1139,""CHANGEPCT""),)"),-1.39)</f>
        <v>-1.39</v>
      </c>
      <c r="E1139" s="51" t="str">
        <f t="shared" si="1"/>
        <v>-1.39%</v>
      </c>
      <c r="F1139" s="51" t="str">
        <f t="shared" si="2"/>
        <v/>
      </c>
      <c r="G1139" s="51">
        <f t="shared" si="3"/>
        <v>-1.39</v>
      </c>
      <c r="H1139" s="51">
        <f>IFERROR(__xludf.DUMMYFUNCTION("IFERROR(GOOGLEFINANCE(A1139,""PRICE""),)"),31.9)</f>
        <v>31.9</v>
      </c>
      <c r="I1139" s="52">
        <f>IFERROR(__xludf.DUMMYFUNCTION("IFERROR(GOOGLEFINANCE(A1139,""VOLUME""),)"),4990.0)</f>
        <v>4990</v>
      </c>
      <c r="J1139" s="51" t="str">
        <f>IFERROR(__xludf.DUMMYFUNCTION("IFERROR(INDEX(SPLIT(A1139,"":""),1,2),)"),"RAMANEWS")</f>
        <v>RAMANEWS</v>
      </c>
      <c r="K1139" s="51" t="str">
        <f t="shared" si="4"/>
        <v/>
      </c>
      <c r="L1139" s="51">
        <f t="shared" si="5"/>
        <v>426</v>
      </c>
      <c r="M1139" s="51">
        <f t="shared" si="6"/>
        <v>1325</v>
      </c>
      <c r="N1139" s="53">
        <f>IFERROR(__xludf.DUMMYFUNCTION("IFERROR(GOOGLEFINANCE(A1139,""TRADETIME""),)"),46269.64583333333)</f>
        <v>46269.64583</v>
      </c>
      <c r="O1139" s="44"/>
      <c r="P1139" s="44"/>
      <c r="Q1139" s="44"/>
      <c r="R1139" s="44"/>
      <c r="S1139" s="44"/>
      <c r="T1139" s="44"/>
      <c r="U1139" s="44"/>
      <c r="V1139" s="44"/>
      <c r="W1139" s="44"/>
      <c r="X1139" s="44"/>
      <c r="Y1139" s="44"/>
      <c r="Z1139" s="44"/>
    </row>
    <row r="1140" ht="15.75" customHeight="1">
      <c r="A1140" s="48" t="s">
        <v>1186</v>
      </c>
      <c r="B1140" s="48" t="str">
        <f>IFERROR(__xludf.DUMMYFUNCTION("IFERROR(GOOGLEFINANCE(A1140,""NAME""),)"),"Rama Steel Tubes Ltd")</f>
        <v>Rama Steel Tubes Ltd</v>
      </c>
      <c r="C1140" s="48">
        <f>IFERROR(__xludf.DUMMYFUNCTION("IFERROR(GOOGLEFINANCE(A1140,""CHANGE""),)"),-0.07)</f>
        <v>-0.07</v>
      </c>
      <c r="D1140" s="48">
        <f>IFERROR(__xludf.DUMMYFUNCTION("IFERROR(GOOGLEFINANCE(A1140,""CHANGEPCT""),)"),-1.71)</f>
        <v>-1.71</v>
      </c>
      <c r="E1140" s="48" t="str">
        <f t="shared" si="1"/>
        <v>-1.71%</v>
      </c>
      <c r="F1140" s="48" t="str">
        <f t="shared" si="2"/>
        <v/>
      </c>
      <c r="G1140" s="48">
        <f t="shared" si="3"/>
        <v>-1.71</v>
      </c>
      <c r="H1140" s="48">
        <f>IFERROR(__xludf.DUMMYFUNCTION("IFERROR(GOOGLEFINANCE(A1140,""PRICE""),)"),4.02)</f>
        <v>4.02</v>
      </c>
      <c r="I1140" s="49">
        <f>IFERROR(__xludf.DUMMYFUNCTION("IFERROR(GOOGLEFINANCE(A1140,""VOLUME""),)"),1376297.0)</f>
        <v>1376297</v>
      </c>
      <c r="J1140" s="48" t="str">
        <f>IFERROR(__xludf.DUMMYFUNCTION("IFERROR(INDEX(SPLIT(A1140,"":""),1,2),)"),"RAMASTEEL")</f>
        <v>RAMASTEEL</v>
      </c>
      <c r="K1140" s="48" t="str">
        <f t="shared" si="4"/>
        <v/>
      </c>
      <c r="L1140" s="48">
        <f t="shared" si="5"/>
        <v>483</v>
      </c>
      <c r="M1140" s="48">
        <f t="shared" si="6"/>
        <v>221</v>
      </c>
      <c r="N1140" s="50">
        <f>IFERROR(__xludf.DUMMYFUNCTION("IFERROR(GOOGLEFINANCE(A1140,""TRADETIME""),)"),46269.64583333333)</f>
        <v>46269.64583</v>
      </c>
      <c r="O1140" s="44"/>
      <c r="P1140" s="44"/>
      <c r="Q1140" s="44"/>
      <c r="R1140" s="44"/>
      <c r="S1140" s="44"/>
      <c r="T1140" s="44"/>
      <c r="U1140" s="44"/>
      <c r="V1140" s="44"/>
      <c r="W1140" s="44"/>
      <c r="X1140" s="44"/>
      <c r="Y1140" s="44"/>
      <c r="Z1140" s="44"/>
    </row>
    <row r="1141" ht="15.75" customHeight="1">
      <c r="A1141" s="51" t="s">
        <v>1187</v>
      </c>
      <c r="B1141" s="51" t="str">
        <f>IFERROR(__xludf.DUMMYFUNCTION("IFERROR(GOOGLEFINANCE(A1141,""NAME""),)"),"Ramco Cements Ltd")</f>
        <v>Ramco Cements Ltd</v>
      </c>
      <c r="C1141" s="51">
        <f>IFERROR(__xludf.DUMMYFUNCTION("IFERROR(GOOGLEFINANCE(A1141,""CHANGE""),)"),2.85)</f>
        <v>2.85</v>
      </c>
      <c r="D1141" s="51">
        <f>IFERROR(__xludf.DUMMYFUNCTION("IFERROR(GOOGLEFINANCE(A1141,""CHANGEPCT""),)"),0.32)</f>
        <v>0.32</v>
      </c>
      <c r="E1141" s="51" t="str">
        <f t="shared" si="1"/>
        <v>0.32%</v>
      </c>
      <c r="F1141" s="51">
        <f t="shared" si="2"/>
        <v>0.32</v>
      </c>
      <c r="G1141" s="51" t="str">
        <f t="shared" si="3"/>
        <v/>
      </c>
      <c r="H1141" s="51">
        <f>IFERROR(__xludf.DUMMYFUNCTION("IFERROR(GOOGLEFINANCE(A1141,""PRICE""),)"),882.0)</f>
        <v>882</v>
      </c>
      <c r="I1141" s="52">
        <f>IFERROR(__xludf.DUMMYFUNCTION("IFERROR(GOOGLEFINANCE(A1141,""VOLUME""),)"),98361.0)</f>
        <v>98361</v>
      </c>
      <c r="J1141" s="51" t="str">
        <f>IFERROR(__xludf.DUMMYFUNCTION("IFERROR(INDEX(SPLIT(A1141,"":""),1,2),)"),"RAMCOCEM")</f>
        <v>RAMCOCEM</v>
      </c>
      <c r="K1141" s="51">
        <f t="shared" si="4"/>
        <v>656</v>
      </c>
      <c r="L1141" s="51" t="str">
        <f t="shared" si="5"/>
        <v/>
      </c>
      <c r="M1141" s="51">
        <f t="shared" si="6"/>
        <v>772</v>
      </c>
      <c r="N1141" s="53">
        <f>IFERROR(__xludf.DUMMYFUNCTION("IFERROR(GOOGLEFINANCE(A1141,""TRADETIME""),)"),46269.64585648148)</f>
        <v>46269.64586</v>
      </c>
      <c r="O1141" s="44"/>
      <c r="P1141" s="44"/>
      <c r="Q1141" s="44"/>
      <c r="R1141" s="44"/>
      <c r="S1141" s="44"/>
      <c r="T1141" s="44"/>
      <c r="U1141" s="44"/>
      <c r="V1141" s="44"/>
      <c r="W1141" s="44"/>
      <c r="X1141" s="44"/>
      <c r="Y1141" s="44"/>
      <c r="Z1141" s="44"/>
    </row>
    <row r="1142" ht="15.75" customHeight="1">
      <c r="A1142" s="48" t="s">
        <v>1188</v>
      </c>
      <c r="B1142" s="48" t="str">
        <f>IFERROR(__xludf.DUMMYFUNCTION("IFERROR(GOOGLEFINANCE(A1142,""NAME""),)"),"Ramco Industries Ltd")</f>
        <v>Ramco Industries Ltd</v>
      </c>
      <c r="C1142" s="48">
        <f>IFERROR(__xludf.DUMMYFUNCTION("IFERROR(GOOGLEFINANCE(A1142,""CHANGE""),)"),-0.05)</f>
        <v>-0.05</v>
      </c>
      <c r="D1142" s="48">
        <f>IFERROR(__xludf.DUMMYFUNCTION("IFERROR(GOOGLEFINANCE(A1142,""CHANGEPCT""),)"),-0.02)</f>
        <v>-0.02</v>
      </c>
      <c r="E1142" s="48" t="str">
        <f t="shared" si="1"/>
        <v>-0.02%</v>
      </c>
      <c r="F1142" s="48" t="str">
        <f t="shared" si="2"/>
        <v/>
      </c>
      <c r="G1142" s="48">
        <f t="shared" si="3"/>
        <v>-0.02</v>
      </c>
      <c r="H1142" s="48">
        <f>IFERROR(__xludf.DUMMYFUNCTION("IFERROR(GOOGLEFINANCE(A1142,""PRICE""),)"),323.95)</f>
        <v>323.95</v>
      </c>
      <c r="I1142" s="49">
        <f>IFERROR(__xludf.DUMMYFUNCTION("IFERROR(GOOGLEFINANCE(A1142,""VOLUME""),)"),105342.0)</f>
        <v>105342</v>
      </c>
      <c r="J1142" s="48" t="str">
        <f>IFERROR(__xludf.DUMMYFUNCTION("IFERROR(INDEX(SPLIT(A1142,"":""),1,2),)"),"RAMCOIND")</f>
        <v>RAMCOIND</v>
      </c>
      <c r="K1142" s="48" t="str">
        <f t="shared" si="4"/>
        <v/>
      </c>
      <c r="L1142" s="48">
        <f t="shared" si="5"/>
        <v>5</v>
      </c>
      <c r="M1142" s="48">
        <f t="shared" si="6"/>
        <v>759</v>
      </c>
      <c r="N1142" s="50">
        <f>IFERROR(__xludf.DUMMYFUNCTION("IFERROR(GOOGLEFINANCE(A1142,""TRADETIME""),)"),46269.64585648148)</f>
        <v>46269.64586</v>
      </c>
      <c r="O1142" s="44"/>
      <c r="P1142" s="44"/>
      <c r="Q1142" s="44"/>
      <c r="R1142" s="44"/>
      <c r="S1142" s="44"/>
      <c r="T1142" s="44"/>
      <c r="U1142" s="44"/>
      <c r="V1142" s="44"/>
      <c r="W1142" s="44"/>
      <c r="X1142" s="44"/>
      <c r="Y1142" s="44"/>
      <c r="Z1142" s="44"/>
    </row>
    <row r="1143" ht="15.75" customHeight="1">
      <c r="A1143" s="51" t="s">
        <v>1189</v>
      </c>
      <c r="B1143" s="51" t="str">
        <f>IFERROR(__xludf.DUMMYFUNCTION("IFERROR(GOOGLEFINANCE(A1143,""NAME""),)"),"Ramco Systems Ltd")</f>
        <v>Ramco Systems Ltd</v>
      </c>
      <c r="C1143" s="51">
        <f>IFERROR(__xludf.DUMMYFUNCTION("IFERROR(GOOGLEFINANCE(A1143,""CHANGE""),)"),23.45)</f>
        <v>23.45</v>
      </c>
      <c r="D1143" s="51">
        <f>IFERROR(__xludf.DUMMYFUNCTION("IFERROR(GOOGLEFINANCE(A1143,""CHANGEPCT""),)"),4.0)</f>
        <v>4</v>
      </c>
      <c r="E1143" s="51" t="str">
        <f t="shared" si="1"/>
        <v>4%</v>
      </c>
      <c r="F1143" s="51">
        <f t="shared" si="2"/>
        <v>4</v>
      </c>
      <c r="G1143" s="51" t="str">
        <f t="shared" si="3"/>
        <v/>
      </c>
      <c r="H1143" s="51">
        <f>IFERROR(__xludf.DUMMYFUNCTION("IFERROR(GOOGLEFINANCE(A1143,""PRICE""),)"),610.0)</f>
        <v>610</v>
      </c>
      <c r="I1143" s="52">
        <f>IFERROR(__xludf.DUMMYFUNCTION("IFERROR(GOOGLEFINANCE(A1143,""VOLUME""),)"),217405.0)</f>
        <v>217405</v>
      </c>
      <c r="J1143" s="51" t="str">
        <f>IFERROR(__xludf.DUMMYFUNCTION("IFERROR(INDEX(SPLIT(A1143,"":""),1,2),)"),"RAMCOSYS")</f>
        <v>RAMCOSYS</v>
      </c>
      <c r="K1143" s="51">
        <f t="shared" si="4"/>
        <v>118</v>
      </c>
      <c r="L1143" s="51" t="str">
        <f t="shared" si="5"/>
        <v/>
      </c>
      <c r="M1143" s="51">
        <f t="shared" si="6"/>
        <v>603</v>
      </c>
      <c r="N1143" s="53">
        <f>IFERROR(__xludf.DUMMYFUNCTION("IFERROR(GOOGLEFINANCE(A1143,""TRADETIME""),)"),46269.64585648148)</f>
        <v>46269.64586</v>
      </c>
      <c r="O1143" s="44"/>
      <c r="P1143" s="44"/>
      <c r="Q1143" s="44"/>
      <c r="R1143" s="44"/>
      <c r="S1143" s="44"/>
      <c r="T1143" s="44"/>
      <c r="U1143" s="44"/>
      <c r="V1143" s="44"/>
      <c r="W1143" s="44"/>
      <c r="X1143" s="44"/>
      <c r="Y1143" s="44"/>
      <c r="Z1143" s="44"/>
    </row>
    <row r="1144" ht="15.75" customHeight="1">
      <c r="A1144" s="48" t="s">
        <v>1190</v>
      </c>
      <c r="B1144" s="48" t="str">
        <f>IFERROR(__xludf.DUMMYFUNCTION("IFERROR(GOOGLEFINANCE(A1144,""NAME""),)"),"Ramky Infrastructure Ltd")</f>
        <v>Ramky Infrastructure Ltd</v>
      </c>
      <c r="C1144" s="48">
        <f>IFERROR(__xludf.DUMMYFUNCTION("IFERROR(GOOGLEFINANCE(A1144,""CHANGE""),)"),-3.15)</f>
        <v>-3.15</v>
      </c>
      <c r="D1144" s="48">
        <f>IFERROR(__xludf.DUMMYFUNCTION("IFERROR(GOOGLEFINANCE(A1144,""CHANGEPCT""),)"),-0.9)</f>
        <v>-0.9</v>
      </c>
      <c r="E1144" s="48" t="str">
        <f t="shared" si="1"/>
        <v>-0.9%</v>
      </c>
      <c r="F1144" s="48" t="str">
        <f t="shared" si="2"/>
        <v/>
      </c>
      <c r="G1144" s="48">
        <f t="shared" si="3"/>
        <v>-0.9</v>
      </c>
      <c r="H1144" s="48">
        <f>IFERROR(__xludf.DUMMYFUNCTION("IFERROR(GOOGLEFINANCE(A1144,""PRICE""),)"),348.2)</f>
        <v>348.2</v>
      </c>
      <c r="I1144" s="49">
        <f>IFERROR(__xludf.DUMMYFUNCTION("IFERROR(GOOGLEFINANCE(A1144,""VOLUME""),)"),33996.0)</f>
        <v>33996</v>
      </c>
      <c r="J1144" s="48" t="str">
        <f>IFERROR(__xludf.DUMMYFUNCTION("IFERROR(INDEX(SPLIT(A1144,"":""),1,2),)"),"RAMKY")</f>
        <v>RAMKY</v>
      </c>
      <c r="K1144" s="48" t="str">
        <f t="shared" si="4"/>
        <v/>
      </c>
      <c r="L1144" s="48">
        <f t="shared" si="5"/>
        <v>319</v>
      </c>
      <c r="M1144" s="48">
        <f t="shared" si="6"/>
        <v>1032</v>
      </c>
      <c r="N1144" s="50">
        <f>IFERROR(__xludf.DUMMYFUNCTION("IFERROR(GOOGLEFINANCE(A1144,""TRADETIME""),)"),46269.64583333333)</f>
        <v>46269.64583</v>
      </c>
      <c r="O1144" s="44"/>
      <c r="P1144" s="44"/>
      <c r="Q1144" s="44"/>
      <c r="R1144" s="44"/>
      <c r="S1144" s="44"/>
      <c r="T1144" s="44"/>
      <c r="U1144" s="44"/>
      <c r="V1144" s="44"/>
      <c r="W1144" s="44"/>
      <c r="X1144" s="44"/>
      <c r="Y1144" s="44"/>
      <c r="Z1144" s="44"/>
    </row>
    <row r="1145" ht="15.75" customHeight="1">
      <c r="A1145" s="51" t="s">
        <v>1191</v>
      </c>
      <c r="B1145" s="51" t="str">
        <f>IFERROR(__xludf.DUMMYFUNCTION("IFERROR(GOOGLEFINANCE(A1145,""NAME""),)"),"Rana Sugars Ltd")</f>
        <v>Rana Sugars Ltd</v>
      </c>
      <c r="C1145" s="51">
        <f>IFERROR(__xludf.DUMMYFUNCTION("IFERROR(GOOGLEFINANCE(A1145,""CHANGE""),)"),-0.39)</f>
        <v>-0.39</v>
      </c>
      <c r="D1145" s="51">
        <f>IFERROR(__xludf.DUMMYFUNCTION("IFERROR(GOOGLEFINANCE(A1145,""CHANGEPCT""),)"),-2.57)</f>
        <v>-2.57</v>
      </c>
      <c r="E1145" s="51" t="str">
        <f t="shared" si="1"/>
        <v>-2.57%</v>
      </c>
      <c r="F1145" s="51" t="str">
        <f t="shared" si="2"/>
        <v/>
      </c>
      <c r="G1145" s="51">
        <f t="shared" si="3"/>
        <v>-2.57</v>
      </c>
      <c r="H1145" s="51">
        <f>IFERROR(__xludf.DUMMYFUNCTION("IFERROR(GOOGLEFINANCE(A1145,""PRICE""),)"),14.76)</f>
        <v>14.76</v>
      </c>
      <c r="I1145" s="52">
        <f>IFERROR(__xludf.DUMMYFUNCTION("IFERROR(GOOGLEFINANCE(A1145,""VOLUME""),)"),346950.0)</f>
        <v>346950</v>
      </c>
      <c r="J1145" s="51" t="str">
        <f>IFERROR(__xludf.DUMMYFUNCTION("IFERROR(INDEX(SPLIT(A1145,"":""),1,2),)"),"RANASUG")</f>
        <v>RANASUG</v>
      </c>
      <c r="K1145" s="51" t="str">
        <f t="shared" si="4"/>
        <v/>
      </c>
      <c r="L1145" s="51">
        <f t="shared" si="5"/>
        <v>576</v>
      </c>
      <c r="M1145" s="51">
        <f t="shared" si="6"/>
        <v>475</v>
      </c>
      <c r="N1145" s="53">
        <f>IFERROR(__xludf.DUMMYFUNCTION("IFERROR(GOOGLEFINANCE(A1145,""TRADETIME""),)"),46269.64583333333)</f>
        <v>46269.64583</v>
      </c>
      <c r="O1145" s="44"/>
      <c r="P1145" s="44"/>
      <c r="Q1145" s="44"/>
      <c r="R1145" s="44"/>
      <c r="S1145" s="44"/>
      <c r="T1145" s="44"/>
      <c r="U1145" s="44"/>
      <c r="V1145" s="44"/>
      <c r="W1145" s="44"/>
      <c r="X1145" s="44"/>
      <c r="Y1145" s="44"/>
      <c r="Z1145" s="44"/>
    </row>
    <row r="1146" ht="15.75" customHeight="1">
      <c r="A1146" s="48" t="s">
        <v>1192</v>
      </c>
      <c r="B1146" s="48" t="str">
        <f>IFERROR(__xludf.DUMMYFUNCTION("IFERROR(GOOGLEFINANCE(A1146,""NAME""),)"),"")</f>
        <v/>
      </c>
      <c r="C1146" s="48" t="str">
        <f>IFERROR(__xludf.DUMMYFUNCTION("IFERROR(GOOGLEFINANCE(A1146,""CHANGE""),)"),"")</f>
        <v/>
      </c>
      <c r="D1146" s="48" t="str">
        <f>IFERROR(__xludf.DUMMYFUNCTION("IFERROR(GOOGLEFINANCE(A1146,""CHANGEPCT""),)"),"")</f>
        <v/>
      </c>
      <c r="E1146" s="48" t="str">
        <f t="shared" si="1"/>
        <v>%</v>
      </c>
      <c r="F1146" s="48" t="str">
        <f t="shared" si="2"/>
        <v/>
      </c>
      <c r="G1146" s="48" t="str">
        <f t="shared" si="3"/>
        <v/>
      </c>
      <c r="H1146" s="48" t="str">
        <f>IFERROR(__xludf.DUMMYFUNCTION("IFERROR(GOOGLEFINANCE(A1146,""PRICE""),)"),"")</f>
        <v/>
      </c>
      <c r="I1146" s="49" t="str">
        <f>IFERROR(__xludf.DUMMYFUNCTION("IFERROR(GOOGLEFINANCE(A1146,""VOLUME""),)"),"")</f>
        <v/>
      </c>
      <c r="J1146" s="48" t="str">
        <f>IFERROR(__xludf.DUMMYFUNCTION("IFERROR(INDEX(SPLIT(A1146,"":""),1,2),)"),"RANEENGINE")</f>
        <v>RANEENGINE</v>
      </c>
      <c r="K1146" s="48" t="str">
        <f t="shared" si="4"/>
        <v/>
      </c>
      <c r="L1146" s="48" t="str">
        <f t="shared" si="5"/>
        <v/>
      </c>
      <c r="M1146" s="48">
        <f t="shared" si="6"/>
        <v>1456</v>
      </c>
      <c r="N1146" s="50" t="str">
        <f>IFERROR(__xludf.DUMMYFUNCTION("IFERROR(GOOGLEFINANCE(A1146,""TRADETIME""),)"),"")</f>
        <v/>
      </c>
      <c r="O1146" s="44"/>
      <c r="P1146" s="44"/>
      <c r="Q1146" s="44"/>
      <c r="R1146" s="44"/>
      <c r="S1146" s="44"/>
      <c r="T1146" s="44"/>
      <c r="U1146" s="44"/>
      <c r="V1146" s="44"/>
      <c r="W1146" s="44"/>
      <c r="X1146" s="44"/>
      <c r="Y1146" s="44"/>
      <c r="Z1146" s="44"/>
    </row>
    <row r="1147" ht="15.75" customHeight="1">
      <c r="A1147" s="51" t="s">
        <v>1193</v>
      </c>
      <c r="B1147" s="51" t="str">
        <f>IFERROR(__xludf.DUMMYFUNCTION("IFERROR(GOOGLEFINANCE(A1147,""NAME""),)"),"Rane Holdings Ltd")</f>
        <v>Rane Holdings Ltd</v>
      </c>
      <c r="C1147" s="51">
        <f>IFERROR(__xludf.DUMMYFUNCTION("IFERROR(GOOGLEFINANCE(A1147,""CHANGE""),)"),9.7)</f>
        <v>9.7</v>
      </c>
      <c r="D1147" s="51">
        <f>IFERROR(__xludf.DUMMYFUNCTION("IFERROR(GOOGLEFINANCE(A1147,""CHANGEPCT""),)"),0.59)</f>
        <v>0.59</v>
      </c>
      <c r="E1147" s="51" t="str">
        <f t="shared" si="1"/>
        <v>0.59%</v>
      </c>
      <c r="F1147" s="51">
        <f t="shared" si="2"/>
        <v>0.59</v>
      </c>
      <c r="G1147" s="51" t="str">
        <f t="shared" si="3"/>
        <v/>
      </c>
      <c r="H1147" s="51">
        <f>IFERROR(__xludf.DUMMYFUNCTION("IFERROR(GOOGLEFINANCE(A1147,""PRICE""),)"),1645.0)</f>
        <v>1645</v>
      </c>
      <c r="I1147" s="52">
        <f>IFERROR(__xludf.DUMMYFUNCTION("IFERROR(GOOGLEFINANCE(A1147,""VOLUME""),)"),102623.0)</f>
        <v>102623</v>
      </c>
      <c r="J1147" s="51" t="str">
        <f>IFERROR(__xludf.DUMMYFUNCTION("IFERROR(INDEX(SPLIT(A1147,"":""),1,2),)"),"RANEHOLDIN")</f>
        <v>RANEHOLDIN</v>
      </c>
      <c r="K1147" s="51">
        <f t="shared" si="4"/>
        <v>563</v>
      </c>
      <c r="L1147" s="51" t="str">
        <f t="shared" si="5"/>
        <v/>
      </c>
      <c r="M1147" s="51">
        <f t="shared" si="6"/>
        <v>761</v>
      </c>
      <c r="N1147" s="53">
        <f>IFERROR(__xludf.DUMMYFUNCTION("IFERROR(GOOGLEFINANCE(A1147,""TRADETIME""),)"),46269.64583333333)</f>
        <v>46269.64583</v>
      </c>
      <c r="O1147" s="44"/>
      <c r="P1147" s="44"/>
      <c r="Q1147" s="44"/>
      <c r="R1147" s="44"/>
      <c r="S1147" s="44"/>
      <c r="T1147" s="44"/>
      <c r="U1147" s="44"/>
      <c r="V1147" s="44"/>
      <c r="W1147" s="44"/>
      <c r="X1147" s="44"/>
      <c r="Y1147" s="44"/>
      <c r="Z1147" s="44"/>
    </row>
    <row r="1148" ht="15.75" customHeight="1">
      <c r="A1148" s="48" t="s">
        <v>1194</v>
      </c>
      <c r="B1148" s="48" t="str">
        <f>IFERROR(__xludf.DUMMYFUNCTION("IFERROR(GOOGLEFINANCE(A1148,""NAME""),)"),"Ratnamani Metals and Tubes Ltd")</f>
        <v>Ratnamani Metals and Tubes Ltd</v>
      </c>
      <c r="C1148" s="48">
        <f>IFERROR(__xludf.DUMMYFUNCTION("IFERROR(GOOGLEFINANCE(A1148,""CHANGE""),)"),60.3)</f>
        <v>60.3</v>
      </c>
      <c r="D1148" s="48">
        <f>IFERROR(__xludf.DUMMYFUNCTION("IFERROR(GOOGLEFINANCE(A1148,""CHANGEPCT""),)"),2.26)</f>
        <v>2.26</v>
      </c>
      <c r="E1148" s="48" t="str">
        <f t="shared" si="1"/>
        <v>2.26%</v>
      </c>
      <c r="F1148" s="48">
        <f t="shared" si="2"/>
        <v>2.26</v>
      </c>
      <c r="G1148" s="48" t="str">
        <f t="shared" si="3"/>
        <v/>
      </c>
      <c r="H1148" s="48">
        <f>IFERROR(__xludf.DUMMYFUNCTION("IFERROR(GOOGLEFINANCE(A1148,""PRICE""),)"),2730.0)</f>
        <v>2730</v>
      </c>
      <c r="I1148" s="49">
        <f>IFERROR(__xludf.DUMMYFUNCTION("IFERROR(GOOGLEFINANCE(A1148,""VOLUME""),)"),72730.0)</f>
        <v>72730</v>
      </c>
      <c r="J1148" s="48" t="str">
        <f>IFERROR(__xludf.DUMMYFUNCTION("IFERROR(INDEX(SPLIT(A1148,"":""),1,2),)"),"RATNAMANI")</f>
        <v>RATNAMANI</v>
      </c>
      <c r="K1148" s="48">
        <f t="shared" si="4"/>
        <v>228</v>
      </c>
      <c r="L1148" s="48" t="str">
        <f t="shared" si="5"/>
        <v/>
      </c>
      <c r="M1148" s="48">
        <f t="shared" si="6"/>
        <v>854</v>
      </c>
      <c r="N1148" s="50">
        <f>IFERROR(__xludf.DUMMYFUNCTION("IFERROR(GOOGLEFINANCE(A1148,""TRADETIME""),)"),46269.64583333333)</f>
        <v>46269.64583</v>
      </c>
      <c r="O1148" s="44"/>
      <c r="P1148" s="44"/>
      <c r="Q1148" s="44"/>
      <c r="R1148" s="44"/>
      <c r="S1148" s="44"/>
      <c r="T1148" s="44"/>
      <c r="U1148" s="44"/>
      <c r="V1148" s="44"/>
      <c r="W1148" s="44"/>
      <c r="X1148" s="44"/>
      <c r="Y1148" s="44"/>
      <c r="Z1148" s="44"/>
    </row>
    <row r="1149" ht="15.75" customHeight="1">
      <c r="A1149" s="51" t="s">
        <v>1195</v>
      </c>
      <c r="B1149" s="51" t="str">
        <f>IFERROR(__xludf.DUMMYFUNCTION("IFERROR(GOOGLEFINANCE(A1149,""NAME""),)"),"Raymond Ltd")</f>
        <v>Raymond Ltd</v>
      </c>
      <c r="C1149" s="51">
        <f>IFERROR(__xludf.DUMMYFUNCTION("IFERROR(GOOGLEFINANCE(A1149,""CHANGE""),)"),-16.35)</f>
        <v>-16.35</v>
      </c>
      <c r="D1149" s="51">
        <f>IFERROR(__xludf.DUMMYFUNCTION("IFERROR(GOOGLEFINANCE(A1149,""CHANGEPCT""),)"),-2.16)</f>
        <v>-2.16</v>
      </c>
      <c r="E1149" s="51" t="str">
        <f t="shared" si="1"/>
        <v>-2.16%</v>
      </c>
      <c r="F1149" s="51" t="str">
        <f t="shared" si="2"/>
        <v/>
      </c>
      <c r="G1149" s="51">
        <f t="shared" si="3"/>
        <v>-2.16</v>
      </c>
      <c r="H1149" s="51">
        <f>IFERROR(__xludf.DUMMYFUNCTION("IFERROR(GOOGLEFINANCE(A1149,""PRICE""),)"),741.55)</f>
        <v>741.55</v>
      </c>
      <c r="I1149" s="52">
        <f>IFERROR(__xludf.DUMMYFUNCTION("IFERROR(GOOGLEFINANCE(A1149,""VOLUME""),)"),1867268.0)</f>
        <v>1867268</v>
      </c>
      <c r="J1149" s="51" t="str">
        <f>IFERROR(__xludf.DUMMYFUNCTION("IFERROR(INDEX(SPLIT(A1149,"":""),1,2),)"),"RAYMOND")</f>
        <v>RAYMOND</v>
      </c>
      <c r="K1149" s="51" t="str">
        <f t="shared" si="4"/>
        <v/>
      </c>
      <c r="L1149" s="51">
        <f t="shared" si="5"/>
        <v>549</v>
      </c>
      <c r="M1149" s="51">
        <f t="shared" si="6"/>
        <v>179</v>
      </c>
      <c r="N1149" s="53">
        <f>IFERROR(__xludf.DUMMYFUNCTION("IFERROR(GOOGLEFINANCE(A1149,""TRADETIME""),)"),46269.64584490741)</f>
        <v>46269.64584</v>
      </c>
      <c r="O1149" s="44"/>
      <c r="P1149" s="44"/>
      <c r="Q1149" s="44"/>
      <c r="R1149" s="44"/>
      <c r="S1149" s="44"/>
      <c r="T1149" s="44"/>
      <c r="U1149" s="44"/>
      <c r="V1149" s="44"/>
      <c r="W1149" s="44"/>
      <c r="X1149" s="44"/>
      <c r="Y1149" s="44"/>
      <c r="Z1149" s="44"/>
    </row>
    <row r="1150" ht="15.75" customHeight="1">
      <c r="A1150" s="48" t="s">
        <v>1196</v>
      </c>
      <c r="B1150" s="48" t="str">
        <f>IFERROR(__xludf.DUMMYFUNCTION("IFERROR(GOOGLEFINANCE(A1150,""NAME""),)"),"")</f>
        <v/>
      </c>
      <c r="C1150" s="48" t="str">
        <f>IFERROR(__xludf.DUMMYFUNCTION("IFERROR(GOOGLEFINANCE(A1150,""CHANGE""),)"),"")</f>
        <v/>
      </c>
      <c r="D1150" s="48" t="str">
        <f>IFERROR(__xludf.DUMMYFUNCTION("IFERROR(GOOGLEFINANCE(A1150,""CHANGEPCT""),)"),"")</f>
        <v/>
      </c>
      <c r="E1150" s="48" t="str">
        <f t="shared" si="1"/>
        <v>%</v>
      </c>
      <c r="F1150" s="48" t="str">
        <f t="shared" si="2"/>
        <v/>
      </c>
      <c r="G1150" s="48" t="str">
        <f t="shared" si="3"/>
        <v/>
      </c>
      <c r="H1150" s="48" t="str">
        <f>IFERROR(__xludf.DUMMYFUNCTION("IFERROR(GOOGLEFINANCE(A1150,""PRICE""),)"),"")</f>
        <v/>
      </c>
      <c r="I1150" s="49" t="str">
        <f>IFERROR(__xludf.DUMMYFUNCTION("IFERROR(GOOGLEFINANCE(A1150,""VOLUME""),)"),"")</f>
        <v/>
      </c>
      <c r="J1150" s="48" t="str">
        <f>IFERROR(__xludf.DUMMYFUNCTION("IFERROR(INDEX(SPLIT(A1150,"":""),1,2),)"),"RBL")</f>
        <v>RBL</v>
      </c>
      <c r="K1150" s="48" t="str">
        <f t="shared" si="4"/>
        <v/>
      </c>
      <c r="L1150" s="48" t="str">
        <f t="shared" si="5"/>
        <v/>
      </c>
      <c r="M1150" s="48">
        <f t="shared" si="6"/>
        <v>1456</v>
      </c>
      <c r="N1150" s="50" t="str">
        <f>IFERROR(__xludf.DUMMYFUNCTION("IFERROR(GOOGLEFINANCE(A1150,""TRADETIME""),)"),"")</f>
        <v/>
      </c>
      <c r="O1150" s="44"/>
      <c r="P1150" s="44"/>
      <c r="Q1150" s="44"/>
      <c r="R1150" s="44"/>
      <c r="S1150" s="44"/>
      <c r="T1150" s="44"/>
      <c r="U1150" s="44"/>
      <c r="V1150" s="44"/>
      <c r="W1150" s="44"/>
      <c r="X1150" s="44"/>
      <c r="Y1150" s="44"/>
      <c r="Z1150" s="44"/>
    </row>
    <row r="1151" ht="15.75" customHeight="1">
      <c r="A1151" s="51" t="s">
        <v>1197</v>
      </c>
      <c r="B1151" s="51" t="str">
        <f>IFERROR(__xludf.DUMMYFUNCTION("IFERROR(GOOGLEFINANCE(A1151,""NAME""),)"),"RBL Bank Ltd")</f>
        <v>RBL Bank Ltd</v>
      </c>
      <c r="C1151" s="51">
        <f>IFERROR(__xludf.DUMMYFUNCTION("IFERROR(GOOGLEFINANCE(A1151,""CHANGE""),)"),7.75)</f>
        <v>7.75</v>
      </c>
      <c r="D1151" s="51">
        <f>IFERROR(__xludf.DUMMYFUNCTION("IFERROR(GOOGLEFINANCE(A1151,""CHANGEPCT""),)"),1.9)</f>
        <v>1.9</v>
      </c>
      <c r="E1151" s="51" t="str">
        <f t="shared" si="1"/>
        <v>1.9%</v>
      </c>
      <c r="F1151" s="51">
        <f t="shared" si="2"/>
        <v>1.9</v>
      </c>
      <c r="G1151" s="51" t="str">
        <f t="shared" si="3"/>
        <v/>
      </c>
      <c r="H1151" s="51">
        <f>IFERROR(__xludf.DUMMYFUNCTION("IFERROR(GOOGLEFINANCE(A1151,""PRICE""),)"),415.85)</f>
        <v>415.85</v>
      </c>
      <c r="I1151" s="52">
        <f>IFERROR(__xludf.DUMMYFUNCTION("IFERROR(GOOGLEFINANCE(A1151,""VOLUME""),)"),7858699.0)</f>
        <v>7858699</v>
      </c>
      <c r="J1151" s="51" t="str">
        <f>IFERROR(__xludf.DUMMYFUNCTION("IFERROR(INDEX(SPLIT(A1151,"":""),1,2),)"),"RBLBANK")</f>
        <v>RBLBANK</v>
      </c>
      <c r="K1151" s="51">
        <f t="shared" si="4"/>
        <v>278</v>
      </c>
      <c r="L1151" s="51" t="str">
        <f t="shared" si="5"/>
        <v/>
      </c>
      <c r="M1151" s="51">
        <f t="shared" si="6"/>
        <v>58</v>
      </c>
      <c r="N1151" s="53">
        <f>IFERROR(__xludf.DUMMYFUNCTION("IFERROR(GOOGLEFINANCE(A1151,""TRADETIME""),)"),46269.64583333333)</f>
        <v>46269.64583</v>
      </c>
      <c r="O1151" s="44"/>
      <c r="P1151" s="44"/>
      <c r="Q1151" s="44"/>
      <c r="R1151" s="44"/>
      <c r="S1151" s="44"/>
      <c r="T1151" s="44"/>
      <c r="U1151" s="44"/>
      <c r="V1151" s="44"/>
      <c r="W1151" s="44"/>
      <c r="X1151" s="44"/>
      <c r="Y1151" s="44"/>
      <c r="Z1151" s="44"/>
    </row>
    <row r="1152" ht="15.75" customHeight="1">
      <c r="A1152" s="48" t="s">
        <v>1198</v>
      </c>
      <c r="B1152" s="48" t="str">
        <f>IFERROR(__xludf.DUMMYFUNCTION("IFERROR(GOOGLEFINANCE(A1152,""NAME""),)"),"Rashtriya Chemicals and Fertilizers Ltd")</f>
        <v>Rashtriya Chemicals and Fertilizers Ltd</v>
      </c>
      <c r="C1152" s="48">
        <f>IFERROR(__xludf.DUMMYFUNCTION("IFERROR(GOOGLEFINANCE(A1152,""CHANGE""),)"),0.5)</f>
        <v>0.5</v>
      </c>
      <c r="D1152" s="48">
        <f>IFERROR(__xludf.DUMMYFUNCTION("IFERROR(GOOGLEFINANCE(A1152,""CHANGEPCT""),)"),0.44)</f>
        <v>0.44</v>
      </c>
      <c r="E1152" s="48" t="str">
        <f t="shared" si="1"/>
        <v>0.44%</v>
      </c>
      <c r="F1152" s="48">
        <f t="shared" si="2"/>
        <v>0.44</v>
      </c>
      <c r="G1152" s="48" t="str">
        <f t="shared" si="3"/>
        <v/>
      </c>
      <c r="H1152" s="48">
        <f>IFERROR(__xludf.DUMMYFUNCTION("IFERROR(GOOGLEFINANCE(A1152,""PRICE""),)"),115.02)</f>
        <v>115.02</v>
      </c>
      <c r="I1152" s="49">
        <f>IFERROR(__xludf.DUMMYFUNCTION("IFERROR(GOOGLEFINANCE(A1152,""VOLUME""),)"),1043164.0)</f>
        <v>1043164</v>
      </c>
      <c r="J1152" s="48" t="str">
        <f>IFERROR(__xludf.DUMMYFUNCTION("IFERROR(INDEX(SPLIT(A1152,"":""),1,2),)"),"RCF")</f>
        <v>RCF</v>
      </c>
      <c r="K1152" s="48">
        <f t="shared" si="4"/>
        <v>612</v>
      </c>
      <c r="L1152" s="48" t="str">
        <f t="shared" si="5"/>
        <v/>
      </c>
      <c r="M1152" s="48">
        <f t="shared" si="6"/>
        <v>268</v>
      </c>
      <c r="N1152" s="50">
        <f>IFERROR(__xludf.DUMMYFUNCTION("IFERROR(GOOGLEFINANCE(A1152,""TRADETIME""),)"),46269.64583333333)</f>
        <v>46269.64583</v>
      </c>
      <c r="O1152" s="44"/>
      <c r="P1152" s="44"/>
      <c r="Q1152" s="44"/>
      <c r="R1152" s="44"/>
      <c r="S1152" s="44"/>
      <c r="T1152" s="44"/>
      <c r="U1152" s="44"/>
      <c r="V1152" s="44"/>
      <c r="W1152" s="44"/>
      <c r="X1152" s="44"/>
      <c r="Y1152" s="44"/>
      <c r="Z1152" s="44"/>
    </row>
    <row r="1153" ht="15.75" customHeight="1">
      <c r="A1153" s="51" t="s">
        <v>1199</v>
      </c>
      <c r="B1153" s="51" t="str">
        <f>IFERROR(__xludf.DUMMYFUNCTION("IFERROR(GOOGLEFINANCE(A1153,""NAME""),)"),"Reliance Communications Ltd")</f>
        <v>Reliance Communications Ltd</v>
      </c>
      <c r="C1153" s="51">
        <f>IFERROR(__xludf.DUMMYFUNCTION("IFERROR(GOOGLEFINANCE(A1153,""CHANGE""),)"),0.02)</f>
        <v>0.02</v>
      </c>
      <c r="D1153" s="51">
        <f>IFERROR(__xludf.DUMMYFUNCTION("IFERROR(GOOGLEFINANCE(A1153,""CHANGEPCT""),)"),2.53)</f>
        <v>2.53</v>
      </c>
      <c r="E1153" s="51" t="str">
        <f t="shared" si="1"/>
        <v>2.53%</v>
      </c>
      <c r="F1153" s="51">
        <f t="shared" si="2"/>
        <v>2.53</v>
      </c>
      <c r="G1153" s="51" t="str">
        <f t="shared" si="3"/>
        <v/>
      </c>
      <c r="H1153" s="51">
        <f>IFERROR(__xludf.DUMMYFUNCTION("IFERROR(GOOGLEFINANCE(A1153,""PRICE""),)"),0.81)</f>
        <v>0.81</v>
      </c>
      <c r="I1153" s="52">
        <f>IFERROR(__xludf.DUMMYFUNCTION("IFERROR(GOOGLEFINANCE(A1153,""VOLUME""),)"),3829914.0)</f>
        <v>3829914</v>
      </c>
      <c r="J1153" s="51" t="str">
        <f>IFERROR(__xludf.DUMMYFUNCTION("IFERROR(INDEX(SPLIT(A1153,"":""),1,2),)"),"RCOM")</f>
        <v>RCOM</v>
      </c>
      <c r="K1153" s="51">
        <f t="shared" si="4"/>
        <v>199</v>
      </c>
      <c r="L1153" s="51" t="str">
        <f t="shared" si="5"/>
        <v/>
      </c>
      <c r="M1153" s="51">
        <f t="shared" si="6"/>
        <v>105</v>
      </c>
      <c r="N1153" s="53">
        <f>IFERROR(__xludf.DUMMYFUNCTION("IFERROR(GOOGLEFINANCE(A1153,""TRADETIME""),)"),46269.64583333333)</f>
        <v>46269.64583</v>
      </c>
      <c r="O1153" s="44"/>
      <c r="P1153" s="44"/>
      <c r="Q1153" s="44"/>
      <c r="R1153" s="44"/>
      <c r="S1153" s="44"/>
      <c r="T1153" s="44"/>
      <c r="U1153" s="44"/>
      <c r="V1153" s="44"/>
      <c r="W1153" s="44"/>
      <c r="X1153" s="44"/>
      <c r="Y1153" s="44"/>
      <c r="Z1153" s="44"/>
    </row>
    <row r="1154" ht="15.75" customHeight="1">
      <c r="A1154" s="48" t="s">
        <v>1200</v>
      </c>
      <c r="B1154" s="48" t="str">
        <f>IFERROR(__xludf.DUMMYFUNCTION("IFERROR(GOOGLEFINANCE(A1154,""NAME""),)"),"REC Ltd")</f>
        <v>REC Ltd</v>
      </c>
      <c r="C1154" s="48">
        <f>IFERROR(__xludf.DUMMYFUNCTION("IFERROR(GOOGLEFINANCE(A1154,""CHANGE""),)"),5.1)</f>
        <v>5.1</v>
      </c>
      <c r="D1154" s="48">
        <f>IFERROR(__xludf.DUMMYFUNCTION("IFERROR(GOOGLEFINANCE(A1154,""CHANGEPCT""),)"),1.63)</f>
        <v>1.63</v>
      </c>
      <c r="E1154" s="48" t="str">
        <f t="shared" si="1"/>
        <v>1.63%</v>
      </c>
      <c r="F1154" s="48">
        <f t="shared" si="2"/>
        <v>1.63</v>
      </c>
      <c r="G1154" s="48" t="str">
        <f t="shared" si="3"/>
        <v/>
      </c>
      <c r="H1154" s="48">
        <f>IFERROR(__xludf.DUMMYFUNCTION("IFERROR(GOOGLEFINANCE(A1154,""PRICE""),)"),318.7)</f>
        <v>318.7</v>
      </c>
      <c r="I1154" s="49">
        <f>IFERROR(__xludf.DUMMYFUNCTION("IFERROR(GOOGLEFINANCE(A1154,""VOLUME""),)"),5894088.0)</f>
        <v>5894088</v>
      </c>
      <c r="J1154" s="48" t="str">
        <f>IFERROR(__xludf.DUMMYFUNCTION("IFERROR(INDEX(SPLIT(A1154,"":""),1,2),)"),"RECLTD")</f>
        <v>RECLTD</v>
      </c>
      <c r="K1154" s="48">
        <f t="shared" si="4"/>
        <v>321</v>
      </c>
      <c r="L1154" s="48" t="str">
        <f t="shared" si="5"/>
        <v/>
      </c>
      <c r="M1154" s="48">
        <f t="shared" si="6"/>
        <v>77</v>
      </c>
      <c r="N1154" s="50">
        <f>IFERROR(__xludf.DUMMYFUNCTION("IFERROR(GOOGLEFINANCE(A1154,""TRADETIME""),)"),46269.64583333333)</f>
        <v>46269.64583</v>
      </c>
      <c r="O1154" s="44"/>
      <c r="P1154" s="44"/>
      <c r="Q1154" s="44"/>
      <c r="R1154" s="44"/>
      <c r="S1154" s="44"/>
      <c r="T1154" s="44"/>
      <c r="U1154" s="44"/>
      <c r="V1154" s="44"/>
      <c r="W1154" s="44"/>
      <c r="X1154" s="44"/>
      <c r="Y1154" s="44"/>
      <c r="Z1154" s="44"/>
    </row>
    <row r="1155" ht="15.75" customHeight="1">
      <c r="A1155" s="51" t="s">
        <v>1201</v>
      </c>
      <c r="B1155" s="51" t="str">
        <f>IFERROR(__xludf.DUMMYFUNCTION("IFERROR(GOOGLEFINANCE(A1155,""NAME""),)"),"Redington Ltd")</f>
        <v>Redington Ltd</v>
      </c>
      <c r="C1155" s="51">
        <f>IFERROR(__xludf.DUMMYFUNCTION("IFERROR(GOOGLEFINANCE(A1155,""CHANGE""),)"),-1.15)</f>
        <v>-1.15</v>
      </c>
      <c r="D1155" s="51">
        <f>IFERROR(__xludf.DUMMYFUNCTION("IFERROR(GOOGLEFINANCE(A1155,""CHANGEPCT""),)"),-0.31)</f>
        <v>-0.31</v>
      </c>
      <c r="E1155" s="51" t="str">
        <f t="shared" si="1"/>
        <v>-0.31%</v>
      </c>
      <c r="F1155" s="51" t="str">
        <f t="shared" si="2"/>
        <v/>
      </c>
      <c r="G1155" s="51">
        <f t="shared" si="3"/>
        <v>-0.31</v>
      </c>
      <c r="H1155" s="51">
        <f>IFERROR(__xludf.DUMMYFUNCTION("IFERROR(GOOGLEFINANCE(A1155,""PRICE""),)"),371.3)</f>
        <v>371.3</v>
      </c>
      <c r="I1155" s="52">
        <f>IFERROR(__xludf.DUMMYFUNCTION("IFERROR(GOOGLEFINANCE(A1155,""VOLUME""),)"),3554885.0)</f>
        <v>3554885</v>
      </c>
      <c r="J1155" s="51" t="str">
        <f>IFERROR(__xludf.DUMMYFUNCTION("IFERROR(INDEX(SPLIT(A1155,"":""),1,2),)"),"REDINGTON")</f>
        <v>REDINGTON</v>
      </c>
      <c r="K1155" s="51" t="str">
        <f t="shared" si="4"/>
        <v/>
      </c>
      <c r="L1155" s="51">
        <f t="shared" si="5"/>
        <v>118</v>
      </c>
      <c r="M1155" s="51">
        <f t="shared" si="6"/>
        <v>114</v>
      </c>
      <c r="N1155" s="53">
        <f>IFERROR(__xludf.DUMMYFUNCTION("IFERROR(GOOGLEFINANCE(A1155,""TRADETIME""),)"),46269.64585648148)</f>
        <v>46269.64586</v>
      </c>
      <c r="O1155" s="44"/>
      <c r="P1155" s="44"/>
      <c r="Q1155" s="44"/>
      <c r="R1155" s="44"/>
      <c r="S1155" s="44"/>
      <c r="T1155" s="44"/>
      <c r="U1155" s="44"/>
      <c r="V1155" s="44"/>
      <c r="W1155" s="44"/>
      <c r="X1155" s="44"/>
      <c r="Y1155" s="44"/>
      <c r="Z1155" s="44"/>
    </row>
    <row r="1156" ht="15.75" customHeight="1">
      <c r="A1156" s="48" t="s">
        <v>1202</v>
      </c>
      <c r="B1156" s="48" t="str">
        <f>IFERROR(__xludf.DUMMYFUNCTION("IFERROR(GOOGLEFINANCE(A1156,""NAME""),)"),"Refex Industries Ltd")</f>
        <v>Refex Industries Ltd</v>
      </c>
      <c r="C1156" s="48">
        <f>IFERROR(__xludf.DUMMYFUNCTION("IFERROR(GOOGLEFINANCE(A1156,""CHANGE""),)"),3.2)</f>
        <v>3.2</v>
      </c>
      <c r="D1156" s="48">
        <f>IFERROR(__xludf.DUMMYFUNCTION("IFERROR(GOOGLEFINANCE(A1156,""CHANGEPCT""),)"),1.15)</f>
        <v>1.15</v>
      </c>
      <c r="E1156" s="48" t="str">
        <f t="shared" si="1"/>
        <v>1.15%</v>
      </c>
      <c r="F1156" s="48">
        <f t="shared" si="2"/>
        <v>1.15</v>
      </c>
      <c r="G1156" s="48" t="str">
        <f t="shared" si="3"/>
        <v/>
      </c>
      <c r="H1156" s="48">
        <f>IFERROR(__xludf.DUMMYFUNCTION("IFERROR(GOOGLEFINANCE(A1156,""PRICE""),)"),282.45)</f>
        <v>282.45</v>
      </c>
      <c r="I1156" s="49">
        <f>IFERROR(__xludf.DUMMYFUNCTION("IFERROR(GOOGLEFINANCE(A1156,""VOLUME""),)"),249214.0)</f>
        <v>249214</v>
      </c>
      <c r="J1156" s="48" t="str">
        <f>IFERROR(__xludf.DUMMYFUNCTION("IFERROR(INDEX(SPLIT(A1156,"":""),1,2),)"),"REFEX")</f>
        <v>REFEX</v>
      </c>
      <c r="K1156" s="48">
        <f t="shared" si="4"/>
        <v>421</v>
      </c>
      <c r="L1156" s="48" t="str">
        <f t="shared" si="5"/>
        <v/>
      </c>
      <c r="M1156" s="48">
        <f t="shared" si="6"/>
        <v>569</v>
      </c>
      <c r="N1156" s="50">
        <f>IFERROR(__xludf.DUMMYFUNCTION("IFERROR(GOOGLEFINANCE(A1156,""TRADETIME""),)"),46269.64585648148)</f>
        <v>46269.64586</v>
      </c>
      <c r="O1156" s="44"/>
      <c r="P1156" s="44"/>
      <c r="Q1156" s="44"/>
      <c r="R1156" s="44"/>
      <c r="S1156" s="44"/>
      <c r="T1156" s="44"/>
      <c r="U1156" s="44"/>
      <c r="V1156" s="44"/>
      <c r="W1156" s="44"/>
      <c r="X1156" s="44"/>
      <c r="Y1156" s="44"/>
      <c r="Z1156" s="44"/>
    </row>
    <row r="1157" ht="15.75" customHeight="1">
      <c r="A1157" s="51" t="s">
        <v>1203</v>
      </c>
      <c r="B1157" s="51" t="str">
        <f>IFERROR(__xludf.DUMMYFUNCTION("IFERROR(GOOGLEFINANCE(A1157,""NAME""),)"),"Relaxo Footwears Ltd")</f>
        <v>Relaxo Footwears Ltd</v>
      </c>
      <c r="C1157" s="51">
        <f>IFERROR(__xludf.DUMMYFUNCTION("IFERROR(GOOGLEFINANCE(A1157,""CHANGE""),)"),1.75)</f>
        <v>1.75</v>
      </c>
      <c r="D1157" s="51">
        <f>IFERROR(__xludf.DUMMYFUNCTION("IFERROR(GOOGLEFINANCE(A1157,""CHANGEPCT""),)"),0.51)</f>
        <v>0.51</v>
      </c>
      <c r="E1157" s="51" t="str">
        <f t="shared" si="1"/>
        <v>0.51%</v>
      </c>
      <c r="F1157" s="51">
        <f t="shared" si="2"/>
        <v>0.51</v>
      </c>
      <c r="G1157" s="51" t="str">
        <f t="shared" si="3"/>
        <v/>
      </c>
      <c r="H1157" s="51">
        <f>IFERROR(__xludf.DUMMYFUNCTION("IFERROR(GOOGLEFINANCE(A1157,""PRICE""),)"),345.7)</f>
        <v>345.7</v>
      </c>
      <c r="I1157" s="52">
        <f>IFERROR(__xludf.DUMMYFUNCTION("IFERROR(GOOGLEFINANCE(A1157,""VOLUME""),)"),48646.0)</f>
        <v>48646</v>
      </c>
      <c r="J1157" s="51" t="str">
        <f>IFERROR(__xludf.DUMMYFUNCTION("IFERROR(INDEX(SPLIT(A1157,"":""),1,2),)"),"RELAXO")</f>
        <v>RELAXO</v>
      </c>
      <c r="K1157" s="51">
        <f t="shared" si="4"/>
        <v>590</v>
      </c>
      <c r="L1157" s="51" t="str">
        <f t="shared" si="5"/>
        <v/>
      </c>
      <c r="M1157" s="51">
        <f t="shared" si="6"/>
        <v>954</v>
      </c>
      <c r="N1157" s="53">
        <f>IFERROR(__xludf.DUMMYFUNCTION("IFERROR(GOOGLEFINANCE(A1157,""TRADETIME""),)"),46269.64583333333)</f>
        <v>46269.64583</v>
      </c>
      <c r="O1157" s="44"/>
      <c r="P1157" s="44"/>
      <c r="Q1157" s="44"/>
      <c r="R1157" s="44"/>
      <c r="S1157" s="44"/>
      <c r="T1157" s="44"/>
      <c r="U1157" s="44"/>
      <c r="V1157" s="44"/>
      <c r="W1157" s="44"/>
      <c r="X1157" s="44"/>
      <c r="Y1157" s="44"/>
      <c r="Z1157" s="44"/>
    </row>
    <row r="1158" ht="15.75" customHeight="1">
      <c r="A1158" s="48" t="s">
        <v>1204</v>
      </c>
      <c r="B1158" s="48" t="str">
        <f>IFERROR(__xludf.DUMMYFUNCTION("IFERROR(GOOGLEFINANCE(A1158,""NAME""),)"),"")</f>
        <v/>
      </c>
      <c r="C1158" s="48" t="str">
        <f>IFERROR(__xludf.DUMMYFUNCTION("IFERROR(GOOGLEFINANCE(A1158,""CHANGE""),)"),"")</f>
        <v/>
      </c>
      <c r="D1158" s="48" t="str">
        <f>IFERROR(__xludf.DUMMYFUNCTION("IFERROR(GOOGLEFINANCE(A1158,""CHANGEPCT""),)"),"")</f>
        <v/>
      </c>
      <c r="E1158" s="48" t="str">
        <f t="shared" si="1"/>
        <v>%</v>
      </c>
      <c r="F1158" s="48" t="str">
        <f t="shared" si="2"/>
        <v/>
      </c>
      <c r="G1158" s="48" t="str">
        <f t="shared" si="3"/>
        <v/>
      </c>
      <c r="H1158" s="48" t="str">
        <f>IFERROR(__xludf.DUMMYFUNCTION("IFERROR(GOOGLEFINANCE(A1158,""PRICE""),)"),"")</f>
        <v/>
      </c>
      <c r="I1158" s="49" t="str">
        <f>IFERROR(__xludf.DUMMYFUNCTION("IFERROR(GOOGLEFINANCE(A1158,""VOLUME""),)"),"")</f>
        <v/>
      </c>
      <c r="J1158" s="48" t="str">
        <f>IFERROR(__xludf.DUMMYFUNCTION("IFERROR(INDEX(SPLIT(A1158,"":""),1,2),)"),"RELCAPITAL")</f>
        <v>RELCAPITAL</v>
      </c>
      <c r="K1158" s="48" t="str">
        <f t="shared" si="4"/>
        <v/>
      </c>
      <c r="L1158" s="48" t="str">
        <f t="shared" si="5"/>
        <v/>
      </c>
      <c r="M1158" s="48">
        <f t="shared" si="6"/>
        <v>1456</v>
      </c>
      <c r="N1158" s="50" t="str">
        <f>IFERROR(__xludf.DUMMYFUNCTION("IFERROR(GOOGLEFINANCE(A1158,""TRADETIME""),)"),"")</f>
        <v/>
      </c>
      <c r="O1158" s="44"/>
      <c r="P1158" s="44"/>
      <c r="Q1158" s="44"/>
      <c r="R1158" s="44"/>
      <c r="S1158" s="44"/>
      <c r="T1158" s="44"/>
      <c r="U1158" s="44"/>
      <c r="V1158" s="44"/>
      <c r="W1158" s="44"/>
      <c r="X1158" s="44"/>
      <c r="Y1158" s="44"/>
      <c r="Z1158" s="44"/>
    </row>
    <row r="1159" ht="15.75" customHeight="1">
      <c r="A1159" s="51" t="s">
        <v>1205</v>
      </c>
      <c r="B1159" s="51" t="str">
        <f>IFERROR(__xludf.DUMMYFUNCTION("IFERROR(GOOGLEFINANCE(A1159,""NAME""),)"),"Reliance Industries Ltd")</f>
        <v>Reliance Industries Ltd</v>
      </c>
      <c r="C1159" s="51">
        <f>IFERROR(__xludf.DUMMYFUNCTION("IFERROR(GOOGLEFINANCE(A1159,""CHANGE""),)"),26.5)</f>
        <v>26.5</v>
      </c>
      <c r="D1159" s="51">
        <f>IFERROR(__xludf.DUMMYFUNCTION("IFERROR(GOOGLEFINANCE(A1159,""CHANGEPCT""),)"),2.03)</f>
        <v>2.03</v>
      </c>
      <c r="E1159" s="51" t="str">
        <f t="shared" si="1"/>
        <v>2.03%</v>
      </c>
      <c r="F1159" s="51">
        <f t="shared" si="2"/>
        <v>2.03</v>
      </c>
      <c r="G1159" s="51" t="str">
        <f t="shared" si="3"/>
        <v/>
      </c>
      <c r="H1159" s="51">
        <f>IFERROR(__xludf.DUMMYFUNCTION("IFERROR(GOOGLEFINANCE(A1159,""PRICE""),)"),1329.0)</f>
        <v>1329</v>
      </c>
      <c r="I1159" s="52">
        <f>IFERROR(__xludf.DUMMYFUNCTION("IFERROR(GOOGLEFINANCE(A1159,""VOLUME""),)"),1.3031534E7)</f>
        <v>13031534</v>
      </c>
      <c r="J1159" s="51" t="str">
        <f>IFERROR(__xludf.DUMMYFUNCTION("IFERROR(INDEX(SPLIT(A1159,"":""),1,2),)"),"RELIANCE")</f>
        <v>RELIANCE</v>
      </c>
      <c r="K1159" s="51">
        <f t="shared" si="4"/>
        <v>251</v>
      </c>
      <c r="L1159" s="51" t="str">
        <f t="shared" si="5"/>
        <v/>
      </c>
      <c r="M1159" s="51">
        <f t="shared" si="6"/>
        <v>37</v>
      </c>
      <c r="N1159" s="53">
        <f>IFERROR(__xludf.DUMMYFUNCTION("IFERROR(GOOGLEFINANCE(A1159,""TRADETIME""),)"),46269.64583333333)</f>
        <v>46269.64583</v>
      </c>
      <c r="O1159" s="44"/>
      <c r="P1159" s="44"/>
      <c r="Q1159" s="44"/>
      <c r="R1159" s="44"/>
      <c r="S1159" s="44"/>
      <c r="T1159" s="44"/>
      <c r="U1159" s="44"/>
      <c r="V1159" s="44"/>
      <c r="W1159" s="44"/>
      <c r="X1159" s="44"/>
      <c r="Y1159" s="44"/>
      <c r="Z1159" s="44"/>
    </row>
    <row r="1160" ht="15.75" customHeight="1">
      <c r="A1160" s="48" t="s">
        <v>1206</v>
      </c>
      <c r="B1160" s="48" t="str">
        <f>IFERROR(__xludf.DUMMYFUNCTION("IFERROR(GOOGLEFINANCE(A1160,""NAME""),)"),"Religare Enterprises Ltd")</f>
        <v>Religare Enterprises Ltd</v>
      </c>
      <c r="C1160" s="48">
        <f>IFERROR(__xludf.DUMMYFUNCTION("IFERROR(GOOGLEFINANCE(A1160,""CHANGE""),)"),4.91)</f>
        <v>4.91</v>
      </c>
      <c r="D1160" s="48">
        <f>IFERROR(__xludf.DUMMYFUNCTION("IFERROR(GOOGLEFINANCE(A1160,""CHANGEPCT""),)"),1.95)</f>
        <v>1.95</v>
      </c>
      <c r="E1160" s="48" t="str">
        <f t="shared" si="1"/>
        <v>1.95%</v>
      </c>
      <c r="F1160" s="48">
        <f t="shared" si="2"/>
        <v>1.95</v>
      </c>
      <c r="G1160" s="48" t="str">
        <f t="shared" si="3"/>
        <v/>
      </c>
      <c r="H1160" s="48">
        <f>IFERROR(__xludf.DUMMYFUNCTION("IFERROR(GOOGLEFINANCE(A1160,""PRICE""),)"),256.8)</f>
        <v>256.8</v>
      </c>
      <c r="I1160" s="49">
        <f>IFERROR(__xludf.DUMMYFUNCTION("IFERROR(GOOGLEFINANCE(A1160,""VOLUME""),)"),1795582.0)</f>
        <v>1795582</v>
      </c>
      <c r="J1160" s="48" t="str">
        <f>IFERROR(__xludf.DUMMYFUNCTION("IFERROR(INDEX(SPLIT(A1160,"":""),1,2),)"),"RELIGARE")</f>
        <v>RELIGARE</v>
      </c>
      <c r="K1160" s="48">
        <f t="shared" si="4"/>
        <v>270</v>
      </c>
      <c r="L1160" s="48" t="str">
        <f t="shared" si="5"/>
        <v/>
      </c>
      <c r="M1160" s="48">
        <f t="shared" si="6"/>
        <v>184</v>
      </c>
      <c r="N1160" s="50">
        <f>IFERROR(__xludf.DUMMYFUNCTION("IFERROR(GOOGLEFINANCE(A1160,""TRADETIME""),)"),46269.64584490741)</f>
        <v>46269.64584</v>
      </c>
      <c r="O1160" s="44"/>
      <c r="P1160" s="44"/>
      <c r="Q1160" s="44"/>
      <c r="R1160" s="44"/>
      <c r="S1160" s="44"/>
      <c r="T1160" s="44"/>
      <c r="U1160" s="44"/>
      <c r="V1160" s="44"/>
      <c r="W1160" s="44"/>
      <c r="X1160" s="44"/>
      <c r="Y1160" s="44"/>
      <c r="Z1160" s="44"/>
    </row>
    <row r="1161" ht="15.75" customHeight="1">
      <c r="A1161" s="51" t="s">
        <v>1207</v>
      </c>
      <c r="B1161" s="51" t="str">
        <f>IFERROR(__xludf.DUMMYFUNCTION("IFERROR(GOOGLEFINANCE(A1161,""NAME""),)"),"Reliance Infrastructure Ltd")</f>
        <v>Reliance Infrastructure Ltd</v>
      </c>
      <c r="C1161" s="51">
        <f>IFERROR(__xludf.DUMMYFUNCTION("IFERROR(GOOGLEFINANCE(A1161,""CHANGE""),)"),1.11)</f>
        <v>1.11</v>
      </c>
      <c r="D1161" s="51">
        <f>IFERROR(__xludf.DUMMYFUNCTION("IFERROR(GOOGLEFINANCE(A1161,""CHANGEPCT""),)"),1.99)</f>
        <v>1.99</v>
      </c>
      <c r="E1161" s="51" t="str">
        <f t="shared" si="1"/>
        <v>1.99%</v>
      </c>
      <c r="F1161" s="51">
        <f t="shared" si="2"/>
        <v>1.99</v>
      </c>
      <c r="G1161" s="51" t="str">
        <f t="shared" si="3"/>
        <v/>
      </c>
      <c r="H1161" s="51">
        <f>IFERROR(__xludf.DUMMYFUNCTION("IFERROR(GOOGLEFINANCE(A1161,""PRICE""),)"),57.02)</f>
        <v>57.02</v>
      </c>
      <c r="I1161" s="52">
        <f>IFERROR(__xludf.DUMMYFUNCTION("IFERROR(GOOGLEFINANCE(A1161,""VOLUME""),)"),198794.0)</f>
        <v>198794</v>
      </c>
      <c r="J1161" s="51" t="str">
        <f>IFERROR(__xludf.DUMMYFUNCTION("IFERROR(INDEX(SPLIT(A1161,"":""),1,2),)"),"RELINFRA")</f>
        <v>RELINFRA</v>
      </c>
      <c r="K1161" s="51">
        <f t="shared" si="4"/>
        <v>261</v>
      </c>
      <c r="L1161" s="51" t="str">
        <f t="shared" si="5"/>
        <v/>
      </c>
      <c r="M1161" s="51">
        <f t="shared" si="6"/>
        <v>630</v>
      </c>
      <c r="N1161" s="53">
        <f>IFERROR(__xludf.DUMMYFUNCTION("IFERROR(GOOGLEFINANCE(A1161,""TRADETIME""),)"),46269.64583333333)</f>
        <v>46269.64583</v>
      </c>
      <c r="O1161" s="44"/>
      <c r="P1161" s="44"/>
      <c r="Q1161" s="44"/>
      <c r="R1161" s="44"/>
      <c r="S1161" s="44"/>
      <c r="T1161" s="44"/>
      <c r="U1161" s="44"/>
      <c r="V1161" s="44"/>
      <c r="W1161" s="44"/>
      <c r="X1161" s="44"/>
      <c r="Y1161" s="44"/>
      <c r="Z1161" s="44"/>
    </row>
    <row r="1162" ht="15.75" customHeight="1">
      <c r="A1162" s="48" t="s">
        <v>1208</v>
      </c>
      <c r="B1162" s="48" t="str">
        <f>IFERROR(__xludf.DUMMYFUNCTION("IFERROR(GOOGLEFINANCE(A1162,""NAME""),)"),"Remsons Industries Ltd")</f>
        <v>Remsons Industries Ltd</v>
      </c>
      <c r="C1162" s="48">
        <f>IFERROR(__xludf.DUMMYFUNCTION("IFERROR(GOOGLEFINANCE(A1162,""CHANGE""),)"),4.15)</f>
        <v>4.15</v>
      </c>
      <c r="D1162" s="48">
        <f>IFERROR(__xludf.DUMMYFUNCTION("IFERROR(GOOGLEFINANCE(A1162,""CHANGEPCT""),)"),4.37)</f>
        <v>4.37</v>
      </c>
      <c r="E1162" s="48" t="str">
        <f t="shared" si="1"/>
        <v>4.37%</v>
      </c>
      <c r="F1162" s="48">
        <f t="shared" si="2"/>
        <v>4.37</v>
      </c>
      <c r="G1162" s="48" t="str">
        <f t="shared" si="3"/>
        <v/>
      </c>
      <c r="H1162" s="48">
        <f>IFERROR(__xludf.DUMMYFUNCTION("IFERROR(GOOGLEFINANCE(A1162,""PRICE""),)"),99.2)</f>
        <v>99.2</v>
      </c>
      <c r="I1162" s="49">
        <f>IFERROR(__xludf.DUMMYFUNCTION("IFERROR(GOOGLEFINANCE(A1162,""VOLUME""),)"),158912.0)</f>
        <v>158912</v>
      </c>
      <c r="J1162" s="48" t="str">
        <f>IFERROR(__xludf.DUMMYFUNCTION("IFERROR(INDEX(SPLIT(A1162,"":""),1,2),)"),"REMSONSIND")</f>
        <v>REMSONSIND</v>
      </c>
      <c r="K1162" s="48">
        <f t="shared" si="4"/>
        <v>100</v>
      </c>
      <c r="L1162" s="48" t="str">
        <f t="shared" si="5"/>
        <v/>
      </c>
      <c r="M1162" s="48">
        <f t="shared" si="6"/>
        <v>677</v>
      </c>
      <c r="N1162" s="50">
        <f>IFERROR(__xludf.DUMMYFUNCTION("IFERROR(GOOGLEFINANCE(A1162,""TRADETIME""),)"),46269.64583333333)</f>
        <v>46269.64583</v>
      </c>
      <c r="O1162" s="44"/>
      <c r="P1162" s="44"/>
      <c r="Q1162" s="44"/>
      <c r="R1162" s="44"/>
      <c r="S1162" s="44"/>
      <c r="T1162" s="44"/>
      <c r="U1162" s="44"/>
      <c r="V1162" s="44"/>
      <c r="W1162" s="44"/>
      <c r="X1162" s="44"/>
      <c r="Y1162" s="44"/>
      <c r="Z1162" s="44"/>
    </row>
    <row r="1163" ht="15.75" customHeight="1">
      <c r="A1163" s="51" t="s">
        <v>1209</v>
      </c>
      <c r="B1163" s="51" t="str">
        <f>IFERROR(__xludf.DUMMYFUNCTION("IFERROR(GOOGLEFINANCE(A1163,""NAME""),)"),"Shree Renuka Sugars Ltd")</f>
        <v>Shree Renuka Sugars Ltd</v>
      </c>
      <c r="C1163" s="51">
        <f>IFERROR(__xludf.DUMMYFUNCTION("IFERROR(GOOGLEFINANCE(A1163,""CHANGE""),)"),-0.13)</f>
        <v>-0.13</v>
      </c>
      <c r="D1163" s="51">
        <f>IFERROR(__xludf.DUMMYFUNCTION("IFERROR(GOOGLEFINANCE(A1163,""CHANGEPCT""),)"),-0.54)</f>
        <v>-0.54</v>
      </c>
      <c r="E1163" s="51" t="str">
        <f t="shared" si="1"/>
        <v>-0.54%</v>
      </c>
      <c r="F1163" s="51" t="str">
        <f t="shared" si="2"/>
        <v/>
      </c>
      <c r="G1163" s="51">
        <f t="shared" si="3"/>
        <v>-0.54</v>
      </c>
      <c r="H1163" s="51">
        <f>IFERROR(__xludf.DUMMYFUNCTION("IFERROR(GOOGLEFINANCE(A1163,""PRICE""),)"),24.14)</f>
        <v>24.14</v>
      </c>
      <c r="I1163" s="52">
        <f>IFERROR(__xludf.DUMMYFUNCTION("IFERROR(GOOGLEFINANCE(A1163,""VOLUME""),)"),1.357856E7)</f>
        <v>13578560</v>
      </c>
      <c r="J1163" s="51" t="str">
        <f>IFERROR(__xludf.DUMMYFUNCTION("IFERROR(INDEX(SPLIT(A1163,"":""),1,2),)"),"RENUKA")</f>
        <v>RENUKA</v>
      </c>
      <c r="K1163" s="51" t="str">
        <f t="shared" si="4"/>
        <v/>
      </c>
      <c r="L1163" s="51">
        <f t="shared" si="5"/>
        <v>210</v>
      </c>
      <c r="M1163" s="51">
        <f t="shared" si="6"/>
        <v>32</v>
      </c>
      <c r="N1163" s="53">
        <f>IFERROR(__xludf.DUMMYFUNCTION("IFERROR(GOOGLEFINANCE(A1163,""TRADETIME""),)"),46269.64584490741)</f>
        <v>46269.64584</v>
      </c>
      <c r="O1163" s="44"/>
      <c r="P1163" s="44"/>
      <c r="Q1163" s="44"/>
      <c r="R1163" s="44"/>
      <c r="S1163" s="44"/>
      <c r="T1163" s="44"/>
      <c r="U1163" s="44"/>
      <c r="V1163" s="44"/>
      <c r="W1163" s="44"/>
      <c r="X1163" s="44"/>
      <c r="Y1163" s="44"/>
      <c r="Z1163" s="44"/>
    </row>
    <row r="1164" ht="15.75" customHeight="1">
      <c r="A1164" s="48" t="s">
        <v>1210</v>
      </c>
      <c r="B1164" s="48" t="str">
        <f>IFERROR(__xludf.DUMMYFUNCTION("IFERROR(GOOGLEFINANCE(A1164,""NAME""),)"),"Repco Home Finance Ltd")</f>
        <v>Repco Home Finance Ltd</v>
      </c>
      <c r="C1164" s="48">
        <f>IFERROR(__xludf.DUMMYFUNCTION("IFERROR(GOOGLEFINANCE(A1164,""CHANGE""),)"),4.2)</f>
        <v>4.2</v>
      </c>
      <c r="D1164" s="48">
        <f>IFERROR(__xludf.DUMMYFUNCTION("IFERROR(GOOGLEFINANCE(A1164,""CHANGEPCT""),)"),1.18)</f>
        <v>1.18</v>
      </c>
      <c r="E1164" s="48" t="str">
        <f t="shared" si="1"/>
        <v>1.18%</v>
      </c>
      <c r="F1164" s="48">
        <f t="shared" si="2"/>
        <v>1.18</v>
      </c>
      <c r="G1164" s="48" t="str">
        <f t="shared" si="3"/>
        <v/>
      </c>
      <c r="H1164" s="48">
        <f>IFERROR(__xludf.DUMMYFUNCTION("IFERROR(GOOGLEFINANCE(A1164,""PRICE""),)"),359.95)</f>
        <v>359.95</v>
      </c>
      <c r="I1164" s="49">
        <f>IFERROR(__xludf.DUMMYFUNCTION("IFERROR(GOOGLEFINANCE(A1164,""VOLUME""),)"),41434.0)</f>
        <v>41434</v>
      </c>
      <c r="J1164" s="48" t="str">
        <f>IFERROR(__xludf.DUMMYFUNCTION("IFERROR(INDEX(SPLIT(A1164,"":""),1,2),)"),"REPCOHOME")</f>
        <v>REPCOHOME</v>
      </c>
      <c r="K1164" s="48">
        <f t="shared" si="4"/>
        <v>413</v>
      </c>
      <c r="L1164" s="48" t="str">
        <f t="shared" si="5"/>
        <v/>
      </c>
      <c r="M1164" s="48">
        <f t="shared" si="6"/>
        <v>995</v>
      </c>
      <c r="N1164" s="50">
        <f>IFERROR(__xludf.DUMMYFUNCTION("IFERROR(GOOGLEFINANCE(A1164,""TRADETIME""),)"),46269.64583333333)</f>
        <v>46269.64583</v>
      </c>
      <c r="O1164" s="44"/>
      <c r="P1164" s="44"/>
      <c r="Q1164" s="44"/>
      <c r="R1164" s="44"/>
      <c r="S1164" s="44"/>
      <c r="T1164" s="44"/>
      <c r="U1164" s="44"/>
      <c r="V1164" s="44"/>
      <c r="W1164" s="44"/>
      <c r="X1164" s="44"/>
      <c r="Y1164" s="44"/>
      <c r="Z1164" s="44"/>
    </row>
    <row r="1165" ht="15.75" customHeight="1">
      <c r="A1165" s="51" t="s">
        <v>1211</v>
      </c>
      <c r="B1165" s="51" t="str">
        <f>IFERROR(__xludf.DUMMYFUNCTION("IFERROR(GOOGLEFINANCE(A1165,""NAME""),)"),"Rudrabhishek Enterprises Ltd")</f>
        <v>Rudrabhishek Enterprises Ltd</v>
      </c>
      <c r="C1165" s="51">
        <f>IFERROR(__xludf.DUMMYFUNCTION("IFERROR(GOOGLEFINANCE(A1165,""CHANGE""),)"),-1.57)</f>
        <v>-1.57</v>
      </c>
      <c r="D1165" s="51">
        <f>IFERROR(__xludf.DUMMYFUNCTION("IFERROR(GOOGLEFINANCE(A1165,""CHANGEPCT""),)"),-2.38)</f>
        <v>-2.38</v>
      </c>
      <c r="E1165" s="51" t="str">
        <f t="shared" si="1"/>
        <v>-2.38%</v>
      </c>
      <c r="F1165" s="51" t="str">
        <f t="shared" si="2"/>
        <v/>
      </c>
      <c r="G1165" s="51">
        <f t="shared" si="3"/>
        <v>-2.38</v>
      </c>
      <c r="H1165" s="51">
        <f>IFERROR(__xludf.DUMMYFUNCTION("IFERROR(GOOGLEFINANCE(A1165,""PRICE""),)"),64.39)</f>
        <v>64.39</v>
      </c>
      <c r="I1165" s="52">
        <f>IFERROR(__xludf.DUMMYFUNCTION("IFERROR(GOOGLEFINANCE(A1165,""VOLUME""),)"),8034.0)</f>
        <v>8034</v>
      </c>
      <c r="J1165" s="51" t="str">
        <f>IFERROR(__xludf.DUMMYFUNCTION("IFERROR(INDEX(SPLIT(A1165,"":""),1,2),)"),"REPL")</f>
        <v>REPL</v>
      </c>
      <c r="K1165" s="51" t="str">
        <f t="shared" si="4"/>
        <v/>
      </c>
      <c r="L1165" s="51">
        <f t="shared" si="5"/>
        <v>566</v>
      </c>
      <c r="M1165" s="51">
        <f t="shared" si="6"/>
        <v>1262</v>
      </c>
      <c r="N1165" s="53">
        <f>IFERROR(__xludf.DUMMYFUNCTION("IFERROR(GOOGLEFINANCE(A1165,""TRADETIME""),)"),46269.64583333333)</f>
        <v>46269.64583</v>
      </c>
      <c r="O1165" s="44"/>
      <c r="P1165" s="44"/>
      <c r="Q1165" s="44"/>
      <c r="R1165" s="44"/>
      <c r="S1165" s="44"/>
      <c r="T1165" s="44"/>
      <c r="U1165" s="44"/>
      <c r="V1165" s="44"/>
      <c r="W1165" s="44"/>
      <c r="X1165" s="44"/>
      <c r="Y1165" s="44"/>
      <c r="Z1165" s="44"/>
    </row>
    <row r="1166" ht="15.75" customHeight="1">
      <c r="A1166" s="48" t="s">
        <v>1212</v>
      </c>
      <c r="B1166" s="48" t="str">
        <f>IFERROR(__xludf.DUMMYFUNCTION("IFERROR(GOOGLEFINANCE(A1166,""NAME""),)"),"Repro India Ltd")</f>
        <v>Repro India Ltd</v>
      </c>
      <c r="C1166" s="48">
        <f>IFERROR(__xludf.DUMMYFUNCTION("IFERROR(GOOGLEFINANCE(A1166,""CHANGE""),)"),-1.15)</f>
        <v>-1.15</v>
      </c>
      <c r="D1166" s="48">
        <f>IFERROR(__xludf.DUMMYFUNCTION("IFERROR(GOOGLEFINANCE(A1166,""CHANGEPCT""),)"),-0.36)</f>
        <v>-0.36</v>
      </c>
      <c r="E1166" s="48" t="str">
        <f t="shared" si="1"/>
        <v>-0.36%</v>
      </c>
      <c r="F1166" s="48" t="str">
        <f t="shared" si="2"/>
        <v/>
      </c>
      <c r="G1166" s="48">
        <f t="shared" si="3"/>
        <v>-0.36</v>
      </c>
      <c r="H1166" s="48">
        <f>IFERROR(__xludf.DUMMYFUNCTION("IFERROR(GOOGLEFINANCE(A1166,""PRICE""),)"),322.0)</f>
        <v>322</v>
      </c>
      <c r="I1166" s="49">
        <f>IFERROR(__xludf.DUMMYFUNCTION("IFERROR(GOOGLEFINANCE(A1166,""VOLUME""),)"),4692.0)</f>
        <v>4692</v>
      </c>
      <c r="J1166" s="48" t="str">
        <f>IFERROR(__xludf.DUMMYFUNCTION("IFERROR(INDEX(SPLIT(A1166,"":""),1,2),)"),"REPRO")</f>
        <v>REPRO</v>
      </c>
      <c r="K1166" s="48" t="str">
        <f t="shared" si="4"/>
        <v/>
      </c>
      <c r="L1166" s="48">
        <f t="shared" si="5"/>
        <v>140</v>
      </c>
      <c r="M1166" s="48">
        <f t="shared" si="6"/>
        <v>1332</v>
      </c>
      <c r="N1166" s="50">
        <f>IFERROR(__xludf.DUMMYFUNCTION("IFERROR(GOOGLEFINANCE(A1166,""TRADETIME""),)"),46269.64583333333)</f>
        <v>46269.64583</v>
      </c>
      <c r="O1166" s="44"/>
      <c r="P1166" s="44"/>
      <c r="Q1166" s="44"/>
      <c r="R1166" s="44"/>
      <c r="S1166" s="44"/>
      <c r="T1166" s="44"/>
      <c r="U1166" s="44"/>
      <c r="V1166" s="44"/>
      <c r="W1166" s="44"/>
      <c r="X1166" s="44"/>
      <c r="Y1166" s="44"/>
      <c r="Z1166" s="44"/>
    </row>
    <row r="1167" ht="15.75" customHeight="1">
      <c r="A1167" s="51" t="s">
        <v>1213</v>
      </c>
      <c r="B1167" s="51" t="str">
        <f>IFERROR(__xludf.DUMMYFUNCTION("IFERROR(GOOGLEFINANCE(A1167,""NAME""),)"),"Responsive Industries Ltd")</f>
        <v>Responsive Industries Ltd</v>
      </c>
      <c r="C1167" s="51">
        <f>IFERROR(__xludf.DUMMYFUNCTION("IFERROR(GOOGLEFINANCE(A1167,""CHANGE""),)"),0.12)</f>
        <v>0.12</v>
      </c>
      <c r="D1167" s="51">
        <f>IFERROR(__xludf.DUMMYFUNCTION("IFERROR(GOOGLEFINANCE(A1167,""CHANGEPCT""),)"),0.08)</f>
        <v>0.08</v>
      </c>
      <c r="E1167" s="51" t="str">
        <f t="shared" si="1"/>
        <v>0.08%</v>
      </c>
      <c r="F1167" s="51">
        <f t="shared" si="2"/>
        <v>0.08</v>
      </c>
      <c r="G1167" s="51" t="str">
        <f t="shared" si="3"/>
        <v/>
      </c>
      <c r="H1167" s="51">
        <f>IFERROR(__xludf.DUMMYFUNCTION("IFERROR(GOOGLEFINANCE(A1167,""PRICE""),)"),151.99)</f>
        <v>151.99</v>
      </c>
      <c r="I1167" s="52">
        <f>IFERROR(__xludf.DUMMYFUNCTION("IFERROR(GOOGLEFINANCE(A1167,""VOLUME""),)"),4.0184929E7)</f>
        <v>40184929</v>
      </c>
      <c r="J1167" s="51" t="str">
        <f>IFERROR(__xludf.DUMMYFUNCTION("IFERROR(INDEX(SPLIT(A1167,"":""),1,2),)"),"RESPONIND")</f>
        <v>RESPONIND</v>
      </c>
      <c r="K1167" s="51">
        <f t="shared" si="4"/>
        <v>749</v>
      </c>
      <c r="L1167" s="51" t="str">
        <f t="shared" si="5"/>
        <v/>
      </c>
      <c r="M1167" s="51">
        <f t="shared" si="6"/>
        <v>9</v>
      </c>
      <c r="N1167" s="53">
        <f>IFERROR(__xludf.DUMMYFUNCTION("IFERROR(GOOGLEFINANCE(A1167,""TRADETIME""),)"),46269.64583333333)</f>
        <v>46269.64583</v>
      </c>
      <c r="O1167" s="44"/>
      <c r="P1167" s="44"/>
      <c r="Q1167" s="44"/>
      <c r="R1167" s="44"/>
      <c r="S1167" s="44"/>
      <c r="T1167" s="44"/>
      <c r="U1167" s="44"/>
      <c r="V1167" s="44"/>
      <c r="W1167" s="44"/>
      <c r="X1167" s="44"/>
      <c r="Y1167" s="44"/>
      <c r="Z1167" s="44"/>
    </row>
    <row r="1168" ht="15.75" customHeight="1">
      <c r="A1168" s="48" t="s">
        <v>1214</v>
      </c>
      <c r="B1168" s="48" t="str">
        <f>IFERROR(__xludf.DUMMYFUNCTION("IFERROR(GOOGLEFINANCE(A1168,""NAME""),)"),"")</f>
        <v/>
      </c>
      <c r="C1168" s="48" t="str">
        <f>IFERROR(__xludf.DUMMYFUNCTION("IFERROR(GOOGLEFINANCE(A1168,""CHANGE""),)"),"")</f>
        <v/>
      </c>
      <c r="D1168" s="48" t="str">
        <f>IFERROR(__xludf.DUMMYFUNCTION("IFERROR(GOOGLEFINANCE(A1168,""CHANGEPCT""),)"),"")</f>
        <v/>
      </c>
      <c r="E1168" s="48" t="str">
        <f t="shared" si="1"/>
        <v>%</v>
      </c>
      <c r="F1168" s="48" t="str">
        <f t="shared" si="2"/>
        <v/>
      </c>
      <c r="G1168" s="48" t="str">
        <f t="shared" si="3"/>
        <v/>
      </c>
      <c r="H1168" s="48" t="str">
        <f>IFERROR(__xludf.DUMMYFUNCTION("IFERROR(GOOGLEFINANCE(A1168,""PRICE""),)"),"")</f>
        <v/>
      </c>
      <c r="I1168" s="49" t="str">
        <f>IFERROR(__xludf.DUMMYFUNCTION("IFERROR(GOOGLEFINANCE(A1168,""VOLUME""),)"),"")</f>
        <v/>
      </c>
      <c r="J1168" s="48" t="str">
        <f>IFERROR(__xludf.DUMMYFUNCTION("IFERROR(INDEX(SPLIT(A1168,"":""),1,2),)"),"REVATHI")</f>
        <v>REVATHI</v>
      </c>
      <c r="K1168" s="48" t="str">
        <f t="shared" si="4"/>
        <v/>
      </c>
      <c r="L1168" s="48" t="str">
        <f t="shared" si="5"/>
        <v/>
      </c>
      <c r="M1168" s="48">
        <f t="shared" si="6"/>
        <v>1456</v>
      </c>
      <c r="N1168" s="50" t="str">
        <f>IFERROR(__xludf.DUMMYFUNCTION("IFERROR(GOOGLEFINANCE(A1168,""TRADETIME""),)"),"")</f>
        <v/>
      </c>
      <c r="O1168" s="44"/>
      <c r="P1168" s="44"/>
      <c r="Q1168" s="44"/>
      <c r="R1168" s="44"/>
      <c r="S1168" s="44"/>
      <c r="T1168" s="44"/>
      <c r="U1168" s="44"/>
      <c r="V1168" s="44"/>
      <c r="W1168" s="44"/>
      <c r="X1168" s="44"/>
      <c r="Y1168" s="44"/>
      <c r="Z1168" s="44"/>
    </row>
    <row r="1169" ht="15.75" customHeight="1">
      <c r="A1169" s="51" t="s">
        <v>1215</v>
      </c>
      <c r="B1169" s="51" t="str">
        <f>IFERROR(__xludf.DUMMYFUNCTION("IFERROR(GOOGLEFINANCE(A1169,""NAME""),)"),"Renaissance Global Ltd")</f>
        <v>Renaissance Global Ltd</v>
      </c>
      <c r="C1169" s="51">
        <f>IFERROR(__xludf.DUMMYFUNCTION("IFERROR(GOOGLEFINANCE(A1169,""CHANGE""),)"),12.23)</f>
        <v>12.23</v>
      </c>
      <c r="D1169" s="51">
        <f>IFERROR(__xludf.DUMMYFUNCTION("IFERROR(GOOGLEFINANCE(A1169,""CHANGEPCT""),)"),8.92)</f>
        <v>8.92</v>
      </c>
      <c r="E1169" s="51" t="str">
        <f t="shared" si="1"/>
        <v>8.92%</v>
      </c>
      <c r="F1169" s="51">
        <f t="shared" si="2"/>
        <v>8.92</v>
      </c>
      <c r="G1169" s="51" t="str">
        <f t="shared" si="3"/>
        <v/>
      </c>
      <c r="H1169" s="51">
        <f>IFERROR(__xludf.DUMMYFUNCTION("IFERROR(GOOGLEFINANCE(A1169,""PRICE""),)"),149.35)</f>
        <v>149.35</v>
      </c>
      <c r="I1169" s="52">
        <f>IFERROR(__xludf.DUMMYFUNCTION("IFERROR(GOOGLEFINANCE(A1169,""VOLUME""),)"),3035236.0)</f>
        <v>3035236</v>
      </c>
      <c r="J1169" s="51" t="str">
        <f>IFERROR(__xludf.DUMMYFUNCTION("IFERROR(INDEX(SPLIT(A1169,"":""),1,2),)"),"RGL")</f>
        <v>RGL</v>
      </c>
      <c r="K1169" s="51">
        <f t="shared" si="4"/>
        <v>11</v>
      </c>
      <c r="L1169" s="51" t="str">
        <f t="shared" si="5"/>
        <v/>
      </c>
      <c r="M1169" s="51">
        <f t="shared" si="6"/>
        <v>124</v>
      </c>
      <c r="N1169" s="53">
        <f>IFERROR(__xludf.DUMMYFUNCTION("IFERROR(GOOGLEFINANCE(A1169,""TRADETIME""),)"),46269.64584490741)</f>
        <v>46269.64584</v>
      </c>
      <c r="O1169" s="44"/>
      <c r="P1169" s="44"/>
      <c r="Q1169" s="44"/>
      <c r="R1169" s="44"/>
      <c r="S1169" s="44"/>
      <c r="T1169" s="44"/>
      <c r="U1169" s="44"/>
      <c r="V1169" s="44"/>
      <c r="W1169" s="44"/>
      <c r="X1169" s="44"/>
      <c r="Y1169" s="44"/>
      <c r="Z1169" s="44"/>
    </row>
    <row r="1170" ht="15.75" customHeight="1">
      <c r="A1170" s="48" t="s">
        <v>1216</v>
      </c>
      <c r="B1170" s="48" t="str">
        <f>IFERROR(__xludf.DUMMYFUNCTION("IFERROR(GOOGLEFINANCE(A1170,""NAME""),)"),"Reliance Home Finance Ltd")</f>
        <v>Reliance Home Finance Ltd</v>
      </c>
      <c r="C1170" s="48">
        <f>IFERROR(__xludf.DUMMYFUNCTION("IFERROR(GOOGLEFINANCE(A1170,""CHANGE""),)"),0.04)</f>
        <v>0.04</v>
      </c>
      <c r="D1170" s="48">
        <f>IFERROR(__xludf.DUMMYFUNCTION("IFERROR(GOOGLEFINANCE(A1170,""CHANGEPCT""),)"),2.23)</f>
        <v>2.23</v>
      </c>
      <c r="E1170" s="48" t="str">
        <f t="shared" si="1"/>
        <v>2.23%</v>
      </c>
      <c r="F1170" s="48">
        <f t="shared" si="2"/>
        <v>2.23</v>
      </c>
      <c r="G1170" s="48" t="str">
        <f t="shared" si="3"/>
        <v/>
      </c>
      <c r="H1170" s="48">
        <f>IFERROR(__xludf.DUMMYFUNCTION("IFERROR(GOOGLEFINANCE(A1170,""PRICE""),)"),1.83)</f>
        <v>1.83</v>
      </c>
      <c r="I1170" s="49">
        <f>IFERROR(__xludf.DUMMYFUNCTION("IFERROR(GOOGLEFINANCE(A1170,""VOLUME""),)"),474713.0)</f>
        <v>474713</v>
      </c>
      <c r="J1170" s="48" t="str">
        <f>IFERROR(__xludf.DUMMYFUNCTION("IFERROR(INDEX(SPLIT(A1170,"":""),1,2),)"),"RHFL")</f>
        <v>RHFL</v>
      </c>
      <c r="K1170" s="48">
        <f t="shared" si="4"/>
        <v>231</v>
      </c>
      <c r="L1170" s="48" t="str">
        <f t="shared" si="5"/>
        <v/>
      </c>
      <c r="M1170" s="48">
        <f t="shared" si="6"/>
        <v>406</v>
      </c>
      <c r="N1170" s="50">
        <f>IFERROR(__xludf.DUMMYFUNCTION("IFERROR(GOOGLEFINANCE(A1170,""TRADETIME""),)"),46269.64583333333)</f>
        <v>46269.64583</v>
      </c>
      <c r="O1170" s="44"/>
      <c r="P1170" s="44"/>
      <c r="Q1170" s="44"/>
      <c r="R1170" s="44"/>
      <c r="S1170" s="44"/>
      <c r="T1170" s="44"/>
      <c r="U1170" s="44"/>
      <c r="V1170" s="44"/>
      <c r="W1170" s="44"/>
      <c r="X1170" s="44"/>
      <c r="Y1170" s="44"/>
      <c r="Z1170" s="44"/>
    </row>
    <row r="1171" ht="15.75" customHeight="1">
      <c r="A1171" s="51" t="s">
        <v>1217</v>
      </c>
      <c r="B1171" s="51" t="str">
        <f>IFERROR(__xludf.DUMMYFUNCTION("IFERROR(GOOGLEFINANCE(A1171,""NAME""),)"),"Rico Auto Industries Ltd")</f>
        <v>Rico Auto Industries Ltd</v>
      </c>
      <c r="C1171" s="51">
        <f>IFERROR(__xludf.DUMMYFUNCTION("IFERROR(GOOGLEFINANCE(A1171,""CHANGE""),)"),4.81)</f>
        <v>4.81</v>
      </c>
      <c r="D1171" s="51">
        <f>IFERROR(__xludf.DUMMYFUNCTION("IFERROR(GOOGLEFINANCE(A1171,""CHANGEPCT""),)"),3.8)</f>
        <v>3.8</v>
      </c>
      <c r="E1171" s="51" t="str">
        <f t="shared" si="1"/>
        <v>3.8%</v>
      </c>
      <c r="F1171" s="51">
        <f t="shared" si="2"/>
        <v>3.8</v>
      </c>
      <c r="G1171" s="51" t="str">
        <f t="shared" si="3"/>
        <v/>
      </c>
      <c r="H1171" s="51">
        <f>IFERROR(__xludf.DUMMYFUNCTION("IFERROR(GOOGLEFINANCE(A1171,""PRICE""),)"),131.3)</f>
        <v>131.3</v>
      </c>
      <c r="I1171" s="52">
        <f>IFERROR(__xludf.DUMMYFUNCTION("IFERROR(GOOGLEFINANCE(A1171,""VOLUME""),)"),1119592.0)</f>
        <v>1119592</v>
      </c>
      <c r="J1171" s="51" t="str">
        <f>IFERROR(__xludf.DUMMYFUNCTION("IFERROR(INDEX(SPLIT(A1171,"":""),1,2),)"),"RICOAUTO")</f>
        <v>RICOAUTO</v>
      </c>
      <c r="K1171" s="51">
        <f t="shared" si="4"/>
        <v>124</v>
      </c>
      <c r="L1171" s="51" t="str">
        <f t="shared" si="5"/>
        <v/>
      </c>
      <c r="M1171" s="51">
        <f t="shared" si="6"/>
        <v>251</v>
      </c>
      <c r="N1171" s="53">
        <f>IFERROR(__xludf.DUMMYFUNCTION("IFERROR(GOOGLEFINANCE(A1171,""TRADETIME""),)"),46269.64583333333)</f>
        <v>46269.64583</v>
      </c>
      <c r="O1171" s="44"/>
      <c r="P1171" s="44"/>
      <c r="Q1171" s="44"/>
      <c r="R1171" s="44"/>
      <c r="S1171" s="44"/>
      <c r="T1171" s="44"/>
      <c r="U1171" s="44"/>
      <c r="V1171" s="44"/>
      <c r="W1171" s="44"/>
      <c r="X1171" s="44"/>
      <c r="Y1171" s="44"/>
      <c r="Z1171" s="44"/>
    </row>
    <row r="1172" ht="15.75" customHeight="1">
      <c r="A1172" s="48" t="s">
        <v>1218</v>
      </c>
      <c r="B1172" s="48" t="str">
        <f>IFERROR(__xludf.DUMMYFUNCTION("IFERROR(GOOGLEFINANCE(A1172,""NAME""),)"),"Reliance Industrial Infrastructure Ltd")</f>
        <v>Reliance Industrial Infrastructure Ltd</v>
      </c>
      <c r="C1172" s="48">
        <f>IFERROR(__xludf.DUMMYFUNCTION("IFERROR(GOOGLEFINANCE(A1172,""CHANGE""),)"),-4.8)</f>
        <v>-4.8</v>
      </c>
      <c r="D1172" s="48">
        <f>IFERROR(__xludf.DUMMYFUNCTION("IFERROR(GOOGLEFINANCE(A1172,""CHANGEPCT""),)"),-0.64)</f>
        <v>-0.64</v>
      </c>
      <c r="E1172" s="48" t="str">
        <f t="shared" si="1"/>
        <v>-0.64%</v>
      </c>
      <c r="F1172" s="48" t="str">
        <f t="shared" si="2"/>
        <v/>
      </c>
      <c r="G1172" s="48">
        <f t="shared" si="3"/>
        <v>-0.64</v>
      </c>
      <c r="H1172" s="48">
        <f>IFERROR(__xludf.DUMMYFUNCTION("IFERROR(GOOGLEFINANCE(A1172,""PRICE""),)"),748.15)</f>
        <v>748.15</v>
      </c>
      <c r="I1172" s="49">
        <f>IFERROR(__xludf.DUMMYFUNCTION("IFERROR(GOOGLEFINANCE(A1172,""VOLUME""),)"),42420.0)</f>
        <v>42420</v>
      </c>
      <c r="J1172" s="48" t="str">
        <f>IFERROR(__xludf.DUMMYFUNCTION("IFERROR(INDEX(SPLIT(A1172,"":""),1,2),)"),"RIIL")</f>
        <v>RIIL</v>
      </c>
      <c r="K1172" s="48" t="str">
        <f t="shared" si="4"/>
        <v/>
      </c>
      <c r="L1172" s="48">
        <f t="shared" si="5"/>
        <v>240</v>
      </c>
      <c r="M1172" s="48">
        <f t="shared" si="6"/>
        <v>989</v>
      </c>
      <c r="N1172" s="50">
        <f>IFERROR(__xludf.DUMMYFUNCTION("IFERROR(GOOGLEFINANCE(A1172,""TRADETIME""),)"),46269.64583333333)</f>
        <v>46269.64583</v>
      </c>
      <c r="O1172" s="44"/>
      <c r="P1172" s="44"/>
      <c r="Q1172" s="44"/>
      <c r="R1172" s="44"/>
      <c r="S1172" s="44"/>
      <c r="T1172" s="44"/>
      <c r="U1172" s="44"/>
      <c r="V1172" s="44"/>
      <c r="W1172" s="44"/>
      <c r="X1172" s="44"/>
      <c r="Y1172" s="44"/>
      <c r="Z1172" s="44"/>
    </row>
    <row r="1173" ht="15.75" customHeight="1">
      <c r="A1173" s="51" t="s">
        <v>1219</v>
      </c>
      <c r="B1173" s="51" t="str">
        <f>IFERROR(__xludf.DUMMYFUNCTION("IFERROR(GOOGLEFINANCE(A1173,""NAME""),)"),"Rites Ltd")</f>
        <v>Rites Ltd</v>
      </c>
      <c r="C1173" s="51">
        <f>IFERROR(__xludf.DUMMYFUNCTION("IFERROR(GOOGLEFINANCE(A1173,""CHANGE""),)"),2.22)</f>
        <v>2.22</v>
      </c>
      <c r="D1173" s="51">
        <f>IFERROR(__xludf.DUMMYFUNCTION("IFERROR(GOOGLEFINANCE(A1173,""CHANGEPCT""),)"),1.04)</f>
        <v>1.04</v>
      </c>
      <c r="E1173" s="51" t="str">
        <f t="shared" si="1"/>
        <v>1.04%</v>
      </c>
      <c r="F1173" s="51">
        <f t="shared" si="2"/>
        <v>1.04</v>
      </c>
      <c r="G1173" s="51" t="str">
        <f t="shared" si="3"/>
        <v/>
      </c>
      <c r="H1173" s="51">
        <f>IFERROR(__xludf.DUMMYFUNCTION("IFERROR(GOOGLEFINANCE(A1173,""PRICE""),)"),216.0)</f>
        <v>216</v>
      </c>
      <c r="I1173" s="52">
        <f>IFERROR(__xludf.DUMMYFUNCTION("IFERROR(GOOGLEFINANCE(A1173,""VOLUME""),)"),278299.0)</f>
        <v>278299</v>
      </c>
      <c r="J1173" s="51" t="str">
        <f>IFERROR(__xludf.DUMMYFUNCTION("IFERROR(INDEX(SPLIT(A1173,"":""),1,2),)"),"RITES")</f>
        <v>RITES</v>
      </c>
      <c r="K1173" s="51">
        <f t="shared" si="4"/>
        <v>443</v>
      </c>
      <c r="L1173" s="51" t="str">
        <f t="shared" si="5"/>
        <v/>
      </c>
      <c r="M1173" s="51">
        <f t="shared" si="6"/>
        <v>539</v>
      </c>
      <c r="N1173" s="53">
        <f>IFERROR(__xludf.DUMMYFUNCTION("IFERROR(GOOGLEFINANCE(A1173,""TRADETIME""),)"),46269.64583333333)</f>
        <v>46269.64583</v>
      </c>
      <c r="O1173" s="44"/>
      <c r="P1173" s="44"/>
      <c r="Q1173" s="44"/>
      <c r="R1173" s="44"/>
      <c r="S1173" s="44"/>
      <c r="T1173" s="44"/>
      <c r="U1173" s="44"/>
      <c r="V1173" s="44"/>
      <c r="W1173" s="44"/>
      <c r="X1173" s="44"/>
      <c r="Y1173" s="44"/>
      <c r="Z1173" s="44"/>
    </row>
    <row r="1174" ht="15.75" customHeight="1">
      <c r="A1174" s="48" t="s">
        <v>1220</v>
      </c>
      <c r="B1174" s="48" t="str">
        <f>IFERROR(__xludf.DUMMYFUNCTION("IFERROR(GOOGLEFINANCE(A1174,""NAME""),)"),"Ravi Kumar Distilleries Ltd")</f>
        <v>Ravi Kumar Distilleries Ltd</v>
      </c>
      <c r="C1174" s="48">
        <f>IFERROR(__xludf.DUMMYFUNCTION("IFERROR(GOOGLEFINANCE(A1174,""CHANGE""),)"),0.04)</f>
        <v>0.04</v>
      </c>
      <c r="D1174" s="48">
        <f>IFERROR(__xludf.DUMMYFUNCTION("IFERROR(GOOGLEFINANCE(A1174,""CHANGEPCT""),)"),0.22)</f>
        <v>0.22</v>
      </c>
      <c r="E1174" s="48" t="str">
        <f t="shared" si="1"/>
        <v>0.22%</v>
      </c>
      <c r="F1174" s="48">
        <f t="shared" si="2"/>
        <v>0.22</v>
      </c>
      <c r="G1174" s="48" t="str">
        <f t="shared" si="3"/>
        <v/>
      </c>
      <c r="H1174" s="48">
        <f>IFERROR(__xludf.DUMMYFUNCTION("IFERROR(GOOGLEFINANCE(A1174,""PRICE""),)"),18.36)</f>
        <v>18.36</v>
      </c>
      <c r="I1174" s="49">
        <f>IFERROR(__xludf.DUMMYFUNCTION("IFERROR(GOOGLEFINANCE(A1174,""VOLUME""),)"),7502.0)</f>
        <v>7502</v>
      </c>
      <c r="J1174" s="48" t="str">
        <f>IFERROR(__xludf.DUMMYFUNCTION("IFERROR(INDEX(SPLIT(A1174,"":""),1,2),)"),"RKDL")</f>
        <v>RKDL</v>
      </c>
      <c r="K1174" s="48">
        <f t="shared" si="4"/>
        <v>687</v>
      </c>
      <c r="L1174" s="48" t="str">
        <f t="shared" si="5"/>
        <v/>
      </c>
      <c r="M1174" s="48">
        <f t="shared" si="6"/>
        <v>1272</v>
      </c>
      <c r="N1174" s="50">
        <f>IFERROR(__xludf.DUMMYFUNCTION("IFERROR(GOOGLEFINANCE(A1174,""TRADETIME""),)"),46269.64583333333)</f>
        <v>46269.64583</v>
      </c>
      <c r="O1174" s="44"/>
      <c r="P1174" s="44"/>
      <c r="Q1174" s="44"/>
      <c r="R1174" s="44"/>
      <c r="S1174" s="44"/>
      <c r="T1174" s="44"/>
      <c r="U1174" s="44"/>
      <c r="V1174" s="44"/>
      <c r="W1174" s="44"/>
      <c r="X1174" s="44"/>
      <c r="Y1174" s="44"/>
      <c r="Z1174" s="44"/>
    </row>
    <row r="1175" ht="15.75" customHeight="1">
      <c r="A1175" s="51" t="s">
        <v>1221</v>
      </c>
      <c r="B1175" s="51" t="str">
        <f>IFERROR(__xludf.DUMMYFUNCTION("IFERROR(GOOGLEFINANCE(A1175,""NAME""),)"),"Rkec Projects Ltd")</f>
        <v>Rkec Projects Ltd</v>
      </c>
      <c r="C1175" s="51">
        <f>IFERROR(__xludf.DUMMYFUNCTION("IFERROR(GOOGLEFINANCE(A1175,""CHANGE""),)"),-0.14)</f>
        <v>-0.14</v>
      </c>
      <c r="D1175" s="51">
        <f>IFERROR(__xludf.DUMMYFUNCTION("IFERROR(GOOGLEFINANCE(A1175,""CHANGEPCT""),)"),-0.65)</f>
        <v>-0.65</v>
      </c>
      <c r="E1175" s="51" t="str">
        <f t="shared" si="1"/>
        <v>-0.65%</v>
      </c>
      <c r="F1175" s="51" t="str">
        <f t="shared" si="2"/>
        <v/>
      </c>
      <c r="G1175" s="51">
        <f t="shared" si="3"/>
        <v>-0.65</v>
      </c>
      <c r="H1175" s="51">
        <f>IFERROR(__xludf.DUMMYFUNCTION("IFERROR(GOOGLEFINANCE(A1175,""PRICE""),)"),21.5)</f>
        <v>21.5</v>
      </c>
      <c r="I1175" s="52">
        <f>IFERROR(__xludf.DUMMYFUNCTION("IFERROR(GOOGLEFINANCE(A1175,""VOLUME""),)"),65608.0)</f>
        <v>65608</v>
      </c>
      <c r="J1175" s="51" t="str">
        <f>IFERROR(__xludf.DUMMYFUNCTION("IFERROR(INDEX(SPLIT(A1175,"":""),1,2),)"),"RKEC")</f>
        <v>RKEC</v>
      </c>
      <c r="K1175" s="51" t="str">
        <f t="shared" si="4"/>
        <v/>
      </c>
      <c r="L1175" s="51">
        <f t="shared" si="5"/>
        <v>243</v>
      </c>
      <c r="M1175" s="51">
        <f t="shared" si="6"/>
        <v>877</v>
      </c>
      <c r="N1175" s="53">
        <f>IFERROR(__xludf.DUMMYFUNCTION("IFERROR(GOOGLEFINANCE(A1175,""TRADETIME""),)"),46269.64583333333)</f>
        <v>46269.64583</v>
      </c>
      <c r="O1175" s="44"/>
      <c r="P1175" s="44"/>
      <c r="Q1175" s="44"/>
      <c r="R1175" s="44"/>
      <c r="S1175" s="44"/>
      <c r="T1175" s="44"/>
      <c r="U1175" s="44"/>
      <c r="V1175" s="44"/>
      <c r="W1175" s="44"/>
      <c r="X1175" s="44"/>
      <c r="Y1175" s="44"/>
      <c r="Z1175" s="44"/>
    </row>
    <row r="1176" ht="15.75" customHeight="1">
      <c r="A1176" s="48" t="s">
        <v>1222</v>
      </c>
      <c r="B1176" s="48" t="str">
        <f>IFERROR(__xludf.DUMMYFUNCTION("IFERROR(GOOGLEFINANCE(A1176,""NAME""),)"),"Ramkrishna Forgings Ltd")</f>
        <v>Ramkrishna Forgings Ltd</v>
      </c>
      <c r="C1176" s="48">
        <f>IFERROR(__xludf.DUMMYFUNCTION("IFERROR(GOOGLEFINANCE(A1176,""CHANGE""),)"),-24.9)</f>
        <v>-24.9</v>
      </c>
      <c r="D1176" s="48">
        <f>IFERROR(__xludf.DUMMYFUNCTION("IFERROR(GOOGLEFINANCE(A1176,""CHANGEPCT""),)"),-3.43)</f>
        <v>-3.43</v>
      </c>
      <c r="E1176" s="48" t="str">
        <f t="shared" si="1"/>
        <v>-3.43%</v>
      </c>
      <c r="F1176" s="48" t="str">
        <f t="shared" si="2"/>
        <v/>
      </c>
      <c r="G1176" s="48">
        <f t="shared" si="3"/>
        <v>-3.43</v>
      </c>
      <c r="H1176" s="48">
        <f>IFERROR(__xludf.DUMMYFUNCTION("IFERROR(GOOGLEFINANCE(A1176,""PRICE""),)"),701.95)</f>
        <v>701.95</v>
      </c>
      <c r="I1176" s="49">
        <f>IFERROR(__xludf.DUMMYFUNCTION("IFERROR(GOOGLEFINANCE(A1176,""VOLUME""),)"),1116062.0)</f>
        <v>1116062</v>
      </c>
      <c r="J1176" s="48" t="str">
        <f>IFERROR(__xludf.DUMMYFUNCTION("IFERROR(INDEX(SPLIT(A1176,"":""),1,2),)"),"RKFORGE")</f>
        <v>RKFORGE</v>
      </c>
      <c r="K1176" s="48" t="str">
        <f t="shared" si="4"/>
        <v/>
      </c>
      <c r="L1176" s="48">
        <f t="shared" si="5"/>
        <v>605</v>
      </c>
      <c r="M1176" s="48">
        <f t="shared" si="6"/>
        <v>253</v>
      </c>
      <c r="N1176" s="50">
        <f>IFERROR(__xludf.DUMMYFUNCTION("IFERROR(GOOGLEFINANCE(A1176,""TRADETIME""),)"),46269.64583333333)</f>
        <v>46269.64583</v>
      </c>
      <c r="O1176" s="44"/>
      <c r="P1176" s="44"/>
      <c r="Q1176" s="44"/>
      <c r="R1176" s="44"/>
      <c r="S1176" s="44"/>
      <c r="T1176" s="44"/>
      <c r="U1176" s="44"/>
      <c r="V1176" s="44"/>
      <c r="W1176" s="44"/>
      <c r="X1176" s="44"/>
      <c r="Y1176" s="44"/>
      <c r="Z1176" s="44"/>
    </row>
    <row r="1177" ht="15.75" customHeight="1">
      <c r="A1177" s="51" t="s">
        <v>1223</v>
      </c>
      <c r="B1177" s="51" t="str">
        <f>IFERROR(__xludf.DUMMYFUNCTION("IFERROR(GOOGLEFINANCE(A1177,""NAME""),)"),"")</f>
        <v/>
      </c>
      <c r="C1177" s="51" t="str">
        <f>IFERROR(__xludf.DUMMYFUNCTION("IFERROR(GOOGLEFINANCE(A1177,""CHANGE""),)"),"")</f>
        <v/>
      </c>
      <c r="D1177" s="51" t="str">
        <f>IFERROR(__xludf.DUMMYFUNCTION("IFERROR(GOOGLEFINANCE(A1177,""CHANGEPCT""),)"),"")</f>
        <v/>
      </c>
      <c r="E1177" s="51" t="str">
        <f t="shared" si="1"/>
        <v>%</v>
      </c>
      <c r="F1177" s="51" t="str">
        <f t="shared" si="2"/>
        <v/>
      </c>
      <c r="G1177" s="51" t="str">
        <f t="shared" si="3"/>
        <v/>
      </c>
      <c r="H1177" s="51" t="str">
        <f>IFERROR(__xludf.DUMMYFUNCTION("IFERROR(GOOGLEFINANCE(A1177,""PRICE""),)"),"")</f>
        <v/>
      </c>
      <c r="I1177" s="52" t="str">
        <f>IFERROR(__xludf.DUMMYFUNCTION("IFERROR(GOOGLEFINANCE(A1177,""VOLUME""),)"),"")</f>
        <v/>
      </c>
      <c r="J1177" s="51" t="str">
        <f>IFERROR(__xludf.DUMMYFUNCTION("IFERROR(INDEX(SPLIT(A1177,"":""),1,2),)"),"RMCL")</f>
        <v>RMCL</v>
      </c>
      <c r="K1177" s="51" t="str">
        <f t="shared" si="4"/>
        <v/>
      </c>
      <c r="L1177" s="51" t="str">
        <f t="shared" si="5"/>
        <v/>
      </c>
      <c r="M1177" s="51">
        <f t="shared" si="6"/>
        <v>1456</v>
      </c>
      <c r="N1177" s="53" t="str">
        <f>IFERROR(__xludf.DUMMYFUNCTION("IFERROR(GOOGLEFINANCE(A1177,""TRADETIME""),)"),"")</f>
        <v/>
      </c>
      <c r="O1177" s="44"/>
      <c r="P1177" s="44"/>
      <c r="Q1177" s="44"/>
      <c r="R1177" s="44"/>
      <c r="S1177" s="44"/>
      <c r="T1177" s="44"/>
      <c r="U1177" s="44"/>
      <c r="V1177" s="44"/>
      <c r="W1177" s="44"/>
      <c r="X1177" s="44"/>
      <c r="Y1177" s="44"/>
      <c r="Z1177" s="44"/>
    </row>
    <row r="1178" ht="15.75" customHeight="1">
      <c r="A1178" s="48" t="s">
        <v>1224</v>
      </c>
      <c r="B1178" s="48" t="str">
        <f>IFERROR(__xludf.DUMMYFUNCTION("IFERROR(GOOGLEFINANCE(A1178,""NAME""),)"),"Rane (Madras) Ltd")</f>
        <v>Rane (Madras) Ltd</v>
      </c>
      <c r="C1178" s="48">
        <f>IFERROR(__xludf.DUMMYFUNCTION("IFERROR(GOOGLEFINANCE(A1178,""CHANGE""),)"),168.0)</f>
        <v>168</v>
      </c>
      <c r="D1178" s="48">
        <f>IFERROR(__xludf.DUMMYFUNCTION("IFERROR(GOOGLEFINANCE(A1178,""CHANGEPCT""),)"),14.9)</f>
        <v>14.9</v>
      </c>
      <c r="E1178" s="48" t="str">
        <f t="shared" si="1"/>
        <v>14.9%</v>
      </c>
      <c r="F1178" s="48">
        <f t="shared" si="2"/>
        <v>14.9</v>
      </c>
      <c r="G1178" s="48" t="str">
        <f t="shared" si="3"/>
        <v/>
      </c>
      <c r="H1178" s="48">
        <f>IFERROR(__xludf.DUMMYFUNCTION("IFERROR(GOOGLEFINANCE(A1178,""PRICE""),)"),1295.4)</f>
        <v>1295.4</v>
      </c>
      <c r="I1178" s="49">
        <f>IFERROR(__xludf.DUMMYFUNCTION("IFERROR(GOOGLEFINANCE(A1178,""VOLUME""),)"),2195205.0)</f>
        <v>2195205</v>
      </c>
      <c r="J1178" s="48" t="str">
        <f>IFERROR(__xludf.DUMMYFUNCTION("IFERROR(INDEX(SPLIT(A1178,"":""),1,2),)"),"RML")</f>
        <v>RML</v>
      </c>
      <c r="K1178" s="48">
        <f t="shared" si="4"/>
        <v>4</v>
      </c>
      <c r="L1178" s="48" t="str">
        <f t="shared" si="5"/>
        <v/>
      </c>
      <c r="M1178" s="48">
        <f t="shared" si="6"/>
        <v>162</v>
      </c>
      <c r="N1178" s="50">
        <f>IFERROR(__xludf.DUMMYFUNCTION("IFERROR(GOOGLEFINANCE(A1178,""TRADETIME""),)"),46269.64583333333)</f>
        <v>46269.64583</v>
      </c>
      <c r="O1178" s="44"/>
      <c r="P1178" s="44"/>
      <c r="Q1178" s="44"/>
      <c r="R1178" s="44"/>
      <c r="S1178" s="44"/>
      <c r="T1178" s="44"/>
      <c r="U1178" s="44"/>
      <c r="V1178" s="44"/>
      <c r="W1178" s="44"/>
      <c r="X1178" s="44"/>
      <c r="Y1178" s="44"/>
      <c r="Z1178" s="44"/>
    </row>
    <row r="1179" ht="15.75" customHeight="1">
      <c r="A1179" s="51" t="s">
        <v>1225</v>
      </c>
      <c r="B1179" s="51" t="str">
        <f>IFERROR(__xludf.DUMMYFUNCTION("IFERROR(GOOGLEFINANCE(A1179,""NAME""),)"),"")</f>
        <v/>
      </c>
      <c r="C1179" s="51" t="str">
        <f>IFERROR(__xludf.DUMMYFUNCTION("IFERROR(GOOGLEFINANCE(A1179,""CHANGE""),)"),"")</f>
        <v/>
      </c>
      <c r="D1179" s="51" t="str">
        <f>IFERROR(__xludf.DUMMYFUNCTION("IFERROR(GOOGLEFINANCE(A1179,""CHANGEPCT""),)"),"")</f>
        <v/>
      </c>
      <c r="E1179" s="51" t="str">
        <f t="shared" si="1"/>
        <v>%</v>
      </c>
      <c r="F1179" s="51" t="str">
        <f t="shared" si="2"/>
        <v/>
      </c>
      <c r="G1179" s="51" t="str">
        <f t="shared" si="3"/>
        <v/>
      </c>
      <c r="H1179" s="51" t="str">
        <f>IFERROR(__xludf.DUMMYFUNCTION("IFERROR(GOOGLEFINANCE(A1179,""PRICE""),)"),"")</f>
        <v/>
      </c>
      <c r="I1179" s="52" t="str">
        <f>IFERROR(__xludf.DUMMYFUNCTION("IFERROR(GOOGLEFINANCE(A1179,""VOLUME""),)"),"")</f>
        <v/>
      </c>
      <c r="J1179" s="51" t="str">
        <f>IFERROR(__xludf.DUMMYFUNCTION("IFERROR(INDEX(SPLIT(A1179,"":""),1,2),)"),"RNAVAL")</f>
        <v>RNAVAL</v>
      </c>
      <c r="K1179" s="51" t="str">
        <f t="shared" si="4"/>
        <v/>
      </c>
      <c r="L1179" s="51" t="str">
        <f t="shared" si="5"/>
        <v/>
      </c>
      <c r="M1179" s="51">
        <f t="shared" si="6"/>
        <v>1456</v>
      </c>
      <c r="N1179" s="53" t="str">
        <f>IFERROR(__xludf.DUMMYFUNCTION("IFERROR(GOOGLEFINANCE(A1179,""TRADETIME""),)"),"")</f>
        <v/>
      </c>
      <c r="O1179" s="44"/>
      <c r="P1179" s="44"/>
      <c r="Q1179" s="44"/>
      <c r="R1179" s="44"/>
      <c r="S1179" s="44"/>
      <c r="T1179" s="44"/>
      <c r="U1179" s="44"/>
      <c r="V1179" s="44"/>
      <c r="W1179" s="44"/>
      <c r="X1179" s="44"/>
      <c r="Y1179" s="44"/>
      <c r="Z1179" s="44"/>
    </row>
    <row r="1180" ht="15.75" customHeight="1">
      <c r="A1180" s="48" t="s">
        <v>1226</v>
      </c>
      <c r="B1180" s="48" t="str">
        <f>IFERROR(__xludf.DUMMYFUNCTION("IFERROR(GOOGLEFINANCE(A1180,""NAME""),)"),"Royal Orchid Hotels Ltd")</f>
        <v>Royal Orchid Hotels Ltd</v>
      </c>
      <c r="C1180" s="48">
        <f>IFERROR(__xludf.DUMMYFUNCTION("IFERROR(GOOGLEFINANCE(A1180,""CHANGE""),)"),-1.5)</f>
        <v>-1.5</v>
      </c>
      <c r="D1180" s="48">
        <f>IFERROR(__xludf.DUMMYFUNCTION("IFERROR(GOOGLEFINANCE(A1180,""CHANGEPCT""),)"),-0.5)</f>
        <v>-0.5</v>
      </c>
      <c r="E1180" s="48" t="str">
        <f t="shared" si="1"/>
        <v>-0.5%</v>
      </c>
      <c r="F1180" s="48" t="str">
        <f t="shared" si="2"/>
        <v/>
      </c>
      <c r="G1180" s="48">
        <f t="shared" si="3"/>
        <v>-0.5</v>
      </c>
      <c r="H1180" s="48">
        <f>IFERROR(__xludf.DUMMYFUNCTION("IFERROR(GOOGLEFINANCE(A1180,""PRICE""),)"),297.0)</f>
        <v>297</v>
      </c>
      <c r="I1180" s="49">
        <f>IFERROR(__xludf.DUMMYFUNCTION("IFERROR(GOOGLEFINANCE(A1180,""VOLUME""),)"),7153.0)</f>
        <v>7153</v>
      </c>
      <c r="J1180" s="48" t="str">
        <f>IFERROR(__xludf.DUMMYFUNCTION("IFERROR(INDEX(SPLIT(A1180,"":""),1,2),)"),"ROHLTD")</f>
        <v>ROHLTD</v>
      </c>
      <c r="K1180" s="48" t="str">
        <f t="shared" si="4"/>
        <v/>
      </c>
      <c r="L1180" s="48">
        <f t="shared" si="5"/>
        <v>196</v>
      </c>
      <c r="M1180" s="48">
        <f t="shared" si="6"/>
        <v>1284</v>
      </c>
      <c r="N1180" s="50">
        <f>IFERROR(__xludf.DUMMYFUNCTION("IFERROR(GOOGLEFINANCE(A1180,""TRADETIME""),)"),46269.64585648148)</f>
        <v>46269.64586</v>
      </c>
      <c r="O1180" s="44"/>
      <c r="P1180" s="44"/>
      <c r="Q1180" s="44"/>
      <c r="R1180" s="44"/>
      <c r="S1180" s="44"/>
      <c r="T1180" s="44"/>
      <c r="U1180" s="44"/>
      <c r="V1180" s="44"/>
      <c r="W1180" s="44"/>
      <c r="X1180" s="44"/>
      <c r="Y1180" s="44"/>
      <c r="Z1180" s="44"/>
    </row>
    <row r="1181" ht="15.75" customHeight="1">
      <c r="A1181" s="51" t="s">
        <v>1227</v>
      </c>
      <c r="B1181" s="51" t="str">
        <f>IFERROR(__xludf.DUMMYFUNCTION("IFERROR(GOOGLEFINANCE(A1181,""NAME""),)"),"Rollatainers Ltd")</f>
        <v>Rollatainers Ltd</v>
      </c>
      <c r="C1181" s="51">
        <f>IFERROR(__xludf.DUMMYFUNCTION("IFERROR(GOOGLEFINANCE(A1181,""CHANGE""),)"),0.2)</f>
        <v>0.2</v>
      </c>
      <c r="D1181" s="51">
        <f>IFERROR(__xludf.DUMMYFUNCTION("IFERROR(GOOGLEFINANCE(A1181,""CHANGEPCT""),)"),4.8)</f>
        <v>4.8</v>
      </c>
      <c r="E1181" s="51" t="str">
        <f t="shared" si="1"/>
        <v>4.8%</v>
      </c>
      <c r="F1181" s="51">
        <f t="shared" si="2"/>
        <v>4.8</v>
      </c>
      <c r="G1181" s="51" t="str">
        <f t="shared" si="3"/>
        <v/>
      </c>
      <c r="H1181" s="51">
        <f>IFERROR(__xludf.DUMMYFUNCTION("IFERROR(GOOGLEFINANCE(A1181,""PRICE""),)"),4.37)</f>
        <v>4.37</v>
      </c>
      <c r="I1181" s="52">
        <f>IFERROR(__xludf.DUMMYFUNCTION("IFERROR(GOOGLEFINANCE(A1181,""VOLUME""),)"),470102.0)</f>
        <v>470102</v>
      </c>
      <c r="J1181" s="51" t="str">
        <f>IFERROR(__xludf.DUMMYFUNCTION("IFERROR(INDEX(SPLIT(A1181,"":""),1,2),)"),"ROLLT")</f>
        <v>ROLLT</v>
      </c>
      <c r="K1181" s="51">
        <f t="shared" si="4"/>
        <v>86</v>
      </c>
      <c r="L1181" s="51" t="str">
        <f t="shared" si="5"/>
        <v/>
      </c>
      <c r="M1181" s="51">
        <f t="shared" si="6"/>
        <v>411</v>
      </c>
      <c r="N1181" s="53">
        <f>IFERROR(__xludf.DUMMYFUNCTION("IFERROR(GOOGLEFINANCE(A1181,""TRADETIME""),)"),46269.64583333333)</f>
        <v>46269.64583</v>
      </c>
      <c r="O1181" s="44"/>
      <c r="P1181" s="44"/>
      <c r="Q1181" s="44"/>
      <c r="R1181" s="44"/>
      <c r="S1181" s="44"/>
      <c r="T1181" s="44"/>
      <c r="U1181" s="44"/>
      <c r="V1181" s="44"/>
      <c r="W1181" s="44"/>
      <c r="X1181" s="44"/>
      <c r="Y1181" s="44"/>
      <c r="Z1181" s="44"/>
    </row>
    <row r="1182" ht="15.75" customHeight="1">
      <c r="A1182" s="48" t="s">
        <v>1228</v>
      </c>
      <c r="B1182" s="48" t="str">
        <f>IFERROR(__xludf.DUMMYFUNCTION("IFERROR(GOOGLEFINANCE(A1182,""NAME""),)"),"")</f>
        <v/>
      </c>
      <c r="C1182" s="48" t="str">
        <f>IFERROR(__xludf.DUMMYFUNCTION("IFERROR(GOOGLEFINANCE(A1182,""CHANGE""),)"),"")</f>
        <v/>
      </c>
      <c r="D1182" s="48" t="str">
        <f>IFERROR(__xludf.DUMMYFUNCTION("IFERROR(GOOGLEFINANCE(A1182,""CHANGEPCT""),)"),"")</f>
        <v/>
      </c>
      <c r="E1182" s="48" t="str">
        <f t="shared" si="1"/>
        <v>%</v>
      </c>
      <c r="F1182" s="48" t="str">
        <f t="shared" si="2"/>
        <v/>
      </c>
      <c r="G1182" s="48" t="str">
        <f t="shared" si="3"/>
        <v/>
      </c>
      <c r="H1182" s="48" t="str">
        <f>IFERROR(__xludf.DUMMYFUNCTION("IFERROR(GOOGLEFINANCE(A1182,""PRICE""),)"),"")</f>
        <v/>
      </c>
      <c r="I1182" s="49" t="str">
        <f>IFERROR(__xludf.DUMMYFUNCTION("IFERROR(GOOGLEFINANCE(A1182,""VOLUME""),)"),"")</f>
        <v/>
      </c>
      <c r="J1182" s="48" t="str">
        <f>IFERROR(__xludf.DUMMYFUNCTION("IFERROR(INDEX(SPLIT(A1182,"":""),1,2),)"),"ROLTA")</f>
        <v>ROLTA</v>
      </c>
      <c r="K1182" s="48" t="str">
        <f t="shared" si="4"/>
        <v/>
      </c>
      <c r="L1182" s="48" t="str">
        <f t="shared" si="5"/>
        <v/>
      </c>
      <c r="M1182" s="48">
        <f t="shared" si="6"/>
        <v>1456</v>
      </c>
      <c r="N1182" s="50" t="str">
        <f>IFERROR(__xludf.DUMMYFUNCTION("IFERROR(GOOGLEFINANCE(A1182,""TRADETIME""),)"),"")</f>
        <v/>
      </c>
      <c r="O1182" s="44"/>
      <c r="P1182" s="44"/>
      <c r="Q1182" s="44"/>
      <c r="R1182" s="44"/>
      <c r="S1182" s="44"/>
      <c r="T1182" s="44"/>
      <c r="U1182" s="44"/>
      <c r="V1182" s="44"/>
      <c r="W1182" s="44"/>
      <c r="X1182" s="44"/>
      <c r="Y1182" s="44"/>
      <c r="Z1182" s="44"/>
    </row>
    <row r="1183" ht="15.75" customHeight="1">
      <c r="A1183" s="51" t="s">
        <v>1229</v>
      </c>
      <c r="B1183" s="51" t="str">
        <f>IFERROR(__xludf.DUMMYFUNCTION("IFERROR(GOOGLEFINANCE(A1183,""NAME""),)"),"Raj Oil Mills Ltd")</f>
        <v>Raj Oil Mills Ltd</v>
      </c>
      <c r="C1183" s="51">
        <f>IFERROR(__xludf.DUMMYFUNCTION("IFERROR(GOOGLEFINANCE(A1183,""CHANGE""),)"),0.07)</f>
        <v>0.07</v>
      </c>
      <c r="D1183" s="51">
        <f>IFERROR(__xludf.DUMMYFUNCTION("IFERROR(GOOGLEFINANCE(A1183,""CHANGEPCT""),)"),0.17)</f>
        <v>0.17</v>
      </c>
      <c r="E1183" s="51" t="str">
        <f t="shared" si="1"/>
        <v>0.17%</v>
      </c>
      <c r="F1183" s="51">
        <f t="shared" si="2"/>
        <v>0.17</v>
      </c>
      <c r="G1183" s="51" t="str">
        <f t="shared" si="3"/>
        <v/>
      </c>
      <c r="H1183" s="51">
        <f>IFERROR(__xludf.DUMMYFUNCTION("IFERROR(GOOGLEFINANCE(A1183,""PRICE""),)"),42.42)</f>
        <v>42.42</v>
      </c>
      <c r="I1183" s="52">
        <f>IFERROR(__xludf.DUMMYFUNCTION("IFERROR(GOOGLEFINANCE(A1183,""VOLUME""),)"),11538.0)</f>
        <v>11538</v>
      </c>
      <c r="J1183" s="51" t="str">
        <f>IFERROR(__xludf.DUMMYFUNCTION("IFERROR(INDEX(SPLIT(A1183,"":""),1,2),)"),"ROML")</f>
        <v>ROML</v>
      </c>
      <c r="K1183" s="51">
        <f t="shared" si="4"/>
        <v>713</v>
      </c>
      <c r="L1183" s="51" t="str">
        <f t="shared" si="5"/>
        <v/>
      </c>
      <c r="M1183" s="51">
        <f t="shared" si="6"/>
        <v>1212</v>
      </c>
      <c r="N1183" s="53">
        <f>IFERROR(__xludf.DUMMYFUNCTION("IFERROR(GOOGLEFINANCE(A1183,""TRADETIME""),)"),46269.64583333333)</f>
        <v>46269.64583</v>
      </c>
      <c r="O1183" s="44"/>
      <c r="P1183" s="44"/>
      <c r="Q1183" s="44"/>
      <c r="R1183" s="44"/>
      <c r="S1183" s="44"/>
      <c r="T1183" s="44"/>
      <c r="U1183" s="44"/>
      <c r="V1183" s="44"/>
      <c r="W1183" s="44"/>
      <c r="X1183" s="44"/>
      <c r="Y1183" s="44"/>
      <c r="Z1183" s="44"/>
    </row>
    <row r="1184" ht="15.75" customHeight="1">
      <c r="A1184" s="48" t="s">
        <v>1230</v>
      </c>
      <c r="B1184" s="48" t="str">
        <f>IFERROR(__xludf.DUMMYFUNCTION("IFERROR(GOOGLEFINANCE(A1184,""NAME""),)"),"Rossari Biotech Ltd")</f>
        <v>Rossari Biotech Ltd</v>
      </c>
      <c r="C1184" s="48">
        <f>IFERROR(__xludf.DUMMYFUNCTION("IFERROR(GOOGLEFINANCE(A1184,""CHANGE""),)"),4.0)</f>
        <v>4</v>
      </c>
      <c r="D1184" s="48">
        <f>IFERROR(__xludf.DUMMYFUNCTION("IFERROR(GOOGLEFINANCE(A1184,""CHANGEPCT""),)"),0.88)</f>
        <v>0.88</v>
      </c>
      <c r="E1184" s="48" t="str">
        <f t="shared" si="1"/>
        <v>0.88%</v>
      </c>
      <c r="F1184" s="48">
        <f t="shared" si="2"/>
        <v>0.88</v>
      </c>
      <c r="G1184" s="48" t="str">
        <f t="shared" si="3"/>
        <v/>
      </c>
      <c r="H1184" s="48">
        <f>IFERROR(__xludf.DUMMYFUNCTION("IFERROR(GOOGLEFINANCE(A1184,""PRICE""),)"),461.0)</f>
        <v>461</v>
      </c>
      <c r="I1184" s="49">
        <f>IFERROR(__xludf.DUMMYFUNCTION("IFERROR(GOOGLEFINANCE(A1184,""VOLUME""),)"),83247.0)</f>
        <v>83247</v>
      </c>
      <c r="J1184" s="48" t="str">
        <f>IFERROR(__xludf.DUMMYFUNCTION("IFERROR(INDEX(SPLIT(A1184,"":""),1,2),)"),"ROSSARI")</f>
        <v>ROSSARI</v>
      </c>
      <c r="K1184" s="48">
        <f t="shared" si="4"/>
        <v>476</v>
      </c>
      <c r="L1184" s="48" t="str">
        <f t="shared" si="5"/>
        <v/>
      </c>
      <c r="M1184" s="48">
        <f t="shared" si="6"/>
        <v>816</v>
      </c>
      <c r="N1184" s="50">
        <f>IFERROR(__xludf.DUMMYFUNCTION("IFERROR(GOOGLEFINANCE(A1184,""TRADETIME""),)"),46269.64584490741)</f>
        <v>46269.64584</v>
      </c>
      <c r="O1184" s="44"/>
      <c r="P1184" s="44"/>
      <c r="Q1184" s="44"/>
      <c r="R1184" s="44"/>
      <c r="S1184" s="44"/>
      <c r="T1184" s="44"/>
      <c r="U1184" s="44"/>
      <c r="V1184" s="44"/>
      <c r="W1184" s="44"/>
      <c r="X1184" s="44"/>
      <c r="Y1184" s="44"/>
      <c r="Z1184" s="44"/>
    </row>
    <row r="1185" ht="15.75" customHeight="1">
      <c r="A1185" s="51" t="s">
        <v>1231</v>
      </c>
      <c r="B1185" s="51" t="str">
        <f>IFERROR(__xludf.DUMMYFUNCTION("IFERROR(GOOGLEFINANCE(A1185,""NAME""),)"),"Rossell India Ltd")</f>
        <v>Rossell India Ltd</v>
      </c>
      <c r="C1185" s="51">
        <f>IFERROR(__xludf.DUMMYFUNCTION("IFERROR(GOOGLEFINANCE(A1185,""CHANGE""),)"),-0.67)</f>
        <v>-0.67</v>
      </c>
      <c r="D1185" s="51">
        <f>IFERROR(__xludf.DUMMYFUNCTION("IFERROR(GOOGLEFINANCE(A1185,""CHANGEPCT""),)"),-1.16)</f>
        <v>-1.16</v>
      </c>
      <c r="E1185" s="51" t="str">
        <f t="shared" si="1"/>
        <v>-1.16%</v>
      </c>
      <c r="F1185" s="51" t="str">
        <f t="shared" si="2"/>
        <v/>
      </c>
      <c r="G1185" s="51">
        <f t="shared" si="3"/>
        <v>-1.16</v>
      </c>
      <c r="H1185" s="51">
        <f>IFERROR(__xludf.DUMMYFUNCTION("IFERROR(GOOGLEFINANCE(A1185,""PRICE""),)"),57.0)</f>
        <v>57</v>
      </c>
      <c r="I1185" s="52">
        <f>IFERROR(__xludf.DUMMYFUNCTION("IFERROR(GOOGLEFINANCE(A1185,""VOLUME""),)"),77117.0)</f>
        <v>77117</v>
      </c>
      <c r="J1185" s="51" t="str">
        <f>IFERROR(__xludf.DUMMYFUNCTION("IFERROR(INDEX(SPLIT(A1185,"":""),1,2),)"),"ROSSELLIND")</f>
        <v>ROSSELLIND</v>
      </c>
      <c r="K1185" s="51" t="str">
        <f t="shared" si="4"/>
        <v/>
      </c>
      <c r="L1185" s="51">
        <f t="shared" si="5"/>
        <v>372</v>
      </c>
      <c r="M1185" s="51">
        <f t="shared" si="6"/>
        <v>836</v>
      </c>
      <c r="N1185" s="53">
        <f>IFERROR(__xludf.DUMMYFUNCTION("IFERROR(GOOGLEFINANCE(A1185,""TRADETIME""),)"),46269.64583333333)</f>
        <v>46269.64583</v>
      </c>
      <c r="O1185" s="44"/>
      <c r="P1185" s="44"/>
      <c r="Q1185" s="44"/>
      <c r="R1185" s="44"/>
      <c r="S1185" s="44"/>
      <c r="T1185" s="44"/>
      <c r="U1185" s="44"/>
      <c r="V1185" s="44"/>
      <c r="W1185" s="44"/>
      <c r="X1185" s="44"/>
      <c r="Y1185" s="44"/>
      <c r="Z1185" s="44"/>
    </row>
    <row r="1186" ht="15.75" customHeight="1">
      <c r="A1186" s="48" t="s">
        <v>1232</v>
      </c>
      <c r="B1186" s="48" t="str">
        <f>IFERROR(__xludf.DUMMYFUNCTION("IFERROR(GOOGLEFINANCE(A1186,""NAME""),)"),"Route Mobile Ltd")</f>
        <v>Route Mobile Ltd</v>
      </c>
      <c r="C1186" s="48">
        <f>IFERROR(__xludf.DUMMYFUNCTION("IFERROR(GOOGLEFINANCE(A1186,""CHANGE""),)"),-1.85)</f>
        <v>-1.85</v>
      </c>
      <c r="D1186" s="48">
        <f>IFERROR(__xludf.DUMMYFUNCTION("IFERROR(GOOGLEFINANCE(A1186,""CHANGEPCT""),)"),-0.37)</f>
        <v>-0.37</v>
      </c>
      <c r="E1186" s="48" t="str">
        <f t="shared" si="1"/>
        <v>-0.37%</v>
      </c>
      <c r="F1186" s="48" t="str">
        <f t="shared" si="2"/>
        <v/>
      </c>
      <c r="G1186" s="48">
        <f t="shared" si="3"/>
        <v>-0.37</v>
      </c>
      <c r="H1186" s="48">
        <f>IFERROR(__xludf.DUMMYFUNCTION("IFERROR(GOOGLEFINANCE(A1186,""PRICE""),)"),501.8)</f>
        <v>501.8</v>
      </c>
      <c r="I1186" s="49">
        <f>IFERROR(__xludf.DUMMYFUNCTION("IFERROR(GOOGLEFINANCE(A1186,""VOLUME""),)"),76123.0)</f>
        <v>76123</v>
      </c>
      <c r="J1186" s="48" t="str">
        <f>IFERROR(__xludf.DUMMYFUNCTION("IFERROR(INDEX(SPLIT(A1186,"":""),1,2),)"),"ROUTE")</f>
        <v>ROUTE</v>
      </c>
      <c r="K1186" s="48" t="str">
        <f t="shared" si="4"/>
        <v/>
      </c>
      <c r="L1186" s="48">
        <f t="shared" si="5"/>
        <v>144</v>
      </c>
      <c r="M1186" s="48">
        <f t="shared" si="6"/>
        <v>840</v>
      </c>
      <c r="N1186" s="50">
        <f>IFERROR(__xludf.DUMMYFUNCTION("IFERROR(GOOGLEFINANCE(A1186,""TRADETIME""),)"),46269.64584490741)</f>
        <v>46269.64584</v>
      </c>
      <c r="O1186" s="44"/>
      <c r="P1186" s="44"/>
      <c r="Q1186" s="44"/>
      <c r="R1186" s="44"/>
      <c r="S1186" s="44"/>
      <c r="T1186" s="44"/>
      <c r="U1186" s="44"/>
      <c r="V1186" s="44"/>
      <c r="W1186" s="44"/>
      <c r="X1186" s="44"/>
      <c r="Y1186" s="44"/>
      <c r="Z1186" s="44"/>
    </row>
    <row r="1187" ht="15.75" customHeight="1">
      <c r="A1187" s="51" t="s">
        <v>1233</v>
      </c>
      <c r="B1187" s="51" t="str">
        <f>IFERROR(__xludf.DUMMYFUNCTION("IFERROR(GOOGLEFINANCE(A1187,""NAME""),)"),"RPG Life Sciences Ltd")</f>
        <v>RPG Life Sciences Ltd</v>
      </c>
      <c r="C1187" s="51">
        <f>IFERROR(__xludf.DUMMYFUNCTION("IFERROR(GOOGLEFINANCE(A1187,""CHANGE""),)"),67.8)</f>
        <v>67.8</v>
      </c>
      <c r="D1187" s="51">
        <f>IFERROR(__xludf.DUMMYFUNCTION("IFERROR(GOOGLEFINANCE(A1187,""CHANGEPCT""),)"),2.56)</f>
        <v>2.56</v>
      </c>
      <c r="E1187" s="51" t="str">
        <f t="shared" si="1"/>
        <v>2.56%</v>
      </c>
      <c r="F1187" s="51">
        <f t="shared" si="2"/>
        <v>2.56</v>
      </c>
      <c r="G1187" s="51" t="str">
        <f t="shared" si="3"/>
        <v/>
      </c>
      <c r="H1187" s="51">
        <f>IFERROR(__xludf.DUMMYFUNCTION("IFERROR(GOOGLEFINANCE(A1187,""PRICE""),)"),2720.2)</f>
        <v>2720.2</v>
      </c>
      <c r="I1187" s="52">
        <f>IFERROR(__xludf.DUMMYFUNCTION("IFERROR(GOOGLEFINANCE(A1187,""VOLUME""),)"),20463.0)</f>
        <v>20463</v>
      </c>
      <c r="J1187" s="51" t="str">
        <f>IFERROR(__xludf.DUMMYFUNCTION("IFERROR(INDEX(SPLIT(A1187,"":""),1,2),)"),"RPGLIFE")</f>
        <v>RPGLIFE</v>
      </c>
      <c r="K1187" s="51">
        <f t="shared" si="4"/>
        <v>195</v>
      </c>
      <c r="L1187" s="51" t="str">
        <f t="shared" si="5"/>
        <v/>
      </c>
      <c r="M1187" s="51">
        <f t="shared" si="6"/>
        <v>1121</v>
      </c>
      <c r="N1187" s="53">
        <f>IFERROR(__xludf.DUMMYFUNCTION("IFERROR(GOOGLEFINANCE(A1187,""TRADETIME""),)"),46269.64583333333)</f>
        <v>46269.64583</v>
      </c>
      <c r="O1187" s="44"/>
      <c r="P1187" s="44"/>
      <c r="Q1187" s="44"/>
      <c r="R1187" s="44"/>
      <c r="S1187" s="44"/>
      <c r="T1187" s="44"/>
      <c r="U1187" s="44"/>
      <c r="V1187" s="44"/>
      <c r="W1187" s="44"/>
      <c r="X1187" s="44"/>
      <c r="Y1187" s="44"/>
      <c r="Z1187" s="44"/>
    </row>
    <row r="1188" ht="15.75" customHeight="1">
      <c r="A1188" s="48" t="s">
        <v>1234</v>
      </c>
      <c r="B1188" s="48" t="str">
        <f>IFERROR(__xludf.DUMMYFUNCTION("IFERROR(GOOGLEFINANCE(A1188,""NAME""),)"),"Reliance Power Ltd")</f>
        <v>Reliance Power Ltd</v>
      </c>
      <c r="C1188" s="48">
        <f>IFERROR(__xludf.DUMMYFUNCTION("IFERROR(GOOGLEFINANCE(A1188,""CHANGE""),)"),0.14)</f>
        <v>0.14</v>
      </c>
      <c r="D1188" s="48">
        <f>IFERROR(__xludf.DUMMYFUNCTION("IFERROR(GOOGLEFINANCE(A1188,""CHANGEPCT""),)"),0.64)</f>
        <v>0.64</v>
      </c>
      <c r="E1188" s="48" t="str">
        <f t="shared" si="1"/>
        <v>0.64%</v>
      </c>
      <c r="F1188" s="48">
        <f t="shared" si="2"/>
        <v>0.64</v>
      </c>
      <c r="G1188" s="48" t="str">
        <f t="shared" si="3"/>
        <v/>
      </c>
      <c r="H1188" s="48">
        <f>IFERROR(__xludf.DUMMYFUNCTION("IFERROR(GOOGLEFINANCE(A1188,""PRICE""),)"),22.17)</f>
        <v>22.17</v>
      </c>
      <c r="I1188" s="49">
        <f>IFERROR(__xludf.DUMMYFUNCTION("IFERROR(GOOGLEFINANCE(A1188,""VOLUME""),)"),1.3517969E7)</f>
        <v>13517969</v>
      </c>
      <c r="J1188" s="48" t="str">
        <f>IFERROR(__xludf.DUMMYFUNCTION("IFERROR(INDEX(SPLIT(A1188,"":""),1,2),)"),"RPOWER")</f>
        <v>RPOWER</v>
      </c>
      <c r="K1188" s="48">
        <f t="shared" si="4"/>
        <v>550</v>
      </c>
      <c r="L1188" s="48" t="str">
        <f t="shared" si="5"/>
        <v/>
      </c>
      <c r="M1188" s="48">
        <f t="shared" si="6"/>
        <v>33</v>
      </c>
      <c r="N1188" s="50">
        <f>IFERROR(__xludf.DUMMYFUNCTION("IFERROR(GOOGLEFINANCE(A1188,""TRADETIME""),)"),46269.64584490741)</f>
        <v>46269.64584</v>
      </c>
      <c r="O1188" s="44"/>
      <c r="P1188" s="44"/>
      <c r="Q1188" s="44"/>
      <c r="R1188" s="44"/>
      <c r="S1188" s="44"/>
      <c r="T1188" s="44"/>
      <c r="U1188" s="44"/>
      <c r="V1188" s="44"/>
      <c r="W1188" s="44"/>
      <c r="X1188" s="44"/>
      <c r="Y1188" s="44"/>
      <c r="Z1188" s="44"/>
    </row>
    <row r="1189" ht="15.75" customHeight="1">
      <c r="A1189" s="51" t="s">
        <v>1235</v>
      </c>
      <c r="B1189" s="51" t="str">
        <f>IFERROR(__xludf.DUMMYFUNCTION("IFERROR(GOOGLEFINANCE(A1189,""NAME""),)"),"RPP Infra Projects Ltd")</f>
        <v>RPP Infra Projects Ltd</v>
      </c>
      <c r="C1189" s="51">
        <f>IFERROR(__xludf.DUMMYFUNCTION("IFERROR(GOOGLEFINANCE(A1189,""CHANGE""),)"),-1.04)</f>
        <v>-1.04</v>
      </c>
      <c r="D1189" s="51">
        <f>IFERROR(__xludf.DUMMYFUNCTION("IFERROR(GOOGLEFINANCE(A1189,""CHANGEPCT""),)"),-1.89)</f>
        <v>-1.89</v>
      </c>
      <c r="E1189" s="51" t="str">
        <f t="shared" si="1"/>
        <v>-1.89%</v>
      </c>
      <c r="F1189" s="51" t="str">
        <f t="shared" si="2"/>
        <v/>
      </c>
      <c r="G1189" s="51">
        <f t="shared" si="3"/>
        <v>-1.89</v>
      </c>
      <c r="H1189" s="51">
        <f>IFERROR(__xludf.DUMMYFUNCTION("IFERROR(GOOGLEFINANCE(A1189,""PRICE""),)"),54.0)</f>
        <v>54</v>
      </c>
      <c r="I1189" s="52">
        <f>IFERROR(__xludf.DUMMYFUNCTION("IFERROR(GOOGLEFINANCE(A1189,""VOLUME""),)"),32609.0)</f>
        <v>32609</v>
      </c>
      <c r="J1189" s="51" t="str">
        <f>IFERROR(__xludf.DUMMYFUNCTION("IFERROR(INDEX(SPLIT(A1189,"":""),1,2),)"),"RPPINFRA")</f>
        <v>RPPINFRA</v>
      </c>
      <c r="K1189" s="51" t="str">
        <f t="shared" si="4"/>
        <v/>
      </c>
      <c r="L1189" s="51">
        <f t="shared" si="5"/>
        <v>507</v>
      </c>
      <c r="M1189" s="51">
        <f t="shared" si="6"/>
        <v>1038</v>
      </c>
      <c r="N1189" s="53">
        <f>IFERROR(__xludf.DUMMYFUNCTION("IFERROR(GOOGLEFINANCE(A1189,""TRADETIME""),)"),46269.64583333333)</f>
        <v>46269.64583</v>
      </c>
      <c r="O1189" s="44"/>
      <c r="P1189" s="44"/>
      <c r="Q1189" s="44"/>
      <c r="R1189" s="44"/>
      <c r="S1189" s="44"/>
      <c r="T1189" s="44"/>
      <c r="U1189" s="44"/>
      <c r="V1189" s="44"/>
      <c r="W1189" s="44"/>
      <c r="X1189" s="44"/>
      <c r="Y1189" s="44"/>
      <c r="Z1189" s="44"/>
    </row>
    <row r="1190" ht="15.75" customHeight="1">
      <c r="A1190" s="48" t="s">
        <v>1236</v>
      </c>
      <c r="B1190" s="48" t="str">
        <f>IFERROR(__xludf.DUMMYFUNCTION("IFERROR(GOOGLEFINANCE(A1190,""NAME""),)"),"Sangam (India) Ltd")</f>
        <v>Sangam (India) Ltd</v>
      </c>
      <c r="C1190" s="48">
        <f>IFERROR(__xludf.DUMMYFUNCTION("IFERROR(GOOGLEFINANCE(A1190,""CHANGE""),)"),3.15)</f>
        <v>3.15</v>
      </c>
      <c r="D1190" s="48">
        <f>IFERROR(__xludf.DUMMYFUNCTION("IFERROR(GOOGLEFINANCE(A1190,""CHANGEPCT""),)"),0.55)</f>
        <v>0.55</v>
      </c>
      <c r="E1190" s="48" t="str">
        <f t="shared" si="1"/>
        <v>0.55%</v>
      </c>
      <c r="F1190" s="48">
        <f t="shared" si="2"/>
        <v>0.55</v>
      </c>
      <c r="G1190" s="48" t="str">
        <f t="shared" si="3"/>
        <v/>
      </c>
      <c r="H1190" s="48">
        <f>IFERROR(__xludf.DUMMYFUNCTION("IFERROR(GOOGLEFINANCE(A1190,""PRICE""),)"),575.0)</f>
        <v>575</v>
      </c>
      <c r="I1190" s="49">
        <f>IFERROR(__xludf.DUMMYFUNCTION("IFERROR(GOOGLEFINANCE(A1190,""VOLUME""),)"),7685.0)</f>
        <v>7685</v>
      </c>
      <c r="J1190" s="48" t="str">
        <f>IFERROR(__xludf.DUMMYFUNCTION("IFERROR(INDEX(SPLIT(A1190,"":""),1,2),)"),"SANGAMIND")</f>
        <v>SANGAMIND</v>
      </c>
      <c r="K1190" s="48">
        <f t="shared" si="4"/>
        <v>572</v>
      </c>
      <c r="L1190" s="48" t="str">
        <f t="shared" si="5"/>
        <v/>
      </c>
      <c r="M1190" s="48">
        <f t="shared" si="6"/>
        <v>1266</v>
      </c>
      <c r="N1190" s="50">
        <f>IFERROR(__xludf.DUMMYFUNCTION("IFERROR(GOOGLEFINANCE(A1190,""TRADETIME""),)"),46269.64583333333)</f>
        <v>46269.64583</v>
      </c>
      <c r="O1190" s="44"/>
      <c r="P1190" s="44"/>
      <c r="Q1190" s="44"/>
      <c r="R1190" s="44"/>
      <c r="S1190" s="44"/>
      <c r="T1190" s="44"/>
      <c r="U1190" s="44"/>
      <c r="V1190" s="44"/>
      <c r="W1190" s="44"/>
      <c r="X1190" s="44"/>
      <c r="Y1190" s="44"/>
      <c r="Z1190" s="44"/>
    </row>
    <row r="1191" ht="15.75" customHeight="1">
      <c r="A1191" s="51" t="s">
        <v>1237</v>
      </c>
      <c r="B1191" s="51" t="str">
        <f>IFERROR(__xludf.DUMMYFUNCTION("IFERROR(GOOGLEFINANCE(A1191,""NAME""),)"),"RSWM Ltd")</f>
        <v>RSWM Ltd</v>
      </c>
      <c r="C1191" s="51">
        <f>IFERROR(__xludf.DUMMYFUNCTION("IFERROR(GOOGLEFINANCE(A1191,""CHANGE""),)"),2.82)</f>
        <v>2.82</v>
      </c>
      <c r="D1191" s="51">
        <f>IFERROR(__xludf.DUMMYFUNCTION("IFERROR(GOOGLEFINANCE(A1191,""CHANGEPCT""),)"),1.3)</f>
        <v>1.3</v>
      </c>
      <c r="E1191" s="51" t="str">
        <f t="shared" si="1"/>
        <v>1.3%</v>
      </c>
      <c r="F1191" s="51">
        <f t="shared" si="2"/>
        <v>1.3</v>
      </c>
      <c r="G1191" s="51" t="str">
        <f t="shared" si="3"/>
        <v/>
      </c>
      <c r="H1191" s="51">
        <f>IFERROR(__xludf.DUMMYFUNCTION("IFERROR(GOOGLEFINANCE(A1191,""PRICE""),)"),220.1)</f>
        <v>220.1</v>
      </c>
      <c r="I1191" s="52">
        <f>IFERROR(__xludf.DUMMYFUNCTION("IFERROR(GOOGLEFINANCE(A1191,""VOLUME""),)"),67600.0)</f>
        <v>67600</v>
      </c>
      <c r="J1191" s="51" t="str">
        <f>IFERROR(__xludf.DUMMYFUNCTION("IFERROR(INDEX(SPLIT(A1191,"":""),1,2),)"),"RSWM")</f>
        <v>RSWM</v>
      </c>
      <c r="K1191" s="51">
        <f t="shared" si="4"/>
        <v>384</v>
      </c>
      <c r="L1191" s="51" t="str">
        <f t="shared" si="5"/>
        <v/>
      </c>
      <c r="M1191" s="51">
        <f t="shared" si="6"/>
        <v>869</v>
      </c>
      <c r="N1191" s="53">
        <f>IFERROR(__xludf.DUMMYFUNCTION("IFERROR(GOOGLEFINANCE(A1191,""TRADETIME""),)"),46269.64585648148)</f>
        <v>46269.64586</v>
      </c>
      <c r="O1191" s="44"/>
      <c r="P1191" s="44"/>
      <c r="Q1191" s="44"/>
      <c r="R1191" s="44"/>
      <c r="S1191" s="44"/>
      <c r="T1191" s="44"/>
      <c r="U1191" s="44"/>
      <c r="V1191" s="44"/>
      <c r="W1191" s="44"/>
      <c r="X1191" s="44"/>
      <c r="Y1191" s="44"/>
      <c r="Z1191" s="44"/>
    </row>
    <row r="1192" ht="15.75" customHeight="1">
      <c r="A1192" s="48" t="s">
        <v>1238</v>
      </c>
      <c r="B1192" s="48" t="str">
        <f>IFERROR(__xludf.DUMMYFUNCTION("IFERROR(GOOGLEFINANCE(A1192,""NAME""),)"),"R Systems International Ltd")</f>
        <v>R Systems International Ltd</v>
      </c>
      <c r="C1192" s="48">
        <f>IFERROR(__xludf.DUMMYFUNCTION("IFERROR(GOOGLEFINANCE(A1192,""CHANGE""),)"),4.25)</f>
        <v>4.25</v>
      </c>
      <c r="D1192" s="48">
        <f>IFERROR(__xludf.DUMMYFUNCTION("IFERROR(GOOGLEFINANCE(A1192,""CHANGEPCT""),)"),1.68)</f>
        <v>1.68</v>
      </c>
      <c r="E1192" s="48" t="str">
        <f t="shared" si="1"/>
        <v>1.68%</v>
      </c>
      <c r="F1192" s="48">
        <f t="shared" si="2"/>
        <v>1.68</v>
      </c>
      <c r="G1192" s="48" t="str">
        <f t="shared" si="3"/>
        <v/>
      </c>
      <c r="H1192" s="48">
        <f>IFERROR(__xludf.DUMMYFUNCTION("IFERROR(GOOGLEFINANCE(A1192,""PRICE""),)"),256.89)</f>
        <v>256.89</v>
      </c>
      <c r="I1192" s="49">
        <f>IFERROR(__xludf.DUMMYFUNCTION("IFERROR(GOOGLEFINANCE(A1192,""VOLUME""),)"),203978.0)</f>
        <v>203978</v>
      </c>
      <c r="J1192" s="48" t="str">
        <f>IFERROR(__xludf.DUMMYFUNCTION("IFERROR(INDEX(SPLIT(A1192,"":""),1,2),)"),"RSYSTEMS")</f>
        <v>RSYSTEMS</v>
      </c>
      <c r="K1192" s="48">
        <f t="shared" si="4"/>
        <v>313</v>
      </c>
      <c r="L1192" s="48" t="str">
        <f t="shared" si="5"/>
        <v/>
      </c>
      <c r="M1192" s="48">
        <f t="shared" si="6"/>
        <v>622</v>
      </c>
      <c r="N1192" s="50">
        <f>IFERROR(__xludf.DUMMYFUNCTION("IFERROR(GOOGLEFINANCE(A1192,""TRADETIME""),)"),46269.64585648148)</f>
        <v>46269.64586</v>
      </c>
      <c r="O1192" s="44"/>
      <c r="P1192" s="44"/>
      <c r="Q1192" s="44"/>
      <c r="R1192" s="44"/>
      <c r="S1192" s="44"/>
      <c r="T1192" s="44"/>
      <c r="U1192" s="44"/>
      <c r="V1192" s="44"/>
      <c r="W1192" s="44"/>
      <c r="X1192" s="44"/>
      <c r="Y1192" s="44"/>
      <c r="Z1192" s="44"/>
    </row>
    <row r="1193" ht="15.75" customHeight="1">
      <c r="A1193" s="51" t="s">
        <v>1239</v>
      </c>
      <c r="B1193" s="51" t="str">
        <f>IFERROR(__xludf.DUMMYFUNCTION("IFERROR(GOOGLEFINANCE(A1193,""NAME""),)"),"Rattanindia Enterprises Ltd")</f>
        <v>Rattanindia Enterprises Ltd</v>
      </c>
      <c r="C1193" s="51">
        <f>IFERROR(__xludf.DUMMYFUNCTION("IFERROR(GOOGLEFINANCE(A1193,""CHANGE""),)"),0.37)</f>
        <v>0.37</v>
      </c>
      <c r="D1193" s="51">
        <f>IFERROR(__xludf.DUMMYFUNCTION("IFERROR(GOOGLEFINANCE(A1193,""CHANGEPCT""),)"),1.35)</f>
        <v>1.35</v>
      </c>
      <c r="E1193" s="51" t="str">
        <f t="shared" si="1"/>
        <v>1.35%</v>
      </c>
      <c r="F1193" s="51">
        <f t="shared" si="2"/>
        <v>1.35</v>
      </c>
      <c r="G1193" s="51" t="str">
        <f t="shared" si="3"/>
        <v/>
      </c>
      <c r="H1193" s="51">
        <f>IFERROR(__xludf.DUMMYFUNCTION("IFERROR(GOOGLEFINANCE(A1193,""PRICE""),)"),27.8)</f>
        <v>27.8</v>
      </c>
      <c r="I1193" s="52">
        <f>IFERROR(__xludf.DUMMYFUNCTION("IFERROR(GOOGLEFINANCE(A1193,""VOLUME""),)"),1727353.0)</f>
        <v>1727353</v>
      </c>
      <c r="J1193" s="51" t="str">
        <f>IFERROR(__xludf.DUMMYFUNCTION("IFERROR(INDEX(SPLIT(A1193,"":""),1,2),)"),"RTNINDIA")</f>
        <v>RTNINDIA</v>
      </c>
      <c r="K1193" s="51">
        <f t="shared" si="4"/>
        <v>370</v>
      </c>
      <c r="L1193" s="51" t="str">
        <f t="shared" si="5"/>
        <v/>
      </c>
      <c r="M1193" s="51">
        <f t="shared" si="6"/>
        <v>192</v>
      </c>
      <c r="N1193" s="53">
        <f>IFERROR(__xludf.DUMMYFUNCTION("IFERROR(GOOGLEFINANCE(A1193,""TRADETIME""),)"),46269.64583333333)</f>
        <v>46269.64583</v>
      </c>
      <c r="O1193" s="44"/>
      <c r="P1193" s="44"/>
      <c r="Q1193" s="44"/>
      <c r="R1193" s="44"/>
      <c r="S1193" s="44"/>
      <c r="T1193" s="44"/>
      <c r="U1193" s="44"/>
      <c r="V1193" s="44"/>
      <c r="W1193" s="44"/>
      <c r="X1193" s="44"/>
      <c r="Y1193" s="44"/>
      <c r="Z1193" s="44"/>
    </row>
    <row r="1194" ht="15.75" customHeight="1">
      <c r="A1194" s="48" t="s">
        <v>1240</v>
      </c>
      <c r="B1194" s="48" t="str">
        <f>IFERROR(__xludf.DUMMYFUNCTION("IFERROR(GOOGLEFINANCE(A1194,""NAME""),)"),"RattanIndia Power Ltd")</f>
        <v>RattanIndia Power Ltd</v>
      </c>
      <c r="C1194" s="48">
        <f>IFERROR(__xludf.DUMMYFUNCTION("IFERROR(GOOGLEFINANCE(A1194,""CHANGE""),)"),0.13)</f>
        <v>0.13</v>
      </c>
      <c r="D1194" s="48">
        <f>IFERROR(__xludf.DUMMYFUNCTION("IFERROR(GOOGLEFINANCE(A1194,""CHANGEPCT""),)"),1.8)</f>
        <v>1.8</v>
      </c>
      <c r="E1194" s="48" t="str">
        <f t="shared" si="1"/>
        <v>1.8%</v>
      </c>
      <c r="F1194" s="48">
        <f t="shared" si="2"/>
        <v>1.8</v>
      </c>
      <c r="G1194" s="48" t="str">
        <f t="shared" si="3"/>
        <v/>
      </c>
      <c r="H1194" s="48">
        <f>IFERROR(__xludf.DUMMYFUNCTION("IFERROR(GOOGLEFINANCE(A1194,""PRICE""),)"),7.37)</f>
        <v>7.37</v>
      </c>
      <c r="I1194" s="49">
        <f>IFERROR(__xludf.DUMMYFUNCTION("IFERROR(GOOGLEFINANCE(A1194,""VOLUME""),)"),1.3604316E7)</f>
        <v>13604316</v>
      </c>
      <c r="J1194" s="48" t="str">
        <f>IFERROR(__xludf.DUMMYFUNCTION("IFERROR(INDEX(SPLIT(A1194,"":""),1,2),)"),"RTNPOWER")</f>
        <v>RTNPOWER</v>
      </c>
      <c r="K1194" s="48">
        <f t="shared" si="4"/>
        <v>297</v>
      </c>
      <c r="L1194" s="48" t="str">
        <f t="shared" si="5"/>
        <v/>
      </c>
      <c r="M1194" s="48">
        <f t="shared" si="6"/>
        <v>31</v>
      </c>
      <c r="N1194" s="50">
        <f>IFERROR(__xludf.DUMMYFUNCTION("IFERROR(GOOGLEFINANCE(A1194,""TRADETIME""),)"),46269.64584490741)</f>
        <v>46269.64584</v>
      </c>
      <c r="O1194" s="44"/>
      <c r="P1194" s="44"/>
      <c r="Q1194" s="44"/>
      <c r="R1194" s="44"/>
      <c r="S1194" s="44"/>
      <c r="T1194" s="44"/>
      <c r="U1194" s="44"/>
      <c r="V1194" s="44"/>
      <c r="W1194" s="44"/>
      <c r="X1194" s="44"/>
      <c r="Y1194" s="44"/>
      <c r="Z1194" s="44"/>
    </row>
    <row r="1195" ht="15.75" customHeight="1">
      <c r="A1195" s="51" t="s">
        <v>1241</v>
      </c>
      <c r="B1195" s="51" t="str">
        <f>IFERROR(__xludf.DUMMYFUNCTION("IFERROR(GOOGLEFINANCE(A1195,""NAME""),)"),"The Ruby Mills Ltd")</f>
        <v>The Ruby Mills Ltd</v>
      </c>
      <c r="C1195" s="51">
        <f>IFERROR(__xludf.DUMMYFUNCTION("IFERROR(GOOGLEFINANCE(A1195,""CHANGE""),)"),19.95)</f>
        <v>19.95</v>
      </c>
      <c r="D1195" s="51">
        <f>IFERROR(__xludf.DUMMYFUNCTION("IFERROR(GOOGLEFINANCE(A1195,""CHANGEPCT""),)"),4.88)</f>
        <v>4.88</v>
      </c>
      <c r="E1195" s="51" t="str">
        <f t="shared" si="1"/>
        <v>4.88%</v>
      </c>
      <c r="F1195" s="51">
        <f t="shared" si="2"/>
        <v>4.88</v>
      </c>
      <c r="G1195" s="51" t="str">
        <f t="shared" si="3"/>
        <v/>
      </c>
      <c r="H1195" s="51">
        <f>IFERROR(__xludf.DUMMYFUNCTION("IFERROR(GOOGLEFINANCE(A1195,""PRICE""),)"),429.0)</f>
        <v>429</v>
      </c>
      <c r="I1195" s="52">
        <f>IFERROR(__xludf.DUMMYFUNCTION("IFERROR(GOOGLEFINANCE(A1195,""VOLUME""),)"),23319.0)</f>
        <v>23319</v>
      </c>
      <c r="J1195" s="51" t="str">
        <f>IFERROR(__xludf.DUMMYFUNCTION("IFERROR(INDEX(SPLIT(A1195,"":""),1,2),)"),"RUBYMILLS")</f>
        <v>RUBYMILLS</v>
      </c>
      <c r="K1195" s="51">
        <f t="shared" si="4"/>
        <v>81</v>
      </c>
      <c r="L1195" s="51" t="str">
        <f t="shared" si="5"/>
        <v/>
      </c>
      <c r="M1195" s="51">
        <f t="shared" si="6"/>
        <v>1100</v>
      </c>
      <c r="N1195" s="53">
        <f>IFERROR(__xludf.DUMMYFUNCTION("IFERROR(GOOGLEFINANCE(A1195,""TRADETIME""),)"),46269.64583333333)</f>
        <v>46269.64583</v>
      </c>
      <c r="O1195" s="44"/>
      <c r="P1195" s="44"/>
      <c r="Q1195" s="44"/>
      <c r="R1195" s="44"/>
      <c r="S1195" s="44"/>
      <c r="T1195" s="44"/>
      <c r="U1195" s="44"/>
      <c r="V1195" s="44"/>
      <c r="W1195" s="44"/>
      <c r="X1195" s="44"/>
      <c r="Y1195" s="44"/>
      <c r="Z1195" s="44"/>
    </row>
    <row r="1196" ht="15.75" customHeight="1">
      <c r="A1196" s="48" t="s">
        <v>1242</v>
      </c>
      <c r="B1196" s="48" t="str">
        <f>IFERROR(__xludf.DUMMYFUNCTION("IFERROR(GOOGLEFINANCE(A1196,""NAME""),)"),"Patanjali Foods Ltd")</f>
        <v>Patanjali Foods Ltd</v>
      </c>
      <c r="C1196" s="48">
        <f>IFERROR(__xludf.DUMMYFUNCTION("IFERROR(GOOGLEFINANCE(A1196,""CHANGE""),)"),0.4)</f>
        <v>0.4</v>
      </c>
      <c r="D1196" s="48">
        <f>IFERROR(__xludf.DUMMYFUNCTION("IFERROR(GOOGLEFINANCE(A1196,""CHANGEPCT""),)"),0.12)</f>
        <v>0.12</v>
      </c>
      <c r="E1196" s="48" t="str">
        <f t="shared" si="1"/>
        <v>0.12%</v>
      </c>
      <c r="F1196" s="48">
        <f t="shared" si="2"/>
        <v>0.12</v>
      </c>
      <c r="G1196" s="48" t="str">
        <f t="shared" si="3"/>
        <v/>
      </c>
      <c r="H1196" s="48">
        <f>IFERROR(__xludf.DUMMYFUNCTION("IFERROR(GOOGLEFINANCE(A1196,""PRICE""),)"),343.3)</f>
        <v>343.3</v>
      </c>
      <c r="I1196" s="49">
        <f>IFERROR(__xludf.DUMMYFUNCTION("IFERROR(GOOGLEFINANCE(A1196,""VOLUME""),)"),1749871.0)</f>
        <v>1749871</v>
      </c>
      <c r="J1196" s="48" t="str">
        <f>IFERROR(__xludf.DUMMYFUNCTION("IFERROR(INDEX(SPLIT(A1196,"":""),1,2),)"),"PATANJALI")</f>
        <v>PATANJALI</v>
      </c>
      <c r="K1196" s="48">
        <f t="shared" si="4"/>
        <v>734</v>
      </c>
      <c r="L1196" s="48" t="str">
        <f t="shared" si="5"/>
        <v/>
      </c>
      <c r="M1196" s="48">
        <f t="shared" si="6"/>
        <v>189</v>
      </c>
      <c r="N1196" s="50">
        <f>IFERROR(__xludf.DUMMYFUNCTION("IFERROR(GOOGLEFINANCE(A1196,""TRADETIME""),)"),46269.64583333333)</f>
        <v>46269.64583</v>
      </c>
      <c r="O1196" s="44"/>
      <c r="P1196" s="44"/>
      <c r="Q1196" s="44"/>
      <c r="R1196" s="44"/>
      <c r="S1196" s="44"/>
      <c r="T1196" s="44"/>
      <c r="U1196" s="44"/>
      <c r="V1196" s="44"/>
      <c r="W1196" s="44"/>
      <c r="X1196" s="44"/>
      <c r="Y1196" s="44"/>
      <c r="Z1196" s="44"/>
    </row>
    <row r="1197" ht="15.75" customHeight="1">
      <c r="A1197" s="51" t="s">
        <v>1243</v>
      </c>
      <c r="B1197" s="51" t="str">
        <f>IFERROR(__xludf.DUMMYFUNCTION("IFERROR(GOOGLEFINANCE(A1197,""NAME""),)"),"Ruchi Infrastructure Ltd")</f>
        <v>Ruchi Infrastructure Ltd</v>
      </c>
      <c r="C1197" s="51">
        <f>IFERROR(__xludf.DUMMYFUNCTION("IFERROR(GOOGLEFINANCE(A1197,""CHANGE""),)"),-0.29)</f>
        <v>-0.29</v>
      </c>
      <c r="D1197" s="51">
        <f>IFERROR(__xludf.DUMMYFUNCTION("IFERROR(GOOGLEFINANCE(A1197,""CHANGEPCT""),)"),-4.8)</f>
        <v>-4.8</v>
      </c>
      <c r="E1197" s="51" t="str">
        <f t="shared" si="1"/>
        <v>-4.8%</v>
      </c>
      <c r="F1197" s="51" t="str">
        <f t="shared" si="2"/>
        <v/>
      </c>
      <c r="G1197" s="51">
        <f t="shared" si="3"/>
        <v>-4.8</v>
      </c>
      <c r="H1197" s="51">
        <f>IFERROR(__xludf.DUMMYFUNCTION("IFERROR(GOOGLEFINANCE(A1197,""PRICE""),)"),5.75)</f>
        <v>5.75</v>
      </c>
      <c r="I1197" s="52">
        <f>IFERROR(__xludf.DUMMYFUNCTION("IFERROR(GOOGLEFINANCE(A1197,""VOLUME""),)"),367135.0)</f>
        <v>367135</v>
      </c>
      <c r="J1197" s="51" t="str">
        <f>IFERROR(__xludf.DUMMYFUNCTION("IFERROR(INDEX(SPLIT(A1197,"":""),1,2),)"),"RUCHINFRA")</f>
        <v>RUCHINFRA</v>
      </c>
      <c r="K1197" s="51" t="str">
        <f t="shared" si="4"/>
        <v/>
      </c>
      <c r="L1197" s="51">
        <f t="shared" si="5"/>
        <v>636</v>
      </c>
      <c r="M1197" s="51">
        <f t="shared" si="6"/>
        <v>460</v>
      </c>
      <c r="N1197" s="53">
        <f>IFERROR(__xludf.DUMMYFUNCTION("IFERROR(GOOGLEFINANCE(A1197,""TRADETIME""),)"),46269.64583333333)</f>
        <v>46269.64583</v>
      </c>
      <c r="O1197" s="44"/>
      <c r="P1197" s="44"/>
      <c r="Q1197" s="44"/>
      <c r="R1197" s="44"/>
      <c r="S1197" s="44"/>
      <c r="T1197" s="44"/>
      <c r="U1197" s="44"/>
      <c r="V1197" s="44"/>
      <c r="W1197" s="44"/>
      <c r="X1197" s="44"/>
      <c r="Y1197" s="44"/>
      <c r="Z1197" s="44"/>
    </row>
    <row r="1198" ht="15.75" customHeight="1">
      <c r="A1198" s="48" t="s">
        <v>1244</v>
      </c>
      <c r="B1198" s="48" t="str">
        <f>IFERROR(__xludf.DUMMYFUNCTION("IFERROR(GOOGLEFINANCE(A1198,""NAME""),)"),"Ruchira Papers Ltd")</f>
        <v>Ruchira Papers Ltd</v>
      </c>
      <c r="C1198" s="48">
        <f>IFERROR(__xludf.DUMMYFUNCTION("IFERROR(GOOGLEFINANCE(A1198,""CHANGE""),)"),2.6)</f>
        <v>2.6</v>
      </c>
      <c r="D1198" s="48">
        <f>IFERROR(__xludf.DUMMYFUNCTION("IFERROR(GOOGLEFINANCE(A1198,""CHANGEPCT""),)"),2.47)</f>
        <v>2.47</v>
      </c>
      <c r="E1198" s="48" t="str">
        <f t="shared" si="1"/>
        <v>2.47%</v>
      </c>
      <c r="F1198" s="48">
        <f t="shared" si="2"/>
        <v>2.47</v>
      </c>
      <c r="G1198" s="48" t="str">
        <f t="shared" si="3"/>
        <v/>
      </c>
      <c r="H1198" s="48">
        <f>IFERROR(__xludf.DUMMYFUNCTION("IFERROR(GOOGLEFINANCE(A1198,""PRICE""),)"),107.72)</f>
        <v>107.72</v>
      </c>
      <c r="I1198" s="49">
        <f>IFERROR(__xludf.DUMMYFUNCTION("IFERROR(GOOGLEFINANCE(A1198,""VOLUME""),)"),61272.0)</f>
        <v>61272</v>
      </c>
      <c r="J1198" s="48" t="str">
        <f>IFERROR(__xludf.DUMMYFUNCTION("IFERROR(INDEX(SPLIT(A1198,"":""),1,2),)"),"RUCHIRA")</f>
        <v>RUCHIRA</v>
      </c>
      <c r="K1198" s="48">
        <f t="shared" si="4"/>
        <v>210</v>
      </c>
      <c r="L1198" s="48" t="str">
        <f t="shared" si="5"/>
        <v/>
      </c>
      <c r="M1198" s="48">
        <f t="shared" si="6"/>
        <v>898</v>
      </c>
      <c r="N1198" s="50">
        <f>IFERROR(__xludf.DUMMYFUNCTION("IFERROR(GOOGLEFINANCE(A1198,""TRADETIME""),)"),46269.64584490741)</f>
        <v>46269.64584</v>
      </c>
      <c r="O1198" s="44"/>
      <c r="P1198" s="44"/>
      <c r="Q1198" s="44"/>
      <c r="R1198" s="44"/>
      <c r="S1198" s="44"/>
      <c r="T1198" s="44"/>
      <c r="U1198" s="44"/>
      <c r="V1198" s="44"/>
      <c r="W1198" s="44"/>
      <c r="X1198" s="44"/>
      <c r="Y1198" s="44"/>
      <c r="Z1198" s="44"/>
    </row>
    <row r="1199" ht="15.75" customHeight="1">
      <c r="A1199" s="51" t="s">
        <v>1245</v>
      </c>
      <c r="B1199" s="51" t="str">
        <f>IFERROR(__xludf.DUMMYFUNCTION("IFERROR(GOOGLEFINANCE(A1199,""NAME""),)"),"Rupa &amp; Company Ltd")</f>
        <v>Rupa &amp; Company Ltd</v>
      </c>
      <c r="C1199" s="51">
        <f>IFERROR(__xludf.DUMMYFUNCTION("IFERROR(GOOGLEFINANCE(A1199,""CHANGE""),)"),0.38)</f>
        <v>0.38</v>
      </c>
      <c r="D1199" s="51">
        <f>IFERROR(__xludf.DUMMYFUNCTION("IFERROR(GOOGLEFINANCE(A1199,""CHANGEPCT""),)"),0.26)</f>
        <v>0.26</v>
      </c>
      <c r="E1199" s="51" t="str">
        <f t="shared" si="1"/>
        <v>0.26%</v>
      </c>
      <c r="F1199" s="51">
        <f t="shared" si="2"/>
        <v>0.26</v>
      </c>
      <c r="G1199" s="51" t="str">
        <f t="shared" si="3"/>
        <v/>
      </c>
      <c r="H1199" s="51">
        <f>IFERROR(__xludf.DUMMYFUNCTION("IFERROR(GOOGLEFINANCE(A1199,""PRICE""),)"),144.81)</f>
        <v>144.81</v>
      </c>
      <c r="I1199" s="52">
        <f>IFERROR(__xludf.DUMMYFUNCTION("IFERROR(GOOGLEFINANCE(A1199,""VOLUME""),)"),81141.0)</f>
        <v>81141</v>
      </c>
      <c r="J1199" s="51" t="str">
        <f>IFERROR(__xludf.DUMMYFUNCTION("IFERROR(INDEX(SPLIT(A1199,"":""),1,2),)"),"RUPA")</f>
        <v>RUPA</v>
      </c>
      <c r="K1199" s="51">
        <f t="shared" si="4"/>
        <v>675</v>
      </c>
      <c r="L1199" s="51" t="str">
        <f t="shared" si="5"/>
        <v/>
      </c>
      <c r="M1199" s="51">
        <f t="shared" si="6"/>
        <v>822</v>
      </c>
      <c r="N1199" s="53">
        <f>IFERROR(__xludf.DUMMYFUNCTION("IFERROR(GOOGLEFINANCE(A1199,""TRADETIME""),)"),46269.64583333333)</f>
        <v>46269.64583</v>
      </c>
      <c r="O1199" s="44"/>
      <c r="P1199" s="44"/>
      <c r="Q1199" s="44"/>
      <c r="R1199" s="44"/>
      <c r="S1199" s="44"/>
      <c r="T1199" s="44"/>
      <c r="U1199" s="44"/>
      <c r="V1199" s="44"/>
      <c r="W1199" s="44"/>
      <c r="X1199" s="44"/>
      <c r="Y1199" s="44"/>
      <c r="Z1199" s="44"/>
    </row>
    <row r="1200" ht="15.75" customHeight="1">
      <c r="A1200" s="48" t="s">
        <v>1246</v>
      </c>
      <c r="B1200" s="48" t="str">
        <f>IFERROR(__xludf.DUMMYFUNCTION("IFERROR(GOOGLEFINANCE(A1200,""NAME""),)"),"Rushil Decor Ltd")</f>
        <v>Rushil Decor Ltd</v>
      </c>
      <c r="C1200" s="48">
        <f>IFERROR(__xludf.DUMMYFUNCTION("IFERROR(GOOGLEFINANCE(A1200,""CHANGE""),)"),-0.2)</f>
        <v>-0.2</v>
      </c>
      <c r="D1200" s="48">
        <f>IFERROR(__xludf.DUMMYFUNCTION("IFERROR(GOOGLEFINANCE(A1200,""CHANGEPCT""),)"),-1.24)</f>
        <v>-1.24</v>
      </c>
      <c r="E1200" s="48" t="str">
        <f t="shared" si="1"/>
        <v>-1.24%</v>
      </c>
      <c r="F1200" s="48" t="str">
        <f t="shared" si="2"/>
        <v/>
      </c>
      <c r="G1200" s="48">
        <f t="shared" si="3"/>
        <v>-1.24</v>
      </c>
      <c r="H1200" s="48">
        <f>IFERROR(__xludf.DUMMYFUNCTION("IFERROR(GOOGLEFINANCE(A1200,""PRICE""),)"),15.98)</f>
        <v>15.98</v>
      </c>
      <c r="I1200" s="49">
        <f>IFERROR(__xludf.DUMMYFUNCTION("IFERROR(GOOGLEFINANCE(A1200,""VOLUME""),)"),247963.0)</f>
        <v>247963</v>
      </c>
      <c r="J1200" s="48" t="str">
        <f>IFERROR(__xludf.DUMMYFUNCTION("IFERROR(INDEX(SPLIT(A1200,"":""),1,2),)"),"RUSHIL")</f>
        <v>RUSHIL</v>
      </c>
      <c r="K1200" s="48" t="str">
        <f t="shared" si="4"/>
        <v/>
      </c>
      <c r="L1200" s="48">
        <f t="shared" si="5"/>
        <v>385</v>
      </c>
      <c r="M1200" s="48">
        <f t="shared" si="6"/>
        <v>570</v>
      </c>
      <c r="N1200" s="50">
        <f>IFERROR(__xludf.DUMMYFUNCTION("IFERROR(GOOGLEFINANCE(A1200,""TRADETIME""),)"),46269.64583333333)</f>
        <v>46269.64583</v>
      </c>
      <c r="O1200" s="44"/>
      <c r="P1200" s="44"/>
      <c r="Q1200" s="44"/>
      <c r="R1200" s="44"/>
      <c r="S1200" s="44"/>
      <c r="T1200" s="44"/>
      <c r="U1200" s="44"/>
      <c r="V1200" s="44"/>
      <c r="W1200" s="44"/>
      <c r="X1200" s="44"/>
      <c r="Y1200" s="44"/>
      <c r="Z1200" s="44"/>
    </row>
    <row r="1201" ht="15.75" customHeight="1">
      <c r="A1201" s="51" t="s">
        <v>1247</v>
      </c>
      <c r="B1201" s="51" t="str">
        <f>IFERROR(__xludf.DUMMYFUNCTION("IFERROR(GOOGLEFINANCE(A1201,""NAME""),)"),"Ravinder Heights Ltd")</f>
        <v>Ravinder Heights Ltd</v>
      </c>
      <c r="C1201" s="51">
        <f>IFERROR(__xludf.DUMMYFUNCTION("IFERROR(GOOGLEFINANCE(A1201,""CHANGE""),)"),0.91)</f>
        <v>0.91</v>
      </c>
      <c r="D1201" s="51">
        <f>IFERROR(__xludf.DUMMYFUNCTION("IFERROR(GOOGLEFINANCE(A1201,""CHANGEPCT""),)"),2.33)</f>
        <v>2.33</v>
      </c>
      <c r="E1201" s="51" t="str">
        <f t="shared" si="1"/>
        <v>2.33%</v>
      </c>
      <c r="F1201" s="51">
        <f t="shared" si="2"/>
        <v>2.33</v>
      </c>
      <c r="G1201" s="51" t="str">
        <f t="shared" si="3"/>
        <v/>
      </c>
      <c r="H1201" s="51">
        <f>IFERROR(__xludf.DUMMYFUNCTION("IFERROR(GOOGLEFINANCE(A1201,""PRICE""),)"),40.0)</f>
        <v>40</v>
      </c>
      <c r="I1201" s="52">
        <f>IFERROR(__xludf.DUMMYFUNCTION("IFERROR(GOOGLEFINANCE(A1201,""VOLUME""),)"),8503.0)</f>
        <v>8503</v>
      </c>
      <c r="J1201" s="51" t="str">
        <f>IFERROR(__xludf.DUMMYFUNCTION("IFERROR(INDEX(SPLIT(A1201,"":""),1,2),)"),"RVHL")</f>
        <v>RVHL</v>
      </c>
      <c r="K1201" s="51">
        <f t="shared" si="4"/>
        <v>222</v>
      </c>
      <c r="L1201" s="51" t="str">
        <f t="shared" si="5"/>
        <v/>
      </c>
      <c r="M1201" s="51">
        <f t="shared" si="6"/>
        <v>1252</v>
      </c>
      <c r="N1201" s="53">
        <f>IFERROR(__xludf.DUMMYFUNCTION("IFERROR(GOOGLEFINANCE(A1201,""TRADETIME""),)"),46269.64583333333)</f>
        <v>46269.64583</v>
      </c>
      <c r="O1201" s="44"/>
      <c r="P1201" s="44"/>
      <c r="Q1201" s="44"/>
      <c r="R1201" s="44"/>
      <c r="S1201" s="44"/>
      <c r="T1201" s="44"/>
      <c r="U1201" s="44"/>
      <c r="V1201" s="44"/>
      <c r="W1201" s="44"/>
      <c r="X1201" s="44"/>
      <c r="Y1201" s="44"/>
      <c r="Z1201" s="44"/>
    </row>
    <row r="1202" ht="15.75" customHeight="1">
      <c r="A1202" s="48" t="s">
        <v>1248</v>
      </c>
      <c r="B1202" s="48" t="str">
        <f>IFERROR(__xludf.DUMMYFUNCTION("IFERROR(GOOGLEFINANCE(A1202,""NAME""),)"),"Rail Vikas Nigam Ltd")</f>
        <v>Rail Vikas Nigam Ltd</v>
      </c>
      <c r="C1202" s="48">
        <f>IFERROR(__xludf.DUMMYFUNCTION("IFERROR(GOOGLEFINANCE(A1202,""CHANGE""),)"),3.19)</f>
        <v>3.19</v>
      </c>
      <c r="D1202" s="48">
        <f>IFERROR(__xludf.DUMMYFUNCTION("IFERROR(GOOGLEFINANCE(A1202,""CHANGEPCT""),)"),1.52)</f>
        <v>1.52</v>
      </c>
      <c r="E1202" s="48" t="str">
        <f t="shared" si="1"/>
        <v>1.52%</v>
      </c>
      <c r="F1202" s="48">
        <f t="shared" si="2"/>
        <v>1.52</v>
      </c>
      <c r="G1202" s="48" t="str">
        <f t="shared" si="3"/>
        <v/>
      </c>
      <c r="H1202" s="48">
        <f>IFERROR(__xludf.DUMMYFUNCTION("IFERROR(GOOGLEFINANCE(A1202,""PRICE""),)"),212.49)</f>
        <v>212.49</v>
      </c>
      <c r="I1202" s="49">
        <f>IFERROR(__xludf.DUMMYFUNCTION("IFERROR(GOOGLEFINANCE(A1202,""VOLUME""),)"),6287421.0)</f>
        <v>6287421</v>
      </c>
      <c r="J1202" s="48" t="str">
        <f>IFERROR(__xludf.DUMMYFUNCTION("IFERROR(INDEX(SPLIT(A1202,"":""),1,2),)"),"RVNL")</f>
        <v>RVNL</v>
      </c>
      <c r="K1202" s="48">
        <f t="shared" si="4"/>
        <v>342</v>
      </c>
      <c r="L1202" s="48" t="str">
        <f t="shared" si="5"/>
        <v/>
      </c>
      <c r="M1202" s="48">
        <f t="shared" si="6"/>
        <v>70</v>
      </c>
      <c r="N1202" s="50">
        <f>IFERROR(__xludf.DUMMYFUNCTION("IFERROR(GOOGLEFINANCE(A1202,""TRADETIME""),)"),46269.64583333333)</f>
        <v>46269.64583</v>
      </c>
      <c r="O1202" s="44"/>
      <c r="P1202" s="44"/>
      <c r="Q1202" s="44"/>
      <c r="R1202" s="44"/>
      <c r="S1202" s="44"/>
      <c r="T1202" s="44"/>
      <c r="U1202" s="44"/>
      <c r="V1202" s="44"/>
      <c r="W1202" s="44"/>
      <c r="X1202" s="44"/>
      <c r="Y1202" s="44"/>
      <c r="Z1202" s="44"/>
    </row>
    <row r="1203" ht="15.75" customHeight="1">
      <c r="A1203" s="51" t="s">
        <v>1249</v>
      </c>
      <c r="B1203" s="51" t="str">
        <f>IFERROR(__xludf.DUMMYFUNCTION("IFERROR(GOOGLEFINANCE(A1203,""NAME""),)"),"S &amp; S Power Switchgear Ltd")</f>
        <v>S &amp; S Power Switchgear Ltd</v>
      </c>
      <c r="C1203" s="51">
        <f>IFERROR(__xludf.DUMMYFUNCTION("IFERROR(GOOGLEFINANCE(A1203,""CHANGE""),)"),7.95)</f>
        <v>7.95</v>
      </c>
      <c r="D1203" s="51">
        <f>IFERROR(__xludf.DUMMYFUNCTION("IFERROR(GOOGLEFINANCE(A1203,""CHANGEPCT""),)"),2.49)</f>
        <v>2.49</v>
      </c>
      <c r="E1203" s="51" t="str">
        <f t="shared" si="1"/>
        <v>2.49%</v>
      </c>
      <c r="F1203" s="51">
        <f t="shared" si="2"/>
        <v>2.49</v>
      </c>
      <c r="G1203" s="51" t="str">
        <f t="shared" si="3"/>
        <v/>
      </c>
      <c r="H1203" s="51">
        <f>IFERROR(__xludf.DUMMYFUNCTION("IFERROR(GOOGLEFINANCE(A1203,""PRICE""),)"),327.8)</f>
        <v>327.8</v>
      </c>
      <c r="I1203" s="52">
        <f>IFERROR(__xludf.DUMMYFUNCTION("IFERROR(GOOGLEFINANCE(A1203,""VOLUME""),)"),1826.0)</f>
        <v>1826</v>
      </c>
      <c r="J1203" s="51" t="str">
        <f>IFERROR(__xludf.DUMMYFUNCTION("IFERROR(INDEX(SPLIT(A1203,"":""),1,2),)"),"S&amp;SPOWER")</f>
        <v>S&amp;SPOWER</v>
      </c>
      <c r="K1203" s="51">
        <f t="shared" si="4"/>
        <v>204</v>
      </c>
      <c r="L1203" s="51" t="str">
        <f t="shared" si="5"/>
        <v/>
      </c>
      <c r="M1203" s="51">
        <f t="shared" si="6"/>
        <v>1399</v>
      </c>
      <c r="N1203" s="53">
        <f>IFERROR(__xludf.DUMMYFUNCTION("IFERROR(GOOGLEFINANCE(A1203,""TRADETIME""),)"),46269.64583333333)</f>
        <v>46269.64583</v>
      </c>
      <c r="O1203" s="44"/>
      <c r="P1203" s="44"/>
      <c r="Q1203" s="44"/>
      <c r="R1203" s="44"/>
      <c r="S1203" s="44"/>
      <c r="T1203" s="44"/>
      <c r="U1203" s="44"/>
      <c r="V1203" s="44"/>
      <c r="W1203" s="44"/>
      <c r="X1203" s="44"/>
      <c r="Y1203" s="44"/>
      <c r="Z1203" s="44"/>
    </row>
    <row r="1204" ht="15.75" customHeight="1">
      <c r="A1204" s="48" t="s">
        <v>1250</v>
      </c>
      <c r="B1204" s="48" t="str">
        <f>IFERROR(__xludf.DUMMYFUNCTION("IFERROR(GOOGLEFINANCE(A1204,""NAME""),)"),"")</f>
        <v/>
      </c>
      <c r="C1204" s="48" t="str">
        <f>IFERROR(__xludf.DUMMYFUNCTION("IFERROR(GOOGLEFINANCE(A1204,""CHANGE""),)"),"")</f>
        <v/>
      </c>
      <c r="D1204" s="48" t="str">
        <f>IFERROR(__xludf.DUMMYFUNCTION("IFERROR(GOOGLEFINANCE(A1204,""CHANGEPCT""),)"),"")</f>
        <v/>
      </c>
      <c r="E1204" s="48" t="str">
        <f t="shared" si="1"/>
        <v>%</v>
      </c>
      <c r="F1204" s="48" t="str">
        <f t="shared" si="2"/>
        <v/>
      </c>
      <c r="G1204" s="48" t="str">
        <f t="shared" si="3"/>
        <v/>
      </c>
      <c r="H1204" s="48" t="str">
        <f>IFERROR(__xludf.DUMMYFUNCTION("IFERROR(GOOGLEFINANCE(A1204,""PRICE""),)"),"")</f>
        <v/>
      </c>
      <c r="I1204" s="49" t="str">
        <f>IFERROR(__xludf.DUMMYFUNCTION("IFERROR(GOOGLEFINANCE(A1204,""VOLUME""),)"),"")</f>
        <v/>
      </c>
      <c r="J1204" s="48" t="str">
        <f>IFERROR(__xludf.DUMMYFUNCTION("IFERROR(INDEX(SPLIT(A1204,"":""),1,2),)"),"SABEVENTS")</f>
        <v>SABEVENTS</v>
      </c>
      <c r="K1204" s="48" t="str">
        <f t="shared" si="4"/>
        <v/>
      </c>
      <c r="L1204" s="48" t="str">
        <f t="shared" si="5"/>
        <v/>
      </c>
      <c r="M1204" s="48">
        <f t="shared" si="6"/>
        <v>1456</v>
      </c>
      <c r="N1204" s="50" t="str">
        <f>IFERROR(__xludf.DUMMYFUNCTION("IFERROR(GOOGLEFINANCE(A1204,""TRADETIME""),)"),"")</f>
        <v/>
      </c>
      <c r="O1204" s="44"/>
      <c r="P1204" s="44"/>
      <c r="Q1204" s="44"/>
      <c r="R1204" s="44"/>
      <c r="S1204" s="44"/>
      <c r="T1204" s="44"/>
      <c r="U1204" s="44"/>
      <c r="V1204" s="44"/>
      <c r="W1204" s="44"/>
      <c r="X1204" s="44"/>
      <c r="Y1204" s="44"/>
      <c r="Z1204" s="44"/>
    </row>
    <row r="1205" ht="15.75" customHeight="1">
      <c r="A1205" s="51" t="s">
        <v>1251</v>
      </c>
      <c r="B1205" s="51" t="str">
        <f>IFERROR(__xludf.DUMMYFUNCTION("IFERROR(GOOGLEFINANCE(A1205,""NAME""),)"),"")</f>
        <v/>
      </c>
      <c r="C1205" s="51" t="str">
        <f>IFERROR(__xludf.DUMMYFUNCTION("IFERROR(GOOGLEFINANCE(A1205,""CHANGE""),)"),"")</f>
        <v/>
      </c>
      <c r="D1205" s="51" t="str">
        <f>IFERROR(__xludf.DUMMYFUNCTION("IFERROR(GOOGLEFINANCE(A1205,""CHANGEPCT""),)"),"")</f>
        <v/>
      </c>
      <c r="E1205" s="51" t="str">
        <f t="shared" si="1"/>
        <v>%</v>
      </c>
      <c r="F1205" s="51" t="str">
        <f t="shared" si="2"/>
        <v/>
      </c>
      <c r="G1205" s="51" t="str">
        <f t="shared" si="3"/>
        <v/>
      </c>
      <c r="H1205" s="51" t="str">
        <f>IFERROR(__xludf.DUMMYFUNCTION("IFERROR(GOOGLEFINANCE(A1205,""PRICE""),)"),"")</f>
        <v/>
      </c>
      <c r="I1205" s="52" t="str">
        <f>IFERROR(__xludf.DUMMYFUNCTION("IFERROR(GOOGLEFINANCE(A1205,""VOLUME""),)"),"")</f>
        <v/>
      </c>
      <c r="J1205" s="51" t="str">
        <f>IFERROR(__xludf.DUMMYFUNCTION("IFERROR(INDEX(SPLIT(A1205,"":""),1,2),)"),"SABTN")</f>
        <v>SABTN</v>
      </c>
      <c r="K1205" s="51" t="str">
        <f t="shared" si="4"/>
        <v/>
      </c>
      <c r="L1205" s="51" t="str">
        <f t="shared" si="5"/>
        <v/>
      </c>
      <c r="M1205" s="51">
        <f t="shared" si="6"/>
        <v>1456</v>
      </c>
      <c r="N1205" s="53" t="str">
        <f>IFERROR(__xludf.DUMMYFUNCTION("IFERROR(GOOGLEFINANCE(A1205,""TRADETIME""),)"),"")</f>
        <v/>
      </c>
      <c r="O1205" s="44"/>
      <c r="P1205" s="44"/>
      <c r="Q1205" s="44"/>
      <c r="R1205" s="44"/>
      <c r="S1205" s="44"/>
      <c r="T1205" s="44"/>
      <c r="U1205" s="44"/>
      <c r="V1205" s="44"/>
      <c r="W1205" s="44"/>
      <c r="X1205" s="44"/>
      <c r="Y1205" s="44"/>
      <c r="Z1205" s="44"/>
    </row>
    <row r="1206" ht="15.75" customHeight="1">
      <c r="A1206" s="48" t="s">
        <v>1252</v>
      </c>
      <c r="B1206" s="48" t="str">
        <f>IFERROR(__xludf.DUMMYFUNCTION("IFERROR(GOOGLEFINANCE(A1206,""NAME""),)"),"Sadbhav Engineering Ltd")</f>
        <v>Sadbhav Engineering Ltd</v>
      </c>
      <c r="C1206" s="48">
        <f>IFERROR(__xludf.DUMMYFUNCTION("IFERROR(GOOGLEFINANCE(A1206,""CHANGE""),)"),0.2)</f>
        <v>0.2</v>
      </c>
      <c r="D1206" s="48">
        <f>IFERROR(__xludf.DUMMYFUNCTION("IFERROR(GOOGLEFINANCE(A1206,""CHANGEPCT""),)"),2.49)</f>
        <v>2.49</v>
      </c>
      <c r="E1206" s="48" t="str">
        <f t="shared" si="1"/>
        <v>2.49%</v>
      </c>
      <c r="F1206" s="48">
        <f t="shared" si="2"/>
        <v>2.49</v>
      </c>
      <c r="G1206" s="48" t="str">
        <f t="shared" si="3"/>
        <v/>
      </c>
      <c r="H1206" s="48">
        <f>IFERROR(__xludf.DUMMYFUNCTION("IFERROR(GOOGLEFINANCE(A1206,""PRICE""),)"),8.23)</f>
        <v>8.23</v>
      </c>
      <c r="I1206" s="49">
        <f>IFERROR(__xludf.DUMMYFUNCTION("IFERROR(GOOGLEFINANCE(A1206,""VOLUME""),)"),131919.0)</f>
        <v>131919</v>
      </c>
      <c r="J1206" s="48" t="str">
        <f>IFERROR(__xludf.DUMMYFUNCTION("IFERROR(INDEX(SPLIT(A1206,"":""),1,2),)"),"SADBHAV")</f>
        <v>SADBHAV</v>
      </c>
      <c r="K1206" s="48">
        <f t="shared" si="4"/>
        <v>205</v>
      </c>
      <c r="L1206" s="48" t="str">
        <f t="shared" si="5"/>
        <v/>
      </c>
      <c r="M1206" s="48">
        <f t="shared" si="6"/>
        <v>716</v>
      </c>
      <c r="N1206" s="50">
        <f>IFERROR(__xludf.DUMMYFUNCTION("IFERROR(GOOGLEFINANCE(A1206,""TRADETIME""),)"),46269.64583333333)</f>
        <v>46269.64583</v>
      </c>
      <c r="O1206" s="44"/>
      <c r="P1206" s="44"/>
      <c r="Q1206" s="44"/>
      <c r="R1206" s="44"/>
      <c r="S1206" s="44"/>
      <c r="T1206" s="44"/>
      <c r="U1206" s="44"/>
      <c r="V1206" s="44"/>
      <c r="W1206" s="44"/>
      <c r="X1206" s="44"/>
      <c r="Y1206" s="44"/>
      <c r="Z1206" s="44"/>
    </row>
    <row r="1207" ht="15.75" customHeight="1">
      <c r="A1207" s="51" t="s">
        <v>1253</v>
      </c>
      <c r="B1207" s="51" t="str">
        <f>IFERROR(__xludf.DUMMYFUNCTION("IFERROR(GOOGLEFINANCE(A1207,""NAME""),)"),"Sadbhav Infrastructure Projects Ltd")</f>
        <v>Sadbhav Infrastructure Projects Ltd</v>
      </c>
      <c r="C1207" s="51">
        <f>IFERROR(__xludf.DUMMYFUNCTION("IFERROR(GOOGLEFINANCE(A1207,""CHANGE""),)"),0.03)</f>
        <v>0.03</v>
      </c>
      <c r="D1207" s="51">
        <f>IFERROR(__xludf.DUMMYFUNCTION("IFERROR(GOOGLEFINANCE(A1207,""CHANGEPCT""),)"),1.19)</f>
        <v>1.19</v>
      </c>
      <c r="E1207" s="51" t="str">
        <f t="shared" si="1"/>
        <v>1.19%</v>
      </c>
      <c r="F1207" s="51">
        <f t="shared" si="2"/>
        <v>1.19</v>
      </c>
      <c r="G1207" s="51" t="str">
        <f t="shared" si="3"/>
        <v/>
      </c>
      <c r="H1207" s="51">
        <f>IFERROR(__xludf.DUMMYFUNCTION("IFERROR(GOOGLEFINANCE(A1207,""PRICE""),)"),2.56)</f>
        <v>2.56</v>
      </c>
      <c r="I1207" s="52">
        <f>IFERROR(__xludf.DUMMYFUNCTION("IFERROR(GOOGLEFINANCE(A1207,""VOLUME""),)"),60912.0)</f>
        <v>60912</v>
      </c>
      <c r="J1207" s="51" t="str">
        <f>IFERROR(__xludf.DUMMYFUNCTION("IFERROR(INDEX(SPLIT(A1207,"":""),1,2),)"),"SADBHIN")</f>
        <v>SADBHIN</v>
      </c>
      <c r="K1207" s="51">
        <f t="shared" si="4"/>
        <v>411</v>
      </c>
      <c r="L1207" s="51" t="str">
        <f t="shared" si="5"/>
        <v/>
      </c>
      <c r="M1207" s="51">
        <f t="shared" si="6"/>
        <v>899</v>
      </c>
      <c r="N1207" s="53">
        <f>IFERROR(__xludf.DUMMYFUNCTION("IFERROR(GOOGLEFINANCE(A1207,""TRADETIME""),)"),46269.64583333333)</f>
        <v>46269.64583</v>
      </c>
      <c r="O1207" s="44"/>
      <c r="P1207" s="44"/>
      <c r="Q1207" s="44"/>
      <c r="R1207" s="44"/>
      <c r="S1207" s="44"/>
      <c r="T1207" s="44"/>
      <c r="U1207" s="44"/>
      <c r="V1207" s="44"/>
      <c r="W1207" s="44"/>
      <c r="X1207" s="44"/>
      <c r="Y1207" s="44"/>
      <c r="Z1207" s="44"/>
    </row>
    <row r="1208" ht="15.75" customHeight="1">
      <c r="A1208" s="48" t="s">
        <v>1254</v>
      </c>
      <c r="B1208" s="48" t="str">
        <f>IFERROR(__xludf.DUMMYFUNCTION("IFERROR(GOOGLEFINANCE(A1208,""NAME""),)"),"Shakti Pumps (India) Ltd")</f>
        <v>Shakti Pumps (India) Ltd</v>
      </c>
      <c r="C1208" s="48">
        <f>IFERROR(__xludf.DUMMYFUNCTION("IFERROR(GOOGLEFINANCE(A1208,""CHANGE""),)"),1.8)</f>
        <v>1.8</v>
      </c>
      <c r="D1208" s="48">
        <f>IFERROR(__xludf.DUMMYFUNCTION("IFERROR(GOOGLEFINANCE(A1208,""CHANGEPCT""),)"),0.38)</f>
        <v>0.38</v>
      </c>
      <c r="E1208" s="48" t="str">
        <f t="shared" si="1"/>
        <v>0.38%</v>
      </c>
      <c r="F1208" s="48">
        <f t="shared" si="2"/>
        <v>0.38</v>
      </c>
      <c r="G1208" s="48" t="str">
        <f t="shared" si="3"/>
        <v/>
      </c>
      <c r="H1208" s="48">
        <f>IFERROR(__xludf.DUMMYFUNCTION("IFERROR(GOOGLEFINANCE(A1208,""PRICE""),)"),474.0)</f>
        <v>474</v>
      </c>
      <c r="I1208" s="49">
        <f>IFERROR(__xludf.DUMMYFUNCTION("IFERROR(GOOGLEFINANCE(A1208,""VOLUME""),)"),419668.0)</f>
        <v>419668</v>
      </c>
      <c r="J1208" s="48" t="str">
        <f>IFERROR(__xludf.DUMMYFUNCTION("IFERROR(INDEX(SPLIT(A1208,"":""),1,2),)"),"SHAKTIPUMP")</f>
        <v>SHAKTIPUMP</v>
      </c>
      <c r="K1208" s="48">
        <f t="shared" si="4"/>
        <v>631</v>
      </c>
      <c r="L1208" s="48" t="str">
        <f t="shared" si="5"/>
        <v/>
      </c>
      <c r="M1208" s="48">
        <f t="shared" si="6"/>
        <v>433</v>
      </c>
      <c r="N1208" s="50">
        <f>IFERROR(__xludf.DUMMYFUNCTION("IFERROR(GOOGLEFINANCE(A1208,""TRADETIME""),)"),46269.64583333333)</f>
        <v>46269.64583</v>
      </c>
      <c r="O1208" s="44"/>
      <c r="P1208" s="44"/>
      <c r="Q1208" s="44"/>
      <c r="R1208" s="44"/>
      <c r="S1208" s="44"/>
      <c r="T1208" s="44"/>
      <c r="U1208" s="44"/>
      <c r="V1208" s="44"/>
      <c r="W1208" s="44"/>
      <c r="X1208" s="44"/>
      <c r="Y1208" s="44"/>
      <c r="Z1208" s="44"/>
    </row>
    <row r="1209" ht="15.75" customHeight="1">
      <c r="A1209" s="51" t="s">
        <v>1255</v>
      </c>
      <c r="B1209" s="51" t="str">
        <f>IFERROR(__xludf.DUMMYFUNCTION("IFERROR(GOOGLEFINANCE(A1209,""NAME""),)"),"Sagardeep Alloys Ltd")</f>
        <v>Sagardeep Alloys Ltd</v>
      </c>
      <c r="C1209" s="51">
        <f>IFERROR(__xludf.DUMMYFUNCTION("IFERROR(GOOGLEFINANCE(A1209,""CHANGE""),)"),-0.16)</f>
        <v>-0.16</v>
      </c>
      <c r="D1209" s="51">
        <f>IFERROR(__xludf.DUMMYFUNCTION("IFERROR(GOOGLEFINANCE(A1209,""CHANGEPCT""),)"),-0.67)</f>
        <v>-0.67</v>
      </c>
      <c r="E1209" s="51" t="str">
        <f t="shared" si="1"/>
        <v>-0.67%</v>
      </c>
      <c r="F1209" s="51" t="str">
        <f t="shared" si="2"/>
        <v/>
      </c>
      <c r="G1209" s="51">
        <f t="shared" si="3"/>
        <v>-0.67</v>
      </c>
      <c r="H1209" s="51">
        <f>IFERROR(__xludf.DUMMYFUNCTION("IFERROR(GOOGLEFINANCE(A1209,""PRICE""),)"),23.6)</f>
        <v>23.6</v>
      </c>
      <c r="I1209" s="52">
        <f>IFERROR(__xludf.DUMMYFUNCTION("IFERROR(GOOGLEFINANCE(A1209,""VOLUME""),)"),5256.0)</f>
        <v>5256</v>
      </c>
      <c r="J1209" s="51" t="str">
        <f>IFERROR(__xludf.DUMMYFUNCTION("IFERROR(INDEX(SPLIT(A1209,"":""),1,2),)"),"SAGARDEEP")</f>
        <v>SAGARDEEP</v>
      </c>
      <c r="K1209" s="51" t="str">
        <f t="shared" si="4"/>
        <v/>
      </c>
      <c r="L1209" s="51">
        <f t="shared" si="5"/>
        <v>249</v>
      </c>
      <c r="M1209" s="51">
        <f t="shared" si="6"/>
        <v>1322</v>
      </c>
      <c r="N1209" s="53">
        <f>IFERROR(__xludf.DUMMYFUNCTION("IFERROR(GOOGLEFINANCE(A1209,""TRADETIME""),)"),46269.64583333333)</f>
        <v>46269.64583</v>
      </c>
      <c r="O1209" s="44"/>
      <c r="P1209" s="44"/>
      <c r="Q1209" s="44"/>
      <c r="R1209" s="44"/>
      <c r="S1209" s="44"/>
      <c r="T1209" s="44"/>
      <c r="U1209" s="44"/>
      <c r="V1209" s="44"/>
      <c r="W1209" s="44"/>
      <c r="X1209" s="44"/>
      <c r="Y1209" s="44"/>
      <c r="Z1209" s="44"/>
    </row>
    <row r="1210" ht="15.75" customHeight="1">
      <c r="A1210" s="48" t="s">
        <v>1256</v>
      </c>
      <c r="B1210" s="48" t="str">
        <f>IFERROR(__xludf.DUMMYFUNCTION("IFERROR(GOOGLEFINANCE(A1210,""NAME""),)"),"Sagar Cements Ltd")</f>
        <v>Sagar Cements Ltd</v>
      </c>
      <c r="C1210" s="48">
        <f>IFERROR(__xludf.DUMMYFUNCTION("IFERROR(GOOGLEFINANCE(A1210,""CHANGE""),)"),-1.88)</f>
        <v>-1.88</v>
      </c>
      <c r="D1210" s="48">
        <f>IFERROR(__xludf.DUMMYFUNCTION("IFERROR(GOOGLEFINANCE(A1210,""CHANGEPCT""),)"),-1.22)</f>
        <v>-1.22</v>
      </c>
      <c r="E1210" s="48" t="str">
        <f t="shared" si="1"/>
        <v>-1.22%</v>
      </c>
      <c r="F1210" s="48" t="str">
        <f t="shared" si="2"/>
        <v/>
      </c>
      <c r="G1210" s="48">
        <f t="shared" si="3"/>
        <v>-1.22</v>
      </c>
      <c r="H1210" s="48">
        <f>IFERROR(__xludf.DUMMYFUNCTION("IFERROR(GOOGLEFINANCE(A1210,""PRICE""),)"),152.5)</f>
        <v>152.5</v>
      </c>
      <c r="I1210" s="49">
        <f>IFERROR(__xludf.DUMMYFUNCTION("IFERROR(GOOGLEFINANCE(A1210,""VOLUME""),)"),244455.0)</f>
        <v>244455</v>
      </c>
      <c r="J1210" s="48" t="str">
        <f>IFERROR(__xludf.DUMMYFUNCTION("IFERROR(INDEX(SPLIT(A1210,"":""),1,2),)"),"SAGCEM")</f>
        <v>SAGCEM</v>
      </c>
      <c r="K1210" s="48" t="str">
        <f t="shared" si="4"/>
        <v/>
      </c>
      <c r="L1210" s="48">
        <f t="shared" si="5"/>
        <v>380</v>
      </c>
      <c r="M1210" s="48">
        <f t="shared" si="6"/>
        <v>575</v>
      </c>
      <c r="N1210" s="50">
        <f>IFERROR(__xludf.DUMMYFUNCTION("IFERROR(GOOGLEFINANCE(A1210,""TRADETIME""),)"),46269.64583333333)</f>
        <v>46269.64583</v>
      </c>
      <c r="O1210" s="44"/>
      <c r="P1210" s="44"/>
      <c r="Q1210" s="44"/>
      <c r="R1210" s="44"/>
      <c r="S1210" s="44"/>
      <c r="T1210" s="44"/>
      <c r="U1210" s="44"/>
      <c r="V1210" s="44"/>
      <c r="W1210" s="44"/>
      <c r="X1210" s="44"/>
      <c r="Y1210" s="44"/>
      <c r="Z1210" s="44"/>
    </row>
    <row r="1211" ht="15.75" customHeight="1">
      <c r="A1211" s="51" t="s">
        <v>1257</v>
      </c>
      <c r="B1211" s="51" t="str">
        <f>IFERROR(__xludf.DUMMYFUNCTION("IFERROR(GOOGLEFINANCE(A1211,""NAME""),)"),"Steel Authority of India Ltd")</f>
        <v>Steel Authority of India Ltd</v>
      </c>
      <c r="C1211" s="51">
        <f>IFERROR(__xludf.DUMMYFUNCTION("IFERROR(GOOGLEFINANCE(A1211,""CHANGE""),)"),0.65)</f>
        <v>0.65</v>
      </c>
      <c r="D1211" s="51">
        <f>IFERROR(__xludf.DUMMYFUNCTION("IFERROR(GOOGLEFINANCE(A1211,""CHANGEPCT""),)"),0.33)</f>
        <v>0.33</v>
      </c>
      <c r="E1211" s="51" t="str">
        <f t="shared" si="1"/>
        <v>0.33%</v>
      </c>
      <c r="F1211" s="51">
        <f t="shared" si="2"/>
        <v>0.33</v>
      </c>
      <c r="G1211" s="51" t="str">
        <f t="shared" si="3"/>
        <v/>
      </c>
      <c r="H1211" s="51">
        <f>IFERROR(__xludf.DUMMYFUNCTION("IFERROR(GOOGLEFINANCE(A1211,""PRICE""),)"),197.65)</f>
        <v>197.65</v>
      </c>
      <c r="I1211" s="52">
        <f>IFERROR(__xludf.DUMMYFUNCTION("IFERROR(GOOGLEFINANCE(A1211,""VOLUME""),)"),1.9094202E7)</f>
        <v>19094202</v>
      </c>
      <c r="J1211" s="51" t="str">
        <f>IFERROR(__xludf.DUMMYFUNCTION("IFERROR(INDEX(SPLIT(A1211,"":""),1,2),)"),"SAIL")</f>
        <v>SAIL</v>
      </c>
      <c r="K1211" s="51">
        <f t="shared" si="4"/>
        <v>652</v>
      </c>
      <c r="L1211" s="51" t="str">
        <f t="shared" si="5"/>
        <v/>
      </c>
      <c r="M1211" s="51">
        <f t="shared" si="6"/>
        <v>24</v>
      </c>
      <c r="N1211" s="53">
        <f>IFERROR(__xludf.DUMMYFUNCTION("IFERROR(GOOGLEFINANCE(A1211,""TRADETIME""),)"),46269.64583333333)</f>
        <v>46269.64583</v>
      </c>
      <c r="O1211" s="44"/>
      <c r="P1211" s="44"/>
      <c r="Q1211" s="44"/>
      <c r="R1211" s="44"/>
      <c r="S1211" s="44"/>
      <c r="T1211" s="44"/>
      <c r="U1211" s="44"/>
      <c r="V1211" s="44"/>
      <c r="W1211" s="44"/>
      <c r="X1211" s="44"/>
      <c r="Y1211" s="44"/>
      <c r="Z1211" s="44"/>
    </row>
    <row r="1212" ht="15.75" customHeight="1">
      <c r="A1212" s="48" t="s">
        <v>1258</v>
      </c>
      <c r="B1212" s="48" t="str">
        <f>IFERROR(__xludf.DUMMYFUNCTION("IFERROR(GOOGLEFINANCE(A1212,""NAME""),)"),"Sakar Healthcare Ltd")</f>
        <v>Sakar Healthcare Ltd</v>
      </c>
      <c r="C1212" s="48">
        <f>IFERROR(__xludf.DUMMYFUNCTION("IFERROR(GOOGLEFINANCE(A1212,""CHANGE""),)"),5.05)</f>
        <v>5.05</v>
      </c>
      <c r="D1212" s="48">
        <f>IFERROR(__xludf.DUMMYFUNCTION("IFERROR(GOOGLEFINANCE(A1212,""CHANGEPCT""),)"),0.5)</f>
        <v>0.5</v>
      </c>
      <c r="E1212" s="48" t="str">
        <f t="shared" si="1"/>
        <v>0.5%</v>
      </c>
      <c r="F1212" s="48">
        <f t="shared" si="2"/>
        <v>0.5</v>
      </c>
      <c r="G1212" s="48" t="str">
        <f t="shared" si="3"/>
        <v/>
      </c>
      <c r="H1212" s="48">
        <f>IFERROR(__xludf.DUMMYFUNCTION("IFERROR(GOOGLEFINANCE(A1212,""PRICE""),)"),1012.0)</f>
        <v>1012</v>
      </c>
      <c r="I1212" s="49">
        <f>IFERROR(__xludf.DUMMYFUNCTION("IFERROR(GOOGLEFINANCE(A1212,""VOLUME""),)"),87982.0)</f>
        <v>87982</v>
      </c>
      <c r="J1212" s="48" t="str">
        <f>IFERROR(__xludf.DUMMYFUNCTION("IFERROR(INDEX(SPLIT(A1212,"":""),1,2),)"),"SAKAR")</f>
        <v>SAKAR</v>
      </c>
      <c r="K1212" s="48">
        <f t="shared" si="4"/>
        <v>592</v>
      </c>
      <c r="L1212" s="48" t="str">
        <f t="shared" si="5"/>
        <v/>
      </c>
      <c r="M1212" s="48">
        <f t="shared" si="6"/>
        <v>806</v>
      </c>
      <c r="N1212" s="50">
        <f>IFERROR(__xludf.DUMMYFUNCTION("IFERROR(GOOGLEFINANCE(A1212,""TRADETIME""),)"),46269.64583333333)</f>
        <v>46269.64583</v>
      </c>
      <c r="O1212" s="44"/>
      <c r="P1212" s="44"/>
      <c r="Q1212" s="44"/>
      <c r="R1212" s="44"/>
      <c r="S1212" s="44"/>
      <c r="T1212" s="44"/>
      <c r="U1212" s="44"/>
      <c r="V1212" s="44"/>
      <c r="W1212" s="44"/>
      <c r="X1212" s="44"/>
      <c r="Y1212" s="44"/>
      <c r="Z1212" s="44"/>
    </row>
    <row r="1213" ht="15.75" customHeight="1">
      <c r="A1213" s="51" t="s">
        <v>1259</v>
      </c>
      <c r="B1213" s="51" t="str">
        <f>IFERROR(__xludf.DUMMYFUNCTION("IFERROR(GOOGLEFINANCE(A1213,""NAME""),)"),"Sakthi Sugars Ltd")</f>
        <v>Sakthi Sugars Ltd</v>
      </c>
      <c r="C1213" s="51">
        <f>IFERROR(__xludf.DUMMYFUNCTION("IFERROR(GOOGLEFINANCE(A1213,""CHANGE""),)"),-0.48)</f>
        <v>-0.48</v>
      </c>
      <c r="D1213" s="51">
        <f>IFERROR(__xludf.DUMMYFUNCTION("IFERROR(GOOGLEFINANCE(A1213,""CHANGEPCT""),)"),-2.36)</f>
        <v>-2.36</v>
      </c>
      <c r="E1213" s="51" t="str">
        <f t="shared" si="1"/>
        <v>-2.36%</v>
      </c>
      <c r="F1213" s="51" t="str">
        <f t="shared" si="2"/>
        <v/>
      </c>
      <c r="G1213" s="51">
        <f t="shared" si="3"/>
        <v>-2.36</v>
      </c>
      <c r="H1213" s="51">
        <f>IFERROR(__xludf.DUMMYFUNCTION("IFERROR(GOOGLEFINANCE(A1213,""PRICE""),)"),19.87)</f>
        <v>19.87</v>
      </c>
      <c r="I1213" s="52">
        <f>IFERROR(__xludf.DUMMYFUNCTION("IFERROR(GOOGLEFINANCE(A1213,""VOLUME""),)"),175324.0)</f>
        <v>175324</v>
      </c>
      <c r="J1213" s="51" t="str">
        <f>IFERROR(__xludf.DUMMYFUNCTION("IFERROR(INDEX(SPLIT(A1213,"":""),1,2),)"),"SAKHTISUG")</f>
        <v>SAKHTISUG</v>
      </c>
      <c r="K1213" s="51" t="str">
        <f t="shared" si="4"/>
        <v/>
      </c>
      <c r="L1213" s="51">
        <f t="shared" si="5"/>
        <v>564</v>
      </c>
      <c r="M1213" s="51">
        <f t="shared" si="6"/>
        <v>652</v>
      </c>
      <c r="N1213" s="53">
        <f>IFERROR(__xludf.DUMMYFUNCTION("IFERROR(GOOGLEFINANCE(A1213,""TRADETIME""),)"),46269.64583333333)</f>
        <v>46269.64583</v>
      </c>
      <c r="O1213" s="44"/>
      <c r="P1213" s="44"/>
      <c r="Q1213" s="44"/>
      <c r="R1213" s="44"/>
      <c r="S1213" s="44"/>
      <c r="T1213" s="44"/>
      <c r="U1213" s="44"/>
      <c r="V1213" s="44"/>
      <c r="W1213" s="44"/>
      <c r="X1213" s="44"/>
      <c r="Y1213" s="44"/>
      <c r="Z1213" s="44"/>
    </row>
    <row r="1214" ht="15.75" customHeight="1">
      <c r="A1214" s="48" t="s">
        <v>1260</v>
      </c>
      <c r="B1214" s="48" t="str">
        <f>IFERROR(__xludf.DUMMYFUNCTION("IFERROR(GOOGLEFINANCE(A1214,""NAME""),)"),"Saksoft Ltd")</f>
        <v>Saksoft Ltd</v>
      </c>
      <c r="C1214" s="48">
        <f>IFERROR(__xludf.DUMMYFUNCTION("IFERROR(GOOGLEFINANCE(A1214,""CHANGE""),)"),2.71)</f>
        <v>2.71</v>
      </c>
      <c r="D1214" s="48">
        <f>IFERROR(__xludf.DUMMYFUNCTION("IFERROR(GOOGLEFINANCE(A1214,""CHANGEPCT""),)"),1.76)</f>
        <v>1.76</v>
      </c>
      <c r="E1214" s="48" t="str">
        <f t="shared" si="1"/>
        <v>1.76%</v>
      </c>
      <c r="F1214" s="48">
        <f t="shared" si="2"/>
        <v>1.76</v>
      </c>
      <c r="G1214" s="48" t="str">
        <f t="shared" si="3"/>
        <v/>
      </c>
      <c r="H1214" s="48">
        <f>IFERROR(__xludf.DUMMYFUNCTION("IFERROR(GOOGLEFINANCE(A1214,""PRICE""),)"),156.4)</f>
        <v>156.4</v>
      </c>
      <c r="I1214" s="49">
        <f>IFERROR(__xludf.DUMMYFUNCTION("IFERROR(GOOGLEFINANCE(A1214,""VOLUME""),)"),179015.0)</f>
        <v>179015</v>
      </c>
      <c r="J1214" s="48" t="str">
        <f>IFERROR(__xludf.DUMMYFUNCTION("IFERROR(INDEX(SPLIT(A1214,"":""),1,2),)"),"SAKSOFT")</f>
        <v>SAKSOFT</v>
      </c>
      <c r="K1214" s="48">
        <f t="shared" si="4"/>
        <v>303</v>
      </c>
      <c r="L1214" s="48" t="str">
        <f t="shared" si="5"/>
        <v/>
      </c>
      <c r="M1214" s="48">
        <f t="shared" si="6"/>
        <v>650</v>
      </c>
      <c r="N1214" s="50">
        <f>IFERROR(__xludf.DUMMYFUNCTION("IFERROR(GOOGLEFINANCE(A1214,""TRADETIME""),)"),46269.64583333333)</f>
        <v>46269.64583</v>
      </c>
      <c r="O1214" s="44"/>
      <c r="P1214" s="44"/>
      <c r="Q1214" s="44"/>
      <c r="R1214" s="44"/>
      <c r="S1214" s="44"/>
      <c r="T1214" s="44"/>
      <c r="U1214" s="44"/>
      <c r="V1214" s="44"/>
      <c r="W1214" s="44"/>
      <c r="X1214" s="44"/>
      <c r="Y1214" s="44"/>
      <c r="Z1214" s="44"/>
    </row>
    <row r="1215" ht="15.75" customHeight="1">
      <c r="A1215" s="51" t="s">
        <v>1261</v>
      </c>
      <c r="B1215" s="51" t="str">
        <f>IFERROR(__xludf.DUMMYFUNCTION("IFERROR(GOOGLEFINANCE(A1215,""NAME""),)"),"Sakuma Exports Ltd")</f>
        <v>Sakuma Exports Ltd</v>
      </c>
      <c r="C1215" s="51">
        <f>IFERROR(__xludf.DUMMYFUNCTION("IFERROR(GOOGLEFINANCE(A1215,""CHANGE""),)"),0.07)</f>
        <v>0.07</v>
      </c>
      <c r="D1215" s="51">
        <f>IFERROR(__xludf.DUMMYFUNCTION("IFERROR(GOOGLEFINANCE(A1215,""CHANGEPCT""),)"),4.43)</f>
        <v>4.43</v>
      </c>
      <c r="E1215" s="51" t="str">
        <f t="shared" si="1"/>
        <v>4.43%</v>
      </c>
      <c r="F1215" s="51">
        <f t="shared" si="2"/>
        <v>4.43</v>
      </c>
      <c r="G1215" s="51" t="str">
        <f t="shared" si="3"/>
        <v/>
      </c>
      <c r="H1215" s="51">
        <f>IFERROR(__xludf.DUMMYFUNCTION("IFERROR(GOOGLEFINANCE(A1215,""PRICE""),)"),1.65)</f>
        <v>1.65</v>
      </c>
      <c r="I1215" s="52">
        <f>IFERROR(__xludf.DUMMYFUNCTION("IFERROR(GOOGLEFINANCE(A1215,""VOLUME""),)"),721220.0)</f>
        <v>721220</v>
      </c>
      <c r="J1215" s="51" t="str">
        <f>IFERROR(__xludf.DUMMYFUNCTION("IFERROR(INDEX(SPLIT(A1215,"":""),1,2),)"),"SAKUMA")</f>
        <v>SAKUMA</v>
      </c>
      <c r="K1215" s="51">
        <f t="shared" si="4"/>
        <v>94</v>
      </c>
      <c r="L1215" s="51" t="str">
        <f t="shared" si="5"/>
        <v/>
      </c>
      <c r="M1215" s="51">
        <f t="shared" si="6"/>
        <v>322</v>
      </c>
      <c r="N1215" s="53">
        <f>IFERROR(__xludf.DUMMYFUNCTION("IFERROR(GOOGLEFINANCE(A1215,""TRADETIME""),)"),46269.64583333333)</f>
        <v>46269.64583</v>
      </c>
      <c r="O1215" s="44"/>
      <c r="P1215" s="44"/>
      <c r="Q1215" s="44"/>
      <c r="R1215" s="44"/>
      <c r="S1215" s="44"/>
      <c r="T1215" s="44"/>
      <c r="U1215" s="44"/>
      <c r="V1215" s="44"/>
      <c r="W1215" s="44"/>
      <c r="X1215" s="44"/>
      <c r="Y1215" s="44"/>
      <c r="Z1215" s="44"/>
    </row>
    <row r="1216" ht="15.75" customHeight="1">
      <c r="A1216" s="48" t="s">
        <v>1262</v>
      </c>
      <c r="B1216" s="48" t="str">
        <f>IFERROR(__xludf.DUMMYFUNCTION("IFERROR(GOOGLEFINANCE(A1216,""NAME""),)"),"Salasar Techno Engineering Ltd")</f>
        <v>Salasar Techno Engineering Ltd</v>
      </c>
      <c r="C1216" s="48">
        <f>IFERROR(__xludf.DUMMYFUNCTION("IFERROR(GOOGLEFINANCE(A1216,""CHANGE""),)"),0.13)</f>
        <v>0.13</v>
      </c>
      <c r="D1216" s="48">
        <f>IFERROR(__xludf.DUMMYFUNCTION("IFERROR(GOOGLEFINANCE(A1216,""CHANGEPCT""),)"),2.56)</f>
        <v>2.56</v>
      </c>
      <c r="E1216" s="48" t="str">
        <f t="shared" si="1"/>
        <v>2.56%</v>
      </c>
      <c r="F1216" s="48">
        <f t="shared" si="2"/>
        <v>2.56</v>
      </c>
      <c r="G1216" s="48" t="str">
        <f t="shared" si="3"/>
        <v/>
      </c>
      <c r="H1216" s="48">
        <f>IFERROR(__xludf.DUMMYFUNCTION("IFERROR(GOOGLEFINANCE(A1216,""PRICE""),)"),5.21)</f>
        <v>5.21</v>
      </c>
      <c r="I1216" s="49">
        <f>IFERROR(__xludf.DUMMYFUNCTION("IFERROR(GOOGLEFINANCE(A1216,""VOLUME""),)"),2.6712678E7)</f>
        <v>26712678</v>
      </c>
      <c r="J1216" s="48" t="str">
        <f>IFERROR(__xludf.DUMMYFUNCTION("IFERROR(INDEX(SPLIT(A1216,"":""),1,2),)"),"SALASAR")</f>
        <v>SALASAR</v>
      </c>
      <c r="K1216" s="48">
        <f t="shared" si="4"/>
        <v>196</v>
      </c>
      <c r="L1216" s="48" t="str">
        <f t="shared" si="5"/>
        <v/>
      </c>
      <c r="M1216" s="48">
        <f t="shared" si="6"/>
        <v>17</v>
      </c>
      <c r="N1216" s="50">
        <f>IFERROR(__xludf.DUMMYFUNCTION("IFERROR(GOOGLEFINANCE(A1216,""TRADETIME""),)"),46269.64584490741)</f>
        <v>46269.64584</v>
      </c>
      <c r="O1216" s="44"/>
      <c r="P1216" s="44"/>
      <c r="Q1216" s="44"/>
      <c r="R1216" s="44"/>
      <c r="S1216" s="44"/>
      <c r="T1216" s="44"/>
      <c r="U1216" s="44"/>
      <c r="V1216" s="44"/>
      <c r="W1216" s="44"/>
      <c r="X1216" s="44"/>
      <c r="Y1216" s="44"/>
      <c r="Z1216" s="44"/>
    </row>
    <row r="1217" ht="15.75" customHeight="1">
      <c r="A1217" s="51" t="s">
        <v>1263</v>
      </c>
      <c r="B1217" s="51" t="str">
        <f>IFERROR(__xludf.DUMMYFUNCTION("IFERROR(GOOGLEFINANCE(A1217,""NAME""),)"),"Salona Cotspin Ltd")</f>
        <v>Salona Cotspin Ltd</v>
      </c>
      <c r="C1217" s="51">
        <f>IFERROR(__xludf.DUMMYFUNCTION("IFERROR(GOOGLEFINANCE(A1217,""CHANGE""),)"),7.05)</f>
        <v>7.05</v>
      </c>
      <c r="D1217" s="51">
        <f>IFERROR(__xludf.DUMMYFUNCTION("IFERROR(GOOGLEFINANCE(A1217,""CHANGEPCT""),)"),2.68)</f>
        <v>2.68</v>
      </c>
      <c r="E1217" s="51" t="str">
        <f t="shared" si="1"/>
        <v>2.68%</v>
      </c>
      <c r="F1217" s="51">
        <f t="shared" si="2"/>
        <v>2.68</v>
      </c>
      <c r="G1217" s="51" t="str">
        <f t="shared" si="3"/>
        <v/>
      </c>
      <c r="H1217" s="51">
        <f>IFERROR(__xludf.DUMMYFUNCTION("IFERROR(GOOGLEFINANCE(A1217,""PRICE""),)"),269.95)</f>
        <v>269.95</v>
      </c>
      <c r="I1217" s="52">
        <f>IFERROR(__xludf.DUMMYFUNCTION("IFERROR(GOOGLEFINANCE(A1217,""VOLUME""),)"),74.0)</f>
        <v>74</v>
      </c>
      <c r="J1217" s="51" t="str">
        <f>IFERROR(__xludf.DUMMYFUNCTION("IFERROR(INDEX(SPLIT(A1217,"":""),1,2),)"),"SALONA")</f>
        <v>SALONA</v>
      </c>
      <c r="K1217" s="51">
        <f t="shared" si="4"/>
        <v>186</v>
      </c>
      <c r="L1217" s="51" t="str">
        <f t="shared" si="5"/>
        <v/>
      </c>
      <c r="M1217" s="51">
        <f t="shared" si="6"/>
        <v>1453</v>
      </c>
      <c r="N1217" s="53">
        <f>IFERROR(__xludf.DUMMYFUNCTION("IFERROR(GOOGLEFINANCE(A1217,""TRADETIME""),)"),46269.64583333333)</f>
        <v>46269.64583</v>
      </c>
      <c r="O1217" s="44"/>
      <c r="P1217" s="44"/>
      <c r="Q1217" s="44"/>
      <c r="R1217" s="44"/>
      <c r="S1217" s="44"/>
      <c r="T1217" s="44"/>
      <c r="U1217" s="44"/>
      <c r="V1217" s="44"/>
      <c r="W1217" s="44"/>
      <c r="X1217" s="44"/>
      <c r="Y1217" s="44"/>
      <c r="Z1217" s="44"/>
    </row>
    <row r="1218" ht="15.75" customHeight="1">
      <c r="A1218" s="48" t="s">
        <v>1264</v>
      </c>
      <c r="B1218" s="48" t="str">
        <f>IFERROR(__xludf.DUMMYFUNCTION("IFERROR(GOOGLEFINANCE(A1218,""NAME""),)"),"SAL Steel Ltd")</f>
        <v>SAL Steel Ltd</v>
      </c>
      <c r="C1218" s="48">
        <f>IFERROR(__xludf.DUMMYFUNCTION("IFERROR(GOOGLEFINANCE(A1218,""CHANGE""),)"),-0.55)</f>
        <v>-0.55</v>
      </c>
      <c r="D1218" s="48">
        <f>IFERROR(__xludf.DUMMYFUNCTION("IFERROR(GOOGLEFINANCE(A1218,""CHANGEPCT""),)"),-0.67)</f>
        <v>-0.67</v>
      </c>
      <c r="E1218" s="48" t="str">
        <f t="shared" si="1"/>
        <v>-0.67%</v>
      </c>
      <c r="F1218" s="48" t="str">
        <f t="shared" si="2"/>
        <v/>
      </c>
      <c r="G1218" s="48">
        <f t="shared" si="3"/>
        <v>-0.67</v>
      </c>
      <c r="H1218" s="48">
        <f>IFERROR(__xludf.DUMMYFUNCTION("IFERROR(GOOGLEFINANCE(A1218,""PRICE""),)"),81.49)</f>
        <v>81.49</v>
      </c>
      <c r="I1218" s="49">
        <f>IFERROR(__xludf.DUMMYFUNCTION("IFERROR(GOOGLEFINANCE(A1218,""VOLUME""),)"),233867.0)</f>
        <v>233867</v>
      </c>
      <c r="J1218" s="48" t="str">
        <f>IFERROR(__xludf.DUMMYFUNCTION("IFERROR(INDEX(SPLIT(A1218,"":""),1,2),)"),"SALSTEEL")</f>
        <v>SALSTEEL</v>
      </c>
      <c r="K1218" s="48" t="str">
        <f t="shared" si="4"/>
        <v/>
      </c>
      <c r="L1218" s="48">
        <f t="shared" si="5"/>
        <v>250</v>
      </c>
      <c r="M1218" s="48">
        <f t="shared" si="6"/>
        <v>585</v>
      </c>
      <c r="N1218" s="50">
        <f>IFERROR(__xludf.DUMMYFUNCTION("IFERROR(GOOGLEFINANCE(A1218,""TRADETIME""),)"),46269.64583333333)</f>
        <v>46269.64583</v>
      </c>
      <c r="O1218" s="44"/>
      <c r="P1218" s="44"/>
      <c r="Q1218" s="44"/>
      <c r="R1218" s="44"/>
      <c r="S1218" s="44"/>
      <c r="T1218" s="44"/>
      <c r="U1218" s="44"/>
      <c r="V1218" s="44"/>
      <c r="W1218" s="44"/>
      <c r="X1218" s="44"/>
      <c r="Y1218" s="44"/>
      <c r="Z1218" s="44"/>
    </row>
    <row r="1219" ht="15.75" customHeight="1">
      <c r="A1219" s="51" t="s">
        <v>1265</v>
      </c>
      <c r="B1219" s="51" t="str">
        <f>IFERROR(__xludf.DUMMYFUNCTION("IFERROR(GOOGLEFINANCE(A1219,""NAME""),)"),"Salzer Electronics Ltd")</f>
        <v>Salzer Electronics Ltd</v>
      </c>
      <c r="C1219" s="51">
        <f>IFERROR(__xludf.DUMMYFUNCTION("IFERROR(GOOGLEFINANCE(A1219,""CHANGE""),)"),11.4)</f>
        <v>11.4</v>
      </c>
      <c r="D1219" s="51">
        <f>IFERROR(__xludf.DUMMYFUNCTION("IFERROR(GOOGLEFINANCE(A1219,""CHANGEPCT""),)"),2.12)</f>
        <v>2.12</v>
      </c>
      <c r="E1219" s="51" t="str">
        <f t="shared" si="1"/>
        <v>2.12%</v>
      </c>
      <c r="F1219" s="51">
        <f t="shared" si="2"/>
        <v>2.12</v>
      </c>
      <c r="G1219" s="51" t="str">
        <f t="shared" si="3"/>
        <v/>
      </c>
      <c r="H1219" s="51">
        <f>IFERROR(__xludf.DUMMYFUNCTION("IFERROR(GOOGLEFINANCE(A1219,""PRICE""),)"),548.7)</f>
        <v>548.7</v>
      </c>
      <c r="I1219" s="52">
        <f>IFERROR(__xludf.DUMMYFUNCTION("IFERROR(GOOGLEFINANCE(A1219,""VOLUME""),)"),54544.0)</f>
        <v>54544</v>
      </c>
      <c r="J1219" s="51" t="str">
        <f>IFERROR(__xludf.DUMMYFUNCTION("IFERROR(INDEX(SPLIT(A1219,"":""),1,2),)"),"SALZERELEC")</f>
        <v>SALZERELEC</v>
      </c>
      <c r="K1219" s="51">
        <f t="shared" si="4"/>
        <v>241</v>
      </c>
      <c r="L1219" s="51" t="str">
        <f t="shared" si="5"/>
        <v/>
      </c>
      <c r="M1219" s="51">
        <f t="shared" si="6"/>
        <v>926</v>
      </c>
      <c r="N1219" s="53">
        <f>IFERROR(__xludf.DUMMYFUNCTION("IFERROR(GOOGLEFINANCE(A1219,""TRADETIME""),)"),46269.64583333333)</f>
        <v>46269.64583</v>
      </c>
      <c r="O1219" s="44"/>
      <c r="P1219" s="44"/>
      <c r="Q1219" s="44"/>
      <c r="R1219" s="44"/>
      <c r="S1219" s="44"/>
      <c r="T1219" s="44"/>
      <c r="U1219" s="44"/>
      <c r="V1219" s="44"/>
      <c r="W1219" s="44"/>
      <c r="X1219" s="44"/>
      <c r="Y1219" s="44"/>
      <c r="Z1219" s="44"/>
    </row>
    <row r="1220" ht="15.75" customHeight="1">
      <c r="A1220" s="48" t="s">
        <v>1266</v>
      </c>
      <c r="B1220" s="48" t="str">
        <f>IFERROR(__xludf.DUMMYFUNCTION("IFERROR(GOOGLEFINANCE(A1220,""NAME""),)"),"Sambhaav Media Ltd")</f>
        <v>Sambhaav Media Ltd</v>
      </c>
      <c r="C1220" s="48">
        <f>IFERROR(__xludf.DUMMYFUNCTION("IFERROR(GOOGLEFINANCE(A1220,""CHANGE""),)"),0.01)</f>
        <v>0.01</v>
      </c>
      <c r="D1220" s="48">
        <f>IFERROR(__xludf.DUMMYFUNCTION("IFERROR(GOOGLEFINANCE(A1220,""CHANGEPCT""),)"),0.17)</f>
        <v>0.17</v>
      </c>
      <c r="E1220" s="48" t="str">
        <f t="shared" si="1"/>
        <v>0.17%</v>
      </c>
      <c r="F1220" s="48">
        <f t="shared" si="2"/>
        <v>0.17</v>
      </c>
      <c r="G1220" s="48" t="str">
        <f t="shared" si="3"/>
        <v/>
      </c>
      <c r="H1220" s="48">
        <f>IFERROR(__xludf.DUMMYFUNCTION("IFERROR(GOOGLEFINANCE(A1220,""PRICE""),)"),6.01)</f>
        <v>6.01</v>
      </c>
      <c r="I1220" s="49">
        <f>IFERROR(__xludf.DUMMYFUNCTION("IFERROR(GOOGLEFINANCE(A1220,""VOLUME""),)"),46902.0)</f>
        <v>46902</v>
      </c>
      <c r="J1220" s="48" t="str">
        <f>IFERROR(__xludf.DUMMYFUNCTION("IFERROR(INDEX(SPLIT(A1220,"":""),1,2),)"),"SAMBHAAV")</f>
        <v>SAMBHAAV</v>
      </c>
      <c r="K1220" s="48">
        <f t="shared" si="4"/>
        <v>714</v>
      </c>
      <c r="L1220" s="48" t="str">
        <f t="shared" si="5"/>
        <v/>
      </c>
      <c r="M1220" s="48">
        <f t="shared" si="6"/>
        <v>963</v>
      </c>
      <c r="N1220" s="50">
        <f>IFERROR(__xludf.DUMMYFUNCTION("IFERROR(GOOGLEFINANCE(A1220,""TRADETIME""),)"),46269.64583333333)</f>
        <v>46269.64583</v>
      </c>
      <c r="O1220" s="44"/>
      <c r="P1220" s="44"/>
      <c r="Q1220" s="44"/>
      <c r="R1220" s="44"/>
      <c r="S1220" s="44"/>
      <c r="T1220" s="44"/>
      <c r="U1220" s="44"/>
      <c r="V1220" s="44"/>
      <c r="W1220" s="44"/>
      <c r="X1220" s="44"/>
      <c r="Y1220" s="44"/>
      <c r="Z1220" s="44"/>
    </row>
    <row r="1221" ht="15.75" customHeight="1">
      <c r="A1221" s="51" t="s">
        <v>1267</v>
      </c>
      <c r="B1221" s="51" t="str">
        <f>IFERROR(__xludf.DUMMYFUNCTION("IFERROR(GOOGLEFINANCE(A1221,""NAME""),)"),"")</f>
        <v/>
      </c>
      <c r="C1221" s="51" t="str">
        <f>IFERROR(__xludf.DUMMYFUNCTION("IFERROR(GOOGLEFINANCE(A1221,""CHANGE""),)"),"")</f>
        <v/>
      </c>
      <c r="D1221" s="51" t="str">
        <f>IFERROR(__xludf.DUMMYFUNCTION("IFERROR(GOOGLEFINANCE(A1221,""CHANGEPCT""),)"),"")</f>
        <v/>
      </c>
      <c r="E1221" s="51" t="str">
        <f t="shared" si="1"/>
        <v>%</v>
      </c>
      <c r="F1221" s="51" t="str">
        <f t="shared" si="2"/>
        <v/>
      </c>
      <c r="G1221" s="51" t="str">
        <f t="shared" si="3"/>
        <v/>
      </c>
      <c r="H1221" s="51" t="str">
        <f>IFERROR(__xludf.DUMMYFUNCTION("IFERROR(GOOGLEFINANCE(A1221,""PRICE""),)"),"")</f>
        <v/>
      </c>
      <c r="I1221" s="52" t="str">
        <f>IFERROR(__xludf.DUMMYFUNCTION("IFERROR(GOOGLEFINANCE(A1221,""VOLUME""),)"),"")</f>
        <v/>
      </c>
      <c r="J1221" s="51" t="str">
        <f>IFERROR(__xludf.DUMMYFUNCTION("IFERROR(INDEX(SPLIT(A1221,"":""),1,2),)"),"SANCO")</f>
        <v>SANCO</v>
      </c>
      <c r="K1221" s="51" t="str">
        <f t="shared" si="4"/>
        <v/>
      </c>
      <c r="L1221" s="51" t="str">
        <f t="shared" si="5"/>
        <v/>
      </c>
      <c r="M1221" s="51">
        <f t="shared" si="6"/>
        <v>1456</v>
      </c>
      <c r="N1221" s="53" t="str">
        <f>IFERROR(__xludf.DUMMYFUNCTION("IFERROR(GOOGLEFINANCE(A1221,""TRADETIME""),)"),"")</f>
        <v/>
      </c>
      <c r="O1221" s="44"/>
      <c r="P1221" s="44"/>
      <c r="Q1221" s="44"/>
      <c r="R1221" s="44"/>
      <c r="S1221" s="44"/>
      <c r="T1221" s="44"/>
      <c r="U1221" s="44"/>
      <c r="V1221" s="44"/>
      <c r="W1221" s="44"/>
      <c r="X1221" s="44"/>
      <c r="Y1221" s="44"/>
      <c r="Z1221" s="44"/>
    </row>
    <row r="1222" ht="15.75" customHeight="1">
      <c r="A1222" s="48" t="s">
        <v>1268</v>
      </c>
      <c r="B1222" s="48" t="str">
        <f>IFERROR(__xludf.DUMMYFUNCTION("IFERROR(GOOGLEFINANCE(A1222,""NAME""),)"),"Sandesh Ltd")</f>
        <v>Sandesh Ltd</v>
      </c>
      <c r="C1222" s="48">
        <f>IFERROR(__xludf.DUMMYFUNCTION("IFERROR(GOOGLEFINANCE(A1222,""CHANGE""),)"),-0.9)</f>
        <v>-0.9</v>
      </c>
      <c r="D1222" s="48">
        <f>IFERROR(__xludf.DUMMYFUNCTION("IFERROR(GOOGLEFINANCE(A1222,""CHANGEPCT""),)"),-0.09)</f>
        <v>-0.09</v>
      </c>
      <c r="E1222" s="48" t="str">
        <f t="shared" si="1"/>
        <v>-0.09%</v>
      </c>
      <c r="F1222" s="48" t="str">
        <f t="shared" si="2"/>
        <v/>
      </c>
      <c r="G1222" s="48">
        <f t="shared" si="3"/>
        <v>-0.09</v>
      </c>
      <c r="H1222" s="48">
        <f>IFERROR(__xludf.DUMMYFUNCTION("IFERROR(GOOGLEFINANCE(A1222,""PRICE""),)"),1050.0)</f>
        <v>1050</v>
      </c>
      <c r="I1222" s="49">
        <f>IFERROR(__xludf.DUMMYFUNCTION("IFERROR(GOOGLEFINANCE(A1222,""VOLUME""),)"),750.0)</f>
        <v>750</v>
      </c>
      <c r="J1222" s="48" t="str">
        <f>IFERROR(__xludf.DUMMYFUNCTION("IFERROR(INDEX(SPLIT(A1222,"":""),1,2),)"),"SANDESH")</f>
        <v>SANDESH</v>
      </c>
      <c r="K1222" s="48" t="str">
        <f t="shared" si="4"/>
        <v/>
      </c>
      <c r="L1222" s="48">
        <f t="shared" si="5"/>
        <v>31</v>
      </c>
      <c r="M1222" s="48">
        <f t="shared" si="6"/>
        <v>1434</v>
      </c>
      <c r="N1222" s="50">
        <f>IFERROR(__xludf.DUMMYFUNCTION("IFERROR(GOOGLEFINANCE(A1222,""TRADETIME""),)"),46269.64583333333)</f>
        <v>46269.64583</v>
      </c>
      <c r="O1222" s="44"/>
      <c r="P1222" s="44"/>
      <c r="Q1222" s="44"/>
      <c r="R1222" s="44"/>
      <c r="S1222" s="44"/>
      <c r="T1222" s="44"/>
      <c r="U1222" s="44"/>
      <c r="V1222" s="44"/>
      <c r="W1222" s="44"/>
      <c r="X1222" s="44"/>
      <c r="Y1222" s="44"/>
      <c r="Z1222" s="44"/>
    </row>
    <row r="1223" ht="15.75" customHeight="1">
      <c r="A1223" s="51" t="s">
        <v>1269</v>
      </c>
      <c r="B1223" s="51" t="str">
        <f>IFERROR(__xludf.DUMMYFUNCTION("IFERROR(GOOGLEFINANCE(A1223,""NAME""),)"),"Sandhar Technologies Ltd")</f>
        <v>Sandhar Technologies Ltd</v>
      </c>
      <c r="C1223" s="51">
        <f>IFERROR(__xludf.DUMMYFUNCTION("IFERROR(GOOGLEFINANCE(A1223,""CHANGE""),)"),-1.85)</f>
        <v>-1.85</v>
      </c>
      <c r="D1223" s="51">
        <f>IFERROR(__xludf.DUMMYFUNCTION("IFERROR(GOOGLEFINANCE(A1223,""CHANGEPCT""),)"),-0.29)</f>
        <v>-0.29</v>
      </c>
      <c r="E1223" s="51" t="str">
        <f t="shared" si="1"/>
        <v>-0.29%</v>
      </c>
      <c r="F1223" s="51" t="str">
        <f t="shared" si="2"/>
        <v/>
      </c>
      <c r="G1223" s="51">
        <f t="shared" si="3"/>
        <v>-0.29</v>
      </c>
      <c r="H1223" s="51">
        <f>IFERROR(__xludf.DUMMYFUNCTION("IFERROR(GOOGLEFINANCE(A1223,""PRICE""),)"),626.0)</f>
        <v>626</v>
      </c>
      <c r="I1223" s="52">
        <f>IFERROR(__xludf.DUMMYFUNCTION("IFERROR(GOOGLEFINANCE(A1223,""VOLUME""),)"),143060.0)</f>
        <v>143060</v>
      </c>
      <c r="J1223" s="51" t="str">
        <f>IFERROR(__xludf.DUMMYFUNCTION("IFERROR(INDEX(SPLIT(A1223,"":""),1,2),)"),"SANDHAR")</f>
        <v>SANDHAR</v>
      </c>
      <c r="K1223" s="51" t="str">
        <f t="shared" si="4"/>
        <v/>
      </c>
      <c r="L1223" s="51">
        <f t="shared" si="5"/>
        <v>108</v>
      </c>
      <c r="M1223" s="51">
        <f t="shared" si="6"/>
        <v>699</v>
      </c>
      <c r="N1223" s="53">
        <f>IFERROR(__xludf.DUMMYFUNCTION("IFERROR(GOOGLEFINANCE(A1223,""TRADETIME""),)"),46269.64584490741)</f>
        <v>46269.64584</v>
      </c>
      <c r="O1223" s="44"/>
      <c r="P1223" s="44"/>
      <c r="Q1223" s="44"/>
      <c r="R1223" s="44"/>
      <c r="S1223" s="44"/>
      <c r="T1223" s="44"/>
      <c r="U1223" s="44"/>
      <c r="V1223" s="44"/>
      <c r="W1223" s="44"/>
      <c r="X1223" s="44"/>
      <c r="Y1223" s="44"/>
      <c r="Z1223" s="44"/>
    </row>
    <row r="1224" ht="15.75" customHeight="1">
      <c r="A1224" s="48" t="s">
        <v>1270</v>
      </c>
      <c r="B1224" s="48" t="str">
        <f>IFERROR(__xludf.DUMMYFUNCTION("IFERROR(GOOGLEFINANCE(A1224,""NAME""),)"),"Tainwala Chemicls and Plstcs (India) Ltd")</f>
        <v>Tainwala Chemicls and Plstcs (India) Ltd</v>
      </c>
      <c r="C1224" s="48">
        <f>IFERROR(__xludf.DUMMYFUNCTION("IFERROR(GOOGLEFINANCE(A1224,""CHANGE""),)"),6.12)</f>
        <v>6.12</v>
      </c>
      <c r="D1224" s="48">
        <f>IFERROR(__xludf.DUMMYFUNCTION("IFERROR(GOOGLEFINANCE(A1224,""CHANGEPCT""),)"),2.95)</f>
        <v>2.95</v>
      </c>
      <c r="E1224" s="48" t="str">
        <f t="shared" si="1"/>
        <v>2.95%</v>
      </c>
      <c r="F1224" s="48">
        <f t="shared" si="2"/>
        <v>2.95</v>
      </c>
      <c r="G1224" s="48" t="str">
        <f t="shared" si="3"/>
        <v/>
      </c>
      <c r="H1224" s="48">
        <f>IFERROR(__xludf.DUMMYFUNCTION("IFERROR(GOOGLEFINANCE(A1224,""PRICE""),)"),213.75)</f>
        <v>213.75</v>
      </c>
      <c r="I1224" s="49">
        <f>IFERROR(__xludf.DUMMYFUNCTION("IFERROR(GOOGLEFINANCE(A1224,""VOLUME""),)"),1124.0)</f>
        <v>1124</v>
      </c>
      <c r="J1224" s="48" t="str">
        <f>IFERROR(__xludf.DUMMYFUNCTION("IFERROR(INDEX(SPLIT(A1224,"":""),1,2),)"),"TAINWALCHM")</f>
        <v>TAINWALCHM</v>
      </c>
      <c r="K1224" s="48">
        <f t="shared" si="4"/>
        <v>167</v>
      </c>
      <c r="L1224" s="48" t="str">
        <f t="shared" si="5"/>
        <v/>
      </c>
      <c r="M1224" s="48">
        <f t="shared" si="6"/>
        <v>1420</v>
      </c>
      <c r="N1224" s="50">
        <f>IFERROR(__xludf.DUMMYFUNCTION("IFERROR(GOOGLEFINANCE(A1224,""TRADETIME""),)"),46269.64583333333)</f>
        <v>46269.64583</v>
      </c>
      <c r="O1224" s="44"/>
      <c r="P1224" s="44"/>
      <c r="Q1224" s="44"/>
      <c r="R1224" s="44"/>
      <c r="S1224" s="44"/>
      <c r="T1224" s="44"/>
      <c r="U1224" s="44"/>
      <c r="V1224" s="44"/>
      <c r="W1224" s="44"/>
      <c r="X1224" s="44"/>
      <c r="Y1224" s="44"/>
      <c r="Z1224" s="44"/>
    </row>
    <row r="1225" ht="15.75" customHeight="1">
      <c r="A1225" s="51" t="s">
        <v>1271</v>
      </c>
      <c r="B1225" s="51" t="str">
        <f>IFERROR(__xludf.DUMMYFUNCTION("IFERROR(GOOGLEFINANCE(A1225,""NAME""),)"),"")</f>
        <v/>
      </c>
      <c r="C1225" s="51" t="str">
        <f>IFERROR(__xludf.DUMMYFUNCTION("IFERROR(GOOGLEFINANCE(A1225,""CHANGE""),)"),"")</f>
        <v/>
      </c>
      <c r="D1225" s="51" t="str">
        <f>IFERROR(__xludf.DUMMYFUNCTION("IFERROR(GOOGLEFINANCE(A1225,""CHANGEPCT""),)"),"")</f>
        <v/>
      </c>
      <c r="E1225" s="51" t="str">
        <f t="shared" si="1"/>
        <v>%</v>
      </c>
      <c r="F1225" s="51" t="str">
        <f t="shared" si="2"/>
        <v/>
      </c>
      <c r="G1225" s="51" t="str">
        <f t="shared" si="3"/>
        <v/>
      </c>
      <c r="H1225" s="51" t="str">
        <f>IFERROR(__xludf.DUMMYFUNCTION("IFERROR(GOOGLEFINANCE(A1225,""PRICE""),)"),"")</f>
        <v/>
      </c>
      <c r="I1225" s="52" t="str">
        <f>IFERROR(__xludf.DUMMYFUNCTION("IFERROR(GOOGLEFINANCE(A1225,""VOLUME""),)"),"")</f>
        <v/>
      </c>
      <c r="J1225" s="51" t="str">
        <f>IFERROR(__xludf.DUMMYFUNCTION("IFERROR(INDEX(SPLIT(A1225,"":""),1,2),)"),"SANGHIIND")</f>
        <v>SANGHIIND</v>
      </c>
      <c r="K1225" s="51" t="str">
        <f t="shared" si="4"/>
        <v/>
      </c>
      <c r="L1225" s="51" t="str">
        <f t="shared" si="5"/>
        <v/>
      </c>
      <c r="M1225" s="51">
        <f t="shared" si="6"/>
        <v>1456</v>
      </c>
      <c r="N1225" s="53" t="str">
        <f>IFERROR(__xludf.DUMMYFUNCTION("IFERROR(GOOGLEFINANCE(A1225,""TRADETIME""),)"),"")</f>
        <v/>
      </c>
      <c r="O1225" s="44"/>
      <c r="P1225" s="44"/>
      <c r="Q1225" s="44"/>
      <c r="R1225" s="44"/>
      <c r="S1225" s="44"/>
      <c r="T1225" s="44"/>
      <c r="U1225" s="44"/>
      <c r="V1225" s="44"/>
      <c r="W1225" s="44"/>
      <c r="X1225" s="44"/>
      <c r="Y1225" s="44"/>
      <c r="Z1225" s="44"/>
    </row>
    <row r="1226" ht="15.75" customHeight="1">
      <c r="A1226" s="48" t="s">
        <v>1272</v>
      </c>
      <c r="B1226" s="48" t="str">
        <f>IFERROR(__xludf.DUMMYFUNCTION("IFERROR(GOOGLEFINANCE(A1226,""NAME""),)"),"Sanghvi Movers Ltd")</f>
        <v>Sanghvi Movers Ltd</v>
      </c>
      <c r="C1226" s="48">
        <f>IFERROR(__xludf.DUMMYFUNCTION("IFERROR(GOOGLEFINANCE(A1226,""CHANGE""),)"),-13.5)</f>
        <v>-13.5</v>
      </c>
      <c r="D1226" s="48">
        <f>IFERROR(__xludf.DUMMYFUNCTION("IFERROR(GOOGLEFINANCE(A1226,""CHANGEPCT""),)"),-2.98)</f>
        <v>-2.98</v>
      </c>
      <c r="E1226" s="48" t="str">
        <f t="shared" si="1"/>
        <v>-2.98%</v>
      </c>
      <c r="F1226" s="48" t="str">
        <f t="shared" si="2"/>
        <v/>
      </c>
      <c r="G1226" s="48">
        <f t="shared" si="3"/>
        <v>-2.98</v>
      </c>
      <c r="H1226" s="48">
        <f>IFERROR(__xludf.DUMMYFUNCTION("IFERROR(GOOGLEFINANCE(A1226,""PRICE""),)"),439.5)</f>
        <v>439.5</v>
      </c>
      <c r="I1226" s="49">
        <f>IFERROR(__xludf.DUMMYFUNCTION("IFERROR(GOOGLEFINANCE(A1226,""VOLUME""),)"),455750.0)</f>
        <v>455750</v>
      </c>
      <c r="J1226" s="48" t="str">
        <f>IFERROR(__xludf.DUMMYFUNCTION("IFERROR(INDEX(SPLIT(A1226,"":""),1,2),)"),"SANGHVIMOV")</f>
        <v>SANGHVIMOV</v>
      </c>
      <c r="K1226" s="48" t="str">
        <f t="shared" si="4"/>
        <v/>
      </c>
      <c r="L1226" s="48">
        <f t="shared" si="5"/>
        <v>589</v>
      </c>
      <c r="M1226" s="48">
        <f t="shared" si="6"/>
        <v>418</v>
      </c>
      <c r="N1226" s="50">
        <f>IFERROR(__xludf.DUMMYFUNCTION("IFERROR(GOOGLEFINANCE(A1226,""TRADETIME""),)"),46269.64583333333)</f>
        <v>46269.64583</v>
      </c>
      <c r="O1226" s="44"/>
      <c r="P1226" s="44"/>
      <c r="Q1226" s="44"/>
      <c r="R1226" s="44"/>
      <c r="S1226" s="44"/>
      <c r="T1226" s="44"/>
      <c r="U1226" s="44"/>
      <c r="V1226" s="44"/>
      <c r="W1226" s="44"/>
      <c r="X1226" s="44"/>
      <c r="Y1226" s="44"/>
      <c r="Z1226" s="44"/>
    </row>
    <row r="1227" ht="15.75" customHeight="1">
      <c r="A1227" s="51" t="s">
        <v>1273</v>
      </c>
      <c r="B1227" s="51" t="str">
        <f>IFERROR(__xludf.DUMMYFUNCTION("IFERROR(GOOGLEFINANCE(A1227,""NAME""),)"),"Sanginita Chemicals Ltd")</f>
        <v>Sanginita Chemicals Ltd</v>
      </c>
      <c r="C1227" s="51">
        <f>IFERROR(__xludf.DUMMYFUNCTION("IFERROR(GOOGLEFINANCE(A1227,""CHANGE""),)"),1.16)</f>
        <v>1.16</v>
      </c>
      <c r="D1227" s="51">
        <f>IFERROR(__xludf.DUMMYFUNCTION("IFERROR(GOOGLEFINANCE(A1227,""CHANGEPCT""),)"),1.99)</f>
        <v>1.99</v>
      </c>
      <c r="E1227" s="51" t="str">
        <f t="shared" si="1"/>
        <v>1.99%</v>
      </c>
      <c r="F1227" s="51">
        <f t="shared" si="2"/>
        <v>1.99</v>
      </c>
      <c r="G1227" s="51" t="str">
        <f t="shared" si="3"/>
        <v/>
      </c>
      <c r="H1227" s="51">
        <f>IFERROR(__xludf.DUMMYFUNCTION("IFERROR(GOOGLEFINANCE(A1227,""PRICE""),)"),59.5)</f>
        <v>59.5</v>
      </c>
      <c r="I1227" s="52">
        <f>IFERROR(__xludf.DUMMYFUNCTION("IFERROR(GOOGLEFINANCE(A1227,""VOLUME""),)"),64797.0)</f>
        <v>64797</v>
      </c>
      <c r="J1227" s="51" t="str">
        <f>IFERROR(__xludf.DUMMYFUNCTION("IFERROR(INDEX(SPLIT(A1227,"":""),1,2),)"),"SANGINITA")</f>
        <v>SANGINITA</v>
      </c>
      <c r="K1227" s="51">
        <f t="shared" si="4"/>
        <v>262</v>
      </c>
      <c r="L1227" s="51" t="str">
        <f t="shared" si="5"/>
        <v/>
      </c>
      <c r="M1227" s="51">
        <f t="shared" si="6"/>
        <v>882</v>
      </c>
      <c r="N1227" s="53">
        <f>IFERROR(__xludf.DUMMYFUNCTION("IFERROR(GOOGLEFINANCE(A1227,""TRADETIME""),)"),46269.64583333333)</f>
        <v>46269.64583</v>
      </c>
      <c r="O1227" s="44"/>
      <c r="P1227" s="44"/>
      <c r="Q1227" s="44"/>
      <c r="R1227" s="44"/>
      <c r="S1227" s="44"/>
      <c r="T1227" s="44"/>
      <c r="U1227" s="44"/>
      <c r="V1227" s="44"/>
      <c r="W1227" s="44"/>
      <c r="X1227" s="44"/>
      <c r="Y1227" s="44"/>
      <c r="Z1227" s="44"/>
    </row>
    <row r="1228" ht="15.75" customHeight="1">
      <c r="A1228" s="48" t="s">
        <v>1274</v>
      </c>
      <c r="B1228" s="48" t="str">
        <f>IFERROR(__xludf.DUMMYFUNCTION("IFERROR(GOOGLEFINANCE(A1228,""NAME""),)"),"Sanofi India Ltd")</f>
        <v>Sanofi India Ltd</v>
      </c>
      <c r="C1228" s="48">
        <f>IFERROR(__xludf.DUMMYFUNCTION("IFERROR(GOOGLEFINANCE(A1228,""CHANGE""),)"),-36.8)</f>
        <v>-36.8</v>
      </c>
      <c r="D1228" s="48">
        <f>IFERROR(__xludf.DUMMYFUNCTION("IFERROR(GOOGLEFINANCE(A1228,""CHANGEPCT""),)"),-1.15)</f>
        <v>-1.15</v>
      </c>
      <c r="E1228" s="48" t="str">
        <f t="shared" si="1"/>
        <v>-1.15%</v>
      </c>
      <c r="F1228" s="48" t="str">
        <f t="shared" si="2"/>
        <v/>
      </c>
      <c r="G1228" s="48">
        <f t="shared" si="3"/>
        <v>-1.15</v>
      </c>
      <c r="H1228" s="48">
        <f>IFERROR(__xludf.DUMMYFUNCTION("IFERROR(GOOGLEFINANCE(A1228,""PRICE""),)"),3154.0)</f>
        <v>3154</v>
      </c>
      <c r="I1228" s="49">
        <f>IFERROR(__xludf.DUMMYFUNCTION("IFERROR(GOOGLEFINANCE(A1228,""VOLUME""),)"),9898.0)</f>
        <v>9898</v>
      </c>
      <c r="J1228" s="48" t="str">
        <f>IFERROR(__xludf.DUMMYFUNCTION("IFERROR(INDEX(SPLIT(A1228,"":""),1,2),)"),"SANOFI")</f>
        <v>SANOFI</v>
      </c>
      <c r="K1228" s="48" t="str">
        <f t="shared" si="4"/>
        <v/>
      </c>
      <c r="L1228" s="48">
        <f t="shared" si="5"/>
        <v>370</v>
      </c>
      <c r="M1228" s="48">
        <f t="shared" si="6"/>
        <v>1237</v>
      </c>
      <c r="N1228" s="50">
        <f>IFERROR(__xludf.DUMMYFUNCTION("IFERROR(GOOGLEFINANCE(A1228,""TRADETIME""),)"),46269.64583333333)</f>
        <v>46269.64583</v>
      </c>
      <c r="O1228" s="44"/>
      <c r="P1228" s="44"/>
      <c r="Q1228" s="44"/>
      <c r="R1228" s="44"/>
      <c r="S1228" s="44"/>
      <c r="T1228" s="44"/>
      <c r="U1228" s="44"/>
      <c r="V1228" s="44"/>
      <c r="W1228" s="44"/>
      <c r="X1228" s="44"/>
      <c r="Y1228" s="44"/>
      <c r="Z1228" s="44"/>
    </row>
    <row r="1229" ht="15.75" customHeight="1">
      <c r="A1229" s="51" t="s">
        <v>1275</v>
      </c>
      <c r="B1229" s="51" t="str">
        <f>IFERROR(__xludf.DUMMYFUNCTION("IFERROR(GOOGLEFINANCE(A1229,""NAME""),)"),"Sanwaria Consumer Ltd")</f>
        <v>Sanwaria Consumer Ltd</v>
      </c>
      <c r="C1229" s="51">
        <f>IFERROR(__xludf.DUMMYFUNCTION("IFERROR(GOOGLEFINANCE(A1229,""CHANGE""),)"),0.0)</f>
        <v>0</v>
      </c>
      <c r="D1229" s="51">
        <f>IFERROR(__xludf.DUMMYFUNCTION("IFERROR(GOOGLEFINANCE(A1229,""CHANGEPCT""),)"),0.0)</f>
        <v>0</v>
      </c>
      <c r="E1229" s="51" t="str">
        <f t="shared" si="1"/>
        <v>0%</v>
      </c>
      <c r="F1229" s="51" t="str">
        <f t="shared" si="2"/>
        <v/>
      </c>
      <c r="G1229" s="51" t="str">
        <f t="shared" si="3"/>
        <v/>
      </c>
      <c r="H1229" s="51">
        <f>IFERROR(__xludf.DUMMYFUNCTION("IFERROR(GOOGLEFINANCE(A1229,""PRICE""),)"),0.19)</f>
        <v>0.19</v>
      </c>
      <c r="I1229" s="52">
        <f>IFERROR(__xludf.DUMMYFUNCTION("IFERROR(GOOGLEFINANCE(A1229,""VOLUME""),)"),871449.0)</f>
        <v>871449</v>
      </c>
      <c r="J1229" s="51" t="str">
        <f>IFERROR(__xludf.DUMMYFUNCTION("IFERROR(INDEX(SPLIT(A1229,"":""),1,2),)"),"SANWARIA")</f>
        <v>SANWARIA</v>
      </c>
      <c r="K1229" s="51" t="str">
        <f t="shared" si="4"/>
        <v/>
      </c>
      <c r="L1229" s="51" t="str">
        <f t="shared" si="5"/>
        <v/>
      </c>
      <c r="M1229" s="51">
        <f t="shared" si="6"/>
        <v>296</v>
      </c>
      <c r="N1229" s="53">
        <f>IFERROR(__xludf.DUMMYFUNCTION("IFERROR(GOOGLEFINANCE(A1229,""TRADETIME""),)"),46269.64583333333)</f>
        <v>46269.64583</v>
      </c>
      <c r="O1229" s="44"/>
      <c r="P1229" s="44"/>
      <c r="Q1229" s="44"/>
      <c r="R1229" s="44"/>
      <c r="S1229" s="44"/>
      <c r="T1229" s="44"/>
      <c r="U1229" s="44"/>
      <c r="V1229" s="44"/>
      <c r="W1229" s="44"/>
      <c r="X1229" s="44"/>
      <c r="Y1229" s="44"/>
      <c r="Z1229" s="44"/>
    </row>
    <row r="1230" ht="15.75" customHeight="1">
      <c r="A1230" s="48" t="s">
        <v>1276</v>
      </c>
      <c r="B1230" s="48" t="str">
        <f>IFERROR(__xludf.DUMMYFUNCTION("IFERROR(GOOGLEFINANCE(A1230,""NAME""),)"),"Sarda Energy &amp; Minerals Ltd")</f>
        <v>Sarda Energy &amp; Minerals Ltd</v>
      </c>
      <c r="C1230" s="48">
        <f>IFERROR(__xludf.DUMMYFUNCTION("IFERROR(GOOGLEFINANCE(A1230,""CHANGE""),)"),1.45)</f>
        <v>1.45</v>
      </c>
      <c r="D1230" s="48">
        <f>IFERROR(__xludf.DUMMYFUNCTION("IFERROR(GOOGLEFINANCE(A1230,""CHANGEPCT""),)"),0.29)</f>
        <v>0.29</v>
      </c>
      <c r="E1230" s="48" t="str">
        <f t="shared" si="1"/>
        <v>0.29%</v>
      </c>
      <c r="F1230" s="48">
        <f t="shared" si="2"/>
        <v>0.29</v>
      </c>
      <c r="G1230" s="48" t="str">
        <f t="shared" si="3"/>
        <v/>
      </c>
      <c r="H1230" s="48">
        <f>IFERROR(__xludf.DUMMYFUNCTION("IFERROR(GOOGLEFINANCE(A1230,""PRICE""),)"),508.0)</f>
        <v>508</v>
      </c>
      <c r="I1230" s="49">
        <f>IFERROR(__xludf.DUMMYFUNCTION("IFERROR(GOOGLEFINANCE(A1230,""VOLUME""),)"),526969.0)</f>
        <v>526969</v>
      </c>
      <c r="J1230" s="48" t="str">
        <f>IFERROR(__xludf.DUMMYFUNCTION("IFERROR(INDEX(SPLIT(A1230,"":""),1,2),)"),"SARDAEN")</f>
        <v>SARDAEN</v>
      </c>
      <c r="K1230" s="48">
        <f t="shared" si="4"/>
        <v>667</v>
      </c>
      <c r="L1230" s="48" t="str">
        <f t="shared" si="5"/>
        <v/>
      </c>
      <c r="M1230" s="48">
        <f t="shared" si="6"/>
        <v>382</v>
      </c>
      <c r="N1230" s="50">
        <f>IFERROR(__xludf.DUMMYFUNCTION("IFERROR(GOOGLEFINANCE(A1230,""TRADETIME""),)"),46269.64583333333)</f>
        <v>46269.64583</v>
      </c>
      <c r="O1230" s="44"/>
      <c r="P1230" s="44"/>
      <c r="Q1230" s="44"/>
      <c r="R1230" s="44"/>
      <c r="S1230" s="44"/>
      <c r="T1230" s="44"/>
      <c r="U1230" s="44"/>
      <c r="V1230" s="44"/>
      <c r="W1230" s="44"/>
      <c r="X1230" s="44"/>
      <c r="Y1230" s="44"/>
      <c r="Z1230" s="44"/>
    </row>
    <row r="1231" ht="15.75" customHeight="1">
      <c r="A1231" s="51" t="s">
        <v>1277</v>
      </c>
      <c r="B1231" s="51" t="str">
        <f>IFERROR(__xludf.DUMMYFUNCTION("IFERROR(GOOGLEFINANCE(A1231,""NAME""),)"),"Saregama India Ltd")</f>
        <v>Saregama India Ltd</v>
      </c>
      <c r="C1231" s="51">
        <f>IFERROR(__xludf.DUMMYFUNCTION("IFERROR(GOOGLEFINANCE(A1231,""CHANGE""),)"),-2.25)</f>
        <v>-2.25</v>
      </c>
      <c r="D1231" s="51">
        <f>IFERROR(__xludf.DUMMYFUNCTION("IFERROR(GOOGLEFINANCE(A1231,""CHANGEPCT""),)"),-0.46)</f>
        <v>-0.46</v>
      </c>
      <c r="E1231" s="51" t="str">
        <f t="shared" si="1"/>
        <v>-0.46%</v>
      </c>
      <c r="F1231" s="51" t="str">
        <f t="shared" si="2"/>
        <v/>
      </c>
      <c r="G1231" s="51">
        <f t="shared" si="3"/>
        <v>-0.46</v>
      </c>
      <c r="H1231" s="51">
        <f>IFERROR(__xludf.DUMMYFUNCTION("IFERROR(GOOGLEFINANCE(A1231,""PRICE""),)"),491.4)</f>
        <v>491.4</v>
      </c>
      <c r="I1231" s="52">
        <f>IFERROR(__xludf.DUMMYFUNCTION("IFERROR(GOOGLEFINANCE(A1231,""VOLUME""),)"),353123.0)</f>
        <v>353123</v>
      </c>
      <c r="J1231" s="51" t="str">
        <f>IFERROR(__xludf.DUMMYFUNCTION("IFERROR(INDEX(SPLIT(A1231,"":""),1,2),)"),"SAREGAMA")</f>
        <v>SAREGAMA</v>
      </c>
      <c r="K1231" s="51" t="str">
        <f t="shared" si="4"/>
        <v/>
      </c>
      <c r="L1231" s="51">
        <f t="shared" si="5"/>
        <v>178</v>
      </c>
      <c r="M1231" s="51">
        <f t="shared" si="6"/>
        <v>468</v>
      </c>
      <c r="N1231" s="53">
        <f>IFERROR(__xludf.DUMMYFUNCTION("IFERROR(GOOGLEFINANCE(A1231,""TRADETIME""),)"),46269.64584490741)</f>
        <v>46269.64584</v>
      </c>
      <c r="O1231" s="44"/>
      <c r="P1231" s="44"/>
      <c r="Q1231" s="44"/>
      <c r="R1231" s="44"/>
      <c r="S1231" s="44"/>
      <c r="T1231" s="44"/>
      <c r="U1231" s="44"/>
      <c r="V1231" s="44"/>
      <c r="W1231" s="44"/>
      <c r="X1231" s="44"/>
      <c r="Y1231" s="44"/>
      <c r="Z1231" s="44"/>
    </row>
    <row r="1232" ht="15.75" customHeight="1">
      <c r="A1232" s="48" t="s">
        <v>1278</v>
      </c>
      <c r="B1232" s="48" t="str">
        <f>IFERROR(__xludf.DUMMYFUNCTION("IFERROR(GOOGLEFINANCE(A1232,""NAME""),)"),"Sarla Performance Fibers Ltd")</f>
        <v>Sarla Performance Fibers Ltd</v>
      </c>
      <c r="C1232" s="48">
        <f>IFERROR(__xludf.DUMMYFUNCTION("IFERROR(GOOGLEFINANCE(A1232,""CHANGE""),)"),-2.25)</f>
        <v>-2.25</v>
      </c>
      <c r="D1232" s="48">
        <f>IFERROR(__xludf.DUMMYFUNCTION("IFERROR(GOOGLEFINANCE(A1232,""CHANGEPCT""),)"),-2.2)</f>
        <v>-2.2</v>
      </c>
      <c r="E1232" s="48" t="str">
        <f t="shared" si="1"/>
        <v>-2.2%</v>
      </c>
      <c r="F1232" s="48" t="str">
        <f t="shared" si="2"/>
        <v/>
      </c>
      <c r="G1232" s="48">
        <f t="shared" si="3"/>
        <v>-2.2</v>
      </c>
      <c r="H1232" s="48">
        <f>IFERROR(__xludf.DUMMYFUNCTION("IFERROR(GOOGLEFINANCE(A1232,""PRICE""),)"),99.9)</f>
        <v>99.9</v>
      </c>
      <c r="I1232" s="49">
        <f>IFERROR(__xludf.DUMMYFUNCTION("IFERROR(GOOGLEFINANCE(A1232,""VOLUME""),)"),97835.0)</f>
        <v>97835</v>
      </c>
      <c r="J1232" s="48" t="str">
        <f>IFERROR(__xludf.DUMMYFUNCTION("IFERROR(INDEX(SPLIT(A1232,"":""),1,2),)"),"SARLAPOLY")</f>
        <v>SARLAPOLY</v>
      </c>
      <c r="K1232" s="48" t="str">
        <f t="shared" si="4"/>
        <v/>
      </c>
      <c r="L1232" s="48">
        <f t="shared" si="5"/>
        <v>551</v>
      </c>
      <c r="M1232" s="48">
        <f t="shared" si="6"/>
        <v>776</v>
      </c>
      <c r="N1232" s="50">
        <f>IFERROR(__xludf.DUMMYFUNCTION("IFERROR(GOOGLEFINANCE(A1232,""TRADETIME""),)"),46269.64583333333)</f>
        <v>46269.64583</v>
      </c>
      <c r="O1232" s="44"/>
      <c r="P1232" s="44"/>
      <c r="Q1232" s="44"/>
      <c r="R1232" s="44"/>
      <c r="S1232" s="44"/>
      <c r="T1232" s="44"/>
      <c r="U1232" s="44"/>
      <c r="V1232" s="44"/>
      <c r="W1232" s="44"/>
      <c r="X1232" s="44"/>
      <c r="Y1232" s="44"/>
      <c r="Z1232" s="44"/>
    </row>
    <row r="1233" ht="15.75" customHeight="1">
      <c r="A1233" s="51" t="s">
        <v>1279</v>
      </c>
      <c r="B1233" s="51" t="str">
        <f>IFERROR(__xludf.DUMMYFUNCTION("IFERROR(GOOGLEFINANCE(A1233,""NAME""),)"),"Sasken Technologies Ltd")</f>
        <v>Sasken Technologies Ltd</v>
      </c>
      <c r="C1233" s="51">
        <f>IFERROR(__xludf.DUMMYFUNCTION("IFERROR(GOOGLEFINANCE(A1233,""CHANGE""),)"),-16.4)</f>
        <v>-16.4</v>
      </c>
      <c r="D1233" s="51">
        <f>IFERROR(__xludf.DUMMYFUNCTION("IFERROR(GOOGLEFINANCE(A1233,""CHANGEPCT""),)"),-0.86)</f>
        <v>-0.86</v>
      </c>
      <c r="E1233" s="51" t="str">
        <f t="shared" si="1"/>
        <v>-0.86%</v>
      </c>
      <c r="F1233" s="51" t="str">
        <f t="shared" si="2"/>
        <v/>
      </c>
      <c r="G1233" s="51">
        <f t="shared" si="3"/>
        <v>-0.86</v>
      </c>
      <c r="H1233" s="51">
        <f>IFERROR(__xludf.DUMMYFUNCTION("IFERROR(GOOGLEFINANCE(A1233,""PRICE""),)"),1886.0)</f>
        <v>1886</v>
      </c>
      <c r="I1233" s="52">
        <f>IFERROR(__xludf.DUMMYFUNCTION("IFERROR(GOOGLEFINANCE(A1233,""VOLUME""),)"),12365.0)</f>
        <v>12365</v>
      </c>
      <c r="J1233" s="51" t="str">
        <f>IFERROR(__xludf.DUMMYFUNCTION("IFERROR(INDEX(SPLIT(A1233,"":""),1,2),)"),"SASKEN")</f>
        <v>SASKEN</v>
      </c>
      <c r="K1233" s="51" t="str">
        <f t="shared" si="4"/>
        <v/>
      </c>
      <c r="L1233" s="51">
        <f t="shared" si="5"/>
        <v>311</v>
      </c>
      <c r="M1233" s="51">
        <f t="shared" si="6"/>
        <v>1203</v>
      </c>
      <c r="N1233" s="53">
        <f>IFERROR(__xludf.DUMMYFUNCTION("IFERROR(GOOGLEFINANCE(A1233,""TRADETIME""),)"),46269.64583333333)</f>
        <v>46269.64583</v>
      </c>
      <c r="O1233" s="44"/>
      <c r="P1233" s="44"/>
      <c r="Q1233" s="44"/>
      <c r="R1233" s="44"/>
      <c r="S1233" s="44"/>
      <c r="T1233" s="44"/>
      <c r="U1233" s="44"/>
      <c r="V1233" s="44"/>
      <c r="W1233" s="44"/>
      <c r="X1233" s="44"/>
      <c r="Y1233" s="44"/>
      <c r="Z1233" s="44"/>
    </row>
    <row r="1234" ht="15.75" customHeight="1">
      <c r="A1234" s="48" t="s">
        <v>1280</v>
      </c>
      <c r="B1234" s="48" t="str">
        <f>IFERROR(__xludf.DUMMYFUNCTION("IFERROR(GOOGLEFINANCE(A1234,""NAME""),)"),"")</f>
        <v/>
      </c>
      <c r="C1234" s="48" t="str">
        <f>IFERROR(__xludf.DUMMYFUNCTION("IFERROR(GOOGLEFINANCE(A1234,""CHANGE""),)"),"")</f>
        <v/>
      </c>
      <c r="D1234" s="48" t="str">
        <f>IFERROR(__xludf.DUMMYFUNCTION("IFERROR(GOOGLEFINANCE(A1234,""CHANGEPCT""),)"),"")</f>
        <v/>
      </c>
      <c r="E1234" s="48" t="str">
        <f t="shared" si="1"/>
        <v>%</v>
      </c>
      <c r="F1234" s="48" t="str">
        <f t="shared" si="2"/>
        <v/>
      </c>
      <c r="G1234" s="48" t="str">
        <f t="shared" si="3"/>
        <v/>
      </c>
      <c r="H1234" s="48" t="str">
        <f>IFERROR(__xludf.DUMMYFUNCTION("IFERROR(GOOGLEFINANCE(A1234,""PRICE""),)"),"")</f>
        <v/>
      </c>
      <c r="I1234" s="49" t="str">
        <f>IFERROR(__xludf.DUMMYFUNCTION("IFERROR(GOOGLEFINANCE(A1234,""VOLUME""),)"),"")</f>
        <v/>
      </c>
      <c r="J1234" s="48" t="str">
        <f>IFERROR(__xludf.DUMMYFUNCTION("IFERROR(INDEX(SPLIT(A1234,"":""),1,2),)"),"SASTASUNDR")</f>
        <v>SASTASUNDR</v>
      </c>
      <c r="K1234" s="48" t="str">
        <f t="shared" si="4"/>
        <v/>
      </c>
      <c r="L1234" s="48" t="str">
        <f t="shared" si="5"/>
        <v/>
      </c>
      <c r="M1234" s="48">
        <f t="shared" si="6"/>
        <v>1456</v>
      </c>
      <c r="N1234" s="50" t="str">
        <f>IFERROR(__xludf.DUMMYFUNCTION("IFERROR(GOOGLEFINANCE(A1234,""TRADETIME""),)"),"")</f>
        <v/>
      </c>
      <c r="O1234" s="44"/>
      <c r="P1234" s="44"/>
      <c r="Q1234" s="44"/>
      <c r="R1234" s="44"/>
      <c r="S1234" s="44"/>
      <c r="T1234" s="44"/>
      <c r="U1234" s="44"/>
      <c r="V1234" s="44"/>
      <c r="W1234" s="44"/>
      <c r="X1234" s="44"/>
      <c r="Y1234" s="44"/>
      <c r="Z1234" s="44"/>
    </row>
    <row r="1235" ht="15.75" customHeight="1">
      <c r="A1235" s="51" t="s">
        <v>1281</v>
      </c>
      <c r="B1235" s="51" t="str">
        <f>IFERROR(__xludf.DUMMYFUNCTION("IFERROR(GOOGLEFINANCE(A1235,""NAME""),)"),"Satia Industries Ltd")</f>
        <v>Satia Industries Ltd</v>
      </c>
      <c r="C1235" s="51">
        <f>IFERROR(__xludf.DUMMYFUNCTION("IFERROR(GOOGLEFINANCE(A1235,""CHANGE""),)"),3.43)</f>
        <v>3.43</v>
      </c>
      <c r="D1235" s="51">
        <f>IFERROR(__xludf.DUMMYFUNCTION("IFERROR(GOOGLEFINANCE(A1235,""CHANGEPCT""),)"),5.68)</f>
        <v>5.68</v>
      </c>
      <c r="E1235" s="51" t="str">
        <f t="shared" si="1"/>
        <v>5.68%</v>
      </c>
      <c r="F1235" s="51">
        <f t="shared" si="2"/>
        <v>5.68</v>
      </c>
      <c r="G1235" s="51" t="str">
        <f t="shared" si="3"/>
        <v/>
      </c>
      <c r="H1235" s="51">
        <f>IFERROR(__xludf.DUMMYFUNCTION("IFERROR(GOOGLEFINANCE(A1235,""PRICE""),)"),63.8)</f>
        <v>63.8</v>
      </c>
      <c r="I1235" s="52">
        <f>IFERROR(__xludf.DUMMYFUNCTION("IFERROR(GOOGLEFINANCE(A1235,""VOLUME""),)"),251939.0)</f>
        <v>251939</v>
      </c>
      <c r="J1235" s="51" t="str">
        <f>IFERROR(__xludf.DUMMYFUNCTION("IFERROR(INDEX(SPLIT(A1235,"":""),1,2),)"),"SATIA")</f>
        <v>SATIA</v>
      </c>
      <c r="K1235" s="51">
        <f t="shared" si="4"/>
        <v>40</v>
      </c>
      <c r="L1235" s="51" t="str">
        <f t="shared" si="5"/>
        <v/>
      </c>
      <c r="M1235" s="51">
        <f t="shared" si="6"/>
        <v>564</v>
      </c>
      <c r="N1235" s="53">
        <f>IFERROR(__xludf.DUMMYFUNCTION("IFERROR(GOOGLEFINANCE(A1235,""TRADETIME""),)"),46269.64583333333)</f>
        <v>46269.64583</v>
      </c>
      <c r="O1235" s="44"/>
      <c r="P1235" s="44"/>
      <c r="Q1235" s="44"/>
      <c r="R1235" s="44"/>
      <c r="S1235" s="44"/>
      <c r="T1235" s="44"/>
      <c r="U1235" s="44"/>
      <c r="V1235" s="44"/>
      <c r="W1235" s="44"/>
      <c r="X1235" s="44"/>
      <c r="Y1235" s="44"/>
      <c r="Z1235" s="44"/>
    </row>
    <row r="1236" ht="15.75" customHeight="1">
      <c r="A1236" s="48" t="s">
        <v>1282</v>
      </c>
      <c r="B1236" s="48" t="str">
        <f>IFERROR(__xludf.DUMMYFUNCTION("IFERROR(GOOGLEFINANCE(A1236,""NAME""),)"),"Satin Creditcare Network Ltd")</f>
        <v>Satin Creditcare Network Ltd</v>
      </c>
      <c r="C1236" s="48">
        <f>IFERROR(__xludf.DUMMYFUNCTION("IFERROR(GOOGLEFINANCE(A1236,""CHANGE""),)"),0.41)</f>
        <v>0.41</v>
      </c>
      <c r="D1236" s="48">
        <f>IFERROR(__xludf.DUMMYFUNCTION("IFERROR(GOOGLEFINANCE(A1236,""CHANGEPCT""),)"),0.19)</f>
        <v>0.19</v>
      </c>
      <c r="E1236" s="48" t="str">
        <f t="shared" si="1"/>
        <v>0.19%</v>
      </c>
      <c r="F1236" s="48">
        <f t="shared" si="2"/>
        <v>0.19</v>
      </c>
      <c r="G1236" s="48" t="str">
        <f t="shared" si="3"/>
        <v/>
      </c>
      <c r="H1236" s="48">
        <f>IFERROR(__xludf.DUMMYFUNCTION("IFERROR(GOOGLEFINANCE(A1236,""PRICE""),)"),219.78)</f>
        <v>219.78</v>
      </c>
      <c r="I1236" s="49">
        <f>IFERROR(__xludf.DUMMYFUNCTION("IFERROR(GOOGLEFINANCE(A1236,""VOLUME""),)"),205973.0)</f>
        <v>205973</v>
      </c>
      <c r="J1236" s="48" t="str">
        <f>IFERROR(__xludf.DUMMYFUNCTION("IFERROR(INDEX(SPLIT(A1236,"":""),1,2),)"),"SATIN")</f>
        <v>SATIN</v>
      </c>
      <c r="K1236" s="48">
        <f t="shared" si="4"/>
        <v>702</v>
      </c>
      <c r="L1236" s="48" t="str">
        <f t="shared" si="5"/>
        <v/>
      </c>
      <c r="M1236" s="48">
        <f t="shared" si="6"/>
        <v>618</v>
      </c>
      <c r="N1236" s="50">
        <f>IFERROR(__xludf.DUMMYFUNCTION("IFERROR(GOOGLEFINANCE(A1236,""TRADETIME""),)"),46269.64583333333)</f>
        <v>46269.64583</v>
      </c>
      <c r="O1236" s="44"/>
      <c r="P1236" s="44"/>
      <c r="Q1236" s="44"/>
      <c r="R1236" s="44"/>
      <c r="S1236" s="44"/>
      <c r="T1236" s="44"/>
      <c r="U1236" s="44"/>
      <c r="V1236" s="44"/>
      <c r="W1236" s="44"/>
      <c r="X1236" s="44"/>
      <c r="Y1236" s="44"/>
      <c r="Z1236" s="44"/>
    </row>
    <row r="1237" ht="15.75" customHeight="1">
      <c r="A1237" s="51" t="s">
        <v>1283</v>
      </c>
      <c r="B1237" s="51" t="str">
        <f>IFERROR(__xludf.DUMMYFUNCTION("IFERROR(GOOGLEFINANCE(A1237,""NAME""),)"),"SBI Cards and Payment Services Ltd")</f>
        <v>SBI Cards and Payment Services Ltd</v>
      </c>
      <c r="C1237" s="51">
        <f>IFERROR(__xludf.DUMMYFUNCTION("IFERROR(GOOGLEFINANCE(A1237,""CHANGE""),)"),-2.65)</f>
        <v>-2.65</v>
      </c>
      <c r="D1237" s="51">
        <f>IFERROR(__xludf.DUMMYFUNCTION("IFERROR(GOOGLEFINANCE(A1237,""CHANGEPCT""),)"),-0.4)</f>
        <v>-0.4</v>
      </c>
      <c r="E1237" s="51" t="str">
        <f t="shared" si="1"/>
        <v>-0.4%</v>
      </c>
      <c r="F1237" s="51" t="str">
        <f t="shared" si="2"/>
        <v/>
      </c>
      <c r="G1237" s="51">
        <f t="shared" si="3"/>
        <v>-0.4</v>
      </c>
      <c r="H1237" s="51">
        <f>IFERROR(__xludf.DUMMYFUNCTION("IFERROR(GOOGLEFINANCE(A1237,""PRICE""),)"),658.35)</f>
        <v>658.35</v>
      </c>
      <c r="I1237" s="52">
        <f>IFERROR(__xludf.DUMMYFUNCTION("IFERROR(GOOGLEFINANCE(A1237,""VOLUME""),)"),1752698.0)</f>
        <v>1752698</v>
      </c>
      <c r="J1237" s="51" t="str">
        <f>IFERROR(__xludf.DUMMYFUNCTION("IFERROR(INDEX(SPLIT(A1237,"":""),1,2),)"),"SBICARD")</f>
        <v>SBICARD</v>
      </c>
      <c r="K1237" s="51" t="str">
        <f t="shared" si="4"/>
        <v/>
      </c>
      <c r="L1237" s="51">
        <f t="shared" si="5"/>
        <v>155</v>
      </c>
      <c r="M1237" s="51">
        <f t="shared" si="6"/>
        <v>188</v>
      </c>
      <c r="N1237" s="53">
        <f>IFERROR(__xludf.DUMMYFUNCTION("IFERROR(GOOGLEFINANCE(A1237,""TRADETIME""),)"),46269.64583333333)</f>
        <v>46269.64583</v>
      </c>
      <c r="O1237" s="44"/>
      <c r="P1237" s="44"/>
      <c r="Q1237" s="44"/>
      <c r="R1237" s="44"/>
      <c r="S1237" s="44"/>
      <c r="T1237" s="44"/>
      <c r="U1237" s="44"/>
      <c r="V1237" s="44"/>
      <c r="W1237" s="44"/>
      <c r="X1237" s="44"/>
      <c r="Y1237" s="44"/>
      <c r="Z1237" s="44"/>
    </row>
    <row r="1238" ht="15.75" customHeight="1">
      <c r="A1238" s="48" t="s">
        <v>1284</v>
      </c>
      <c r="B1238" s="48" t="str">
        <f>IFERROR(__xludf.DUMMYFUNCTION("IFERROR(GOOGLEFINANCE(A1238,""NAME""),)"),"Sbi Life Insurance Company Ltd")</f>
        <v>Sbi Life Insurance Company Ltd</v>
      </c>
      <c r="C1238" s="48">
        <f>IFERROR(__xludf.DUMMYFUNCTION("IFERROR(GOOGLEFINANCE(A1238,""CHANGE""),)"),55.1)</f>
        <v>55.1</v>
      </c>
      <c r="D1238" s="48">
        <f>IFERROR(__xludf.DUMMYFUNCTION("IFERROR(GOOGLEFINANCE(A1238,""CHANGEPCT""),)"),3.21)</f>
        <v>3.21</v>
      </c>
      <c r="E1238" s="48" t="str">
        <f t="shared" si="1"/>
        <v>3.21%</v>
      </c>
      <c r="F1238" s="48">
        <f t="shared" si="2"/>
        <v>3.21</v>
      </c>
      <c r="G1238" s="48" t="str">
        <f t="shared" si="3"/>
        <v/>
      </c>
      <c r="H1238" s="48">
        <f>IFERROR(__xludf.DUMMYFUNCTION("IFERROR(GOOGLEFINANCE(A1238,""PRICE""),)"),1770.1)</f>
        <v>1770.1</v>
      </c>
      <c r="I1238" s="49">
        <f>IFERROR(__xludf.DUMMYFUNCTION("IFERROR(GOOGLEFINANCE(A1238,""VOLUME""),)"),1720166.0)</f>
        <v>1720166</v>
      </c>
      <c r="J1238" s="48" t="str">
        <f>IFERROR(__xludf.DUMMYFUNCTION("IFERROR(INDEX(SPLIT(A1238,"":""),1,2),)"),"SBILIFE")</f>
        <v>SBILIFE</v>
      </c>
      <c r="K1238" s="48">
        <f t="shared" si="4"/>
        <v>149</v>
      </c>
      <c r="L1238" s="48" t="str">
        <f t="shared" si="5"/>
        <v/>
      </c>
      <c r="M1238" s="48">
        <f t="shared" si="6"/>
        <v>194</v>
      </c>
      <c r="N1238" s="50">
        <f>IFERROR(__xludf.DUMMYFUNCTION("IFERROR(GOOGLEFINANCE(A1238,""TRADETIME""),)"),46269.64583333333)</f>
        <v>46269.64583</v>
      </c>
      <c r="O1238" s="44"/>
      <c r="P1238" s="44"/>
      <c r="Q1238" s="44"/>
      <c r="R1238" s="44"/>
      <c r="S1238" s="44"/>
      <c r="T1238" s="44"/>
      <c r="U1238" s="44"/>
      <c r="V1238" s="44"/>
      <c r="W1238" s="44"/>
      <c r="X1238" s="44"/>
      <c r="Y1238" s="44"/>
      <c r="Z1238" s="44"/>
    </row>
    <row r="1239" ht="15.75" customHeight="1">
      <c r="A1239" s="51" t="s">
        <v>1285</v>
      </c>
      <c r="B1239" s="51" t="str">
        <f>IFERROR(__xludf.DUMMYFUNCTION("IFERROR(GOOGLEFINANCE(A1239,""NAME""),)"),"State Bank of India")</f>
        <v>State Bank of India</v>
      </c>
      <c r="C1239" s="51">
        <f>IFERROR(__xludf.DUMMYFUNCTION("IFERROR(GOOGLEFINANCE(A1239,""CHANGE""),)"),-4.9)</f>
        <v>-4.9</v>
      </c>
      <c r="D1239" s="51">
        <f>IFERROR(__xludf.DUMMYFUNCTION("IFERROR(GOOGLEFINANCE(A1239,""CHANGEPCT""),)"),-0.48)</f>
        <v>-0.48</v>
      </c>
      <c r="E1239" s="51" t="str">
        <f t="shared" si="1"/>
        <v>-0.48%</v>
      </c>
      <c r="F1239" s="51" t="str">
        <f t="shared" si="2"/>
        <v/>
      </c>
      <c r="G1239" s="51">
        <f t="shared" si="3"/>
        <v>-0.48</v>
      </c>
      <c r="H1239" s="51">
        <f>IFERROR(__xludf.DUMMYFUNCTION("IFERROR(GOOGLEFINANCE(A1239,""PRICE""),)"),1018.5)</f>
        <v>1018.5</v>
      </c>
      <c r="I1239" s="52">
        <f>IFERROR(__xludf.DUMMYFUNCTION("IFERROR(GOOGLEFINANCE(A1239,""VOLUME""),)"),6724566.0)</f>
        <v>6724566</v>
      </c>
      <c r="J1239" s="51" t="str">
        <f>IFERROR(__xludf.DUMMYFUNCTION("IFERROR(INDEX(SPLIT(A1239,"":""),1,2),)"),"SBIN")</f>
        <v>SBIN</v>
      </c>
      <c r="K1239" s="51" t="str">
        <f t="shared" si="4"/>
        <v/>
      </c>
      <c r="L1239" s="51">
        <f t="shared" si="5"/>
        <v>188</v>
      </c>
      <c r="M1239" s="51">
        <f t="shared" si="6"/>
        <v>67</v>
      </c>
      <c r="N1239" s="53">
        <f>IFERROR(__xludf.DUMMYFUNCTION("IFERROR(GOOGLEFINANCE(A1239,""TRADETIME""),)"),46269.64583333333)</f>
        <v>46269.64583</v>
      </c>
      <c r="O1239" s="44"/>
      <c r="P1239" s="44"/>
      <c r="Q1239" s="44"/>
      <c r="R1239" s="44"/>
      <c r="S1239" s="44"/>
      <c r="T1239" s="44"/>
      <c r="U1239" s="44"/>
      <c r="V1239" s="44"/>
      <c r="W1239" s="44"/>
      <c r="X1239" s="44"/>
      <c r="Y1239" s="44"/>
      <c r="Z1239" s="44"/>
    </row>
    <row r="1240" ht="15.75" customHeight="1">
      <c r="A1240" s="48" t="s">
        <v>1286</v>
      </c>
      <c r="B1240" s="48" t="str">
        <f>IFERROR(__xludf.DUMMYFUNCTION("IFERROR(GOOGLEFINANCE(A1240,""NAME""),)"),"")</f>
        <v/>
      </c>
      <c r="C1240" s="48" t="str">
        <f>IFERROR(__xludf.DUMMYFUNCTION("IFERROR(GOOGLEFINANCE(A1240,""CHANGE""),)"),"")</f>
        <v/>
      </c>
      <c r="D1240" s="48" t="str">
        <f>IFERROR(__xludf.DUMMYFUNCTION("IFERROR(GOOGLEFINANCE(A1240,""CHANGEPCT""),)"),"")</f>
        <v/>
      </c>
      <c r="E1240" s="48" t="str">
        <f t="shared" si="1"/>
        <v>%</v>
      </c>
      <c r="F1240" s="48" t="str">
        <f t="shared" si="2"/>
        <v/>
      </c>
      <c r="G1240" s="48" t="str">
        <f t="shared" si="3"/>
        <v/>
      </c>
      <c r="H1240" s="48" t="str">
        <f>IFERROR(__xludf.DUMMYFUNCTION("IFERROR(GOOGLEFINANCE(A1240,""PRICE""),)"),"")</f>
        <v/>
      </c>
      <c r="I1240" s="49" t="str">
        <f>IFERROR(__xludf.DUMMYFUNCTION("IFERROR(GOOGLEFINANCE(A1240,""VOLUME""),)"),"")</f>
        <v/>
      </c>
      <c r="J1240" s="48" t="str">
        <f>IFERROR(__xludf.DUMMYFUNCTION("IFERROR(INDEX(SPLIT(A1240,"":""),1,2),)"),"SCAPDVR")</f>
        <v>SCAPDVR</v>
      </c>
      <c r="K1240" s="48" t="str">
        <f t="shared" si="4"/>
        <v/>
      </c>
      <c r="L1240" s="48" t="str">
        <f t="shared" si="5"/>
        <v/>
      </c>
      <c r="M1240" s="48">
        <f t="shared" si="6"/>
        <v>1456</v>
      </c>
      <c r="N1240" s="50" t="str">
        <f>IFERROR(__xludf.DUMMYFUNCTION("IFERROR(GOOGLEFINANCE(A1240,""TRADETIME""),)"),"")</f>
        <v/>
      </c>
      <c r="O1240" s="44"/>
      <c r="P1240" s="44"/>
      <c r="Q1240" s="44"/>
      <c r="R1240" s="44"/>
      <c r="S1240" s="44"/>
      <c r="T1240" s="44"/>
      <c r="U1240" s="44"/>
      <c r="V1240" s="44"/>
      <c r="W1240" s="44"/>
      <c r="X1240" s="44"/>
      <c r="Y1240" s="44"/>
      <c r="Z1240" s="44"/>
    </row>
    <row r="1241" ht="15.75" customHeight="1">
      <c r="A1241" s="51" t="s">
        <v>1287</v>
      </c>
      <c r="B1241" s="51" t="str">
        <f>IFERROR(__xludf.DUMMYFUNCTION("IFERROR(GOOGLEFINANCE(A1241,""NAME""),)"),"Schaeffler India Ltd")</f>
        <v>Schaeffler India Ltd</v>
      </c>
      <c r="C1241" s="51">
        <f>IFERROR(__xludf.DUMMYFUNCTION("IFERROR(GOOGLEFINANCE(A1241,""CHANGE""),)"),8.3)</f>
        <v>8.3</v>
      </c>
      <c r="D1241" s="51">
        <f>IFERROR(__xludf.DUMMYFUNCTION("IFERROR(GOOGLEFINANCE(A1241,""CHANGEPCT""),)"),0.21)</f>
        <v>0.21</v>
      </c>
      <c r="E1241" s="51" t="str">
        <f t="shared" si="1"/>
        <v>0.21%</v>
      </c>
      <c r="F1241" s="51">
        <f t="shared" si="2"/>
        <v>0.21</v>
      </c>
      <c r="G1241" s="51" t="str">
        <f t="shared" si="3"/>
        <v/>
      </c>
      <c r="H1241" s="51">
        <f>IFERROR(__xludf.DUMMYFUNCTION("IFERROR(GOOGLEFINANCE(A1241,""PRICE""),)"),3958.9)</f>
        <v>3958.9</v>
      </c>
      <c r="I1241" s="52">
        <f>IFERROR(__xludf.DUMMYFUNCTION("IFERROR(GOOGLEFINANCE(A1241,""VOLUME""),)"),53652.0)</f>
        <v>53652</v>
      </c>
      <c r="J1241" s="51" t="str">
        <f>IFERROR(__xludf.DUMMYFUNCTION("IFERROR(INDEX(SPLIT(A1241,"":""),1,2),)"),"SCHAEFFLER")</f>
        <v>SCHAEFFLER</v>
      </c>
      <c r="K1241" s="51">
        <f t="shared" si="4"/>
        <v>691</v>
      </c>
      <c r="L1241" s="51" t="str">
        <f t="shared" si="5"/>
        <v/>
      </c>
      <c r="M1241" s="51">
        <f t="shared" si="6"/>
        <v>929</v>
      </c>
      <c r="N1241" s="53">
        <f>IFERROR(__xludf.DUMMYFUNCTION("IFERROR(GOOGLEFINANCE(A1241,""TRADETIME""),)"),46269.64583333333)</f>
        <v>46269.64583</v>
      </c>
      <c r="O1241" s="44"/>
      <c r="P1241" s="44"/>
      <c r="Q1241" s="44"/>
      <c r="R1241" s="44"/>
      <c r="S1241" s="44"/>
      <c r="T1241" s="44"/>
      <c r="U1241" s="44"/>
      <c r="V1241" s="44"/>
      <c r="W1241" s="44"/>
      <c r="X1241" s="44"/>
      <c r="Y1241" s="44"/>
      <c r="Z1241" s="44"/>
    </row>
    <row r="1242" ht="15.75" customHeight="1">
      <c r="A1242" s="48" t="s">
        <v>1288</v>
      </c>
      <c r="B1242" s="48" t="str">
        <f>IFERROR(__xludf.DUMMYFUNCTION("IFERROR(GOOGLEFINANCE(A1242,""NAME""),)"),"S Chand and Company Ltd")</f>
        <v>S Chand and Company Ltd</v>
      </c>
      <c r="C1242" s="48">
        <f>IFERROR(__xludf.DUMMYFUNCTION("IFERROR(GOOGLEFINANCE(A1242,""CHANGE""),)"),-0.53)</f>
        <v>-0.53</v>
      </c>
      <c r="D1242" s="48">
        <f>IFERROR(__xludf.DUMMYFUNCTION("IFERROR(GOOGLEFINANCE(A1242,""CHANGEPCT""),)"),-0.39)</f>
        <v>-0.39</v>
      </c>
      <c r="E1242" s="48" t="str">
        <f t="shared" si="1"/>
        <v>-0.39%</v>
      </c>
      <c r="F1242" s="48" t="str">
        <f t="shared" si="2"/>
        <v/>
      </c>
      <c r="G1242" s="48">
        <f t="shared" si="3"/>
        <v>-0.39</v>
      </c>
      <c r="H1242" s="48">
        <f>IFERROR(__xludf.DUMMYFUNCTION("IFERROR(GOOGLEFINANCE(A1242,""PRICE""),)"),136.2)</f>
        <v>136.2</v>
      </c>
      <c r="I1242" s="49">
        <f>IFERROR(__xludf.DUMMYFUNCTION("IFERROR(GOOGLEFINANCE(A1242,""VOLUME""),)"),10647.0)</f>
        <v>10647</v>
      </c>
      <c r="J1242" s="48" t="str">
        <f>IFERROR(__xludf.DUMMYFUNCTION("IFERROR(INDEX(SPLIT(A1242,"":""),1,2),)"),"SCHAND")</f>
        <v>SCHAND</v>
      </c>
      <c r="K1242" s="48" t="str">
        <f t="shared" si="4"/>
        <v/>
      </c>
      <c r="L1242" s="48">
        <f t="shared" si="5"/>
        <v>152</v>
      </c>
      <c r="M1242" s="48">
        <f t="shared" si="6"/>
        <v>1225</v>
      </c>
      <c r="N1242" s="50">
        <f>IFERROR(__xludf.DUMMYFUNCTION("IFERROR(GOOGLEFINANCE(A1242,""TRADETIME""),)"),46269.64585648148)</f>
        <v>46269.64586</v>
      </c>
      <c r="O1242" s="44"/>
      <c r="P1242" s="44"/>
      <c r="Q1242" s="44"/>
      <c r="R1242" s="44"/>
      <c r="S1242" s="44"/>
      <c r="T1242" s="44"/>
      <c r="U1242" s="44"/>
      <c r="V1242" s="44"/>
      <c r="W1242" s="44"/>
      <c r="X1242" s="44"/>
      <c r="Y1242" s="44"/>
      <c r="Z1242" s="44"/>
    </row>
    <row r="1243" ht="15.75" customHeight="1">
      <c r="A1243" s="51" t="s">
        <v>1289</v>
      </c>
      <c r="B1243" s="51" t="str">
        <f>IFERROR(__xludf.DUMMYFUNCTION("IFERROR(GOOGLEFINANCE(A1243,""NAME""),)"),"Schneider Electric Infrastructure Ltd")</f>
        <v>Schneider Electric Infrastructure Ltd</v>
      </c>
      <c r="C1243" s="51">
        <f>IFERROR(__xludf.DUMMYFUNCTION("IFERROR(GOOGLEFINANCE(A1243,""CHANGE""),)"),33.2)</f>
        <v>33.2</v>
      </c>
      <c r="D1243" s="51">
        <f>IFERROR(__xludf.DUMMYFUNCTION("IFERROR(GOOGLEFINANCE(A1243,""CHANGEPCT""),)"),2.79)</f>
        <v>2.79</v>
      </c>
      <c r="E1243" s="51" t="str">
        <f t="shared" si="1"/>
        <v>2.79%</v>
      </c>
      <c r="F1243" s="51">
        <f t="shared" si="2"/>
        <v>2.79</v>
      </c>
      <c r="G1243" s="51" t="str">
        <f t="shared" si="3"/>
        <v/>
      </c>
      <c r="H1243" s="51">
        <f>IFERROR(__xludf.DUMMYFUNCTION("IFERROR(GOOGLEFINANCE(A1243,""PRICE""),)"),1224.2)</f>
        <v>1224.2</v>
      </c>
      <c r="I1243" s="52">
        <f>IFERROR(__xludf.DUMMYFUNCTION("IFERROR(GOOGLEFINANCE(A1243,""VOLUME""),)"),255402.0)</f>
        <v>255402</v>
      </c>
      <c r="J1243" s="51" t="str">
        <f>IFERROR(__xludf.DUMMYFUNCTION("IFERROR(INDEX(SPLIT(A1243,"":""),1,2),)"),"SCHNEIDER")</f>
        <v>SCHNEIDER</v>
      </c>
      <c r="K1243" s="51">
        <f t="shared" si="4"/>
        <v>178</v>
      </c>
      <c r="L1243" s="51" t="str">
        <f t="shared" si="5"/>
        <v/>
      </c>
      <c r="M1243" s="51">
        <f t="shared" si="6"/>
        <v>562</v>
      </c>
      <c r="N1243" s="53">
        <f>IFERROR(__xludf.DUMMYFUNCTION("IFERROR(GOOGLEFINANCE(A1243,""TRADETIME""),)"),46269.64583333333)</f>
        <v>46269.64583</v>
      </c>
      <c r="O1243" s="44"/>
      <c r="P1243" s="44"/>
      <c r="Q1243" s="44"/>
      <c r="R1243" s="44"/>
      <c r="S1243" s="44"/>
      <c r="T1243" s="44"/>
      <c r="U1243" s="44"/>
      <c r="V1243" s="44"/>
      <c r="W1243" s="44"/>
      <c r="X1243" s="44"/>
      <c r="Y1243" s="44"/>
      <c r="Z1243" s="44"/>
    </row>
    <row r="1244" ht="15.75" customHeight="1">
      <c r="A1244" s="48" t="s">
        <v>1290</v>
      </c>
      <c r="B1244" s="48" t="str">
        <f>IFERROR(__xludf.DUMMYFUNCTION("IFERROR(GOOGLEFINANCE(A1244,""NAME""),)"),"Shipping Corporation of India Ltd")</f>
        <v>Shipping Corporation of India Ltd</v>
      </c>
      <c r="C1244" s="48">
        <f>IFERROR(__xludf.DUMMYFUNCTION("IFERROR(GOOGLEFINANCE(A1244,""CHANGE""),)"),1.15)</f>
        <v>1.15</v>
      </c>
      <c r="D1244" s="48">
        <f>IFERROR(__xludf.DUMMYFUNCTION("IFERROR(GOOGLEFINANCE(A1244,""CHANGEPCT""),)"),0.39)</f>
        <v>0.39</v>
      </c>
      <c r="E1244" s="48" t="str">
        <f t="shared" si="1"/>
        <v>0.39%</v>
      </c>
      <c r="F1244" s="48">
        <f t="shared" si="2"/>
        <v>0.39</v>
      </c>
      <c r="G1244" s="48" t="str">
        <f t="shared" si="3"/>
        <v/>
      </c>
      <c r="H1244" s="48">
        <f>IFERROR(__xludf.DUMMYFUNCTION("IFERROR(GOOGLEFINANCE(A1244,""PRICE""),)"),296.1)</f>
        <v>296.1</v>
      </c>
      <c r="I1244" s="49">
        <f>IFERROR(__xludf.DUMMYFUNCTION("IFERROR(GOOGLEFINANCE(A1244,""VOLUME""),)"),1792086.0)</f>
        <v>1792086</v>
      </c>
      <c r="J1244" s="48" t="str">
        <f>IFERROR(__xludf.DUMMYFUNCTION("IFERROR(INDEX(SPLIT(A1244,"":""),1,2),)"),"SCI")</f>
        <v>SCI</v>
      </c>
      <c r="K1244" s="48">
        <f t="shared" si="4"/>
        <v>626</v>
      </c>
      <c r="L1244" s="48" t="str">
        <f t="shared" si="5"/>
        <v/>
      </c>
      <c r="M1244" s="48">
        <f t="shared" si="6"/>
        <v>185</v>
      </c>
      <c r="N1244" s="50">
        <f>IFERROR(__xludf.DUMMYFUNCTION("IFERROR(GOOGLEFINANCE(A1244,""TRADETIME""),)"),46269.64584490741)</f>
        <v>46269.64584</v>
      </c>
      <c r="O1244" s="44"/>
      <c r="P1244" s="44"/>
      <c r="Q1244" s="44"/>
      <c r="R1244" s="44"/>
      <c r="S1244" s="44"/>
      <c r="T1244" s="44"/>
      <c r="U1244" s="44"/>
      <c r="V1244" s="44"/>
      <c r="W1244" s="44"/>
      <c r="X1244" s="44"/>
      <c r="Y1244" s="44"/>
      <c r="Z1244" s="44"/>
    </row>
    <row r="1245" ht="15.75" customHeight="1">
      <c r="A1245" s="51" t="s">
        <v>1291</v>
      </c>
      <c r="B1245" s="51" t="str">
        <f>IFERROR(__xludf.DUMMYFUNCTION("IFERROR(GOOGLEFINANCE(A1245,""NAME""),)"),"Som Distilleries and Breweries Ltd")</f>
        <v>Som Distilleries and Breweries Ltd</v>
      </c>
      <c r="C1245" s="51">
        <f>IFERROR(__xludf.DUMMYFUNCTION("IFERROR(GOOGLEFINANCE(A1245,""CHANGE""),)"),1.47)</f>
        <v>1.47</v>
      </c>
      <c r="D1245" s="51">
        <f>IFERROR(__xludf.DUMMYFUNCTION("IFERROR(GOOGLEFINANCE(A1245,""CHANGEPCT""),)"),2.02)</f>
        <v>2.02</v>
      </c>
      <c r="E1245" s="51" t="str">
        <f t="shared" si="1"/>
        <v>2.02%</v>
      </c>
      <c r="F1245" s="51">
        <f t="shared" si="2"/>
        <v>2.02</v>
      </c>
      <c r="G1245" s="51" t="str">
        <f t="shared" si="3"/>
        <v/>
      </c>
      <c r="H1245" s="51">
        <f>IFERROR(__xludf.DUMMYFUNCTION("IFERROR(GOOGLEFINANCE(A1245,""PRICE""),)"),74.09)</f>
        <v>74.09</v>
      </c>
      <c r="I1245" s="52">
        <f>IFERROR(__xludf.DUMMYFUNCTION("IFERROR(GOOGLEFINANCE(A1245,""VOLUME""),)"),578202.0)</f>
        <v>578202</v>
      </c>
      <c r="J1245" s="51" t="str">
        <f>IFERROR(__xludf.DUMMYFUNCTION("IFERROR(INDEX(SPLIT(A1245,"":""),1,2),)"),"SDBL")</f>
        <v>SDBL</v>
      </c>
      <c r="K1245" s="51">
        <f t="shared" si="4"/>
        <v>253</v>
      </c>
      <c r="L1245" s="51" t="str">
        <f t="shared" si="5"/>
        <v/>
      </c>
      <c r="M1245" s="51">
        <f t="shared" si="6"/>
        <v>367</v>
      </c>
      <c r="N1245" s="53">
        <f>IFERROR(__xludf.DUMMYFUNCTION("IFERROR(GOOGLEFINANCE(A1245,""TRADETIME""),)"),46269.64584490741)</f>
        <v>46269.64584</v>
      </c>
      <c r="O1245" s="44"/>
      <c r="P1245" s="44"/>
      <c r="Q1245" s="44"/>
      <c r="R1245" s="44"/>
      <c r="S1245" s="44"/>
      <c r="T1245" s="44"/>
      <c r="U1245" s="44"/>
      <c r="V1245" s="44"/>
      <c r="W1245" s="44"/>
      <c r="X1245" s="44"/>
      <c r="Y1245" s="44"/>
      <c r="Z1245" s="44"/>
    </row>
    <row r="1246" ht="15.75" customHeight="1">
      <c r="A1246" s="48" t="s">
        <v>1292</v>
      </c>
      <c r="B1246" s="48" t="str">
        <f>IFERROR(__xludf.DUMMYFUNCTION("IFERROR(GOOGLEFINANCE(A1246,""NAME""),)"),"Seamec Ltd")</f>
        <v>Seamec Ltd</v>
      </c>
      <c r="C1246" s="48">
        <f>IFERROR(__xludf.DUMMYFUNCTION("IFERROR(GOOGLEFINANCE(A1246,""CHANGE""),)"),9.9)</f>
        <v>9.9</v>
      </c>
      <c r="D1246" s="48">
        <f>IFERROR(__xludf.DUMMYFUNCTION("IFERROR(GOOGLEFINANCE(A1246,""CHANGEPCT""),)"),0.55)</f>
        <v>0.55</v>
      </c>
      <c r="E1246" s="48" t="str">
        <f t="shared" si="1"/>
        <v>0.55%</v>
      </c>
      <c r="F1246" s="48">
        <f t="shared" si="2"/>
        <v>0.55</v>
      </c>
      <c r="G1246" s="48" t="str">
        <f t="shared" si="3"/>
        <v/>
      </c>
      <c r="H1246" s="48">
        <f>IFERROR(__xludf.DUMMYFUNCTION("IFERROR(GOOGLEFINANCE(A1246,""PRICE""),)"),1796.5)</f>
        <v>1796.5</v>
      </c>
      <c r="I1246" s="49">
        <f>IFERROR(__xludf.DUMMYFUNCTION("IFERROR(GOOGLEFINANCE(A1246,""VOLUME""),)"),130765.0)</f>
        <v>130765</v>
      </c>
      <c r="J1246" s="48" t="str">
        <f>IFERROR(__xludf.DUMMYFUNCTION("IFERROR(INDEX(SPLIT(A1246,"":""),1,2),)"),"SEAMECLTD")</f>
        <v>SEAMECLTD</v>
      </c>
      <c r="K1246" s="48">
        <f t="shared" si="4"/>
        <v>573</v>
      </c>
      <c r="L1246" s="48" t="str">
        <f t="shared" si="5"/>
        <v/>
      </c>
      <c r="M1246" s="48">
        <f t="shared" si="6"/>
        <v>718</v>
      </c>
      <c r="N1246" s="50">
        <f>IFERROR(__xludf.DUMMYFUNCTION("IFERROR(GOOGLEFINANCE(A1246,""TRADETIME""),)"),46269.64584490741)</f>
        <v>46269.64584</v>
      </c>
      <c r="O1246" s="44"/>
      <c r="P1246" s="44"/>
      <c r="Q1246" s="44"/>
      <c r="R1246" s="44"/>
      <c r="S1246" s="44"/>
      <c r="T1246" s="44"/>
      <c r="U1246" s="44"/>
      <c r="V1246" s="44"/>
      <c r="W1246" s="44"/>
      <c r="X1246" s="44"/>
      <c r="Y1246" s="44"/>
      <c r="Z1246" s="44"/>
    </row>
    <row r="1247" ht="15.75" customHeight="1">
      <c r="A1247" s="51" t="s">
        <v>1293</v>
      </c>
      <c r="B1247" s="51" t="str">
        <f>IFERROR(__xludf.DUMMYFUNCTION("IFERROR(GOOGLEFINANCE(A1247,""NAME""),)"),"")</f>
        <v/>
      </c>
      <c r="C1247" s="51" t="str">
        <f>IFERROR(__xludf.DUMMYFUNCTION("IFERROR(GOOGLEFINANCE(A1247,""CHANGE""),)"),"")</f>
        <v/>
      </c>
      <c r="D1247" s="51" t="str">
        <f>IFERROR(__xludf.DUMMYFUNCTION("IFERROR(GOOGLEFINANCE(A1247,""CHANGEPCT""),)"),"")</f>
        <v/>
      </c>
      <c r="E1247" s="51" t="str">
        <f t="shared" si="1"/>
        <v>%</v>
      </c>
      <c r="F1247" s="51" t="str">
        <f t="shared" si="2"/>
        <v/>
      </c>
      <c r="G1247" s="51" t="str">
        <f t="shared" si="3"/>
        <v/>
      </c>
      <c r="H1247" s="51" t="str">
        <f>IFERROR(__xludf.DUMMYFUNCTION("IFERROR(GOOGLEFINANCE(A1247,""PRICE""),)"),"")</f>
        <v/>
      </c>
      <c r="I1247" s="52" t="str">
        <f>IFERROR(__xludf.DUMMYFUNCTION("IFERROR(GOOGLEFINANCE(A1247,""VOLUME""),)"),"")</f>
        <v/>
      </c>
      <c r="J1247" s="51" t="str">
        <f>IFERROR(__xludf.DUMMYFUNCTION("IFERROR(INDEX(SPLIT(A1247,"":""),1,2),)"),"SELAN")</f>
        <v>SELAN</v>
      </c>
      <c r="K1247" s="51" t="str">
        <f t="shared" si="4"/>
        <v/>
      </c>
      <c r="L1247" s="51" t="str">
        <f t="shared" si="5"/>
        <v/>
      </c>
      <c r="M1247" s="51">
        <f t="shared" si="6"/>
        <v>1456</v>
      </c>
      <c r="N1247" s="53" t="str">
        <f>IFERROR(__xludf.DUMMYFUNCTION("IFERROR(GOOGLEFINANCE(A1247,""TRADETIME""),)"),"")</f>
        <v/>
      </c>
      <c r="O1247" s="44"/>
      <c r="P1247" s="44"/>
      <c r="Q1247" s="44"/>
      <c r="R1247" s="44"/>
      <c r="S1247" s="44"/>
      <c r="T1247" s="44"/>
      <c r="U1247" s="44"/>
      <c r="V1247" s="44"/>
      <c r="W1247" s="44"/>
      <c r="X1247" s="44"/>
      <c r="Y1247" s="44"/>
      <c r="Z1247" s="44"/>
    </row>
    <row r="1248" ht="15.75" customHeight="1">
      <c r="A1248" s="48" t="s">
        <v>1294</v>
      </c>
      <c r="B1248" s="48" t="str">
        <f>IFERROR(__xludf.DUMMYFUNCTION("IFERROR(GOOGLEFINANCE(A1248,""NAME""),)"),"Sel Manufacturing Company Ltd")</f>
        <v>Sel Manufacturing Company Ltd</v>
      </c>
      <c r="C1248" s="48">
        <f>IFERROR(__xludf.DUMMYFUNCTION("IFERROR(GOOGLEFINANCE(A1248,""CHANGE""),)"),0.33)</f>
        <v>0.33</v>
      </c>
      <c r="D1248" s="48">
        <f>IFERROR(__xludf.DUMMYFUNCTION("IFERROR(GOOGLEFINANCE(A1248,""CHANGEPCT""),)"),1.21)</f>
        <v>1.21</v>
      </c>
      <c r="E1248" s="48" t="str">
        <f t="shared" si="1"/>
        <v>1.21%</v>
      </c>
      <c r="F1248" s="48">
        <f t="shared" si="2"/>
        <v>1.21</v>
      </c>
      <c r="G1248" s="48" t="str">
        <f t="shared" si="3"/>
        <v/>
      </c>
      <c r="H1248" s="48">
        <f>IFERROR(__xludf.DUMMYFUNCTION("IFERROR(GOOGLEFINANCE(A1248,""PRICE""),)"),27.5)</f>
        <v>27.5</v>
      </c>
      <c r="I1248" s="49">
        <f>IFERROR(__xludf.DUMMYFUNCTION("IFERROR(GOOGLEFINANCE(A1248,""VOLUME""),)"),4456.0)</f>
        <v>4456</v>
      </c>
      <c r="J1248" s="48" t="str">
        <f>IFERROR(__xludf.DUMMYFUNCTION("IFERROR(INDEX(SPLIT(A1248,"":""),1,2),)"),"SELMC")</f>
        <v>SELMC</v>
      </c>
      <c r="K1248" s="48">
        <f t="shared" si="4"/>
        <v>404</v>
      </c>
      <c r="L1248" s="48" t="str">
        <f t="shared" si="5"/>
        <v/>
      </c>
      <c r="M1248" s="48">
        <f t="shared" si="6"/>
        <v>1337</v>
      </c>
      <c r="N1248" s="50">
        <f>IFERROR(__xludf.DUMMYFUNCTION("IFERROR(GOOGLEFINANCE(A1248,""TRADETIME""),)"),46269.64583333333)</f>
        <v>46269.64583</v>
      </c>
      <c r="O1248" s="44"/>
      <c r="P1248" s="44"/>
      <c r="Q1248" s="44"/>
      <c r="R1248" s="44"/>
      <c r="S1248" s="44"/>
      <c r="T1248" s="44"/>
      <c r="U1248" s="44"/>
      <c r="V1248" s="44"/>
      <c r="W1248" s="44"/>
      <c r="X1248" s="44"/>
      <c r="Y1248" s="44"/>
      <c r="Z1248" s="44"/>
    </row>
    <row r="1249" ht="15.75" customHeight="1">
      <c r="A1249" s="51" t="s">
        <v>1295</v>
      </c>
      <c r="B1249" s="51" t="str">
        <f>IFERROR(__xludf.DUMMYFUNCTION("IFERROR(GOOGLEFINANCE(A1249,""NAME""),)"),"")</f>
        <v/>
      </c>
      <c r="C1249" s="51" t="str">
        <f>IFERROR(__xludf.DUMMYFUNCTION("IFERROR(GOOGLEFINANCE(A1249,""CHANGE""),)"),"")</f>
        <v/>
      </c>
      <c r="D1249" s="51" t="str">
        <f>IFERROR(__xludf.DUMMYFUNCTION("IFERROR(GOOGLEFINANCE(A1249,""CHANGEPCT""),)"),"")</f>
        <v/>
      </c>
      <c r="E1249" s="51" t="str">
        <f t="shared" si="1"/>
        <v>%</v>
      </c>
      <c r="F1249" s="51" t="str">
        <f t="shared" si="2"/>
        <v/>
      </c>
      <c r="G1249" s="51" t="str">
        <f t="shared" si="3"/>
        <v/>
      </c>
      <c r="H1249" s="51" t="str">
        <f>IFERROR(__xludf.DUMMYFUNCTION("IFERROR(GOOGLEFINANCE(A1249,""PRICE""),)"),"")</f>
        <v/>
      </c>
      <c r="I1249" s="52" t="str">
        <f>IFERROR(__xludf.DUMMYFUNCTION("IFERROR(GOOGLEFINANCE(A1249,""VOLUME""),)"),"")</f>
        <v/>
      </c>
      <c r="J1249" s="51" t="str">
        <f>IFERROR(__xludf.DUMMYFUNCTION("IFERROR(INDEX(SPLIT(A1249,"":""),1,2),)"),"SEPOWER")</f>
        <v>SEPOWER</v>
      </c>
      <c r="K1249" s="51" t="str">
        <f t="shared" si="4"/>
        <v/>
      </c>
      <c r="L1249" s="51" t="str">
        <f t="shared" si="5"/>
        <v/>
      </c>
      <c r="M1249" s="51">
        <f t="shared" si="6"/>
        <v>1456</v>
      </c>
      <c r="N1249" s="53" t="str">
        <f>IFERROR(__xludf.DUMMYFUNCTION("IFERROR(GOOGLEFINANCE(A1249,""TRADETIME""),)"),"")</f>
        <v/>
      </c>
      <c r="O1249" s="44"/>
      <c r="P1249" s="44"/>
      <c r="Q1249" s="44"/>
      <c r="R1249" s="44"/>
      <c r="S1249" s="44"/>
      <c r="T1249" s="44"/>
      <c r="U1249" s="44"/>
      <c r="V1249" s="44"/>
      <c r="W1249" s="44"/>
      <c r="X1249" s="44"/>
      <c r="Y1249" s="44"/>
      <c r="Z1249" s="44"/>
    </row>
    <row r="1250" ht="15.75" customHeight="1">
      <c r="A1250" s="48" t="s">
        <v>1296</v>
      </c>
      <c r="B1250" s="48" t="str">
        <f>IFERROR(__xludf.DUMMYFUNCTION("IFERROR(GOOGLEFINANCE(A1250,""NAME""),)"),"")</f>
        <v/>
      </c>
      <c r="C1250" s="48" t="str">
        <f>IFERROR(__xludf.DUMMYFUNCTION("IFERROR(GOOGLEFINANCE(A1250,""CHANGE""),)"),"")</f>
        <v/>
      </c>
      <c r="D1250" s="48" t="str">
        <f>IFERROR(__xludf.DUMMYFUNCTION("IFERROR(GOOGLEFINANCE(A1250,""CHANGEPCT""),)"),"")</f>
        <v/>
      </c>
      <c r="E1250" s="48" t="str">
        <f t="shared" si="1"/>
        <v>%</v>
      </c>
      <c r="F1250" s="48" t="str">
        <f t="shared" si="2"/>
        <v/>
      </c>
      <c r="G1250" s="48" t="str">
        <f t="shared" si="3"/>
        <v/>
      </c>
      <c r="H1250" s="48" t="str">
        <f>IFERROR(__xludf.DUMMYFUNCTION("IFERROR(GOOGLEFINANCE(A1250,""PRICE""),)"),"")</f>
        <v/>
      </c>
      <c r="I1250" s="49" t="str">
        <f>IFERROR(__xludf.DUMMYFUNCTION("IFERROR(GOOGLEFINANCE(A1250,""VOLUME""),)"),"")</f>
        <v/>
      </c>
      <c r="J1250" s="48" t="str">
        <f>IFERROR(__xludf.DUMMYFUNCTION("IFERROR(INDEX(SPLIT(A1250,"":""),1,2),)"),"SEQUENT")</f>
        <v>SEQUENT</v>
      </c>
      <c r="K1250" s="48" t="str">
        <f t="shared" si="4"/>
        <v/>
      </c>
      <c r="L1250" s="48" t="str">
        <f t="shared" si="5"/>
        <v/>
      </c>
      <c r="M1250" s="48">
        <f t="shared" si="6"/>
        <v>1456</v>
      </c>
      <c r="N1250" s="50" t="str">
        <f>IFERROR(__xludf.DUMMYFUNCTION("IFERROR(GOOGLEFINANCE(A1250,""TRADETIME""),)"),"")</f>
        <v/>
      </c>
      <c r="O1250" s="44"/>
      <c r="P1250" s="44"/>
      <c r="Q1250" s="44"/>
      <c r="R1250" s="44"/>
      <c r="S1250" s="44"/>
      <c r="T1250" s="44"/>
      <c r="U1250" s="44"/>
      <c r="V1250" s="44"/>
      <c r="W1250" s="44"/>
      <c r="X1250" s="44"/>
      <c r="Y1250" s="44"/>
      <c r="Z1250" s="44"/>
    </row>
    <row r="1251" ht="15.75" customHeight="1">
      <c r="A1251" s="51" t="s">
        <v>1297</v>
      </c>
      <c r="B1251" s="51" t="str">
        <f>IFERROR(__xludf.DUMMYFUNCTION("IFERROR(GOOGLEFINANCE(A1251,""NAME""),)"),"Seshasayee Paper and Boards Ltd")</f>
        <v>Seshasayee Paper and Boards Ltd</v>
      </c>
      <c r="C1251" s="51">
        <f>IFERROR(__xludf.DUMMYFUNCTION("IFERROR(GOOGLEFINANCE(A1251,""CHANGE""),)"),-1.96)</f>
        <v>-1.96</v>
      </c>
      <c r="D1251" s="51">
        <f>IFERROR(__xludf.DUMMYFUNCTION("IFERROR(GOOGLEFINANCE(A1251,""CHANGEPCT""),)"),-0.84)</f>
        <v>-0.84</v>
      </c>
      <c r="E1251" s="51" t="str">
        <f t="shared" si="1"/>
        <v>-0.84%</v>
      </c>
      <c r="F1251" s="51" t="str">
        <f t="shared" si="2"/>
        <v/>
      </c>
      <c r="G1251" s="51">
        <f t="shared" si="3"/>
        <v>-0.84</v>
      </c>
      <c r="H1251" s="51">
        <f>IFERROR(__xludf.DUMMYFUNCTION("IFERROR(GOOGLEFINANCE(A1251,""PRICE""),)"),232.55)</f>
        <v>232.55</v>
      </c>
      <c r="I1251" s="52">
        <f>IFERROR(__xludf.DUMMYFUNCTION("IFERROR(GOOGLEFINANCE(A1251,""VOLUME""),)"),18854.0)</f>
        <v>18854</v>
      </c>
      <c r="J1251" s="51" t="str">
        <f>IFERROR(__xludf.DUMMYFUNCTION("IFERROR(INDEX(SPLIT(A1251,"":""),1,2),)"),"SESHAPAPER")</f>
        <v>SESHAPAPER</v>
      </c>
      <c r="K1251" s="51" t="str">
        <f t="shared" si="4"/>
        <v/>
      </c>
      <c r="L1251" s="51">
        <f t="shared" si="5"/>
        <v>307</v>
      </c>
      <c r="M1251" s="51">
        <f t="shared" si="6"/>
        <v>1135</v>
      </c>
      <c r="N1251" s="53">
        <f>IFERROR(__xludf.DUMMYFUNCTION("IFERROR(GOOGLEFINANCE(A1251,""TRADETIME""),)"),46269.64583333333)</f>
        <v>46269.64583</v>
      </c>
      <c r="O1251" s="44"/>
      <c r="P1251" s="44"/>
      <c r="Q1251" s="44"/>
      <c r="R1251" s="44"/>
      <c r="S1251" s="44"/>
      <c r="T1251" s="44"/>
      <c r="U1251" s="44"/>
      <c r="V1251" s="44"/>
      <c r="W1251" s="44"/>
      <c r="X1251" s="44"/>
      <c r="Y1251" s="44"/>
      <c r="Z1251" s="44"/>
    </row>
    <row r="1252" ht="15.75" customHeight="1">
      <c r="A1252" s="48" t="s">
        <v>1298</v>
      </c>
      <c r="B1252" s="48" t="str">
        <f>IFERROR(__xludf.DUMMYFUNCTION("IFERROR(GOOGLEFINANCE(A1252,""NAME""),)"),"Setco Automotive Ltd")</f>
        <v>Setco Automotive Ltd</v>
      </c>
      <c r="C1252" s="48">
        <f>IFERROR(__xludf.DUMMYFUNCTION("IFERROR(GOOGLEFINANCE(A1252,""CHANGE""),)"),0.14)</f>
        <v>0.14</v>
      </c>
      <c r="D1252" s="48">
        <f>IFERROR(__xludf.DUMMYFUNCTION("IFERROR(GOOGLEFINANCE(A1252,""CHANGEPCT""),)"),0.81)</f>
        <v>0.81</v>
      </c>
      <c r="E1252" s="48" t="str">
        <f t="shared" si="1"/>
        <v>0.81%</v>
      </c>
      <c r="F1252" s="48">
        <f t="shared" si="2"/>
        <v>0.81</v>
      </c>
      <c r="G1252" s="48" t="str">
        <f t="shared" si="3"/>
        <v/>
      </c>
      <c r="H1252" s="48">
        <f>IFERROR(__xludf.DUMMYFUNCTION("IFERROR(GOOGLEFINANCE(A1252,""PRICE""),)"),17.5)</f>
        <v>17.5</v>
      </c>
      <c r="I1252" s="49">
        <f>IFERROR(__xludf.DUMMYFUNCTION("IFERROR(GOOGLEFINANCE(A1252,""VOLUME""),)"),24126.0)</f>
        <v>24126</v>
      </c>
      <c r="J1252" s="48" t="str">
        <f>IFERROR(__xludf.DUMMYFUNCTION("IFERROR(INDEX(SPLIT(A1252,"":""),1,2),)"),"SETCO")</f>
        <v>SETCO</v>
      </c>
      <c r="K1252" s="48">
        <f t="shared" si="4"/>
        <v>500</v>
      </c>
      <c r="L1252" s="48" t="str">
        <f t="shared" si="5"/>
        <v/>
      </c>
      <c r="M1252" s="48">
        <f t="shared" si="6"/>
        <v>1092</v>
      </c>
      <c r="N1252" s="50">
        <f>IFERROR(__xludf.DUMMYFUNCTION("IFERROR(GOOGLEFINANCE(A1252,""TRADETIME""),)"),46269.64583333333)</f>
        <v>46269.64583</v>
      </c>
      <c r="O1252" s="44"/>
      <c r="P1252" s="44"/>
      <c r="Q1252" s="44"/>
      <c r="R1252" s="44"/>
      <c r="S1252" s="44"/>
      <c r="T1252" s="44"/>
      <c r="U1252" s="44"/>
      <c r="V1252" s="44"/>
      <c r="W1252" s="44"/>
      <c r="X1252" s="44"/>
      <c r="Y1252" s="44"/>
      <c r="Z1252" s="44"/>
    </row>
    <row r="1253" ht="15.75" customHeight="1">
      <c r="A1253" s="51" t="s">
        <v>1299</v>
      </c>
      <c r="B1253" s="51" t="str">
        <f>IFERROR(__xludf.DUMMYFUNCTION("IFERROR(GOOGLEFINANCE(A1253,""NAME""),)"),"Setubandhan Infrastructure Ltd")</f>
        <v>Setubandhan Infrastructure Ltd</v>
      </c>
      <c r="C1253" s="51">
        <f>IFERROR(__xludf.DUMMYFUNCTION("IFERROR(GOOGLEFINANCE(A1253,""CHANGE""),)"),0.02)</f>
        <v>0.02</v>
      </c>
      <c r="D1253" s="51">
        <f>IFERROR(__xludf.DUMMYFUNCTION("IFERROR(GOOGLEFINANCE(A1253,""CHANGEPCT""),)"),3.64)</f>
        <v>3.64</v>
      </c>
      <c r="E1253" s="51" t="str">
        <f t="shared" si="1"/>
        <v>3.64%</v>
      </c>
      <c r="F1253" s="51">
        <f t="shared" si="2"/>
        <v>3.64</v>
      </c>
      <c r="G1253" s="51" t="str">
        <f t="shared" si="3"/>
        <v/>
      </c>
      <c r="H1253" s="51">
        <f>IFERROR(__xludf.DUMMYFUNCTION("IFERROR(GOOGLEFINANCE(A1253,""PRICE""),)"),0.57)</f>
        <v>0.57</v>
      </c>
      <c r="I1253" s="52">
        <f>IFERROR(__xludf.DUMMYFUNCTION("IFERROR(GOOGLEFINANCE(A1253,""VOLUME""),)"),46145.0)</f>
        <v>46145</v>
      </c>
      <c r="J1253" s="51" t="str">
        <f>IFERROR(__xludf.DUMMYFUNCTION("IFERROR(INDEX(SPLIT(A1253,"":""),1,2),)"),"SETUINFRA")</f>
        <v>SETUINFRA</v>
      </c>
      <c r="K1253" s="51">
        <f t="shared" si="4"/>
        <v>131</v>
      </c>
      <c r="L1253" s="51" t="str">
        <f t="shared" si="5"/>
        <v/>
      </c>
      <c r="M1253" s="51">
        <f t="shared" si="6"/>
        <v>966</v>
      </c>
      <c r="N1253" s="53">
        <f>IFERROR(__xludf.DUMMYFUNCTION("IFERROR(GOOGLEFINANCE(A1253,""TRADETIME""),)"),46269.64583333333)</f>
        <v>46269.64583</v>
      </c>
      <c r="O1253" s="44"/>
      <c r="P1253" s="44"/>
      <c r="Q1253" s="44"/>
      <c r="R1253" s="44"/>
      <c r="S1253" s="44"/>
      <c r="T1253" s="44"/>
      <c r="U1253" s="44"/>
      <c r="V1253" s="44"/>
      <c r="W1253" s="44"/>
      <c r="X1253" s="44"/>
      <c r="Y1253" s="44"/>
      <c r="Z1253" s="44"/>
    </row>
    <row r="1254" ht="15.75" customHeight="1">
      <c r="A1254" s="48" t="s">
        <v>1300</v>
      </c>
      <c r="B1254" s="48" t="str">
        <f>IFERROR(__xludf.DUMMYFUNCTION("IFERROR(GOOGLEFINANCE(A1254,""NAME""),)"),"Seya Industries Ltd")</f>
        <v>Seya Industries Ltd</v>
      </c>
      <c r="C1254" s="48">
        <f>IFERROR(__xludf.DUMMYFUNCTION("IFERROR(GOOGLEFINANCE(A1254,""CHANGE""),)"),-0.05)</f>
        <v>-0.05</v>
      </c>
      <c r="D1254" s="48">
        <f>IFERROR(__xludf.DUMMYFUNCTION("IFERROR(GOOGLEFINANCE(A1254,""CHANGEPCT""),)"),-0.41)</f>
        <v>-0.41</v>
      </c>
      <c r="E1254" s="48" t="str">
        <f t="shared" si="1"/>
        <v>-0.41%</v>
      </c>
      <c r="F1254" s="48" t="str">
        <f t="shared" si="2"/>
        <v/>
      </c>
      <c r="G1254" s="48">
        <f t="shared" si="3"/>
        <v>-0.41</v>
      </c>
      <c r="H1254" s="48">
        <f>IFERROR(__xludf.DUMMYFUNCTION("IFERROR(GOOGLEFINANCE(A1254,""PRICE""),)"),12.01)</f>
        <v>12.01</v>
      </c>
      <c r="I1254" s="49">
        <f>IFERROR(__xludf.DUMMYFUNCTION("IFERROR(GOOGLEFINANCE(A1254,""VOLUME""),)"),4895.0)</f>
        <v>4895</v>
      </c>
      <c r="J1254" s="48" t="str">
        <f>IFERROR(__xludf.DUMMYFUNCTION("IFERROR(INDEX(SPLIT(A1254,"":""),1,2),)"),"SEYAIND")</f>
        <v>SEYAIND</v>
      </c>
      <c r="K1254" s="48" t="str">
        <f t="shared" si="4"/>
        <v/>
      </c>
      <c r="L1254" s="48">
        <f t="shared" si="5"/>
        <v>159</v>
      </c>
      <c r="M1254" s="48">
        <f t="shared" si="6"/>
        <v>1327</v>
      </c>
      <c r="N1254" s="50">
        <f>IFERROR(__xludf.DUMMYFUNCTION("IFERROR(GOOGLEFINANCE(A1254,""TRADETIME""),)"),46269.64583333333)</f>
        <v>46269.64583</v>
      </c>
      <c r="O1254" s="44"/>
      <c r="P1254" s="44"/>
      <c r="Q1254" s="44"/>
      <c r="R1254" s="44"/>
      <c r="S1254" s="44"/>
      <c r="T1254" s="44"/>
      <c r="U1254" s="44"/>
      <c r="V1254" s="44"/>
      <c r="W1254" s="44"/>
      <c r="X1254" s="44"/>
      <c r="Y1254" s="44"/>
      <c r="Z1254" s="44"/>
    </row>
    <row r="1255" ht="15.75" customHeight="1">
      <c r="A1255" s="51" t="s">
        <v>1301</v>
      </c>
      <c r="B1255" s="51" t="str">
        <f>IFERROR(__xludf.DUMMYFUNCTION("IFERROR(GOOGLEFINANCE(A1255,""NAME""),)"),"Sejal Glass Ltd")</f>
        <v>Sejal Glass Ltd</v>
      </c>
      <c r="C1255" s="51">
        <f>IFERROR(__xludf.DUMMYFUNCTION("IFERROR(GOOGLEFINANCE(A1255,""CHANGE""),)"),-14.3)</f>
        <v>-14.3</v>
      </c>
      <c r="D1255" s="51">
        <f>IFERROR(__xludf.DUMMYFUNCTION("IFERROR(GOOGLEFINANCE(A1255,""CHANGEPCT""),)"),-2.13)</f>
        <v>-2.13</v>
      </c>
      <c r="E1255" s="51" t="str">
        <f t="shared" si="1"/>
        <v>-2.13%</v>
      </c>
      <c r="F1255" s="51" t="str">
        <f t="shared" si="2"/>
        <v/>
      </c>
      <c r="G1255" s="51">
        <f t="shared" si="3"/>
        <v>-2.13</v>
      </c>
      <c r="H1255" s="51">
        <f>IFERROR(__xludf.DUMMYFUNCTION("IFERROR(GOOGLEFINANCE(A1255,""PRICE""),)"),658.15)</f>
        <v>658.15</v>
      </c>
      <c r="I1255" s="52">
        <f>IFERROR(__xludf.DUMMYFUNCTION("IFERROR(GOOGLEFINANCE(A1255,""VOLUME""),)"),5519.0)</f>
        <v>5519</v>
      </c>
      <c r="J1255" s="51" t="str">
        <f>IFERROR(__xludf.DUMMYFUNCTION("IFERROR(INDEX(SPLIT(A1255,"":""),1,2),)"),"SEJALLTD")</f>
        <v>SEJALLTD</v>
      </c>
      <c r="K1255" s="51" t="str">
        <f t="shared" si="4"/>
        <v/>
      </c>
      <c r="L1255" s="51">
        <f t="shared" si="5"/>
        <v>542</v>
      </c>
      <c r="M1255" s="51">
        <f t="shared" si="6"/>
        <v>1319</v>
      </c>
      <c r="N1255" s="53">
        <f>IFERROR(__xludf.DUMMYFUNCTION("IFERROR(GOOGLEFINANCE(A1255,""TRADETIME""),)"),46269.64583333333)</f>
        <v>46269.64583</v>
      </c>
      <c r="O1255" s="44"/>
      <c r="P1255" s="44"/>
      <c r="Q1255" s="44"/>
      <c r="R1255" s="44"/>
      <c r="S1255" s="44"/>
      <c r="T1255" s="44"/>
      <c r="U1255" s="44"/>
      <c r="V1255" s="44"/>
      <c r="W1255" s="44"/>
      <c r="X1255" s="44"/>
      <c r="Y1255" s="44"/>
      <c r="Z1255" s="44"/>
    </row>
    <row r="1256" ht="15.75" customHeight="1">
      <c r="A1256" s="48" t="s">
        <v>1302</v>
      </c>
      <c r="B1256" s="48" t="str">
        <f>IFERROR(__xludf.DUMMYFUNCTION("IFERROR(GOOGLEFINANCE(A1256,""NAME""),)"),"Sheela Foam Ltd")</f>
        <v>Sheela Foam Ltd</v>
      </c>
      <c r="C1256" s="48">
        <f>IFERROR(__xludf.DUMMYFUNCTION("IFERROR(GOOGLEFINANCE(A1256,""CHANGE""),)"),-1.9)</f>
        <v>-1.9</v>
      </c>
      <c r="D1256" s="48">
        <f>IFERROR(__xludf.DUMMYFUNCTION("IFERROR(GOOGLEFINANCE(A1256,""CHANGEPCT""),)"),-0.29)</f>
        <v>-0.29</v>
      </c>
      <c r="E1256" s="48" t="str">
        <f t="shared" si="1"/>
        <v>-0.29%</v>
      </c>
      <c r="F1256" s="48" t="str">
        <f t="shared" si="2"/>
        <v/>
      </c>
      <c r="G1256" s="48">
        <f t="shared" si="3"/>
        <v>-0.29</v>
      </c>
      <c r="H1256" s="48">
        <f>IFERROR(__xludf.DUMMYFUNCTION("IFERROR(GOOGLEFINANCE(A1256,""PRICE""),)"),643.0)</f>
        <v>643</v>
      </c>
      <c r="I1256" s="49">
        <f>IFERROR(__xludf.DUMMYFUNCTION("IFERROR(GOOGLEFINANCE(A1256,""VOLUME""),)"),59553.0)</f>
        <v>59553</v>
      </c>
      <c r="J1256" s="48" t="str">
        <f>IFERROR(__xludf.DUMMYFUNCTION("IFERROR(INDEX(SPLIT(A1256,"":""),1,2),)"),"SFL")</f>
        <v>SFL</v>
      </c>
      <c r="K1256" s="48" t="str">
        <f t="shared" si="4"/>
        <v/>
      </c>
      <c r="L1256" s="48">
        <f t="shared" si="5"/>
        <v>109</v>
      </c>
      <c r="M1256" s="48">
        <f t="shared" si="6"/>
        <v>906</v>
      </c>
      <c r="N1256" s="50">
        <f>IFERROR(__xludf.DUMMYFUNCTION("IFERROR(GOOGLEFINANCE(A1256,""TRADETIME""),)"),46269.64583333333)</f>
        <v>46269.64583</v>
      </c>
      <c r="O1256" s="44"/>
      <c r="P1256" s="44"/>
      <c r="Q1256" s="44"/>
      <c r="R1256" s="44"/>
      <c r="S1256" s="44"/>
      <c r="T1256" s="44"/>
      <c r="U1256" s="44"/>
      <c r="V1256" s="44"/>
      <c r="W1256" s="44"/>
      <c r="X1256" s="44"/>
      <c r="Y1256" s="44"/>
      <c r="Z1256" s="44"/>
    </row>
    <row r="1257" ht="15.75" customHeight="1">
      <c r="A1257" s="51" t="s">
        <v>1303</v>
      </c>
      <c r="B1257" s="51" t="str">
        <f>IFERROR(__xludf.DUMMYFUNCTION("IFERROR(GOOGLEFINANCE(A1257,""NAME""),)"),"STL Global Ltd")</f>
        <v>STL Global Ltd</v>
      </c>
      <c r="C1257" s="51">
        <f>IFERROR(__xludf.DUMMYFUNCTION("IFERROR(GOOGLEFINANCE(A1257,""CHANGE""),)"),-0.11)</f>
        <v>-0.11</v>
      </c>
      <c r="D1257" s="51">
        <f>IFERROR(__xludf.DUMMYFUNCTION("IFERROR(GOOGLEFINANCE(A1257,""CHANGEPCT""),)"),-1.07)</f>
        <v>-1.07</v>
      </c>
      <c r="E1257" s="51" t="str">
        <f t="shared" si="1"/>
        <v>-1.07%</v>
      </c>
      <c r="F1257" s="51" t="str">
        <f t="shared" si="2"/>
        <v/>
      </c>
      <c r="G1257" s="51">
        <f t="shared" si="3"/>
        <v>-1.07</v>
      </c>
      <c r="H1257" s="51">
        <f>IFERROR(__xludf.DUMMYFUNCTION("IFERROR(GOOGLEFINANCE(A1257,""PRICE""),)"),10.15)</f>
        <v>10.15</v>
      </c>
      <c r="I1257" s="52">
        <f>IFERROR(__xludf.DUMMYFUNCTION("IFERROR(GOOGLEFINANCE(A1257,""VOLUME""),)"),2432.0)</f>
        <v>2432</v>
      </c>
      <c r="J1257" s="51" t="str">
        <f>IFERROR(__xludf.DUMMYFUNCTION("IFERROR(INDEX(SPLIT(A1257,"":""),1,2),)"),"SGL")</f>
        <v>SGL</v>
      </c>
      <c r="K1257" s="51" t="str">
        <f t="shared" si="4"/>
        <v/>
      </c>
      <c r="L1257" s="51">
        <f t="shared" si="5"/>
        <v>355</v>
      </c>
      <c r="M1257" s="51">
        <f t="shared" si="6"/>
        <v>1383</v>
      </c>
      <c r="N1257" s="53">
        <f>IFERROR(__xludf.DUMMYFUNCTION("IFERROR(GOOGLEFINANCE(A1257,""TRADETIME""),)"),46269.64583333333)</f>
        <v>46269.64583</v>
      </c>
      <c r="O1257" s="44"/>
      <c r="P1257" s="44"/>
      <c r="Q1257" s="44"/>
      <c r="R1257" s="44"/>
      <c r="S1257" s="44"/>
      <c r="T1257" s="44"/>
      <c r="U1257" s="44"/>
      <c r="V1257" s="44"/>
      <c r="W1257" s="44"/>
      <c r="X1257" s="44"/>
      <c r="Y1257" s="44"/>
      <c r="Z1257" s="44"/>
    </row>
    <row r="1258" ht="15.75" customHeight="1">
      <c r="A1258" s="48" t="s">
        <v>1304</v>
      </c>
      <c r="B1258" s="48" t="str">
        <f>IFERROR(__xludf.DUMMYFUNCTION("IFERROR(GOOGLEFINANCE(A1258,""NAME""),)"),"Shah Alloys Ltd")</f>
        <v>Shah Alloys Ltd</v>
      </c>
      <c r="C1258" s="48">
        <f>IFERROR(__xludf.DUMMYFUNCTION("IFERROR(GOOGLEFINANCE(A1258,""CHANGE""),)"),-5.34)</f>
        <v>-5.34</v>
      </c>
      <c r="D1258" s="48">
        <f>IFERROR(__xludf.DUMMYFUNCTION("IFERROR(GOOGLEFINANCE(A1258,""CHANGEPCT""),)"),-5.0)</f>
        <v>-5</v>
      </c>
      <c r="E1258" s="48" t="str">
        <f t="shared" si="1"/>
        <v>-5%</v>
      </c>
      <c r="F1258" s="48" t="str">
        <f t="shared" si="2"/>
        <v/>
      </c>
      <c r="G1258" s="48">
        <f t="shared" si="3"/>
        <v>-5</v>
      </c>
      <c r="H1258" s="48">
        <f>IFERROR(__xludf.DUMMYFUNCTION("IFERROR(GOOGLEFINANCE(A1258,""PRICE""),)"),101.5)</f>
        <v>101.5</v>
      </c>
      <c r="I1258" s="49">
        <f>IFERROR(__xludf.DUMMYFUNCTION("IFERROR(GOOGLEFINANCE(A1258,""VOLUME""),)"),140569.0)</f>
        <v>140569</v>
      </c>
      <c r="J1258" s="48" t="str">
        <f>IFERROR(__xludf.DUMMYFUNCTION("IFERROR(INDEX(SPLIT(A1258,"":""),1,2),)"),"SHAHALLOYS")</f>
        <v>SHAHALLOYS</v>
      </c>
      <c r="K1258" s="48" t="str">
        <f t="shared" si="4"/>
        <v/>
      </c>
      <c r="L1258" s="48">
        <f t="shared" si="5"/>
        <v>643</v>
      </c>
      <c r="M1258" s="48">
        <f t="shared" si="6"/>
        <v>705</v>
      </c>
      <c r="N1258" s="50">
        <f>IFERROR(__xludf.DUMMYFUNCTION("IFERROR(GOOGLEFINANCE(A1258,""TRADETIME""),)"),46269.64583333333)</f>
        <v>46269.64583</v>
      </c>
      <c r="O1258" s="44"/>
      <c r="P1258" s="44"/>
      <c r="Q1258" s="44"/>
      <c r="R1258" s="44"/>
      <c r="S1258" s="44"/>
      <c r="T1258" s="44"/>
      <c r="U1258" s="44"/>
      <c r="V1258" s="44"/>
      <c r="W1258" s="44"/>
      <c r="X1258" s="44"/>
      <c r="Y1258" s="44"/>
      <c r="Z1258" s="44"/>
    </row>
    <row r="1259" ht="15.75" customHeight="1">
      <c r="A1259" s="51" t="s">
        <v>1305</v>
      </c>
      <c r="B1259" s="51" t="str">
        <f>IFERROR(__xludf.DUMMYFUNCTION("IFERROR(GOOGLEFINANCE(A1259,""NAME""),)"),"Thomas Cook (India) Ltd")</f>
        <v>Thomas Cook (India) Ltd</v>
      </c>
      <c r="C1259" s="51">
        <f>IFERROR(__xludf.DUMMYFUNCTION("IFERROR(GOOGLEFINANCE(A1259,""CHANGE""),)"),5.19)</f>
        <v>5.19</v>
      </c>
      <c r="D1259" s="51">
        <f>IFERROR(__xludf.DUMMYFUNCTION("IFERROR(GOOGLEFINANCE(A1259,""CHANGEPCT""),)"),4.88)</f>
        <v>4.88</v>
      </c>
      <c r="E1259" s="51" t="str">
        <f t="shared" si="1"/>
        <v>4.88%</v>
      </c>
      <c r="F1259" s="51">
        <f t="shared" si="2"/>
        <v>4.88</v>
      </c>
      <c r="G1259" s="51" t="str">
        <f t="shared" si="3"/>
        <v/>
      </c>
      <c r="H1259" s="51">
        <f>IFERROR(__xludf.DUMMYFUNCTION("IFERROR(GOOGLEFINANCE(A1259,""PRICE""),)"),111.5)</f>
        <v>111.5</v>
      </c>
      <c r="I1259" s="52">
        <f>IFERROR(__xludf.DUMMYFUNCTION("IFERROR(GOOGLEFINANCE(A1259,""VOLUME""),)"),2297803.0)</f>
        <v>2297803</v>
      </c>
      <c r="J1259" s="51" t="str">
        <f>IFERROR(__xludf.DUMMYFUNCTION("IFERROR(INDEX(SPLIT(A1259,"":""),1,2),)"),"THOMASCOOK")</f>
        <v>THOMASCOOK</v>
      </c>
      <c r="K1259" s="51">
        <f t="shared" si="4"/>
        <v>82</v>
      </c>
      <c r="L1259" s="51" t="str">
        <f t="shared" si="5"/>
        <v/>
      </c>
      <c r="M1259" s="51">
        <f t="shared" si="6"/>
        <v>157</v>
      </c>
      <c r="N1259" s="53">
        <f>IFERROR(__xludf.DUMMYFUNCTION("IFERROR(GOOGLEFINANCE(A1259,""TRADETIME""),)"),46269.64585648148)</f>
        <v>46269.64586</v>
      </c>
      <c r="O1259" s="44"/>
      <c r="P1259" s="44"/>
      <c r="Q1259" s="44"/>
      <c r="R1259" s="44"/>
      <c r="S1259" s="44"/>
      <c r="T1259" s="44"/>
      <c r="U1259" s="44"/>
      <c r="V1259" s="44"/>
      <c r="W1259" s="44"/>
      <c r="X1259" s="44"/>
      <c r="Y1259" s="44"/>
      <c r="Z1259" s="44"/>
    </row>
    <row r="1260" ht="15.75" customHeight="1">
      <c r="A1260" s="48" t="s">
        <v>1306</v>
      </c>
      <c r="B1260" s="48" t="str">
        <f>IFERROR(__xludf.DUMMYFUNCTION("IFERROR(GOOGLEFINANCE(A1260,""NAME""),)"),"Shalby Ltd")</f>
        <v>Shalby Ltd</v>
      </c>
      <c r="C1260" s="48">
        <f>IFERROR(__xludf.DUMMYFUNCTION("IFERROR(GOOGLEFINANCE(A1260,""CHANGE""),)"),-0.13)</f>
        <v>-0.13</v>
      </c>
      <c r="D1260" s="48">
        <f>IFERROR(__xludf.DUMMYFUNCTION("IFERROR(GOOGLEFINANCE(A1260,""CHANGEPCT""),)"),-0.09)</f>
        <v>-0.09</v>
      </c>
      <c r="E1260" s="48" t="str">
        <f t="shared" si="1"/>
        <v>-0.09%</v>
      </c>
      <c r="F1260" s="48" t="str">
        <f t="shared" si="2"/>
        <v/>
      </c>
      <c r="G1260" s="48">
        <f t="shared" si="3"/>
        <v>-0.09</v>
      </c>
      <c r="H1260" s="48">
        <f>IFERROR(__xludf.DUMMYFUNCTION("IFERROR(GOOGLEFINANCE(A1260,""PRICE""),)"),152.51)</f>
        <v>152.51</v>
      </c>
      <c r="I1260" s="49">
        <f>IFERROR(__xludf.DUMMYFUNCTION("IFERROR(GOOGLEFINANCE(A1260,""VOLUME""),)"),31700.0)</f>
        <v>31700</v>
      </c>
      <c r="J1260" s="48" t="str">
        <f>IFERROR(__xludf.DUMMYFUNCTION("IFERROR(INDEX(SPLIT(A1260,"":""),1,2),)"),"SHALBY")</f>
        <v>SHALBY</v>
      </c>
      <c r="K1260" s="48" t="str">
        <f t="shared" si="4"/>
        <v/>
      </c>
      <c r="L1260" s="48">
        <f t="shared" si="5"/>
        <v>32</v>
      </c>
      <c r="M1260" s="48">
        <f t="shared" si="6"/>
        <v>1041</v>
      </c>
      <c r="N1260" s="50">
        <f>IFERROR(__xludf.DUMMYFUNCTION("IFERROR(GOOGLEFINANCE(A1260,""TRADETIME""),)"),46269.64584490741)</f>
        <v>46269.64584</v>
      </c>
      <c r="O1260" s="44"/>
      <c r="P1260" s="44"/>
      <c r="Q1260" s="44"/>
      <c r="R1260" s="44"/>
      <c r="S1260" s="44"/>
      <c r="T1260" s="44"/>
      <c r="U1260" s="44"/>
      <c r="V1260" s="44"/>
      <c r="W1260" s="44"/>
      <c r="X1260" s="44"/>
      <c r="Y1260" s="44"/>
      <c r="Z1260" s="44"/>
    </row>
    <row r="1261" ht="15.75" customHeight="1">
      <c r="A1261" s="51" t="s">
        <v>1307</v>
      </c>
      <c r="B1261" s="51" t="str">
        <f>IFERROR(__xludf.DUMMYFUNCTION("IFERROR(GOOGLEFINANCE(A1261,""NAME""),)"),"Shalimar Paints Ltd")</f>
        <v>Shalimar Paints Ltd</v>
      </c>
      <c r="C1261" s="51">
        <f>IFERROR(__xludf.DUMMYFUNCTION("IFERROR(GOOGLEFINANCE(A1261,""CHANGE""),)"),3.71)</f>
        <v>3.71</v>
      </c>
      <c r="D1261" s="51">
        <f>IFERROR(__xludf.DUMMYFUNCTION("IFERROR(GOOGLEFINANCE(A1261,""CHANGEPCT""),)"),4.55)</f>
        <v>4.55</v>
      </c>
      <c r="E1261" s="51" t="str">
        <f t="shared" si="1"/>
        <v>4.55%</v>
      </c>
      <c r="F1261" s="51">
        <f t="shared" si="2"/>
        <v>4.55</v>
      </c>
      <c r="G1261" s="51" t="str">
        <f t="shared" si="3"/>
        <v/>
      </c>
      <c r="H1261" s="51">
        <f>IFERROR(__xludf.DUMMYFUNCTION("IFERROR(GOOGLEFINANCE(A1261,""PRICE""),)"),85.26)</f>
        <v>85.26</v>
      </c>
      <c r="I1261" s="52">
        <f>IFERROR(__xludf.DUMMYFUNCTION("IFERROR(GOOGLEFINANCE(A1261,""VOLUME""),)"),141870.0)</f>
        <v>141870</v>
      </c>
      <c r="J1261" s="51" t="str">
        <f>IFERROR(__xludf.DUMMYFUNCTION("IFERROR(INDEX(SPLIT(A1261,"":""),1,2),)"),"SHALPAINTS")</f>
        <v>SHALPAINTS</v>
      </c>
      <c r="K1261" s="51">
        <f t="shared" si="4"/>
        <v>93</v>
      </c>
      <c r="L1261" s="51" t="str">
        <f t="shared" si="5"/>
        <v/>
      </c>
      <c r="M1261" s="51">
        <f t="shared" si="6"/>
        <v>701</v>
      </c>
      <c r="N1261" s="53">
        <f>IFERROR(__xludf.DUMMYFUNCTION("IFERROR(GOOGLEFINANCE(A1261,""TRADETIME""),)"),46269.64583333333)</f>
        <v>46269.64583</v>
      </c>
      <c r="O1261" s="44"/>
      <c r="P1261" s="44"/>
      <c r="Q1261" s="44"/>
      <c r="R1261" s="44"/>
      <c r="S1261" s="44"/>
      <c r="T1261" s="44"/>
      <c r="U1261" s="44"/>
      <c r="V1261" s="44"/>
      <c r="W1261" s="44"/>
      <c r="X1261" s="44"/>
      <c r="Y1261" s="44"/>
      <c r="Z1261" s="44"/>
    </row>
    <row r="1262" ht="15.75" customHeight="1">
      <c r="A1262" s="48" t="s">
        <v>1308</v>
      </c>
      <c r="B1262" s="48" t="str">
        <f>IFERROR(__xludf.DUMMYFUNCTION("IFERROR(GOOGLEFINANCE(A1262,""NAME""),)"),"Shankara Building Products Ltd")</f>
        <v>Shankara Building Products Ltd</v>
      </c>
      <c r="C1262" s="48">
        <f>IFERROR(__xludf.DUMMYFUNCTION("IFERROR(GOOGLEFINANCE(A1262,""CHANGE""),)"),0.37)</f>
        <v>0.37</v>
      </c>
      <c r="D1262" s="48">
        <f>IFERROR(__xludf.DUMMYFUNCTION("IFERROR(GOOGLEFINANCE(A1262,""CHANGEPCT""),)"),0.25)</f>
        <v>0.25</v>
      </c>
      <c r="E1262" s="48" t="str">
        <f t="shared" si="1"/>
        <v>0.25%</v>
      </c>
      <c r="F1262" s="48">
        <f t="shared" si="2"/>
        <v>0.25</v>
      </c>
      <c r="G1262" s="48" t="str">
        <f t="shared" si="3"/>
        <v/>
      </c>
      <c r="H1262" s="48">
        <f>IFERROR(__xludf.DUMMYFUNCTION("IFERROR(GOOGLEFINANCE(A1262,""PRICE""),)"),147.46)</f>
        <v>147.46</v>
      </c>
      <c r="I1262" s="49">
        <f>IFERROR(__xludf.DUMMYFUNCTION("IFERROR(GOOGLEFINANCE(A1262,""VOLUME""),)"),46914.0)</f>
        <v>46914</v>
      </c>
      <c r="J1262" s="48" t="str">
        <f>IFERROR(__xludf.DUMMYFUNCTION("IFERROR(INDEX(SPLIT(A1262,"":""),1,2),)"),"SHANKARA")</f>
        <v>SHANKARA</v>
      </c>
      <c r="K1262" s="48">
        <f t="shared" si="4"/>
        <v>679</v>
      </c>
      <c r="L1262" s="48" t="str">
        <f t="shared" si="5"/>
        <v/>
      </c>
      <c r="M1262" s="48">
        <f t="shared" si="6"/>
        <v>962</v>
      </c>
      <c r="N1262" s="50">
        <f>IFERROR(__xludf.DUMMYFUNCTION("IFERROR(GOOGLEFINANCE(A1262,""TRADETIME""),)"),46269.64584490741)</f>
        <v>46269.64584</v>
      </c>
      <c r="O1262" s="44"/>
      <c r="P1262" s="44"/>
      <c r="Q1262" s="44"/>
      <c r="R1262" s="44"/>
      <c r="S1262" s="44"/>
      <c r="T1262" s="44"/>
      <c r="U1262" s="44"/>
      <c r="V1262" s="44"/>
      <c r="W1262" s="44"/>
      <c r="X1262" s="44"/>
      <c r="Y1262" s="44"/>
      <c r="Z1262" s="44"/>
    </row>
    <row r="1263" ht="15.75" customHeight="1">
      <c r="A1263" s="51" t="s">
        <v>1309</v>
      </c>
      <c r="B1263" s="51" t="str">
        <f>IFERROR(__xludf.DUMMYFUNCTION("IFERROR(GOOGLEFINANCE(A1263,""NAME""),)"),"Shanthi Gears Ltd")</f>
        <v>Shanthi Gears Ltd</v>
      </c>
      <c r="C1263" s="51">
        <f>IFERROR(__xludf.DUMMYFUNCTION("IFERROR(GOOGLEFINANCE(A1263,""CHANGE""),)"),32.75)</f>
        <v>32.75</v>
      </c>
      <c r="D1263" s="51">
        <f>IFERROR(__xludf.DUMMYFUNCTION("IFERROR(GOOGLEFINANCE(A1263,""CHANGEPCT""),)"),5.62)</f>
        <v>5.62</v>
      </c>
      <c r="E1263" s="51" t="str">
        <f t="shared" si="1"/>
        <v>5.62%</v>
      </c>
      <c r="F1263" s="51">
        <f t="shared" si="2"/>
        <v>5.62</v>
      </c>
      <c r="G1263" s="51" t="str">
        <f t="shared" si="3"/>
        <v/>
      </c>
      <c r="H1263" s="51">
        <f>IFERROR(__xludf.DUMMYFUNCTION("IFERROR(GOOGLEFINANCE(A1263,""PRICE""),)"),615.55)</f>
        <v>615.55</v>
      </c>
      <c r="I1263" s="52">
        <f>IFERROR(__xludf.DUMMYFUNCTION("IFERROR(GOOGLEFINANCE(A1263,""VOLUME""),)"),1612281.0)</f>
        <v>1612281</v>
      </c>
      <c r="J1263" s="51" t="str">
        <f>IFERROR(__xludf.DUMMYFUNCTION("IFERROR(INDEX(SPLIT(A1263,"":""),1,2),)"),"SHANTIGEAR")</f>
        <v>SHANTIGEAR</v>
      </c>
      <c r="K1263" s="51">
        <f t="shared" si="4"/>
        <v>42</v>
      </c>
      <c r="L1263" s="51" t="str">
        <f t="shared" si="5"/>
        <v/>
      </c>
      <c r="M1263" s="51">
        <f t="shared" si="6"/>
        <v>201</v>
      </c>
      <c r="N1263" s="53">
        <f>IFERROR(__xludf.DUMMYFUNCTION("IFERROR(GOOGLEFINANCE(A1263,""TRADETIME""),)"),46269.64584490741)</f>
        <v>46269.64584</v>
      </c>
      <c r="O1263" s="44"/>
      <c r="P1263" s="44"/>
      <c r="Q1263" s="44"/>
      <c r="R1263" s="44"/>
      <c r="S1263" s="44"/>
      <c r="T1263" s="44"/>
      <c r="U1263" s="44"/>
      <c r="V1263" s="44"/>
      <c r="W1263" s="44"/>
      <c r="X1263" s="44"/>
      <c r="Y1263" s="44"/>
      <c r="Z1263" s="44"/>
    </row>
    <row r="1264" ht="15.75" customHeight="1">
      <c r="A1264" s="48" t="s">
        <v>1310</v>
      </c>
      <c r="B1264" s="48" t="str">
        <f>IFERROR(__xludf.DUMMYFUNCTION("IFERROR(GOOGLEFINANCE(A1264,""NAME""),)"),"Sharda Cropchem Ltd")</f>
        <v>Sharda Cropchem Ltd</v>
      </c>
      <c r="C1264" s="48">
        <f>IFERROR(__xludf.DUMMYFUNCTION("IFERROR(GOOGLEFINANCE(A1264,""CHANGE""),)"),-1.7)</f>
        <v>-1.7</v>
      </c>
      <c r="D1264" s="48">
        <f>IFERROR(__xludf.DUMMYFUNCTION("IFERROR(GOOGLEFINANCE(A1264,""CHANGEPCT""),)"),-0.22)</f>
        <v>-0.22</v>
      </c>
      <c r="E1264" s="48" t="str">
        <f t="shared" si="1"/>
        <v>-0.22%</v>
      </c>
      <c r="F1264" s="48" t="str">
        <f t="shared" si="2"/>
        <v/>
      </c>
      <c r="G1264" s="48">
        <f t="shared" si="3"/>
        <v>-0.22</v>
      </c>
      <c r="H1264" s="48">
        <f>IFERROR(__xludf.DUMMYFUNCTION("IFERROR(GOOGLEFINANCE(A1264,""PRICE""),)"),771.05)</f>
        <v>771.05</v>
      </c>
      <c r="I1264" s="49">
        <f>IFERROR(__xludf.DUMMYFUNCTION("IFERROR(GOOGLEFINANCE(A1264,""VOLUME""),)"),105369.0)</f>
        <v>105369</v>
      </c>
      <c r="J1264" s="48" t="str">
        <f>IFERROR(__xludf.DUMMYFUNCTION("IFERROR(INDEX(SPLIT(A1264,"":""),1,2),)"),"SHARDACROP")</f>
        <v>SHARDACROP</v>
      </c>
      <c r="K1264" s="48" t="str">
        <f t="shared" si="4"/>
        <v/>
      </c>
      <c r="L1264" s="48">
        <f t="shared" si="5"/>
        <v>81</v>
      </c>
      <c r="M1264" s="48">
        <f t="shared" si="6"/>
        <v>758</v>
      </c>
      <c r="N1264" s="50">
        <f>IFERROR(__xludf.DUMMYFUNCTION("IFERROR(GOOGLEFINANCE(A1264,""TRADETIME""),)"),46269.64585648148)</f>
        <v>46269.64586</v>
      </c>
      <c r="O1264" s="44"/>
      <c r="P1264" s="44"/>
      <c r="Q1264" s="44"/>
      <c r="R1264" s="44"/>
      <c r="S1264" s="44"/>
      <c r="T1264" s="44"/>
      <c r="U1264" s="44"/>
      <c r="V1264" s="44"/>
      <c r="W1264" s="44"/>
      <c r="X1264" s="44"/>
      <c r="Y1264" s="44"/>
      <c r="Z1264" s="44"/>
    </row>
    <row r="1265" ht="15.75" customHeight="1">
      <c r="A1265" s="51" t="s">
        <v>1311</v>
      </c>
      <c r="B1265" s="51" t="str">
        <f>IFERROR(__xludf.DUMMYFUNCTION("IFERROR(GOOGLEFINANCE(A1265,""NAME""),)"),"Sharda Motor Industries Ltd")</f>
        <v>Sharda Motor Industries Ltd</v>
      </c>
      <c r="C1265" s="51">
        <f>IFERROR(__xludf.DUMMYFUNCTION("IFERROR(GOOGLEFINANCE(A1265,""CHANGE""),)"),4.75)</f>
        <v>4.75</v>
      </c>
      <c r="D1265" s="51">
        <f>IFERROR(__xludf.DUMMYFUNCTION("IFERROR(GOOGLEFINANCE(A1265,""CHANGEPCT""),)"),0.54)</f>
        <v>0.54</v>
      </c>
      <c r="E1265" s="51" t="str">
        <f t="shared" si="1"/>
        <v>0.54%</v>
      </c>
      <c r="F1265" s="51">
        <f t="shared" si="2"/>
        <v>0.54</v>
      </c>
      <c r="G1265" s="51" t="str">
        <f t="shared" si="3"/>
        <v/>
      </c>
      <c r="H1265" s="51">
        <f>IFERROR(__xludf.DUMMYFUNCTION("IFERROR(GOOGLEFINANCE(A1265,""PRICE""),)"),882.65)</f>
        <v>882.65</v>
      </c>
      <c r="I1265" s="52">
        <f>IFERROR(__xludf.DUMMYFUNCTION("IFERROR(GOOGLEFINANCE(A1265,""VOLUME""),)"),27320.0)</f>
        <v>27320</v>
      </c>
      <c r="J1265" s="51" t="str">
        <f>IFERROR(__xludf.DUMMYFUNCTION("IFERROR(INDEX(SPLIT(A1265,"":""),1,2),)"),"SHARDAMOTR")</f>
        <v>SHARDAMOTR</v>
      </c>
      <c r="K1265" s="51">
        <f t="shared" si="4"/>
        <v>580</v>
      </c>
      <c r="L1265" s="51" t="str">
        <f t="shared" si="5"/>
        <v/>
      </c>
      <c r="M1265" s="51">
        <f t="shared" si="6"/>
        <v>1071</v>
      </c>
      <c r="N1265" s="53">
        <f>IFERROR(__xludf.DUMMYFUNCTION("IFERROR(GOOGLEFINANCE(A1265,""TRADETIME""),)"),46269.64584490741)</f>
        <v>46269.64584</v>
      </c>
      <c r="O1265" s="44"/>
      <c r="P1265" s="44"/>
      <c r="Q1265" s="44"/>
      <c r="R1265" s="44"/>
      <c r="S1265" s="44"/>
      <c r="T1265" s="44"/>
      <c r="U1265" s="44"/>
      <c r="V1265" s="44"/>
      <c r="W1265" s="44"/>
      <c r="X1265" s="44"/>
      <c r="Y1265" s="44"/>
      <c r="Z1265" s="44"/>
    </row>
    <row r="1266" ht="15.75" customHeight="1">
      <c r="A1266" s="48" t="s">
        <v>1312</v>
      </c>
      <c r="B1266" s="48" t="str">
        <f>IFERROR(__xludf.DUMMYFUNCTION("IFERROR(GOOGLEFINANCE(A1266,""NAME""),)"),"Share India Securities Ltd")</f>
        <v>Share India Securities Ltd</v>
      </c>
      <c r="C1266" s="48">
        <f>IFERROR(__xludf.DUMMYFUNCTION("IFERROR(GOOGLEFINANCE(A1266,""CHANGE""),)"),0.84)</f>
        <v>0.84</v>
      </c>
      <c r="D1266" s="48">
        <f>IFERROR(__xludf.DUMMYFUNCTION("IFERROR(GOOGLEFINANCE(A1266,""CHANGEPCT""),)"),0.5)</f>
        <v>0.5</v>
      </c>
      <c r="E1266" s="48" t="str">
        <f t="shared" si="1"/>
        <v>0.5%</v>
      </c>
      <c r="F1266" s="48">
        <f t="shared" si="2"/>
        <v>0.5</v>
      </c>
      <c r="G1266" s="48" t="str">
        <f t="shared" si="3"/>
        <v/>
      </c>
      <c r="H1266" s="48">
        <f>IFERROR(__xludf.DUMMYFUNCTION("IFERROR(GOOGLEFINANCE(A1266,""PRICE""),)"),170.11)</f>
        <v>170.11</v>
      </c>
      <c r="I1266" s="49">
        <f>IFERROR(__xludf.DUMMYFUNCTION("IFERROR(GOOGLEFINANCE(A1266,""VOLUME""),)"),316097.0)</f>
        <v>316097</v>
      </c>
      <c r="J1266" s="48" t="str">
        <f>IFERROR(__xludf.DUMMYFUNCTION("IFERROR(INDEX(SPLIT(A1266,"":""),1,2),)"),"SHAREINDIA")</f>
        <v>SHAREINDIA</v>
      </c>
      <c r="K1266" s="48">
        <f t="shared" si="4"/>
        <v>593</v>
      </c>
      <c r="L1266" s="48" t="str">
        <f t="shared" si="5"/>
        <v/>
      </c>
      <c r="M1266" s="48">
        <f t="shared" si="6"/>
        <v>497</v>
      </c>
      <c r="N1266" s="50">
        <f>IFERROR(__xludf.DUMMYFUNCTION("IFERROR(GOOGLEFINANCE(A1266,""TRADETIME""),)"),46269.64583333333)</f>
        <v>46269.64583</v>
      </c>
      <c r="O1266" s="44"/>
      <c r="P1266" s="44"/>
      <c r="Q1266" s="44"/>
      <c r="R1266" s="44"/>
      <c r="S1266" s="44"/>
      <c r="T1266" s="44"/>
      <c r="U1266" s="44"/>
      <c r="V1266" s="44"/>
      <c r="W1266" s="44"/>
      <c r="X1266" s="44"/>
      <c r="Y1266" s="44"/>
      <c r="Z1266" s="44"/>
    </row>
    <row r="1267" ht="15.75" customHeight="1">
      <c r="A1267" s="51" t="s">
        <v>1313</v>
      </c>
      <c r="B1267" s="51" t="str">
        <f>IFERROR(__xludf.DUMMYFUNCTION("IFERROR(GOOGLEFINANCE(A1267,""NAME""),)"),"Shemaroo Entertainment Ltd")</f>
        <v>Shemaroo Entertainment Ltd</v>
      </c>
      <c r="C1267" s="51">
        <f>IFERROR(__xludf.DUMMYFUNCTION("IFERROR(GOOGLEFINANCE(A1267,""CHANGE""),)"),-0.23)</f>
        <v>-0.23</v>
      </c>
      <c r="D1267" s="51">
        <f>IFERROR(__xludf.DUMMYFUNCTION("IFERROR(GOOGLEFINANCE(A1267,""CHANGEPCT""),)"),-0.18)</f>
        <v>-0.18</v>
      </c>
      <c r="E1267" s="51" t="str">
        <f t="shared" si="1"/>
        <v>-0.18%</v>
      </c>
      <c r="F1267" s="51" t="str">
        <f t="shared" si="2"/>
        <v/>
      </c>
      <c r="G1267" s="51">
        <f t="shared" si="3"/>
        <v>-0.18</v>
      </c>
      <c r="H1267" s="51">
        <f>IFERROR(__xludf.DUMMYFUNCTION("IFERROR(GOOGLEFINANCE(A1267,""PRICE""),)"),125.51)</f>
        <v>125.51</v>
      </c>
      <c r="I1267" s="52">
        <f>IFERROR(__xludf.DUMMYFUNCTION("IFERROR(GOOGLEFINANCE(A1267,""VOLUME""),)"),3580.0)</f>
        <v>3580</v>
      </c>
      <c r="J1267" s="51" t="str">
        <f>IFERROR(__xludf.DUMMYFUNCTION("IFERROR(INDEX(SPLIT(A1267,"":""),1,2),)"),"SHEMAROO")</f>
        <v>SHEMAROO</v>
      </c>
      <c r="K1267" s="51" t="str">
        <f t="shared" si="4"/>
        <v/>
      </c>
      <c r="L1267" s="51">
        <f t="shared" si="5"/>
        <v>68</v>
      </c>
      <c r="M1267" s="51">
        <f t="shared" si="6"/>
        <v>1354</v>
      </c>
      <c r="N1267" s="53">
        <f>IFERROR(__xludf.DUMMYFUNCTION("IFERROR(GOOGLEFINANCE(A1267,""TRADETIME""),)"),46269.64583333333)</f>
        <v>46269.64583</v>
      </c>
      <c r="O1267" s="44"/>
      <c r="P1267" s="44"/>
      <c r="Q1267" s="44"/>
      <c r="R1267" s="44"/>
      <c r="S1267" s="44"/>
      <c r="T1267" s="44"/>
      <c r="U1267" s="44"/>
      <c r="V1267" s="44"/>
      <c r="W1267" s="44"/>
      <c r="X1267" s="44"/>
      <c r="Y1267" s="44"/>
      <c r="Z1267" s="44"/>
    </row>
    <row r="1268" ht="15.75" customHeight="1">
      <c r="A1268" s="48" t="s">
        <v>1314</v>
      </c>
      <c r="B1268" s="48" t="str">
        <f>IFERROR(__xludf.DUMMYFUNCTION("IFERROR(GOOGLEFINANCE(A1268,""NAME""),)"),"Hindware Home Innovation Ltd")</f>
        <v>Hindware Home Innovation Ltd</v>
      </c>
      <c r="C1268" s="48">
        <f>IFERROR(__xludf.DUMMYFUNCTION("IFERROR(GOOGLEFINANCE(A1268,""CHANGE""),)"),-4.62)</f>
        <v>-4.62</v>
      </c>
      <c r="D1268" s="48">
        <f>IFERROR(__xludf.DUMMYFUNCTION("IFERROR(GOOGLEFINANCE(A1268,""CHANGEPCT""),)"),-2.49)</f>
        <v>-2.49</v>
      </c>
      <c r="E1268" s="48" t="str">
        <f t="shared" si="1"/>
        <v>-2.49%</v>
      </c>
      <c r="F1268" s="48" t="str">
        <f t="shared" si="2"/>
        <v/>
      </c>
      <c r="G1268" s="48">
        <f t="shared" si="3"/>
        <v>-2.49</v>
      </c>
      <c r="H1268" s="48">
        <f>IFERROR(__xludf.DUMMYFUNCTION("IFERROR(GOOGLEFINANCE(A1268,""PRICE""),)"),181.2)</f>
        <v>181.2</v>
      </c>
      <c r="I1268" s="49">
        <f>IFERROR(__xludf.DUMMYFUNCTION("IFERROR(GOOGLEFINANCE(A1268,""VOLUME""),)"),113928.0)</f>
        <v>113928</v>
      </c>
      <c r="J1268" s="48" t="str">
        <f>IFERROR(__xludf.DUMMYFUNCTION("IFERROR(INDEX(SPLIT(A1268,"":""),1,2),)"),"HINDWAREAP")</f>
        <v>HINDWAREAP</v>
      </c>
      <c r="K1268" s="48" t="str">
        <f t="shared" si="4"/>
        <v/>
      </c>
      <c r="L1268" s="48">
        <f t="shared" si="5"/>
        <v>573</v>
      </c>
      <c r="M1268" s="48">
        <f t="shared" si="6"/>
        <v>745</v>
      </c>
      <c r="N1268" s="50">
        <f>IFERROR(__xludf.DUMMYFUNCTION("IFERROR(GOOGLEFINANCE(A1268,""TRADETIME""),)"),46269.64583333333)</f>
        <v>46269.64583</v>
      </c>
      <c r="O1268" s="44"/>
      <c r="P1268" s="44"/>
      <c r="Q1268" s="44"/>
      <c r="R1268" s="44"/>
      <c r="S1268" s="44"/>
      <c r="T1268" s="44"/>
      <c r="U1268" s="44"/>
      <c r="V1268" s="44"/>
      <c r="W1268" s="44"/>
      <c r="X1268" s="44"/>
      <c r="Y1268" s="44"/>
      <c r="Z1268" s="44"/>
    </row>
    <row r="1269" ht="15.75" customHeight="1">
      <c r="A1269" s="51" t="s">
        <v>1315</v>
      </c>
      <c r="B1269" s="51" t="str">
        <f>IFERROR(__xludf.DUMMYFUNCTION("IFERROR(GOOGLEFINANCE(A1269,""NAME""),)"),"Shilpa Medicare Ltd")</f>
        <v>Shilpa Medicare Ltd</v>
      </c>
      <c r="C1269" s="51">
        <f>IFERROR(__xludf.DUMMYFUNCTION("IFERROR(GOOGLEFINANCE(A1269,""CHANGE""),)"),1.85)</f>
        <v>1.85</v>
      </c>
      <c r="D1269" s="51">
        <f>IFERROR(__xludf.DUMMYFUNCTION("IFERROR(GOOGLEFINANCE(A1269,""CHANGEPCT""),)"),0.19)</f>
        <v>0.19</v>
      </c>
      <c r="E1269" s="51" t="str">
        <f t="shared" si="1"/>
        <v>0.19%</v>
      </c>
      <c r="F1269" s="51">
        <f t="shared" si="2"/>
        <v>0.19</v>
      </c>
      <c r="G1269" s="51" t="str">
        <f t="shared" si="3"/>
        <v/>
      </c>
      <c r="H1269" s="51">
        <f>IFERROR(__xludf.DUMMYFUNCTION("IFERROR(GOOGLEFINANCE(A1269,""PRICE""),)"),958.0)</f>
        <v>958</v>
      </c>
      <c r="I1269" s="52">
        <f>IFERROR(__xludf.DUMMYFUNCTION("IFERROR(GOOGLEFINANCE(A1269,""VOLUME""),)"),652726.0)</f>
        <v>652726</v>
      </c>
      <c r="J1269" s="51" t="str">
        <f>IFERROR(__xludf.DUMMYFUNCTION("IFERROR(INDEX(SPLIT(A1269,"":""),1,2),)"),"SHILPAMED")</f>
        <v>SHILPAMED</v>
      </c>
      <c r="K1269" s="51">
        <f t="shared" si="4"/>
        <v>703</v>
      </c>
      <c r="L1269" s="51" t="str">
        <f t="shared" si="5"/>
        <v/>
      </c>
      <c r="M1269" s="51">
        <f t="shared" si="6"/>
        <v>343</v>
      </c>
      <c r="N1269" s="53">
        <f>IFERROR(__xludf.DUMMYFUNCTION("IFERROR(GOOGLEFINANCE(A1269,""TRADETIME""),)"),46269.64584490741)</f>
        <v>46269.64584</v>
      </c>
      <c r="O1269" s="44"/>
      <c r="P1269" s="44"/>
      <c r="Q1269" s="44"/>
      <c r="R1269" s="44"/>
      <c r="S1269" s="44"/>
      <c r="T1269" s="44"/>
      <c r="U1269" s="44"/>
      <c r="V1269" s="44"/>
      <c r="W1269" s="44"/>
      <c r="X1269" s="44"/>
      <c r="Y1269" s="44"/>
      <c r="Z1269" s="44"/>
    </row>
    <row r="1270" ht="15.75" customHeight="1">
      <c r="A1270" s="48" t="s">
        <v>1316</v>
      </c>
      <c r="B1270" s="48" t="str">
        <f>IFERROR(__xludf.DUMMYFUNCTION("IFERROR(GOOGLEFINANCE(A1270,""NAME""),)"),"Shivam Autotech Ltd")</f>
        <v>Shivam Autotech Ltd</v>
      </c>
      <c r="C1270" s="48">
        <f>IFERROR(__xludf.DUMMYFUNCTION("IFERROR(GOOGLEFINANCE(A1270,""CHANGE""),)"),0.05)</f>
        <v>0.05</v>
      </c>
      <c r="D1270" s="48">
        <f>IFERROR(__xludf.DUMMYFUNCTION("IFERROR(GOOGLEFINANCE(A1270,""CHANGEPCT""),)"),0.28)</f>
        <v>0.28</v>
      </c>
      <c r="E1270" s="48" t="str">
        <f t="shared" si="1"/>
        <v>0.28%</v>
      </c>
      <c r="F1270" s="48">
        <f t="shared" si="2"/>
        <v>0.28</v>
      </c>
      <c r="G1270" s="48" t="str">
        <f t="shared" si="3"/>
        <v/>
      </c>
      <c r="H1270" s="48">
        <f>IFERROR(__xludf.DUMMYFUNCTION("IFERROR(GOOGLEFINANCE(A1270,""PRICE""),)"),17.85)</f>
        <v>17.85</v>
      </c>
      <c r="I1270" s="49">
        <f>IFERROR(__xludf.DUMMYFUNCTION("IFERROR(GOOGLEFINANCE(A1270,""VOLUME""),)"),77913.0)</f>
        <v>77913</v>
      </c>
      <c r="J1270" s="48" t="str">
        <f>IFERROR(__xludf.DUMMYFUNCTION("IFERROR(INDEX(SPLIT(A1270,"":""),1,2),)"),"SHIVAMAUTO")</f>
        <v>SHIVAMAUTO</v>
      </c>
      <c r="K1270" s="48">
        <f t="shared" si="4"/>
        <v>670</v>
      </c>
      <c r="L1270" s="48" t="str">
        <f t="shared" si="5"/>
        <v/>
      </c>
      <c r="M1270" s="48">
        <f t="shared" si="6"/>
        <v>830</v>
      </c>
      <c r="N1270" s="50">
        <f>IFERROR(__xludf.DUMMYFUNCTION("IFERROR(GOOGLEFINANCE(A1270,""TRADETIME""),)"),46269.64583333333)</f>
        <v>46269.64583</v>
      </c>
      <c r="O1270" s="44"/>
      <c r="P1270" s="44"/>
      <c r="Q1270" s="44"/>
      <c r="R1270" s="44"/>
      <c r="S1270" s="44"/>
      <c r="T1270" s="44"/>
      <c r="U1270" s="44"/>
      <c r="V1270" s="44"/>
      <c r="W1270" s="44"/>
      <c r="X1270" s="44"/>
      <c r="Y1270" s="44"/>
      <c r="Z1270" s="44"/>
    </row>
    <row r="1271" ht="15.75" customHeight="1">
      <c r="A1271" s="51" t="s">
        <v>1317</v>
      </c>
      <c r="B1271" s="51" t="str">
        <f>IFERROR(__xludf.DUMMYFUNCTION("IFERROR(GOOGLEFINANCE(A1271,""NAME""),)"),"Shiva Mills Ltd")</f>
        <v>Shiva Mills Ltd</v>
      </c>
      <c r="C1271" s="51">
        <f>IFERROR(__xludf.DUMMYFUNCTION("IFERROR(GOOGLEFINANCE(A1271,""CHANGE""),)"),-1.08)</f>
        <v>-1.08</v>
      </c>
      <c r="D1271" s="51">
        <f>IFERROR(__xludf.DUMMYFUNCTION("IFERROR(GOOGLEFINANCE(A1271,""CHANGEPCT""),)"),-1.75)</f>
        <v>-1.75</v>
      </c>
      <c r="E1271" s="51" t="str">
        <f t="shared" si="1"/>
        <v>-1.75%</v>
      </c>
      <c r="F1271" s="51" t="str">
        <f t="shared" si="2"/>
        <v/>
      </c>
      <c r="G1271" s="51">
        <f t="shared" si="3"/>
        <v>-1.75</v>
      </c>
      <c r="H1271" s="51">
        <f>IFERROR(__xludf.DUMMYFUNCTION("IFERROR(GOOGLEFINANCE(A1271,""PRICE""),)"),60.5)</f>
        <v>60.5</v>
      </c>
      <c r="I1271" s="52">
        <f>IFERROR(__xludf.DUMMYFUNCTION("IFERROR(GOOGLEFINANCE(A1271,""VOLUME""),)"),438.0)</f>
        <v>438</v>
      </c>
      <c r="J1271" s="51" t="str">
        <f>IFERROR(__xludf.DUMMYFUNCTION("IFERROR(INDEX(SPLIT(A1271,"":""),1,2),)"),"SHIVAMILLS")</f>
        <v>SHIVAMILLS</v>
      </c>
      <c r="K1271" s="51" t="str">
        <f t="shared" si="4"/>
        <v/>
      </c>
      <c r="L1271" s="51">
        <f t="shared" si="5"/>
        <v>487</v>
      </c>
      <c r="M1271" s="51">
        <f t="shared" si="6"/>
        <v>1441</v>
      </c>
      <c r="N1271" s="53">
        <f>IFERROR(__xludf.DUMMYFUNCTION("IFERROR(GOOGLEFINANCE(A1271,""TRADETIME""),)"),46269.64583333333)</f>
        <v>46269.64583</v>
      </c>
      <c r="O1271" s="44"/>
      <c r="P1271" s="44"/>
      <c r="Q1271" s="44"/>
      <c r="R1271" s="44"/>
      <c r="S1271" s="44"/>
      <c r="T1271" s="44"/>
      <c r="U1271" s="44"/>
      <c r="V1271" s="44"/>
      <c r="W1271" s="44"/>
      <c r="X1271" s="44"/>
      <c r="Y1271" s="44"/>
      <c r="Z1271" s="44"/>
    </row>
    <row r="1272" ht="15.75" customHeight="1">
      <c r="A1272" s="48" t="s">
        <v>1318</v>
      </c>
      <c r="B1272" s="48" t="str">
        <f>IFERROR(__xludf.DUMMYFUNCTION("IFERROR(GOOGLEFINANCE(A1272,""NAME""),)"),"Shiva Texyarn Ltd")</f>
        <v>Shiva Texyarn Ltd</v>
      </c>
      <c r="C1272" s="48">
        <f>IFERROR(__xludf.DUMMYFUNCTION("IFERROR(GOOGLEFINANCE(A1272,""CHANGE""),)"),0.72)</f>
        <v>0.72</v>
      </c>
      <c r="D1272" s="48">
        <f>IFERROR(__xludf.DUMMYFUNCTION("IFERROR(GOOGLEFINANCE(A1272,""CHANGEPCT""),)"),0.4)</f>
        <v>0.4</v>
      </c>
      <c r="E1272" s="48" t="str">
        <f t="shared" si="1"/>
        <v>0.4%</v>
      </c>
      <c r="F1272" s="48">
        <f t="shared" si="2"/>
        <v>0.4</v>
      </c>
      <c r="G1272" s="48" t="str">
        <f t="shared" si="3"/>
        <v/>
      </c>
      <c r="H1272" s="48">
        <f>IFERROR(__xludf.DUMMYFUNCTION("IFERROR(GOOGLEFINANCE(A1272,""PRICE""),)"),182.94)</f>
        <v>182.94</v>
      </c>
      <c r="I1272" s="49">
        <f>IFERROR(__xludf.DUMMYFUNCTION("IFERROR(GOOGLEFINANCE(A1272,""VOLUME""),)"),15793.0)</f>
        <v>15793</v>
      </c>
      <c r="J1272" s="48" t="str">
        <f>IFERROR(__xludf.DUMMYFUNCTION("IFERROR(INDEX(SPLIT(A1272,"":""),1,2),)"),"SHIVATEX")</f>
        <v>SHIVATEX</v>
      </c>
      <c r="K1272" s="48">
        <f t="shared" si="4"/>
        <v>622</v>
      </c>
      <c r="L1272" s="48" t="str">
        <f t="shared" si="5"/>
        <v/>
      </c>
      <c r="M1272" s="48">
        <f t="shared" si="6"/>
        <v>1166</v>
      </c>
      <c r="N1272" s="50">
        <f>IFERROR(__xludf.DUMMYFUNCTION("IFERROR(GOOGLEFINANCE(A1272,""TRADETIME""),)"),46269.64583333333)</f>
        <v>46269.64583</v>
      </c>
      <c r="O1272" s="44"/>
      <c r="P1272" s="44"/>
      <c r="Q1272" s="44"/>
      <c r="R1272" s="44"/>
      <c r="S1272" s="44"/>
      <c r="T1272" s="44"/>
      <c r="U1272" s="44"/>
      <c r="V1272" s="44"/>
      <c r="W1272" s="44"/>
      <c r="X1272" s="44"/>
      <c r="Y1272" s="44"/>
      <c r="Z1272" s="44"/>
    </row>
    <row r="1273" ht="15.75" customHeight="1">
      <c r="A1273" s="51" t="s">
        <v>1319</v>
      </c>
      <c r="B1273" s="51" t="str">
        <f>IFERROR(__xludf.DUMMYFUNCTION("IFERROR(GOOGLEFINANCE(A1273,""NAME""),)"),"S H Kelkar And Company Ltd")</f>
        <v>S H Kelkar And Company Ltd</v>
      </c>
      <c r="C1273" s="51">
        <f>IFERROR(__xludf.DUMMYFUNCTION("IFERROR(GOOGLEFINANCE(A1273,""CHANGE""),)"),0.03)</f>
        <v>0.03</v>
      </c>
      <c r="D1273" s="51">
        <f>IFERROR(__xludf.DUMMYFUNCTION("IFERROR(GOOGLEFINANCE(A1273,""CHANGEPCT""),)"),0.02)</f>
        <v>0.02</v>
      </c>
      <c r="E1273" s="51" t="str">
        <f t="shared" si="1"/>
        <v>0.02%</v>
      </c>
      <c r="F1273" s="51">
        <f t="shared" si="2"/>
        <v>0.02</v>
      </c>
      <c r="G1273" s="51" t="str">
        <f t="shared" si="3"/>
        <v/>
      </c>
      <c r="H1273" s="51">
        <f>IFERROR(__xludf.DUMMYFUNCTION("IFERROR(GOOGLEFINANCE(A1273,""PRICE""),)"),150.17)</f>
        <v>150.17</v>
      </c>
      <c r="I1273" s="52">
        <f>IFERROR(__xludf.DUMMYFUNCTION("IFERROR(GOOGLEFINANCE(A1273,""VOLUME""),)"),432026.0)</f>
        <v>432026</v>
      </c>
      <c r="J1273" s="51" t="str">
        <f>IFERROR(__xludf.DUMMYFUNCTION("IFERROR(INDEX(SPLIT(A1273,"":""),1,2),)"),"SHK")</f>
        <v>SHK</v>
      </c>
      <c r="K1273" s="51">
        <f t="shared" si="4"/>
        <v>777</v>
      </c>
      <c r="L1273" s="51" t="str">
        <f t="shared" si="5"/>
        <v/>
      </c>
      <c r="M1273" s="51">
        <f t="shared" si="6"/>
        <v>430</v>
      </c>
      <c r="N1273" s="53">
        <f>IFERROR(__xludf.DUMMYFUNCTION("IFERROR(GOOGLEFINANCE(A1273,""TRADETIME""),)"),46269.64584490741)</f>
        <v>46269.64584</v>
      </c>
      <c r="O1273" s="44"/>
      <c r="P1273" s="44"/>
      <c r="Q1273" s="44"/>
      <c r="R1273" s="44"/>
      <c r="S1273" s="44"/>
      <c r="T1273" s="44"/>
      <c r="U1273" s="44"/>
      <c r="V1273" s="44"/>
      <c r="W1273" s="44"/>
      <c r="X1273" s="44"/>
      <c r="Y1273" s="44"/>
      <c r="Z1273" s="44"/>
    </row>
    <row r="1274" ht="15.75" customHeight="1">
      <c r="A1274" s="48" t="s">
        <v>1320</v>
      </c>
      <c r="B1274" s="48" t="str">
        <f>IFERROR(__xludf.DUMMYFUNCTION("IFERROR(GOOGLEFINANCE(A1274,""NAME""),)"),"Shoppers Stop Ltd")</f>
        <v>Shoppers Stop Ltd</v>
      </c>
      <c r="C1274" s="48">
        <f>IFERROR(__xludf.DUMMYFUNCTION("IFERROR(GOOGLEFINANCE(A1274,""CHANGE""),)"),-10.45)</f>
        <v>-10.45</v>
      </c>
      <c r="D1274" s="48">
        <f>IFERROR(__xludf.DUMMYFUNCTION("IFERROR(GOOGLEFINANCE(A1274,""CHANGEPCT""),)"),-2.67)</f>
        <v>-2.67</v>
      </c>
      <c r="E1274" s="48" t="str">
        <f t="shared" si="1"/>
        <v>-2.67%</v>
      </c>
      <c r="F1274" s="48" t="str">
        <f t="shared" si="2"/>
        <v/>
      </c>
      <c r="G1274" s="48">
        <f t="shared" si="3"/>
        <v>-2.67</v>
      </c>
      <c r="H1274" s="48">
        <f>IFERROR(__xludf.DUMMYFUNCTION("IFERROR(GOOGLEFINANCE(A1274,""PRICE""),)"),381.0)</f>
        <v>381</v>
      </c>
      <c r="I1274" s="49">
        <f>IFERROR(__xludf.DUMMYFUNCTION("IFERROR(GOOGLEFINANCE(A1274,""VOLUME""),)"),14069.0)</f>
        <v>14069</v>
      </c>
      <c r="J1274" s="48" t="str">
        <f>IFERROR(__xludf.DUMMYFUNCTION("IFERROR(INDEX(SPLIT(A1274,"":""),1,2),)"),"SHOPERSTOP")</f>
        <v>SHOPERSTOP</v>
      </c>
      <c r="K1274" s="48" t="str">
        <f t="shared" si="4"/>
        <v/>
      </c>
      <c r="L1274" s="48">
        <f t="shared" si="5"/>
        <v>582</v>
      </c>
      <c r="M1274" s="48">
        <f t="shared" si="6"/>
        <v>1190</v>
      </c>
      <c r="N1274" s="50">
        <f>IFERROR(__xludf.DUMMYFUNCTION("IFERROR(GOOGLEFINANCE(A1274,""TRADETIME""),)"),46269.64583333333)</f>
        <v>46269.64583</v>
      </c>
      <c r="O1274" s="44"/>
      <c r="P1274" s="44"/>
      <c r="Q1274" s="44"/>
      <c r="R1274" s="44"/>
      <c r="S1274" s="44"/>
      <c r="T1274" s="44"/>
      <c r="U1274" s="44"/>
      <c r="V1274" s="44"/>
      <c r="W1274" s="44"/>
      <c r="X1274" s="44"/>
      <c r="Y1274" s="44"/>
      <c r="Z1274" s="44"/>
    </row>
    <row r="1275" ht="15.75" customHeight="1">
      <c r="A1275" s="51" t="s">
        <v>1321</v>
      </c>
      <c r="B1275" s="51" t="str">
        <f>IFERROR(__xludf.DUMMYFUNCTION("IFERROR(GOOGLEFINANCE(A1275,""NAME""),)"),"Shradha Realty Ltd")</f>
        <v>Shradha Realty Ltd</v>
      </c>
      <c r="C1275" s="51">
        <f>IFERROR(__xludf.DUMMYFUNCTION("IFERROR(GOOGLEFINANCE(A1275,""CHANGE""),)"),-0.4)</f>
        <v>-0.4</v>
      </c>
      <c r="D1275" s="51">
        <f>IFERROR(__xludf.DUMMYFUNCTION("IFERROR(GOOGLEFINANCE(A1275,""CHANGEPCT""),)"),-1.25)</f>
        <v>-1.25</v>
      </c>
      <c r="E1275" s="51" t="str">
        <f t="shared" si="1"/>
        <v>-1.25%</v>
      </c>
      <c r="F1275" s="51" t="str">
        <f t="shared" si="2"/>
        <v/>
      </c>
      <c r="G1275" s="51">
        <f t="shared" si="3"/>
        <v>-1.25</v>
      </c>
      <c r="H1275" s="51">
        <f>IFERROR(__xludf.DUMMYFUNCTION("IFERROR(GOOGLEFINANCE(A1275,""PRICE""),)"),31.5)</f>
        <v>31.5</v>
      </c>
      <c r="I1275" s="52">
        <f>IFERROR(__xludf.DUMMYFUNCTION("IFERROR(GOOGLEFINANCE(A1275,""VOLUME""),)"),16176.0)</f>
        <v>16176</v>
      </c>
      <c r="J1275" s="51" t="str">
        <f>IFERROR(__xludf.DUMMYFUNCTION("IFERROR(INDEX(SPLIT(A1275,"":""),1,2),)"),"SHRADHA")</f>
        <v>SHRADHA</v>
      </c>
      <c r="K1275" s="51" t="str">
        <f t="shared" si="4"/>
        <v/>
      </c>
      <c r="L1275" s="51">
        <f t="shared" si="5"/>
        <v>391</v>
      </c>
      <c r="M1275" s="51">
        <f t="shared" si="6"/>
        <v>1161</v>
      </c>
      <c r="N1275" s="53">
        <f>IFERROR(__xludf.DUMMYFUNCTION("IFERROR(GOOGLEFINANCE(A1275,""TRADETIME""),)"),46269.64583333333)</f>
        <v>46269.64583</v>
      </c>
      <c r="O1275" s="44"/>
      <c r="P1275" s="44"/>
      <c r="Q1275" s="44"/>
      <c r="R1275" s="44"/>
      <c r="S1275" s="44"/>
      <c r="T1275" s="44"/>
      <c r="U1275" s="44"/>
      <c r="V1275" s="44"/>
      <c r="W1275" s="44"/>
      <c r="X1275" s="44"/>
      <c r="Y1275" s="44"/>
      <c r="Z1275" s="44"/>
    </row>
    <row r="1276" ht="15.75" customHeight="1">
      <c r="A1276" s="48" t="s">
        <v>1322</v>
      </c>
      <c r="B1276" s="48" t="str">
        <f>IFERROR(__xludf.DUMMYFUNCTION("IFERROR(GOOGLEFINANCE(A1276,""NAME""),)"),"Shree Digvijay Cement Co Ltd")</f>
        <v>Shree Digvijay Cement Co Ltd</v>
      </c>
      <c r="C1276" s="48">
        <f>IFERROR(__xludf.DUMMYFUNCTION("IFERROR(GOOGLEFINANCE(A1276,""CHANGE""),)"),-0.28)</f>
        <v>-0.28</v>
      </c>
      <c r="D1276" s="48">
        <f>IFERROR(__xludf.DUMMYFUNCTION("IFERROR(GOOGLEFINANCE(A1276,""CHANGEPCT""),)"),-0.38)</f>
        <v>-0.38</v>
      </c>
      <c r="E1276" s="48" t="str">
        <f t="shared" si="1"/>
        <v>-0.38%</v>
      </c>
      <c r="F1276" s="48" t="str">
        <f t="shared" si="2"/>
        <v/>
      </c>
      <c r="G1276" s="48">
        <f t="shared" si="3"/>
        <v>-0.38</v>
      </c>
      <c r="H1276" s="48">
        <f>IFERROR(__xludf.DUMMYFUNCTION("IFERROR(GOOGLEFINANCE(A1276,""PRICE""),)"),74.0)</f>
        <v>74</v>
      </c>
      <c r="I1276" s="49">
        <f>IFERROR(__xludf.DUMMYFUNCTION("IFERROR(GOOGLEFINANCE(A1276,""VOLUME""),)"),189709.0)</f>
        <v>189709</v>
      </c>
      <c r="J1276" s="48" t="str">
        <f>IFERROR(__xludf.DUMMYFUNCTION("IFERROR(INDEX(SPLIT(A1276,"":""),1,2),)"),"SHREDIGCEM")</f>
        <v>SHREDIGCEM</v>
      </c>
      <c r="K1276" s="48" t="str">
        <f t="shared" si="4"/>
        <v/>
      </c>
      <c r="L1276" s="48">
        <f t="shared" si="5"/>
        <v>147</v>
      </c>
      <c r="M1276" s="48">
        <f t="shared" si="6"/>
        <v>642</v>
      </c>
      <c r="N1276" s="50">
        <f>IFERROR(__xludf.DUMMYFUNCTION("IFERROR(GOOGLEFINANCE(A1276,""TRADETIME""),)"),46269.64583333333)</f>
        <v>46269.64583</v>
      </c>
      <c r="O1276" s="44"/>
      <c r="P1276" s="44"/>
      <c r="Q1276" s="44"/>
      <c r="R1276" s="44"/>
      <c r="S1276" s="44"/>
      <c r="T1276" s="44"/>
      <c r="U1276" s="44"/>
      <c r="V1276" s="44"/>
      <c r="W1276" s="44"/>
      <c r="X1276" s="44"/>
      <c r="Y1276" s="44"/>
      <c r="Z1276" s="44"/>
    </row>
    <row r="1277" ht="15.75" customHeight="1">
      <c r="A1277" s="51" t="s">
        <v>1323</v>
      </c>
      <c r="B1277" s="51" t="str">
        <f>IFERROR(__xludf.DUMMYFUNCTION("IFERROR(GOOGLEFINANCE(A1277,""NAME""),)"),"Shree Cement Ltd")</f>
        <v>Shree Cement Ltd</v>
      </c>
      <c r="C1277" s="51">
        <f>IFERROR(__xludf.DUMMYFUNCTION("IFERROR(GOOGLEFINANCE(A1277,""CHANGE""),)"),85.0)</f>
        <v>85</v>
      </c>
      <c r="D1277" s="51">
        <f>IFERROR(__xludf.DUMMYFUNCTION("IFERROR(GOOGLEFINANCE(A1277,""CHANGEPCT""),)"),0.36)</f>
        <v>0.36</v>
      </c>
      <c r="E1277" s="51" t="str">
        <f t="shared" si="1"/>
        <v>0.36%</v>
      </c>
      <c r="F1277" s="51">
        <f t="shared" si="2"/>
        <v>0.36</v>
      </c>
      <c r="G1277" s="51" t="str">
        <f t="shared" si="3"/>
        <v/>
      </c>
      <c r="H1277" s="51">
        <f>IFERROR(__xludf.DUMMYFUNCTION("IFERROR(GOOGLEFINANCE(A1277,""PRICE""),)"),23995.0)</f>
        <v>23995</v>
      </c>
      <c r="I1277" s="52">
        <f>IFERROR(__xludf.DUMMYFUNCTION("IFERROR(GOOGLEFINANCE(A1277,""VOLUME""),)"),15350.0)</f>
        <v>15350</v>
      </c>
      <c r="J1277" s="51" t="str">
        <f>IFERROR(__xludf.DUMMYFUNCTION("IFERROR(INDEX(SPLIT(A1277,"":""),1,2),)"),"SHREECEM")</f>
        <v>SHREECEM</v>
      </c>
      <c r="K1277" s="51">
        <f t="shared" si="4"/>
        <v>640</v>
      </c>
      <c r="L1277" s="51" t="str">
        <f t="shared" si="5"/>
        <v/>
      </c>
      <c r="M1277" s="51">
        <f t="shared" si="6"/>
        <v>1173</v>
      </c>
      <c r="N1277" s="53">
        <f>IFERROR(__xludf.DUMMYFUNCTION("IFERROR(GOOGLEFINANCE(A1277,""TRADETIME""),)"),46269.64583333333)</f>
        <v>46269.64583</v>
      </c>
      <c r="O1277" s="44"/>
      <c r="P1277" s="44"/>
      <c r="Q1277" s="44"/>
      <c r="R1277" s="44"/>
      <c r="S1277" s="44"/>
      <c r="T1277" s="44"/>
      <c r="U1277" s="44"/>
      <c r="V1277" s="44"/>
      <c r="W1277" s="44"/>
      <c r="X1277" s="44"/>
      <c r="Y1277" s="44"/>
      <c r="Z1277" s="44"/>
    </row>
    <row r="1278" ht="15.75" customHeight="1">
      <c r="A1278" s="48" t="s">
        <v>1324</v>
      </c>
      <c r="B1278" s="48" t="str">
        <f>IFERROR(__xludf.DUMMYFUNCTION("IFERROR(GOOGLEFINANCE(A1278,""NAME""),)"),"Shree Pushkar Chemicals &amp; Fertilisrs Ltd")</f>
        <v>Shree Pushkar Chemicals &amp; Fertilisrs Ltd</v>
      </c>
      <c r="C1278" s="48">
        <f>IFERROR(__xludf.DUMMYFUNCTION("IFERROR(GOOGLEFINANCE(A1278,""CHANGE""),)"),-5.45)</f>
        <v>-5.45</v>
      </c>
      <c r="D1278" s="48">
        <f>IFERROR(__xludf.DUMMYFUNCTION("IFERROR(GOOGLEFINANCE(A1278,""CHANGEPCT""),)"),-1.14)</f>
        <v>-1.14</v>
      </c>
      <c r="E1278" s="48" t="str">
        <f t="shared" si="1"/>
        <v>-1.14%</v>
      </c>
      <c r="F1278" s="48" t="str">
        <f t="shared" si="2"/>
        <v/>
      </c>
      <c r="G1278" s="48">
        <f t="shared" si="3"/>
        <v>-1.14</v>
      </c>
      <c r="H1278" s="48">
        <f>IFERROR(__xludf.DUMMYFUNCTION("IFERROR(GOOGLEFINANCE(A1278,""PRICE""),)"),472.0)</f>
        <v>472</v>
      </c>
      <c r="I1278" s="49">
        <f>IFERROR(__xludf.DUMMYFUNCTION("IFERROR(GOOGLEFINANCE(A1278,""VOLUME""),)"),50352.0)</f>
        <v>50352</v>
      </c>
      <c r="J1278" s="48" t="str">
        <f>IFERROR(__xludf.DUMMYFUNCTION("IFERROR(INDEX(SPLIT(A1278,"":""),1,2),)"),"SHREEPUSHK")</f>
        <v>SHREEPUSHK</v>
      </c>
      <c r="K1278" s="48" t="str">
        <f t="shared" si="4"/>
        <v/>
      </c>
      <c r="L1278" s="48">
        <f t="shared" si="5"/>
        <v>369</v>
      </c>
      <c r="M1278" s="48">
        <f t="shared" si="6"/>
        <v>945</v>
      </c>
      <c r="N1278" s="50">
        <f>IFERROR(__xludf.DUMMYFUNCTION("IFERROR(GOOGLEFINANCE(A1278,""TRADETIME""),)"),46269.64583333333)</f>
        <v>46269.64583</v>
      </c>
      <c r="O1278" s="44"/>
      <c r="P1278" s="44"/>
      <c r="Q1278" s="44"/>
      <c r="R1278" s="44"/>
      <c r="S1278" s="44"/>
      <c r="T1278" s="44"/>
      <c r="U1278" s="44"/>
      <c r="V1278" s="44"/>
      <c r="W1278" s="44"/>
      <c r="X1278" s="44"/>
      <c r="Y1278" s="44"/>
      <c r="Z1278" s="44"/>
    </row>
    <row r="1279" ht="15.75" customHeight="1">
      <c r="A1279" s="51" t="s">
        <v>1325</v>
      </c>
      <c r="B1279" s="51" t="str">
        <f>IFERROR(__xludf.DUMMYFUNCTION("IFERROR(GOOGLEFINANCE(A1279,""NAME""),)"),"Shree Rama Multi-Tech Ltd")</f>
        <v>Shree Rama Multi-Tech Ltd</v>
      </c>
      <c r="C1279" s="51">
        <f>IFERROR(__xludf.DUMMYFUNCTION("IFERROR(GOOGLEFINANCE(A1279,""CHANGE""),)"),-0.52)</f>
        <v>-0.52</v>
      </c>
      <c r="D1279" s="51">
        <f>IFERROR(__xludf.DUMMYFUNCTION("IFERROR(GOOGLEFINANCE(A1279,""CHANGEPCT""),)"),-1.17)</f>
        <v>-1.17</v>
      </c>
      <c r="E1279" s="51" t="str">
        <f t="shared" si="1"/>
        <v>-1.17%</v>
      </c>
      <c r="F1279" s="51" t="str">
        <f t="shared" si="2"/>
        <v/>
      </c>
      <c r="G1279" s="51">
        <f t="shared" si="3"/>
        <v>-1.17</v>
      </c>
      <c r="H1279" s="51">
        <f>IFERROR(__xludf.DUMMYFUNCTION("IFERROR(GOOGLEFINANCE(A1279,""PRICE""),)"),44.0)</f>
        <v>44</v>
      </c>
      <c r="I1279" s="52">
        <f>IFERROR(__xludf.DUMMYFUNCTION("IFERROR(GOOGLEFINANCE(A1279,""VOLUME""),)"),51339.0)</f>
        <v>51339</v>
      </c>
      <c r="J1279" s="51" t="str">
        <f>IFERROR(__xludf.DUMMYFUNCTION("IFERROR(INDEX(SPLIT(A1279,"":""),1,2),)"),"SHREERAMA")</f>
        <v>SHREERAMA</v>
      </c>
      <c r="K1279" s="51" t="str">
        <f t="shared" si="4"/>
        <v/>
      </c>
      <c r="L1279" s="51">
        <f t="shared" si="5"/>
        <v>375</v>
      </c>
      <c r="M1279" s="51">
        <f t="shared" si="6"/>
        <v>940</v>
      </c>
      <c r="N1279" s="53">
        <f>IFERROR(__xludf.DUMMYFUNCTION("IFERROR(GOOGLEFINANCE(A1279,""TRADETIME""),)"),46269.64583333333)</f>
        <v>46269.64583</v>
      </c>
      <c r="O1279" s="44"/>
      <c r="P1279" s="44"/>
      <c r="Q1279" s="44"/>
      <c r="R1279" s="44"/>
      <c r="S1279" s="44"/>
      <c r="T1279" s="44"/>
      <c r="U1279" s="44"/>
      <c r="V1279" s="44"/>
      <c r="W1279" s="44"/>
      <c r="X1279" s="44"/>
      <c r="Y1279" s="44"/>
      <c r="Z1279" s="44"/>
    </row>
    <row r="1280" ht="15.75" customHeight="1">
      <c r="A1280" s="48" t="s">
        <v>1326</v>
      </c>
      <c r="B1280" s="48" t="str">
        <f>IFERROR(__xludf.DUMMYFUNCTION("IFERROR(GOOGLEFINANCE(A1280,""NAME""),)"),"Shrenik Ltd")</f>
        <v>Shrenik Ltd</v>
      </c>
      <c r="C1280" s="48">
        <f>IFERROR(__xludf.DUMMYFUNCTION("IFERROR(GOOGLEFINANCE(A1280,""CHANGE""),)"),0.01)</f>
        <v>0.01</v>
      </c>
      <c r="D1280" s="48">
        <f>IFERROR(__xludf.DUMMYFUNCTION("IFERROR(GOOGLEFINANCE(A1280,""CHANGEPCT""),)"),3.45)</f>
        <v>3.45</v>
      </c>
      <c r="E1280" s="48" t="str">
        <f t="shared" si="1"/>
        <v>3.45%</v>
      </c>
      <c r="F1280" s="48">
        <f t="shared" si="2"/>
        <v>3.45</v>
      </c>
      <c r="G1280" s="48" t="str">
        <f t="shared" si="3"/>
        <v/>
      </c>
      <c r="H1280" s="48">
        <f>IFERROR(__xludf.DUMMYFUNCTION("IFERROR(GOOGLEFINANCE(A1280,""PRICE""),)"),0.3)</f>
        <v>0.3</v>
      </c>
      <c r="I1280" s="49">
        <f>IFERROR(__xludf.DUMMYFUNCTION("IFERROR(GOOGLEFINANCE(A1280,""VOLUME""),)"),346855.0)</f>
        <v>346855</v>
      </c>
      <c r="J1280" s="48" t="str">
        <f>IFERROR(__xludf.DUMMYFUNCTION("IFERROR(INDEX(SPLIT(A1280,"":""),1,2),)"),"SHRENIK")</f>
        <v>SHRENIK</v>
      </c>
      <c r="K1280" s="48">
        <f t="shared" si="4"/>
        <v>140</v>
      </c>
      <c r="L1280" s="48" t="str">
        <f t="shared" si="5"/>
        <v/>
      </c>
      <c r="M1280" s="48">
        <f t="shared" si="6"/>
        <v>476</v>
      </c>
      <c r="N1280" s="50">
        <f>IFERROR(__xludf.DUMMYFUNCTION("IFERROR(GOOGLEFINANCE(A1280,""TRADETIME""),)"),46269.64583333333)</f>
        <v>46269.64583</v>
      </c>
      <c r="O1280" s="44"/>
      <c r="P1280" s="44"/>
      <c r="Q1280" s="44"/>
      <c r="R1280" s="44"/>
      <c r="S1280" s="44"/>
      <c r="T1280" s="44"/>
      <c r="U1280" s="44"/>
      <c r="V1280" s="44"/>
      <c r="W1280" s="44"/>
      <c r="X1280" s="44"/>
      <c r="Y1280" s="44"/>
      <c r="Z1280" s="44"/>
    </row>
    <row r="1281" ht="15.75" customHeight="1">
      <c r="A1281" s="51" t="s">
        <v>1327</v>
      </c>
      <c r="B1281" s="51" t="str">
        <f>IFERROR(__xludf.DUMMYFUNCTION("IFERROR(GOOGLEFINANCE(A1281,""NAME""),)"),"Shreyans Industries Ltd")</f>
        <v>Shreyans Industries Ltd</v>
      </c>
      <c r="C1281" s="51">
        <f>IFERROR(__xludf.DUMMYFUNCTION("IFERROR(GOOGLEFINANCE(A1281,""CHANGE""),)"),0.7)</f>
        <v>0.7</v>
      </c>
      <c r="D1281" s="51">
        <f>IFERROR(__xludf.DUMMYFUNCTION("IFERROR(GOOGLEFINANCE(A1281,""CHANGEPCT""),)"),0.54)</f>
        <v>0.54</v>
      </c>
      <c r="E1281" s="51" t="str">
        <f t="shared" si="1"/>
        <v>0.54%</v>
      </c>
      <c r="F1281" s="51">
        <f t="shared" si="2"/>
        <v>0.54</v>
      </c>
      <c r="G1281" s="51" t="str">
        <f t="shared" si="3"/>
        <v/>
      </c>
      <c r="H1281" s="51">
        <f>IFERROR(__xludf.DUMMYFUNCTION("IFERROR(GOOGLEFINANCE(A1281,""PRICE""),)"),130.0)</f>
        <v>130</v>
      </c>
      <c r="I1281" s="52">
        <f>IFERROR(__xludf.DUMMYFUNCTION("IFERROR(GOOGLEFINANCE(A1281,""VOLUME""),)"),6128.0)</f>
        <v>6128</v>
      </c>
      <c r="J1281" s="51" t="str">
        <f>IFERROR(__xludf.DUMMYFUNCTION("IFERROR(INDEX(SPLIT(A1281,"":""),1,2),)"),"SHREYANIND")</f>
        <v>SHREYANIND</v>
      </c>
      <c r="K1281" s="51">
        <f t="shared" si="4"/>
        <v>581</v>
      </c>
      <c r="L1281" s="51" t="str">
        <f t="shared" si="5"/>
        <v/>
      </c>
      <c r="M1281" s="51">
        <f t="shared" si="6"/>
        <v>1304</v>
      </c>
      <c r="N1281" s="53">
        <f>IFERROR(__xludf.DUMMYFUNCTION("IFERROR(GOOGLEFINANCE(A1281,""TRADETIME""),)"),46269.64583333333)</f>
        <v>46269.64583</v>
      </c>
      <c r="O1281" s="44"/>
      <c r="P1281" s="44"/>
      <c r="Q1281" s="44"/>
      <c r="R1281" s="44"/>
      <c r="S1281" s="44"/>
      <c r="T1281" s="44"/>
      <c r="U1281" s="44"/>
      <c r="V1281" s="44"/>
      <c r="W1281" s="44"/>
      <c r="X1281" s="44"/>
      <c r="Y1281" s="44"/>
      <c r="Z1281" s="44"/>
    </row>
    <row r="1282" ht="15.75" customHeight="1">
      <c r="A1282" s="48" t="s">
        <v>1328</v>
      </c>
      <c r="B1282" s="48" t="str">
        <f>IFERROR(__xludf.DUMMYFUNCTION("IFERROR(GOOGLEFINANCE(A1282,""NAME""),)"),"")</f>
        <v/>
      </c>
      <c r="C1282" s="48" t="str">
        <f>IFERROR(__xludf.DUMMYFUNCTION("IFERROR(GOOGLEFINANCE(A1282,""CHANGE""),)"),"")</f>
        <v/>
      </c>
      <c r="D1282" s="48" t="str">
        <f>IFERROR(__xludf.DUMMYFUNCTION("IFERROR(GOOGLEFINANCE(A1282,""CHANGEPCT""),)"),"")</f>
        <v/>
      </c>
      <c r="E1282" s="48" t="str">
        <f t="shared" si="1"/>
        <v>%</v>
      </c>
      <c r="F1282" s="48" t="str">
        <f t="shared" si="2"/>
        <v/>
      </c>
      <c r="G1282" s="48" t="str">
        <f t="shared" si="3"/>
        <v/>
      </c>
      <c r="H1282" s="48" t="str">
        <f>IFERROR(__xludf.DUMMYFUNCTION("IFERROR(GOOGLEFINANCE(A1282,""PRICE""),)"),"")</f>
        <v/>
      </c>
      <c r="I1282" s="49" t="str">
        <f>IFERROR(__xludf.DUMMYFUNCTION("IFERROR(GOOGLEFINANCE(A1282,""VOLUME""),)"),"")</f>
        <v/>
      </c>
      <c r="J1282" s="48" t="str">
        <f>IFERROR(__xludf.DUMMYFUNCTION("IFERROR(INDEX(SPLIT(A1282,"":""),1,2),)"),"SHREYAS")</f>
        <v>SHREYAS</v>
      </c>
      <c r="K1282" s="48" t="str">
        <f t="shared" si="4"/>
        <v/>
      </c>
      <c r="L1282" s="48" t="str">
        <f t="shared" si="5"/>
        <v/>
      </c>
      <c r="M1282" s="48">
        <f t="shared" si="6"/>
        <v>1456</v>
      </c>
      <c r="N1282" s="50" t="str">
        <f>IFERROR(__xludf.DUMMYFUNCTION("IFERROR(GOOGLEFINANCE(A1282,""TRADETIME""),)"),"")</f>
        <v/>
      </c>
      <c r="O1282" s="44"/>
      <c r="P1282" s="44"/>
      <c r="Q1282" s="44"/>
      <c r="R1282" s="44"/>
      <c r="S1282" s="44"/>
      <c r="T1282" s="44"/>
      <c r="U1282" s="44"/>
      <c r="V1282" s="44"/>
      <c r="W1282" s="44"/>
      <c r="X1282" s="44"/>
      <c r="Y1282" s="44"/>
      <c r="Z1282" s="44"/>
    </row>
    <row r="1283" ht="15.75" customHeight="1">
      <c r="A1283" s="51" t="s">
        <v>1329</v>
      </c>
      <c r="B1283" s="51" t="str">
        <f>IFERROR(__xludf.DUMMYFUNCTION("IFERROR(GOOGLEFINANCE(A1283,""NAME""),)"),"SPR Auto Technologies Ltd")</f>
        <v>SPR Auto Technologies Ltd</v>
      </c>
      <c r="C1283" s="51">
        <f>IFERROR(__xludf.DUMMYFUNCTION("IFERROR(GOOGLEFINANCE(A1283,""CHANGE""),)"),8.7)</f>
        <v>8.7</v>
      </c>
      <c r="D1283" s="51">
        <f>IFERROR(__xludf.DUMMYFUNCTION("IFERROR(GOOGLEFINANCE(A1283,""CHANGEPCT""),)"),0.19)</f>
        <v>0.19</v>
      </c>
      <c r="E1283" s="51" t="str">
        <f t="shared" si="1"/>
        <v>0.19%</v>
      </c>
      <c r="F1283" s="51">
        <f t="shared" si="2"/>
        <v>0.19</v>
      </c>
      <c r="G1283" s="51" t="str">
        <f t="shared" si="3"/>
        <v/>
      </c>
      <c r="H1283" s="51">
        <f>IFERROR(__xludf.DUMMYFUNCTION("IFERROR(GOOGLEFINANCE(A1283,""PRICE""),)"),4560.0)</f>
        <v>4560</v>
      </c>
      <c r="I1283" s="52">
        <f>IFERROR(__xludf.DUMMYFUNCTION("IFERROR(GOOGLEFINANCE(A1283,""VOLUME""),)"),68512.0)</f>
        <v>68512</v>
      </c>
      <c r="J1283" s="51" t="str">
        <f>IFERROR(__xludf.DUMMYFUNCTION("IFERROR(INDEX(SPLIT(A1283,"":""),1,2),)"),"SHRIPISTON")</f>
        <v>SHRIPISTON</v>
      </c>
      <c r="K1283" s="51">
        <f t="shared" si="4"/>
        <v>704</v>
      </c>
      <c r="L1283" s="51" t="str">
        <f t="shared" si="5"/>
        <v/>
      </c>
      <c r="M1283" s="51">
        <f t="shared" si="6"/>
        <v>866</v>
      </c>
      <c r="N1283" s="53">
        <f>IFERROR(__xludf.DUMMYFUNCTION("IFERROR(GOOGLEFINANCE(A1283,""TRADETIME""),)"),46269.64586805555)</f>
        <v>46269.64587</v>
      </c>
      <c r="O1283" s="44"/>
      <c r="P1283" s="44"/>
      <c r="Q1283" s="44"/>
      <c r="R1283" s="44"/>
      <c r="S1283" s="44"/>
      <c r="T1283" s="44"/>
      <c r="U1283" s="44"/>
      <c r="V1283" s="44"/>
      <c r="W1283" s="44"/>
      <c r="X1283" s="44"/>
      <c r="Y1283" s="44"/>
      <c r="Z1283" s="44"/>
    </row>
    <row r="1284" ht="15.75" customHeight="1">
      <c r="A1284" s="48" t="s">
        <v>1330</v>
      </c>
      <c r="B1284" s="48" t="str">
        <f>IFERROR(__xludf.DUMMYFUNCTION("IFERROR(GOOGLEFINANCE(A1284,""NAME""),)"),"Sepc Ltd")</f>
        <v>Sepc Ltd</v>
      </c>
      <c r="C1284" s="48">
        <f>IFERROR(__xludf.DUMMYFUNCTION("IFERROR(GOOGLEFINANCE(A1284,""CHANGE""),)"),0.03)</f>
        <v>0.03</v>
      </c>
      <c r="D1284" s="48">
        <f>IFERROR(__xludf.DUMMYFUNCTION("IFERROR(GOOGLEFINANCE(A1284,""CHANGEPCT""),)"),0.56)</f>
        <v>0.56</v>
      </c>
      <c r="E1284" s="48" t="str">
        <f t="shared" si="1"/>
        <v>0.56%</v>
      </c>
      <c r="F1284" s="48">
        <f t="shared" si="2"/>
        <v>0.56</v>
      </c>
      <c r="G1284" s="48" t="str">
        <f t="shared" si="3"/>
        <v/>
      </c>
      <c r="H1284" s="48">
        <f>IFERROR(__xludf.DUMMYFUNCTION("IFERROR(GOOGLEFINANCE(A1284,""PRICE""),)"),5.4)</f>
        <v>5.4</v>
      </c>
      <c r="I1284" s="49">
        <f>IFERROR(__xludf.DUMMYFUNCTION("IFERROR(GOOGLEFINANCE(A1284,""VOLUME""),)"),7339250.0)</f>
        <v>7339250</v>
      </c>
      <c r="J1284" s="48" t="str">
        <f>IFERROR(__xludf.DUMMYFUNCTION("IFERROR(INDEX(SPLIT(A1284,"":""),1,2),)"),"SEPC")</f>
        <v>SEPC</v>
      </c>
      <c r="K1284" s="48">
        <f t="shared" si="4"/>
        <v>570</v>
      </c>
      <c r="L1284" s="48" t="str">
        <f t="shared" si="5"/>
        <v/>
      </c>
      <c r="M1284" s="48">
        <f t="shared" si="6"/>
        <v>61</v>
      </c>
      <c r="N1284" s="50">
        <f>IFERROR(__xludf.DUMMYFUNCTION("IFERROR(GOOGLEFINANCE(A1284,""TRADETIME""),)"),46269.64584490741)</f>
        <v>46269.64584</v>
      </c>
      <c r="O1284" s="44"/>
      <c r="P1284" s="44"/>
      <c r="Q1284" s="44"/>
      <c r="R1284" s="44"/>
      <c r="S1284" s="44"/>
      <c r="T1284" s="44"/>
      <c r="U1284" s="44"/>
      <c r="V1284" s="44"/>
      <c r="W1284" s="44"/>
      <c r="X1284" s="44"/>
      <c r="Y1284" s="44"/>
      <c r="Z1284" s="44"/>
    </row>
    <row r="1285" ht="15.75" customHeight="1">
      <c r="A1285" s="51" t="s">
        <v>1331</v>
      </c>
      <c r="B1285" s="51" t="str">
        <f>IFERROR(__xludf.DUMMYFUNCTION("IFERROR(GOOGLEFINANCE(A1285,""NAME""),)"),"Shyam Century Ferrous Ltd")</f>
        <v>Shyam Century Ferrous Ltd</v>
      </c>
      <c r="C1285" s="51">
        <f>IFERROR(__xludf.DUMMYFUNCTION("IFERROR(GOOGLEFINANCE(A1285,""CHANGE""),)"),0.07)</f>
        <v>0.07</v>
      </c>
      <c r="D1285" s="51">
        <f>IFERROR(__xludf.DUMMYFUNCTION("IFERROR(GOOGLEFINANCE(A1285,""CHANGEPCT""),)"),1.41)</f>
        <v>1.41</v>
      </c>
      <c r="E1285" s="51" t="str">
        <f t="shared" si="1"/>
        <v>1.41%</v>
      </c>
      <c r="F1285" s="51">
        <f t="shared" si="2"/>
        <v>1.41</v>
      </c>
      <c r="G1285" s="51" t="str">
        <f t="shared" si="3"/>
        <v/>
      </c>
      <c r="H1285" s="51">
        <f>IFERROR(__xludf.DUMMYFUNCTION("IFERROR(GOOGLEFINANCE(A1285,""PRICE""),)"),5.03)</f>
        <v>5.03</v>
      </c>
      <c r="I1285" s="52">
        <f>IFERROR(__xludf.DUMMYFUNCTION("IFERROR(GOOGLEFINANCE(A1285,""VOLUME""),)"),164214.0)</f>
        <v>164214</v>
      </c>
      <c r="J1285" s="51" t="str">
        <f>IFERROR(__xludf.DUMMYFUNCTION("IFERROR(INDEX(SPLIT(A1285,"":""),1,2),)"),"SHYAMCENT")</f>
        <v>SHYAMCENT</v>
      </c>
      <c r="K1285" s="51">
        <f t="shared" si="4"/>
        <v>359</v>
      </c>
      <c r="L1285" s="51" t="str">
        <f t="shared" si="5"/>
        <v/>
      </c>
      <c r="M1285" s="51">
        <f t="shared" si="6"/>
        <v>668</v>
      </c>
      <c r="N1285" s="53">
        <f>IFERROR(__xludf.DUMMYFUNCTION("IFERROR(GOOGLEFINANCE(A1285,""TRADETIME""),)"),46269.64584490741)</f>
        <v>46269.64584</v>
      </c>
      <c r="O1285" s="44"/>
      <c r="P1285" s="44"/>
      <c r="Q1285" s="44"/>
      <c r="R1285" s="44"/>
      <c r="S1285" s="44"/>
      <c r="T1285" s="44"/>
      <c r="U1285" s="44"/>
      <c r="V1285" s="44"/>
      <c r="W1285" s="44"/>
      <c r="X1285" s="44"/>
      <c r="Y1285" s="44"/>
      <c r="Z1285" s="44"/>
    </row>
    <row r="1286" ht="15.75" customHeight="1">
      <c r="A1286" s="48" t="s">
        <v>1332</v>
      </c>
      <c r="B1286" s="48" t="str">
        <f>IFERROR(__xludf.DUMMYFUNCTION("IFERROR(GOOGLEFINANCE(A1286,""NAME""),)"),"Siemens Ltd")</f>
        <v>Siemens Ltd</v>
      </c>
      <c r="C1286" s="48">
        <f>IFERROR(__xludf.DUMMYFUNCTION("IFERROR(GOOGLEFINANCE(A1286,""CHANGE""),)"),-30.0)</f>
        <v>-30</v>
      </c>
      <c r="D1286" s="48">
        <f>IFERROR(__xludf.DUMMYFUNCTION("IFERROR(GOOGLEFINANCE(A1286,""CHANGEPCT""),)"),-0.74)</f>
        <v>-0.74</v>
      </c>
      <c r="E1286" s="48" t="str">
        <f t="shared" si="1"/>
        <v>-0.74%</v>
      </c>
      <c r="F1286" s="48" t="str">
        <f t="shared" si="2"/>
        <v/>
      </c>
      <c r="G1286" s="48">
        <f t="shared" si="3"/>
        <v>-0.74</v>
      </c>
      <c r="H1286" s="48">
        <f>IFERROR(__xludf.DUMMYFUNCTION("IFERROR(GOOGLEFINANCE(A1286,""PRICE""),)"),4000.0)</f>
        <v>4000</v>
      </c>
      <c r="I1286" s="49">
        <f>IFERROR(__xludf.DUMMYFUNCTION("IFERROR(GOOGLEFINANCE(A1286,""VOLUME""),)"),177116.0)</f>
        <v>177116</v>
      </c>
      <c r="J1286" s="48" t="str">
        <f>IFERROR(__xludf.DUMMYFUNCTION("IFERROR(INDEX(SPLIT(A1286,"":""),1,2),)"),"SIEMENS")</f>
        <v>SIEMENS</v>
      </c>
      <c r="K1286" s="48" t="str">
        <f t="shared" si="4"/>
        <v/>
      </c>
      <c r="L1286" s="48">
        <f t="shared" si="5"/>
        <v>282</v>
      </c>
      <c r="M1286" s="48">
        <f t="shared" si="6"/>
        <v>651</v>
      </c>
      <c r="N1286" s="50">
        <f>IFERROR(__xludf.DUMMYFUNCTION("IFERROR(GOOGLEFINANCE(A1286,""TRADETIME""),)"),46269.64583333333)</f>
        <v>46269.64583</v>
      </c>
      <c r="O1286" s="44"/>
      <c r="P1286" s="44"/>
      <c r="Q1286" s="44"/>
      <c r="R1286" s="44"/>
      <c r="S1286" s="44"/>
      <c r="T1286" s="44"/>
      <c r="U1286" s="44"/>
      <c r="V1286" s="44"/>
      <c r="W1286" s="44"/>
      <c r="X1286" s="44"/>
      <c r="Y1286" s="44"/>
      <c r="Z1286" s="44"/>
    </row>
    <row r="1287" ht="15.75" customHeight="1">
      <c r="A1287" s="51" t="s">
        <v>1333</v>
      </c>
      <c r="B1287" s="51" t="str">
        <f>IFERROR(__xludf.DUMMYFUNCTION("IFERROR(GOOGLEFINANCE(A1287,""NAME""),)"),"Signet Industries Ltd")</f>
        <v>Signet Industries Ltd</v>
      </c>
      <c r="C1287" s="51">
        <f>IFERROR(__xludf.DUMMYFUNCTION("IFERROR(GOOGLEFINANCE(A1287,""CHANGE""),)"),0.01)</f>
        <v>0.01</v>
      </c>
      <c r="D1287" s="51">
        <f>IFERROR(__xludf.DUMMYFUNCTION("IFERROR(GOOGLEFINANCE(A1287,""CHANGEPCT""),)"),0.01)</f>
        <v>0.01</v>
      </c>
      <c r="E1287" s="51" t="str">
        <f t="shared" si="1"/>
        <v>0.01%</v>
      </c>
      <c r="F1287" s="51">
        <f t="shared" si="2"/>
        <v>0.01</v>
      </c>
      <c r="G1287" s="51" t="str">
        <f t="shared" si="3"/>
        <v/>
      </c>
      <c r="H1287" s="51">
        <f>IFERROR(__xludf.DUMMYFUNCTION("IFERROR(GOOGLEFINANCE(A1287,""PRICE""),)"),71.15)</f>
        <v>71.15</v>
      </c>
      <c r="I1287" s="52">
        <f>IFERROR(__xludf.DUMMYFUNCTION("IFERROR(GOOGLEFINANCE(A1287,""VOLUME""),)"),3242.0)</f>
        <v>3242</v>
      </c>
      <c r="J1287" s="51" t="str">
        <f>IFERROR(__xludf.DUMMYFUNCTION("IFERROR(INDEX(SPLIT(A1287,"":""),1,2),)"),"SIGIND")</f>
        <v>SIGIND</v>
      </c>
      <c r="K1287" s="51">
        <f t="shared" si="4"/>
        <v>779</v>
      </c>
      <c r="L1287" s="51" t="str">
        <f t="shared" si="5"/>
        <v/>
      </c>
      <c r="M1287" s="51">
        <f t="shared" si="6"/>
        <v>1361</v>
      </c>
      <c r="N1287" s="53">
        <f>IFERROR(__xludf.DUMMYFUNCTION("IFERROR(GOOGLEFINANCE(A1287,""TRADETIME""),)"),46269.64583333333)</f>
        <v>46269.64583</v>
      </c>
      <c r="O1287" s="44"/>
      <c r="P1287" s="44"/>
      <c r="Q1287" s="44"/>
      <c r="R1287" s="44"/>
      <c r="S1287" s="44"/>
      <c r="T1287" s="44"/>
      <c r="U1287" s="44"/>
      <c r="V1287" s="44"/>
      <c r="W1287" s="44"/>
      <c r="X1287" s="44"/>
      <c r="Y1287" s="44"/>
      <c r="Z1287" s="44"/>
    </row>
    <row r="1288" ht="15.75" customHeight="1">
      <c r="A1288" s="48" t="s">
        <v>1334</v>
      </c>
      <c r="B1288" s="48" t="str">
        <f>IFERROR(__xludf.DUMMYFUNCTION("IFERROR(GOOGLEFINANCE(A1288,""NAME""),)"),"Standard Industries Ltd")</f>
        <v>Standard Industries Ltd</v>
      </c>
      <c r="C1288" s="48">
        <f>IFERROR(__xludf.DUMMYFUNCTION("IFERROR(GOOGLEFINANCE(A1288,""CHANGE""),)"),-0.07)</f>
        <v>-0.07</v>
      </c>
      <c r="D1288" s="48">
        <f>IFERROR(__xludf.DUMMYFUNCTION("IFERROR(GOOGLEFINANCE(A1288,""CHANGEPCT""),)"),-0.36)</f>
        <v>-0.36</v>
      </c>
      <c r="E1288" s="48" t="str">
        <f t="shared" si="1"/>
        <v>-0.36%</v>
      </c>
      <c r="F1288" s="48" t="str">
        <f t="shared" si="2"/>
        <v/>
      </c>
      <c r="G1288" s="48">
        <f t="shared" si="3"/>
        <v>-0.36</v>
      </c>
      <c r="H1288" s="48">
        <f>IFERROR(__xludf.DUMMYFUNCTION("IFERROR(GOOGLEFINANCE(A1288,""PRICE""),)"),19.45)</f>
        <v>19.45</v>
      </c>
      <c r="I1288" s="49">
        <f>IFERROR(__xludf.DUMMYFUNCTION("IFERROR(GOOGLEFINANCE(A1288,""VOLUME""),)"),66127.0)</f>
        <v>66127</v>
      </c>
      <c r="J1288" s="48" t="str">
        <f>IFERROR(__xludf.DUMMYFUNCTION("IFERROR(INDEX(SPLIT(A1288,"":""),1,2),)"),"SIL")</f>
        <v>SIL</v>
      </c>
      <c r="K1288" s="48" t="str">
        <f t="shared" si="4"/>
        <v/>
      </c>
      <c r="L1288" s="48">
        <f t="shared" si="5"/>
        <v>141</v>
      </c>
      <c r="M1288" s="48">
        <f t="shared" si="6"/>
        <v>873</v>
      </c>
      <c r="N1288" s="50">
        <f>IFERROR(__xludf.DUMMYFUNCTION("IFERROR(GOOGLEFINANCE(A1288,""TRADETIME""),)"),46269.64583333333)</f>
        <v>46269.64583</v>
      </c>
      <c r="O1288" s="44"/>
      <c r="P1288" s="44"/>
      <c r="Q1288" s="44"/>
      <c r="R1288" s="44"/>
      <c r="S1288" s="44"/>
      <c r="T1288" s="44"/>
      <c r="U1288" s="44"/>
      <c r="V1288" s="44"/>
      <c r="W1288" s="44"/>
      <c r="X1288" s="44"/>
      <c r="Y1288" s="44"/>
      <c r="Z1288" s="44"/>
    </row>
    <row r="1289" ht="15.75" customHeight="1">
      <c r="A1289" s="51" t="s">
        <v>1335</v>
      </c>
      <c r="B1289" s="51" t="str">
        <f>IFERROR(__xludf.DUMMYFUNCTION("IFERROR(GOOGLEFINANCE(A1289,""NAME""),)"),"Silgo Retail Ltd")</f>
        <v>Silgo Retail Ltd</v>
      </c>
      <c r="C1289" s="51">
        <f>IFERROR(__xludf.DUMMYFUNCTION("IFERROR(GOOGLEFINANCE(A1289,""CHANGE""),)"),-0.66)</f>
        <v>-0.66</v>
      </c>
      <c r="D1289" s="51">
        <f>IFERROR(__xludf.DUMMYFUNCTION("IFERROR(GOOGLEFINANCE(A1289,""CHANGEPCT""),)"),-0.93)</f>
        <v>-0.93</v>
      </c>
      <c r="E1289" s="51" t="str">
        <f t="shared" si="1"/>
        <v>-0.93%</v>
      </c>
      <c r="F1289" s="51" t="str">
        <f t="shared" si="2"/>
        <v/>
      </c>
      <c r="G1289" s="51">
        <f t="shared" si="3"/>
        <v>-0.93</v>
      </c>
      <c r="H1289" s="51">
        <f>IFERROR(__xludf.DUMMYFUNCTION("IFERROR(GOOGLEFINANCE(A1289,""PRICE""),)"),70.5)</f>
        <v>70.5</v>
      </c>
      <c r="I1289" s="52">
        <f>IFERROR(__xludf.DUMMYFUNCTION("IFERROR(GOOGLEFINANCE(A1289,""VOLUME""),)"),113233.0)</f>
        <v>113233</v>
      </c>
      <c r="J1289" s="51" t="str">
        <f>IFERROR(__xludf.DUMMYFUNCTION("IFERROR(INDEX(SPLIT(A1289,"":""),1,2),)"),"SILGO")</f>
        <v>SILGO</v>
      </c>
      <c r="K1289" s="51" t="str">
        <f t="shared" si="4"/>
        <v/>
      </c>
      <c r="L1289" s="51">
        <f t="shared" si="5"/>
        <v>321</v>
      </c>
      <c r="M1289" s="51">
        <f t="shared" si="6"/>
        <v>747</v>
      </c>
      <c r="N1289" s="53">
        <f>IFERROR(__xludf.DUMMYFUNCTION("IFERROR(GOOGLEFINANCE(A1289,""TRADETIME""),)"),46269.64583333333)</f>
        <v>46269.64583</v>
      </c>
      <c r="O1289" s="44"/>
      <c r="P1289" s="44"/>
      <c r="Q1289" s="44"/>
      <c r="R1289" s="44"/>
      <c r="S1289" s="44"/>
      <c r="T1289" s="44"/>
      <c r="U1289" s="44"/>
      <c r="V1289" s="44"/>
      <c r="W1289" s="44"/>
      <c r="X1289" s="44"/>
      <c r="Y1289" s="44"/>
      <c r="Z1289" s="44"/>
    </row>
    <row r="1290" ht="15.75" customHeight="1">
      <c r="A1290" s="48" t="s">
        <v>1336</v>
      </c>
      <c r="B1290" s="48" t="str">
        <f>IFERROR(__xludf.DUMMYFUNCTION("IFERROR(GOOGLEFINANCE(A1290,""NAME""),)"),"Sil Investments Ltd")</f>
        <v>Sil Investments Ltd</v>
      </c>
      <c r="C1290" s="48">
        <f>IFERROR(__xludf.DUMMYFUNCTION("IFERROR(GOOGLEFINANCE(A1290,""CHANGE""),)"),-9.5)</f>
        <v>-9.5</v>
      </c>
      <c r="D1290" s="48">
        <f>IFERROR(__xludf.DUMMYFUNCTION("IFERROR(GOOGLEFINANCE(A1290,""CHANGEPCT""),)"),-1.95)</f>
        <v>-1.95</v>
      </c>
      <c r="E1290" s="48" t="str">
        <f t="shared" si="1"/>
        <v>-1.95%</v>
      </c>
      <c r="F1290" s="48" t="str">
        <f t="shared" si="2"/>
        <v/>
      </c>
      <c r="G1290" s="48">
        <f t="shared" si="3"/>
        <v>-1.95</v>
      </c>
      <c r="H1290" s="48">
        <f>IFERROR(__xludf.DUMMYFUNCTION("IFERROR(GOOGLEFINANCE(A1290,""PRICE""),)"),478.0)</f>
        <v>478</v>
      </c>
      <c r="I1290" s="49">
        <f>IFERROR(__xludf.DUMMYFUNCTION("IFERROR(GOOGLEFINANCE(A1290,""VOLUME""),)"),2201.0)</f>
        <v>2201</v>
      </c>
      <c r="J1290" s="48" t="str">
        <f>IFERROR(__xludf.DUMMYFUNCTION("IFERROR(INDEX(SPLIT(A1290,"":""),1,2),)"),"SILINV")</f>
        <v>SILINV</v>
      </c>
      <c r="K1290" s="48" t="str">
        <f t="shared" si="4"/>
        <v/>
      </c>
      <c r="L1290" s="48">
        <f t="shared" si="5"/>
        <v>518</v>
      </c>
      <c r="M1290" s="48">
        <f t="shared" si="6"/>
        <v>1389</v>
      </c>
      <c r="N1290" s="50">
        <f>IFERROR(__xludf.DUMMYFUNCTION("IFERROR(GOOGLEFINANCE(A1290,""TRADETIME""),)"),46269.64583333333)</f>
        <v>46269.64583</v>
      </c>
      <c r="O1290" s="44"/>
      <c r="P1290" s="44"/>
      <c r="Q1290" s="44"/>
      <c r="R1290" s="44"/>
      <c r="S1290" s="44"/>
      <c r="T1290" s="44"/>
      <c r="U1290" s="44"/>
      <c r="V1290" s="44"/>
      <c r="W1290" s="44"/>
      <c r="X1290" s="44"/>
      <c r="Y1290" s="44"/>
      <c r="Z1290" s="44"/>
    </row>
    <row r="1291" ht="15.75" customHeight="1">
      <c r="A1291" s="51" t="s">
        <v>1337</v>
      </c>
      <c r="B1291" s="51" t="str">
        <f>IFERROR(__xludf.DUMMYFUNCTION("IFERROR(GOOGLEFINANCE(A1291,""NAME""),)"),"Silly Monks Entertainment Ltd")</f>
        <v>Silly Monks Entertainment Ltd</v>
      </c>
      <c r="C1291" s="51">
        <f>IFERROR(__xludf.DUMMYFUNCTION("IFERROR(GOOGLEFINANCE(A1291,""CHANGE""),)"),-0.05)</f>
        <v>-0.05</v>
      </c>
      <c r="D1291" s="51">
        <f>IFERROR(__xludf.DUMMYFUNCTION("IFERROR(GOOGLEFINANCE(A1291,""CHANGEPCT""),)"),-0.31)</f>
        <v>-0.31</v>
      </c>
      <c r="E1291" s="51" t="str">
        <f t="shared" si="1"/>
        <v>-0.31%</v>
      </c>
      <c r="F1291" s="51" t="str">
        <f t="shared" si="2"/>
        <v/>
      </c>
      <c r="G1291" s="51">
        <f t="shared" si="3"/>
        <v>-0.31</v>
      </c>
      <c r="H1291" s="51">
        <f>IFERROR(__xludf.DUMMYFUNCTION("IFERROR(GOOGLEFINANCE(A1291,""PRICE""),)"),16.19)</f>
        <v>16.19</v>
      </c>
      <c r="I1291" s="52">
        <f>IFERROR(__xludf.DUMMYFUNCTION("IFERROR(GOOGLEFINANCE(A1291,""VOLUME""),)"),2494.0)</f>
        <v>2494</v>
      </c>
      <c r="J1291" s="51" t="str">
        <f>IFERROR(__xludf.DUMMYFUNCTION("IFERROR(INDEX(SPLIT(A1291,"":""),1,2),)"),"SILLYMONKS")</f>
        <v>SILLYMONKS</v>
      </c>
      <c r="K1291" s="51" t="str">
        <f t="shared" si="4"/>
        <v/>
      </c>
      <c r="L1291" s="51">
        <f t="shared" si="5"/>
        <v>119</v>
      </c>
      <c r="M1291" s="51">
        <f t="shared" si="6"/>
        <v>1378</v>
      </c>
      <c r="N1291" s="53">
        <f>IFERROR(__xludf.DUMMYFUNCTION("IFERROR(GOOGLEFINANCE(A1291,""TRADETIME""),)"),46269.64583333333)</f>
        <v>46269.64583</v>
      </c>
      <c r="O1291" s="44"/>
      <c r="P1291" s="44"/>
      <c r="Q1291" s="44"/>
      <c r="R1291" s="44"/>
      <c r="S1291" s="44"/>
      <c r="T1291" s="44"/>
      <c r="U1291" s="44"/>
      <c r="V1291" s="44"/>
      <c r="W1291" s="44"/>
      <c r="X1291" s="44"/>
      <c r="Y1291" s="44"/>
      <c r="Z1291" s="44"/>
    </row>
    <row r="1292" ht="15.75" customHeight="1">
      <c r="A1292" s="48" t="s">
        <v>1338</v>
      </c>
      <c r="B1292" s="48" t="str">
        <f>IFERROR(__xludf.DUMMYFUNCTION("IFERROR(GOOGLEFINANCE(A1292,""NAME""),)"),"Simbhaoli Sugars Ltd")</f>
        <v>Simbhaoli Sugars Ltd</v>
      </c>
      <c r="C1292" s="48">
        <f>IFERROR(__xludf.DUMMYFUNCTION("IFERROR(GOOGLEFINANCE(A1292,""CHANGE""),)"),-0.15)</f>
        <v>-0.15</v>
      </c>
      <c r="D1292" s="48">
        <f>IFERROR(__xludf.DUMMYFUNCTION("IFERROR(GOOGLEFINANCE(A1292,""CHANGEPCT""),)"),-1.89)</f>
        <v>-1.89</v>
      </c>
      <c r="E1292" s="48" t="str">
        <f t="shared" si="1"/>
        <v>-1.89%</v>
      </c>
      <c r="F1292" s="48" t="str">
        <f t="shared" si="2"/>
        <v/>
      </c>
      <c r="G1292" s="48">
        <f t="shared" si="3"/>
        <v>-1.89</v>
      </c>
      <c r="H1292" s="48">
        <f>IFERROR(__xludf.DUMMYFUNCTION("IFERROR(GOOGLEFINANCE(A1292,""PRICE""),)"),7.8)</f>
        <v>7.8</v>
      </c>
      <c r="I1292" s="49">
        <f>IFERROR(__xludf.DUMMYFUNCTION("IFERROR(GOOGLEFINANCE(A1292,""VOLUME""),)"),3573.0)</f>
        <v>3573</v>
      </c>
      <c r="J1292" s="48" t="str">
        <f>IFERROR(__xludf.DUMMYFUNCTION("IFERROR(INDEX(SPLIT(A1292,"":""),1,2),)"),"SIMBHALS")</f>
        <v>SIMBHALS</v>
      </c>
      <c r="K1292" s="48" t="str">
        <f t="shared" si="4"/>
        <v/>
      </c>
      <c r="L1292" s="48">
        <f t="shared" si="5"/>
        <v>508</v>
      </c>
      <c r="M1292" s="48">
        <f t="shared" si="6"/>
        <v>1355</v>
      </c>
      <c r="N1292" s="50">
        <f>IFERROR(__xludf.DUMMYFUNCTION("IFERROR(GOOGLEFINANCE(A1292,""TRADETIME""),)"),46269.64583333333)</f>
        <v>46269.64583</v>
      </c>
      <c r="O1292" s="44"/>
      <c r="P1292" s="44"/>
      <c r="Q1292" s="44"/>
      <c r="R1292" s="44"/>
      <c r="S1292" s="44"/>
      <c r="T1292" s="44"/>
      <c r="U1292" s="44"/>
      <c r="V1292" s="44"/>
      <c r="W1292" s="44"/>
      <c r="X1292" s="44"/>
      <c r="Y1292" s="44"/>
      <c r="Z1292" s="44"/>
    </row>
    <row r="1293" ht="15.75" customHeight="1">
      <c r="A1293" s="51" t="s">
        <v>1339</v>
      </c>
      <c r="B1293" s="51" t="str">
        <f>IFERROR(__xludf.DUMMYFUNCTION("IFERROR(GOOGLEFINANCE(A1293,""NAME""),)"),"Simplex Infrastructures Ltd")</f>
        <v>Simplex Infrastructures Ltd</v>
      </c>
      <c r="C1293" s="51">
        <f>IFERROR(__xludf.DUMMYFUNCTION("IFERROR(GOOGLEFINANCE(A1293,""CHANGE""),)"),7.05)</f>
        <v>7.05</v>
      </c>
      <c r="D1293" s="51">
        <f>IFERROR(__xludf.DUMMYFUNCTION("IFERROR(GOOGLEFINANCE(A1293,""CHANGEPCT""),)"),2.64)</f>
        <v>2.64</v>
      </c>
      <c r="E1293" s="51" t="str">
        <f t="shared" si="1"/>
        <v>2.64%</v>
      </c>
      <c r="F1293" s="51">
        <f t="shared" si="2"/>
        <v>2.64</v>
      </c>
      <c r="G1293" s="51" t="str">
        <f t="shared" si="3"/>
        <v/>
      </c>
      <c r="H1293" s="51">
        <f>IFERROR(__xludf.DUMMYFUNCTION("IFERROR(GOOGLEFINANCE(A1293,""PRICE""),)"),274.0)</f>
        <v>274</v>
      </c>
      <c r="I1293" s="52">
        <f>IFERROR(__xludf.DUMMYFUNCTION("IFERROR(GOOGLEFINANCE(A1293,""VOLUME""),)"),96034.0)</f>
        <v>96034</v>
      </c>
      <c r="J1293" s="51" t="str">
        <f>IFERROR(__xludf.DUMMYFUNCTION("IFERROR(INDEX(SPLIT(A1293,"":""),1,2),)"),"SIMPLEXINF")</f>
        <v>SIMPLEXINF</v>
      </c>
      <c r="K1293" s="51">
        <f t="shared" si="4"/>
        <v>187</v>
      </c>
      <c r="L1293" s="51" t="str">
        <f t="shared" si="5"/>
        <v/>
      </c>
      <c r="M1293" s="51">
        <f t="shared" si="6"/>
        <v>786</v>
      </c>
      <c r="N1293" s="53">
        <f>IFERROR(__xludf.DUMMYFUNCTION("IFERROR(GOOGLEFINANCE(A1293,""TRADETIME""),)"),46269.64583333333)</f>
        <v>46269.64583</v>
      </c>
      <c r="O1293" s="44"/>
      <c r="P1293" s="44"/>
      <c r="Q1293" s="44"/>
      <c r="R1293" s="44"/>
      <c r="S1293" s="44"/>
      <c r="T1293" s="44"/>
      <c r="U1293" s="44"/>
      <c r="V1293" s="44"/>
      <c r="W1293" s="44"/>
      <c r="X1293" s="44"/>
      <c r="Y1293" s="44"/>
      <c r="Z1293" s="44"/>
    </row>
    <row r="1294" ht="15.75" customHeight="1">
      <c r="A1294" s="48" t="s">
        <v>1340</v>
      </c>
      <c r="B1294" s="48" t="str">
        <f>IFERROR(__xludf.DUMMYFUNCTION("IFERROR(GOOGLEFINANCE(A1294,""NAME""),)"),"Sintercom India Ltd")</f>
        <v>Sintercom India Ltd</v>
      </c>
      <c r="C1294" s="48">
        <f>IFERROR(__xludf.DUMMYFUNCTION("IFERROR(GOOGLEFINANCE(A1294,""CHANGE""),)"),0.1)</f>
        <v>0.1</v>
      </c>
      <c r="D1294" s="48">
        <f>IFERROR(__xludf.DUMMYFUNCTION("IFERROR(GOOGLEFINANCE(A1294,""CHANGEPCT""),)"),0.13)</f>
        <v>0.13</v>
      </c>
      <c r="E1294" s="48" t="str">
        <f t="shared" si="1"/>
        <v>0.13%</v>
      </c>
      <c r="F1294" s="48">
        <f t="shared" si="2"/>
        <v>0.13</v>
      </c>
      <c r="G1294" s="48" t="str">
        <f t="shared" si="3"/>
        <v/>
      </c>
      <c r="H1294" s="48">
        <f>IFERROR(__xludf.DUMMYFUNCTION("IFERROR(GOOGLEFINANCE(A1294,""PRICE""),)"),79.71)</f>
        <v>79.71</v>
      </c>
      <c r="I1294" s="49">
        <f>IFERROR(__xludf.DUMMYFUNCTION("IFERROR(GOOGLEFINANCE(A1294,""VOLUME""),)"),10325.0)</f>
        <v>10325</v>
      </c>
      <c r="J1294" s="48" t="str">
        <f>IFERROR(__xludf.DUMMYFUNCTION("IFERROR(INDEX(SPLIT(A1294,"":""),1,2),)"),"SINTERCOM")</f>
        <v>SINTERCOM</v>
      </c>
      <c r="K1294" s="48">
        <f t="shared" si="4"/>
        <v>732</v>
      </c>
      <c r="L1294" s="48" t="str">
        <f t="shared" si="5"/>
        <v/>
      </c>
      <c r="M1294" s="48">
        <f t="shared" si="6"/>
        <v>1229</v>
      </c>
      <c r="N1294" s="50">
        <f>IFERROR(__xludf.DUMMYFUNCTION("IFERROR(GOOGLEFINANCE(A1294,""TRADETIME""),)"),46269.64583333333)</f>
        <v>46269.64583</v>
      </c>
      <c r="O1294" s="44"/>
      <c r="P1294" s="44"/>
      <c r="Q1294" s="44"/>
      <c r="R1294" s="44"/>
      <c r="S1294" s="44"/>
      <c r="T1294" s="44"/>
      <c r="U1294" s="44"/>
      <c r="V1294" s="44"/>
      <c r="W1294" s="44"/>
      <c r="X1294" s="44"/>
      <c r="Y1294" s="44"/>
      <c r="Z1294" s="44"/>
    </row>
    <row r="1295" ht="15.75" customHeight="1">
      <c r="A1295" s="51" t="s">
        <v>1341</v>
      </c>
      <c r="B1295" s="51" t="str">
        <f>IFERROR(__xludf.DUMMYFUNCTION("IFERROR(GOOGLEFINANCE(A1295,""NAME""),)"),"Sirca Paints India Ltd")</f>
        <v>Sirca Paints India Ltd</v>
      </c>
      <c r="C1295" s="51">
        <f>IFERROR(__xludf.DUMMYFUNCTION("IFERROR(GOOGLEFINANCE(A1295,""CHANGE""),)"),-2.4)</f>
        <v>-2.4</v>
      </c>
      <c r="D1295" s="51">
        <f>IFERROR(__xludf.DUMMYFUNCTION("IFERROR(GOOGLEFINANCE(A1295,""CHANGEPCT""),)"),-0.54)</f>
        <v>-0.54</v>
      </c>
      <c r="E1295" s="51" t="str">
        <f t="shared" si="1"/>
        <v>-0.54%</v>
      </c>
      <c r="F1295" s="51" t="str">
        <f t="shared" si="2"/>
        <v/>
      </c>
      <c r="G1295" s="51">
        <f t="shared" si="3"/>
        <v>-0.54</v>
      </c>
      <c r="H1295" s="51">
        <f>IFERROR(__xludf.DUMMYFUNCTION("IFERROR(GOOGLEFINANCE(A1295,""PRICE""),)"),438.0)</f>
        <v>438</v>
      </c>
      <c r="I1295" s="52">
        <f>IFERROR(__xludf.DUMMYFUNCTION("IFERROR(GOOGLEFINANCE(A1295,""VOLUME""),)"),156696.0)</f>
        <v>156696</v>
      </c>
      <c r="J1295" s="51" t="str">
        <f>IFERROR(__xludf.DUMMYFUNCTION("IFERROR(INDEX(SPLIT(A1295,"":""),1,2),)"),"SIRCA")</f>
        <v>SIRCA</v>
      </c>
      <c r="K1295" s="51" t="str">
        <f t="shared" si="4"/>
        <v/>
      </c>
      <c r="L1295" s="51">
        <f t="shared" si="5"/>
        <v>211</v>
      </c>
      <c r="M1295" s="51">
        <f t="shared" si="6"/>
        <v>680</v>
      </c>
      <c r="N1295" s="53">
        <f>IFERROR(__xludf.DUMMYFUNCTION("IFERROR(GOOGLEFINANCE(A1295,""TRADETIME""),)"),46269.64584490741)</f>
        <v>46269.64584</v>
      </c>
      <c r="O1295" s="44"/>
      <c r="P1295" s="44"/>
      <c r="Q1295" s="44"/>
      <c r="R1295" s="44"/>
      <c r="S1295" s="44"/>
      <c r="T1295" s="44"/>
      <c r="U1295" s="44"/>
      <c r="V1295" s="44"/>
      <c r="W1295" s="44"/>
      <c r="X1295" s="44"/>
      <c r="Y1295" s="44"/>
      <c r="Z1295" s="44"/>
    </row>
    <row r="1296" ht="15.75" customHeight="1">
      <c r="A1296" s="48" t="s">
        <v>1342</v>
      </c>
      <c r="B1296" s="48" t="str">
        <f>IFERROR(__xludf.DUMMYFUNCTION("IFERROR(GOOGLEFINANCE(A1296,""NAME""),)"),"SIS Ltd")</f>
        <v>SIS Ltd</v>
      </c>
      <c r="C1296" s="48">
        <f>IFERROR(__xludf.DUMMYFUNCTION("IFERROR(GOOGLEFINANCE(A1296,""CHANGE""),)"),-2.85)</f>
        <v>-2.85</v>
      </c>
      <c r="D1296" s="48">
        <f>IFERROR(__xludf.DUMMYFUNCTION("IFERROR(GOOGLEFINANCE(A1296,""CHANGEPCT""),)"),-0.65)</f>
        <v>-0.65</v>
      </c>
      <c r="E1296" s="48" t="str">
        <f t="shared" si="1"/>
        <v>-0.65%</v>
      </c>
      <c r="F1296" s="48" t="str">
        <f t="shared" si="2"/>
        <v/>
      </c>
      <c r="G1296" s="48">
        <f t="shared" si="3"/>
        <v>-0.65</v>
      </c>
      <c r="H1296" s="48">
        <f>IFERROR(__xludf.DUMMYFUNCTION("IFERROR(GOOGLEFINANCE(A1296,""PRICE""),)"),433.0)</f>
        <v>433</v>
      </c>
      <c r="I1296" s="49">
        <f>IFERROR(__xludf.DUMMYFUNCTION("IFERROR(GOOGLEFINANCE(A1296,""VOLUME""),)"),390191.0)</f>
        <v>390191</v>
      </c>
      <c r="J1296" s="48" t="str">
        <f>IFERROR(__xludf.DUMMYFUNCTION("IFERROR(INDEX(SPLIT(A1296,"":""),1,2),)"),"SIS")</f>
        <v>SIS</v>
      </c>
      <c r="K1296" s="48" t="str">
        <f t="shared" si="4"/>
        <v/>
      </c>
      <c r="L1296" s="48">
        <f t="shared" si="5"/>
        <v>244</v>
      </c>
      <c r="M1296" s="48">
        <f t="shared" si="6"/>
        <v>449</v>
      </c>
      <c r="N1296" s="50">
        <f>IFERROR(__xludf.DUMMYFUNCTION("IFERROR(GOOGLEFINANCE(A1296,""TRADETIME""),)"),46269.64583333333)</f>
        <v>46269.64583</v>
      </c>
      <c r="O1296" s="44"/>
      <c r="P1296" s="44"/>
      <c r="Q1296" s="44"/>
      <c r="R1296" s="44"/>
      <c r="S1296" s="44"/>
      <c r="T1296" s="44"/>
      <c r="U1296" s="44"/>
      <c r="V1296" s="44"/>
      <c r="W1296" s="44"/>
      <c r="X1296" s="44"/>
      <c r="Y1296" s="44"/>
      <c r="Z1296" s="44"/>
    </row>
    <row r="1297" ht="15.75" customHeight="1">
      <c r="A1297" s="51" t="s">
        <v>1343</v>
      </c>
      <c r="B1297" s="51" t="str">
        <f>IFERROR(__xludf.DUMMYFUNCTION("IFERROR(GOOGLEFINANCE(A1297,""NAME""),)"),"Siti Networks Ltd")</f>
        <v>Siti Networks Ltd</v>
      </c>
      <c r="C1297" s="51">
        <f>IFERROR(__xludf.DUMMYFUNCTION("IFERROR(GOOGLEFINANCE(A1297,""CHANGE""),)"),0.01)</f>
        <v>0.01</v>
      </c>
      <c r="D1297" s="51">
        <f>IFERROR(__xludf.DUMMYFUNCTION("IFERROR(GOOGLEFINANCE(A1297,""CHANGEPCT""),)"),3.45)</f>
        <v>3.45</v>
      </c>
      <c r="E1297" s="51" t="str">
        <f t="shared" si="1"/>
        <v>3.45%</v>
      </c>
      <c r="F1297" s="51">
        <f t="shared" si="2"/>
        <v>3.45</v>
      </c>
      <c r="G1297" s="51" t="str">
        <f t="shared" si="3"/>
        <v/>
      </c>
      <c r="H1297" s="51">
        <f>IFERROR(__xludf.DUMMYFUNCTION("IFERROR(GOOGLEFINANCE(A1297,""PRICE""),)"),0.3)</f>
        <v>0.3</v>
      </c>
      <c r="I1297" s="52">
        <f>IFERROR(__xludf.DUMMYFUNCTION("IFERROR(GOOGLEFINANCE(A1297,""VOLUME""),)"),228821.0)</f>
        <v>228821</v>
      </c>
      <c r="J1297" s="51" t="str">
        <f>IFERROR(__xludf.DUMMYFUNCTION("IFERROR(INDEX(SPLIT(A1297,"":""),1,2),)"),"SITINET")</f>
        <v>SITINET</v>
      </c>
      <c r="K1297" s="51">
        <f t="shared" si="4"/>
        <v>141</v>
      </c>
      <c r="L1297" s="51" t="str">
        <f t="shared" si="5"/>
        <v/>
      </c>
      <c r="M1297" s="51">
        <f t="shared" si="6"/>
        <v>590</v>
      </c>
      <c r="N1297" s="53">
        <f>IFERROR(__xludf.DUMMYFUNCTION("IFERROR(GOOGLEFINANCE(A1297,""TRADETIME""),)"),46269.64583333333)</f>
        <v>46269.64583</v>
      </c>
      <c r="O1297" s="44"/>
      <c r="P1297" s="44"/>
      <c r="Q1297" s="44"/>
      <c r="R1297" s="44"/>
      <c r="S1297" s="44"/>
      <c r="T1297" s="44"/>
      <c r="U1297" s="44"/>
      <c r="V1297" s="44"/>
      <c r="W1297" s="44"/>
      <c r="X1297" s="44"/>
      <c r="Y1297" s="44"/>
      <c r="Z1297" s="44"/>
    </row>
    <row r="1298" ht="15.75" customHeight="1">
      <c r="A1298" s="48" t="s">
        <v>1344</v>
      </c>
      <c r="B1298" s="48" t="str">
        <f>IFERROR(__xludf.DUMMYFUNCTION("IFERROR(GOOGLEFINANCE(A1298,""NAME""),)"),"Siyaram Silk Mills Ltd")</f>
        <v>Siyaram Silk Mills Ltd</v>
      </c>
      <c r="C1298" s="48">
        <f>IFERROR(__xludf.DUMMYFUNCTION("IFERROR(GOOGLEFINANCE(A1298,""CHANGE""),)"),-1.15)</f>
        <v>-1.15</v>
      </c>
      <c r="D1298" s="48">
        <f>IFERROR(__xludf.DUMMYFUNCTION("IFERROR(GOOGLEFINANCE(A1298,""CHANGEPCT""),)"),-0.21)</f>
        <v>-0.21</v>
      </c>
      <c r="E1298" s="48" t="str">
        <f t="shared" si="1"/>
        <v>-0.21%</v>
      </c>
      <c r="F1298" s="48" t="str">
        <f t="shared" si="2"/>
        <v/>
      </c>
      <c r="G1298" s="48">
        <f t="shared" si="3"/>
        <v>-0.21</v>
      </c>
      <c r="H1298" s="48">
        <f>IFERROR(__xludf.DUMMYFUNCTION("IFERROR(GOOGLEFINANCE(A1298,""PRICE""),)"),557.5)</f>
        <v>557.5</v>
      </c>
      <c r="I1298" s="49">
        <f>IFERROR(__xludf.DUMMYFUNCTION("IFERROR(GOOGLEFINANCE(A1298,""VOLUME""),)"),28594.0)</f>
        <v>28594</v>
      </c>
      <c r="J1298" s="48" t="str">
        <f>IFERROR(__xludf.DUMMYFUNCTION("IFERROR(INDEX(SPLIT(A1298,"":""),1,2),)"),"SIYSIL")</f>
        <v>SIYSIL</v>
      </c>
      <c r="K1298" s="48" t="str">
        <f t="shared" si="4"/>
        <v/>
      </c>
      <c r="L1298" s="48">
        <f t="shared" si="5"/>
        <v>77</v>
      </c>
      <c r="M1298" s="48">
        <f t="shared" si="6"/>
        <v>1063</v>
      </c>
      <c r="N1298" s="50">
        <f>IFERROR(__xludf.DUMMYFUNCTION("IFERROR(GOOGLEFINANCE(A1298,""TRADETIME""),)"),46269.64584490741)</f>
        <v>46269.64584</v>
      </c>
      <c r="O1298" s="44"/>
      <c r="P1298" s="44"/>
      <c r="Q1298" s="44"/>
      <c r="R1298" s="44"/>
      <c r="S1298" s="44"/>
      <c r="T1298" s="44"/>
      <c r="U1298" s="44"/>
      <c r="V1298" s="44"/>
      <c r="W1298" s="44"/>
      <c r="X1298" s="44"/>
      <c r="Y1298" s="44"/>
      <c r="Z1298" s="44"/>
    </row>
    <row r="1299" ht="15.75" customHeight="1">
      <c r="A1299" s="51" t="s">
        <v>1345</v>
      </c>
      <c r="B1299" s="51" t="str">
        <f>IFERROR(__xludf.DUMMYFUNCTION("IFERROR(GOOGLEFINANCE(A1299,""NAME""),)"),"SJVN Ltd")</f>
        <v>SJVN Ltd</v>
      </c>
      <c r="C1299" s="51">
        <f>IFERROR(__xludf.DUMMYFUNCTION("IFERROR(GOOGLEFINANCE(A1299,""CHANGE""),)"),0.52)</f>
        <v>0.52</v>
      </c>
      <c r="D1299" s="51">
        <f>IFERROR(__xludf.DUMMYFUNCTION("IFERROR(GOOGLEFINANCE(A1299,""CHANGEPCT""),)"),0.8)</f>
        <v>0.8</v>
      </c>
      <c r="E1299" s="51" t="str">
        <f t="shared" si="1"/>
        <v>0.8%</v>
      </c>
      <c r="F1299" s="51">
        <f t="shared" si="2"/>
        <v>0.8</v>
      </c>
      <c r="G1299" s="51" t="str">
        <f t="shared" si="3"/>
        <v/>
      </c>
      <c r="H1299" s="51">
        <f>IFERROR(__xludf.DUMMYFUNCTION("IFERROR(GOOGLEFINANCE(A1299,""PRICE""),)"),65.5)</f>
        <v>65.5</v>
      </c>
      <c r="I1299" s="52">
        <f>IFERROR(__xludf.DUMMYFUNCTION("IFERROR(GOOGLEFINANCE(A1299,""VOLUME""),)"),1260938.0)</f>
        <v>1260938</v>
      </c>
      <c r="J1299" s="51" t="str">
        <f>IFERROR(__xludf.DUMMYFUNCTION("IFERROR(INDEX(SPLIT(A1299,"":""),1,2),)"),"SJVN")</f>
        <v>SJVN</v>
      </c>
      <c r="K1299" s="51">
        <f t="shared" si="4"/>
        <v>501</v>
      </c>
      <c r="L1299" s="51" t="str">
        <f t="shared" si="5"/>
        <v/>
      </c>
      <c r="M1299" s="51">
        <f t="shared" si="6"/>
        <v>234</v>
      </c>
      <c r="N1299" s="53">
        <f>IFERROR(__xludf.DUMMYFUNCTION("IFERROR(GOOGLEFINANCE(A1299,""TRADETIME""),)"),46269.64585648148)</f>
        <v>46269.64586</v>
      </c>
      <c r="O1299" s="44"/>
      <c r="P1299" s="44"/>
      <c r="Q1299" s="44"/>
      <c r="R1299" s="44"/>
      <c r="S1299" s="44"/>
      <c r="T1299" s="44"/>
      <c r="U1299" s="44"/>
      <c r="V1299" s="44"/>
      <c r="W1299" s="44"/>
      <c r="X1299" s="44"/>
      <c r="Y1299" s="44"/>
      <c r="Z1299" s="44"/>
    </row>
    <row r="1300" ht="15.75" customHeight="1">
      <c r="A1300" s="48" t="s">
        <v>1346</v>
      </c>
      <c r="B1300" s="48" t="str">
        <f>IFERROR(__xludf.DUMMYFUNCTION("IFERROR(GOOGLEFINANCE(A1300,""NAME""),)"),"SKF India Ltd")</f>
        <v>SKF India Ltd</v>
      </c>
      <c r="C1300" s="48">
        <f>IFERROR(__xludf.DUMMYFUNCTION("IFERROR(GOOGLEFINANCE(A1300,""CHANGE""),)"),17.4)</f>
        <v>17.4</v>
      </c>
      <c r="D1300" s="48">
        <f>IFERROR(__xludf.DUMMYFUNCTION("IFERROR(GOOGLEFINANCE(A1300,""CHANGEPCT""),)"),1.13)</f>
        <v>1.13</v>
      </c>
      <c r="E1300" s="48" t="str">
        <f t="shared" si="1"/>
        <v>1.13%</v>
      </c>
      <c r="F1300" s="48">
        <f t="shared" si="2"/>
        <v>1.13</v>
      </c>
      <c r="G1300" s="48" t="str">
        <f t="shared" si="3"/>
        <v/>
      </c>
      <c r="H1300" s="48">
        <f>IFERROR(__xludf.DUMMYFUNCTION("IFERROR(GOOGLEFINANCE(A1300,""PRICE""),)"),1558.0)</f>
        <v>1558</v>
      </c>
      <c r="I1300" s="49">
        <f>IFERROR(__xludf.DUMMYFUNCTION("IFERROR(GOOGLEFINANCE(A1300,""VOLUME""),)"),91130.0)</f>
        <v>91130</v>
      </c>
      <c r="J1300" s="48" t="str">
        <f>IFERROR(__xludf.DUMMYFUNCTION("IFERROR(INDEX(SPLIT(A1300,"":""),1,2),)"),"SKFINDIA")</f>
        <v>SKFINDIA</v>
      </c>
      <c r="K1300" s="48">
        <f t="shared" si="4"/>
        <v>429</v>
      </c>
      <c r="L1300" s="48" t="str">
        <f t="shared" si="5"/>
        <v/>
      </c>
      <c r="M1300" s="48">
        <f t="shared" si="6"/>
        <v>795</v>
      </c>
      <c r="N1300" s="50">
        <f>IFERROR(__xludf.DUMMYFUNCTION("IFERROR(GOOGLEFINANCE(A1300,""TRADETIME""),)"),46269.64583333333)</f>
        <v>46269.64583</v>
      </c>
      <c r="O1300" s="44"/>
      <c r="P1300" s="44"/>
      <c r="Q1300" s="44"/>
      <c r="R1300" s="44"/>
      <c r="S1300" s="44"/>
      <c r="T1300" s="44"/>
      <c r="U1300" s="44"/>
      <c r="V1300" s="44"/>
      <c r="W1300" s="44"/>
      <c r="X1300" s="44"/>
      <c r="Y1300" s="44"/>
      <c r="Z1300" s="44"/>
    </row>
    <row r="1301" ht="15.75" customHeight="1">
      <c r="A1301" s="51" t="s">
        <v>1347</v>
      </c>
      <c r="B1301" s="51" t="str">
        <f>IFERROR(__xludf.DUMMYFUNCTION("IFERROR(GOOGLEFINANCE(A1301,""NAME""),)"),"SKIL Infrastructure Ltd")</f>
        <v>SKIL Infrastructure Ltd</v>
      </c>
      <c r="C1301" s="51">
        <f>IFERROR(__xludf.DUMMYFUNCTION("IFERROR(GOOGLEFINANCE(A1301,""CHANGE""),)"),0.02)</f>
        <v>0.02</v>
      </c>
      <c r="D1301" s="51">
        <f>IFERROR(__xludf.DUMMYFUNCTION("IFERROR(GOOGLEFINANCE(A1301,""CHANGEPCT""),)"),2.44)</f>
        <v>2.44</v>
      </c>
      <c r="E1301" s="51" t="str">
        <f t="shared" si="1"/>
        <v>2.44%</v>
      </c>
      <c r="F1301" s="51">
        <f t="shared" si="2"/>
        <v>2.44</v>
      </c>
      <c r="G1301" s="51" t="str">
        <f t="shared" si="3"/>
        <v/>
      </c>
      <c r="H1301" s="51">
        <f>IFERROR(__xludf.DUMMYFUNCTION("IFERROR(GOOGLEFINANCE(A1301,""PRICE""),)"),0.84)</f>
        <v>0.84</v>
      </c>
      <c r="I1301" s="52">
        <f>IFERROR(__xludf.DUMMYFUNCTION("IFERROR(GOOGLEFINANCE(A1301,""VOLUME""),)"),52463.0)</f>
        <v>52463</v>
      </c>
      <c r="J1301" s="51" t="str">
        <f>IFERROR(__xludf.DUMMYFUNCTION("IFERROR(INDEX(SPLIT(A1301,"":""),1,2),)"),"SKIL")</f>
        <v>SKIL</v>
      </c>
      <c r="K1301" s="51">
        <f t="shared" si="4"/>
        <v>214</v>
      </c>
      <c r="L1301" s="51" t="str">
        <f t="shared" si="5"/>
        <v/>
      </c>
      <c r="M1301" s="51">
        <f t="shared" si="6"/>
        <v>932</v>
      </c>
      <c r="N1301" s="53">
        <f>IFERROR(__xludf.DUMMYFUNCTION("IFERROR(GOOGLEFINANCE(A1301,""TRADETIME""),)"),46265.64583333333)</f>
        <v>46265.64583</v>
      </c>
      <c r="O1301" s="44"/>
      <c r="P1301" s="44"/>
      <c r="Q1301" s="44"/>
      <c r="R1301" s="44"/>
      <c r="S1301" s="44"/>
      <c r="T1301" s="44"/>
      <c r="U1301" s="44"/>
      <c r="V1301" s="44"/>
      <c r="W1301" s="44"/>
      <c r="X1301" s="44"/>
      <c r="Y1301" s="44"/>
      <c r="Z1301" s="44"/>
    </row>
    <row r="1302" ht="15.75" customHeight="1">
      <c r="A1302" s="48" t="s">
        <v>1348</v>
      </c>
      <c r="B1302" s="48" t="str">
        <f>IFERROR(__xludf.DUMMYFUNCTION("IFERROR(GOOGLEFINANCE(A1302,""NAME""),)"),"Skipper Ltd (India)")</f>
        <v>Skipper Ltd (India)</v>
      </c>
      <c r="C1302" s="48">
        <f>IFERROR(__xludf.DUMMYFUNCTION("IFERROR(GOOGLEFINANCE(A1302,""CHANGE""),)"),44.85)</f>
        <v>44.85</v>
      </c>
      <c r="D1302" s="48">
        <f>IFERROR(__xludf.DUMMYFUNCTION("IFERROR(GOOGLEFINANCE(A1302,""CHANGEPCT""),)"),8.2)</f>
        <v>8.2</v>
      </c>
      <c r="E1302" s="48" t="str">
        <f t="shared" si="1"/>
        <v>8.2%</v>
      </c>
      <c r="F1302" s="48">
        <f t="shared" si="2"/>
        <v>8.2</v>
      </c>
      <c r="G1302" s="48" t="str">
        <f t="shared" si="3"/>
        <v/>
      </c>
      <c r="H1302" s="48">
        <f>IFERROR(__xludf.DUMMYFUNCTION("IFERROR(GOOGLEFINANCE(A1302,""PRICE""),)"),591.75)</f>
        <v>591.75</v>
      </c>
      <c r="I1302" s="49">
        <f>IFERROR(__xludf.DUMMYFUNCTION("IFERROR(GOOGLEFINANCE(A1302,""VOLUME""),)"),1.0118419E7)</f>
        <v>10118419</v>
      </c>
      <c r="J1302" s="48" t="str">
        <f>IFERROR(__xludf.DUMMYFUNCTION("IFERROR(INDEX(SPLIT(A1302,"":""),1,2),)"),"SKIPPER")</f>
        <v>SKIPPER</v>
      </c>
      <c r="K1302" s="48">
        <f t="shared" si="4"/>
        <v>14</v>
      </c>
      <c r="L1302" s="48" t="str">
        <f t="shared" si="5"/>
        <v/>
      </c>
      <c r="M1302" s="48">
        <f t="shared" si="6"/>
        <v>44</v>
      </c>
      <c r="N1302" s="50">
        <f>IFERROR(__xludf.DUMMYFUNCTION("IFERROR(GOOGLEFINANCE(A1302,""TRADETIME""),)"),46269.64583333333)</f>
        <v>46269.64583</v>
      </c>
      <c r="O1302" s="44"/>
      <c r="P1302" s="44"/>
      <c r="Q1302" s="44"/>
      <c r="R1302" s="44"/>
      <c r="S1302" s="44"/>
      <c r="T1302" s="44"/>
      <c r="U1302" s="44"/>
      <c r="V1302" s="44"/>
      <c r="W1302" s="44"/>
      <c r="X1302" s="44"/>
      <c r="Y1302" s="44"/>
      <c r="Z1302" s="44"/>
    </row>
    <row r="1303" ht="15.75" customHeight="1">
      <c r="A1303" s="51" t="s">
        <v>1349</v>
      </c>
      <c r="B1303" s="51" t="str">
        <f>IFERROR(__xludf.DUMMYFUNCTION("IFERROR(GOOGLEFINANCE(A1303,""NAME""),)"),"SKM Egg Products Export India Ltd")</f>
        <v>SKM Egg Products Export India Ltd</v>
      </c>
      <c r="C1303" s="51">
        <f>IFERROR(__xludf.DUMMYFUNCTION("IFERROR(GOOGLEFINANCE(A1303,""CHANGE""),)"),-5.1)</f>
        <v>-5.1</v>
      </c>
      <c r="D1303" s="51">
        <f>IFERROR(__xludf.DUMMYFUNCTION("IFERROR(GOOGLEFINANCE(A1303,""CHANGEPCT""),)"),-1.94)</f>
        <v>-1.94</v>
      </c>
      <c r="E1303" s="51" t="str">
        <f t="shared" si="1"/>
        <v>-1.94%</v>
      </c>
      <c r="F1303" s="51" t="str">
        <f t="shared" si="2"/>
        <v/>
      </c>
      <c r="G1303" s="51">
        <f t="shared" si="3"/>
        <v>-1.94</v>
      </c>
      <c r="H1303" s="51">
        <f>IFERROR(__xludf.DUMMYFUNCTION("IFERROR(GOOGLEFINANCE(A1303,""PRICE""),)"),257.3)</f>
        <v>257.3</v>
      </c>
      <c r="I1303" s="52">
        <f>IFERROR(__xludf.DUMMYFUNCTION("IFERROR(GOOGLEFINANCE(A1303,""VOLUME""),)"),242481.0)</f>
        <v>242481</v>
      </c>
      <c r="J1303" s="51" t="str">
        <f>IFERROR(__xludf.DUMMYFUNCTION("IFERROR(INDEX(SPLIT(A1303,"":""),1,2),)"),"SKMEGGPROD")</f>
        <v>SKMEGGPROD</v>
      </c>
      <c r="K1303" s="51" t="str">
        <f t="shared" si="4"/>
        <v/>
      </c>
      <c r="L1303" s="51">
        <f t="shared" si="5"/>
        <v>517</v>
      </c>
      <c r="M1303" s="51">
        <f t="shared" si="6"/>
        <v>577</v>
      </c>
      <c r="N1303" s="53">
        <f>IFERROR(__xludf.DUMMYFUNCTION("IFERROR(GOOGLEFINANCE(A1303,""TRADETIME""),)"),46269.64583333333)</f>
        <v>46269.64583</v>
      </c>
      <c r="O1303" s="44"/>
      <c r="P1303" s="44"/>
      <c r="Q1303" s="44"/>
      <c r="R1303" s="44"/>
      <c r="S1303" s="44"/>
      <c r="T1303" s="44"/>
      <c r="U1303" s="44"/>
      <c r="V1303" s="44"/>
      <c r="W1303" s="44"/>
      <c r="X1303" s="44"/>
      <c r="Y1303" s="44"/>
      <c r="Z1303" s="44"/>
    </row>
    <row r="1304" ht="15.75" customHeight="1">
      <c r="A1304" s="48" t="s">
        <v>1350</v>
      </c>
      <c r="B1304" s="48" t="str">
        <f>IFERROR(__xludf.DUMMYFUNCTION("IFERROR(GOOGLEFINANCE(A1304,""NAME""),)"),"Smartlink Holdings Ltd")</f>
        <v>Smartlink Holdings Ltd</v>
      </c>
      <c r="C1304" s="48">
        <f>IFERROR(__xludf.DUMMYFUNCTION("IFERROR(GOOGLEFINANCE(A1304,""CHANGE""),)"),1.28)</f>
        <v>1.28</v>
      </c>
      <c r="D1304" s="48">
        <f>IFERROR(__xludf.DUMMYFUNCTION("IFERROR(GOOGLEFINANCE(A1304,""CHANGEPCT""),)"),0.6)</f>
        <v>0.6</v>
      </c>
      <c r="E1304" s="48" t="str">
        <f t="shared" si="1"/>
        <v>0.6%</v>
      </c>
      <c r="F1304" s="48">
        <f t="shared" si="2"/>
        <v>0.6</v>
      </c>
      <c r="G1304" s="48" t="str">
        <f t="shared" si="3"/>
        <v/>
      </c>
      <c r="H1304" s="48">
        <f>IFERROR(__xludf.DUMMYFUNCTION("IFERROR(GOOGLEFINANCE(A1304,""PRICE""),)"),214.0)</f>
        <v>214</v>
      </c>
      <c r="I1304" s="49">
        <f>IFERROR(__xludf.DUMMYFUNCTION("IFERROR(GOOGLEFINANCE(A1304,""VOLUME""),)"),4055.0)</f>
        <v>4055</v>
      </c>
      <c r="J1304" s="48" t="str">
        <f>IFERROR(__xludf.DUMMYFUNCTION("IFERROR(INDEX(SPLIT(A1304,"":""),1,2),)"),"SMARTLINK")</f>
        <v>SMARTLINK</v>
      </c>
      <c r="K1304" s="48">
        <f t="shared" si="4"/>
        <v>560</v>
      </c>
      <c r="L1304" s="48" t="str">
        <f t="shared" si="5"/>
        <v/>
      </c>
      <c r="M1304" s="48">
        <f t="shared" si="6"/>
        <v>1348</v>
      </c>
      <c r="N1304" s="50">
        <f>IFERROR(__xludf.DUMMYFUNCTION("IFERROR(GOOGLEFINANCE(A1304,""TRADETIME""),)"),46269.64583333333)</f>
        <v>46269.64583</v>
      </c>
      <c r="O1304" s="44"/>
      <c r="P1304" s="44"/>
      <c r="Q1304" s="44"/>
      <c r="R1304" s="44"/>
      <c r="S1304" s="44"/>
      <c r="T1304" s="44"/>
      <c r="U1304" s="44"/>
      <c r="V1304" s="44"/>
      <c r="W1304" s="44"/>
      <c r="X1304" s="44"/>
      <c r="Y1304" s="44"/>
      <c r="Z1304" s="44"/>
    </row>
    <row r="1305" ht="15.75" customHeight="1">
      <c r="A1305" s="51" t="s">
        <v>1351</v>
      </c>
      <c r="B1305" s="51" t="str">
        <f>IFERROR(__xludf.DUMMYFUNCTION("IFERROR(GOOGLEFINANCE(A1305,""NAME""),)"),"")</f>
        <v/>
      </c>
      <c r="C1305" s="51" t="str">
        <f>IFERROR(__xludf.DUMMYFUNCTION("IFERROR(GOOGLEFINANCE(A1305,""CHANGE""),)"),"")</f>
        <v/>
      </c>
      <c r="D1305" s="51" t="str">
        <f>IFERROR(__xludf.DUMMYFUNCTION("IFERROR(GOOGLEFINANCE(A1305,""CHANGEPCT""),)"),"")</f>
        <v/>
      </c>
      <c r="E1305" s="51" t="str">
        <f t="shared" si="1"/>
        <v>%</v>
      </c>
      <c r="F1305" s="51" t="str">
        <f t="shared" si="2"/>
        <v/>
      </c>
      <c r="G1305" s="51" t="str">
        <f t="shared" si="3"/>
        <v/>
      </c>
      <c r="H1305" s="51" t="str">
        <f>IFERROR(__xludf.DUMMYFUNCTION("IFERROR(GOOGLEFINANCE(A1305,""PRICE""),)"),"")</f>
        <v/>
      </c>
      <c r="I1305" s="52" t="str">
        <f>IFERROR(__xludf.DUMMYFUNCTION("IFERROR(GOOGLEFINANCE(A1305,""VOLUME""),)"),"")</f>
        <v/>
      </c>
      <c r="J1305" s="51" t="str">
        <f>IFERROR(__xludf.DUMMYFUNCTION("IFERROR(INDEX(SPLIT(A1305,"":""),1,2),)"),"SMLISUZU")</f>
        <v>SMLISUZU</v>
      </c>
      <c r="K1305" s="51" t="str">
        <f t="shared" si="4"/>
        <v/>
      </c>
      <c r="L1305" s="51" t="str">
        <f t="shared" si="5"/>
        <v/>
      </c>
      <c r="M1305" s="51">
        <f t="shared" si="6"/>
        <v>1456</v>
      </c>
      <c r="N1305" s="53" t="str">
        <f>IFERROR(__xludf.DUMMYFUNCTION("IFERROR(GOOGLEFINANCE(A1305,""TRADETIME""),)"),"")</f>
        <v/>
      </c>
      <c r="O1305" s="44"/>
      <c r="P1305" s="44"/>
      <c r="Q1305" s="44"/>
      <c r="R1305" s="44"/>
      <c r="S1305" s="44"/>
      <c r="T1305" s="44"/>
      <c r="U1305" s="44"/>
      <c r="V1305" s="44"/>
      <c r="W1305" s="44"/>
      <c r="X1305" s="44"/>
      <c r="Y1305" s="44"/>
      <c r="Z1305" s="44"/>
    </row>
    <row r="1306" ht="15.75" customHeight="1">
      <c r="A1306" s="48" t="s">
        <v>1352</v>
      </c>
      <c r="B1306" s="48" t="str">
        <f>IFERROR(__xludf.DUMMYFUNCTION("IFERROR(GOOGLEFINANCE(A1306,""NAME""),)"),"")</f>
        <v/>
      </c>
      <c r="C1306" s="48" t="str">
        <f>IFERROR(__xludf.DUMMYFUNCTION("IFERROR(GOOGLEFINANCE(A1306,""CHANGE""),)"),"")</f>
        <v/>
      </c>
      <c r="D1306" s="48" t="str">
        <f>IFERROR(__xludf.DUMMYFUNCTION("IFERROR(GOOGLEFINANCE(A1306,""CHANGEPCT""),)"),"")</f>
        <v/>
      </c>
      <c r="E1306" s="48" t="str">
        <f t="shared" si="1"/>
        <v>%</v>
      </c>
      <c r="F1306" s="48" t="str">
        <f t="shared" si="2"/>
        <v/>
      </c>
      <c r="G1306" s="48" t="str">
        <f t="shared" si="3"/>
        <v/>
      </c>
      <c r="H1306" s="48" t="str">
        <f>IFERROR(__xludf.DUMMYFUNCTION("IFERROR(GOOGLEFINANCE(A1306,""PRICE""),)"),"")</f>
        <v/>
      </c>
      <c r="I1306" s="49" t="str">
        <f>IFERROR(__xludf.DUMMYFUNCTION("IFERROR(GOOGLEFINANCE(A1306,""VOLUME""),)"),"")</f>
        <v/>
      </c>
      <c r="J1306" s="48" t="str">
        <f>IFERROR(__xludf.DUMMYFUNCTION("IFERROR(INDEX(SPLIT(A1306,"":""),1,2),)"),"SMSLIFE")</f>
        <v>SMSLIFE</v>
      </c>
      <c r="K1306" s="48" t="str">
        <f t="shared" si="4"/>
        <v/>
      </c>
      <c r="L1306" s="48" t="str">
        <f t="shared" si="5"/>
        <v/>
      </c>
      <c r="M1306" s="48">
        <f t="shared" si="6"/>
        <v>1456</v>
      </c>
      <c r="N1306" s="50" t="str">
        <f>IFERROR(__xludf.DUMMYFUNCTION("IFERROR(GOOGLEFINANCE(A1306,""TRADETIME""),)"),"")</f>
        <v/>
      </c>
      <c r="O1306" s="44"/>
      <c r="P1306" s="44"/>
      <c r="Q1306" s="44"/>
      <c r="R1306" s="44"/>
      <c r="S1306" s="44"/>
      <c r="T1306" s="44"/>
      <c r="U1306" s="44"/>
      <c r="V1306" s="44"/>
      <c r="W1306" s="44"/>
      <c r="X1306" s="44"/>
      <c r="Y1306" s="44"/>
      <c r="Z1306" s="44"/>
    </row>
    <row r="1307" ht="15.75" customHeight="1">
      <c r="A1307" s="51" t="s">
        <v>1353</v>
      </c>
      <c r="B1307" s="51" t="str">
        <f>IFERROR(__xludf.DUMMYFUNCTION("IFERROR(GOOGLEFINANCE(A1307,""NAME""),)"),"SMS Pharmaceuticals Ltd")</f>
        <v>SMS Pharmaceuticals Ltd</v>
      </c>
      <c r="C1307" s="51">
        <f>IFERROR(__xludf.DUMMYFUNCTION("IFERROR(GOOGLEFINANCE(A1307,""CHANGE""),)"),19.8)</f>
        <v>19.8</v>
      </c>
      <c r="D1307" s="51">
        <f>IFERROR(__xludf.DUMMYFUNCTION("IFERROR(GOOGLEFINANCE(A1307,""CHANGEPCT""),)"),5.29)</f>
        <v>5.29</v>
      </c>
      <c r="E1307" s="51" t="str">
        <f t="shared" si="1"/>
        <v>5.29%</v>
      </c>
      <c r="F1307" s="51">
        <f t="shared" si="2"/>
        <v>5.29</v>
      </c>
      <c r="G1307" s="51" t="str">
        <f t="shared" si="3"/>
        <v/>
      </c>
      <c r="H1307" s="51">
        <f>IFERROR(__xludf.DUMMYFUNCTION("IFERROR(GOOGLEFINANCE(A1307,""PRICE""),)"),393.95)</f>
        <v>393.95</v>
      </c>
      <c r="I1307" s="52">
        <f>IFERROR(__xludf.DUMMYFUNCTION("IFERROR(GOOGLEFINANCE(A1307,""VOLUME""),)"),473075.0)</f>
        <v>473075</v>
      </c>
      <c r="J1307" s="51" t="str">
        <f>IFERROR(__xludf.DUMMYFUNCTION("IFERROR(INDEX(SPLIT(A1307,"":""),1,2),)"),"SMSPHARMA")</f>
        <v>SMSPHARMA</v>
      </c>
      <c r="K1307" s="51">
        <f t="shared" si="4"/>
        <v>46</v>
      </c>
      <c r="L1307" s="51" t="str">
        <f t="shared" si="5"/>
        <v/>
      </c>
      <c r="M1307" s="51">
        <f t="shared" si="6"/>
        <v>408</v>
      </c>
      <c r="N1307" s="53">
        <f>IFERROR(__xludf.DUMMYFUNCTION("IFERROR(GOOGLEFINANCE(A1307,""TRADETIME""),)"),46269.64583333333)</f>
        <v>46269.64583</v>
      </c>
      <c r="O1307" s="44"/>
      <c r="P1307" s="44"/>
      <c r="Q1307" s="44"/>
      <c r="R1307" s="44"/>
      <c r="S1307" s="44"/>
      <c r="T1307" s="44"/>
      <c r="U1307" s="44"/>
      <c r="V1307" s="44"/>
      <c r="W1307" s="44"/>
      <c r="X1307" s="44"/>
      <c r="Y1307" s="44"/>
      <c r="Z1307" s="44"/>
    </row>
    <row r="1308" ht="15.75" customHeight="1">
      <c r="A1308" s="48" t="s">
        <v>1354</v>
      </c>
      <c r="B1308" s="48" t="str">
        <f>IFERROR(__xludf.DUMMYFUNCTION("IFERROR(GOOGLEFINANCE(A1308,""NAME""),)"),"Snowman Logistics Ltd")</f>
        <v>Snowman Logistics Ltd</v>
      </c>
      <c r="C1308" s="48">
        <f>IFERROR(__xludf.DUMMYFUNCTION("IFERROR(GOOGLEFINANCE(A1308,""CHANGE""),)"),0.58)</f>
        <v>0.58</v>
      </c>
      <c r="D1308" s="48">
        <f>IFERROR(__xludf.DUMMYFUNCTION("IFERROR(GOOGLEFINANCE(A1308,""CHANGEPCT""),)"),1.59)</f>
        <v>1.59</v>
      </c>
      <c r="E1308" s="48" t="str">
        <f t="shared" si="1"/>
        <v>1.59%</v>
      </c>
      <c r="F1308" s="48">
        <f t="shared" si="2"/>
        <v>1.59</v>
      </c>
      <c r="G1308" s="48" t="str">
        <f t="shared" si="3"/>
        <v/>
      </c>
      <c r="H1308" s="48">
        <f>IFERROR(__xludf.DUMMYFUNCTION("IFERROR(GOOGLEFINANCE(A1308,""PRICE""),)"),36.99)</f>
        <v>36.99</v>
      </c>
      <c r="I1308" s="49">
        <f>IFERROR(__xludf.DUMMYFUNCTION("IFERROR(GOOGLEFINANCE(A1308,""VOLUME""),)"),75311.0)</f>
        <v>75311</v>
      </c>
      <c r="J1308" s="48" t="str">
        <f>IFERROR(__xludf.DUMMYFUNCTION("IFERROR(INDEX(SPLIT(A1308,"":""),1,2),)"),"SNOWMAN")</f>
        <v>SNOWMAN</v>
      </c>
      <c r="K1308" s="48">
        <f t="shared" si="4"/>
        <v>329</v>
      </c>
      <c r="L1308" s="48" t="str">
        <f t="shared" si="5"/>
        <v/>
      </c>
      <c r="M1308" s="48">
        <f t="shared" si="6"/>
        <v>843</v>
      </c>
      <c r="N1308" s="50">
        <f>IFERROR(__xludf.DUMMYFUNCTION("IFERROR(GOOGLEFINANCE(A1308,""TRADETIME""),)"),46269.64583333333)</f>
        <v>46269.64583</v>
      </c>
      <c r="O1308" s="44"/>
      <c r="P1308" s="44"/>
      <c r="Q1308" s="44"/>
      <c r="R1308" s="44"/>
      <c r="S1308" s="44"/>
      <c r="T1308" s="44"/>
      <c r="U1308" s="44"/>
      <c r="V1308" s="44"/>
      <c r="W1308" s="44"/>
      <c r="X1308" s="44"/>
      <c r="Y1308" s="44"/>
      <c r="Z1308" s="44"/>
    </row>
    <row r="1309" ht="15.75" customHeight="1">
      <c r="A1309" s="51" t="s">
        <v>1355</v>
      </c>
      <c r="B1309" s="51" t="str">
        <f>IFERROR(__xludf.DUMMYFUNCTION("IFERROR(GOOGLEFINANCE(A1309,""NAME""),)"),"Sobha Ltd")</f>
        <v>Sobha Ltd</v>
      </c>
      <c r="C1309" s="51">
        <f>IFERROR(__xludf.DUMMYFUNCTION("IFERROR(GOOGLEFINANCE(A1309,""CHANGE""),)"),13.9)</f>
        <v>13.9</v>
      </c>
      <c r="D1309" s="51">
        <f>IFERROR(__xludf.DUMMYFUNCTION("IFERROR(GOOGLEFINANCE(A1309,""CHANGEPCT""),)"),1.1)</f>
        <v>1.1</v>
      </c>
      <c r="E1309" s="51" t="str">
        <f t="shared" si="1"/>
        <v>1.1%</v>
      </c>
      <c r="F1309" s="51">
        <f t="shared" si="2"/>
        <v>1.1</v>
      </c>
      <c r="G1309" s="51" t="str">
        <f t="shared" si="3"/>
        <v/>
      </c>
      <c r="H1309" s="51">
        <f>IFERROR(__xludf.DUMMYFUNCTION("IFERROR(GOOGLEFINANCE(A1309,""PRICE""),)"),1273.0)</f>
        <v>1273</v>
      </c>
      <c r="I1309" s="52">
        <f>IFERROR(__xludf.DUMMYFUNCTION("IFERROR(GOOGLEFINANCE(A1309,""VOLUME""),)"),74200.0)</f>
        <v>74200</v>
      </c>
      <c r="J1309" s="51" t="str">
        <f>IFERROR(__xludf.DUMMYFUNCTION("IFERROR(INDEX(SPLIT(A1309,"":""),1,2),)"),"SOBHA")</f>
        <v>SOBHA</v>
      </c>
      <c r="K1309" s="51">
        <f t="shared" si="4"/>
        <v>436</v>
      </c>
      <c r="L1309" s="51" t="str">
        <f t="shared" si="5"/>
        <v/>
      </c>
      <c r="M1309" s="51">
        <f t="shared" si="6"/>
        <v>846</v>
      </c>
      <c r="N1309" s="53">
        <f>IFERROR(__xludf.DUMMYFUNCTION("IFERROR(GOOGLEFINANCE(A1309,""TRADETIME""),)"),46269.64583333333)</f>
        <v>46269.64583</v>
      </c>
      <c r="O1309" s="44"/>
      <c r="P1309" s="44"/>
      <c r="Q1309" s="44"/>
      <c r="R1309" s="44"/>
      <c r="S1309" s="44"/>
      <c r="T1309" s="44"/>
      <c r="U1309" s="44"/>
      <c r="V1309" s="44"/>
      <c r="W1309" s="44"/>
      <c r="X1309" s="44"/>
      <c r="Y1309" s="44"/>
      <c r="Z1309" s="44"/>
    </row>
    <row r="1310" ht="15.75" customHeight="1">
      <c r="A1310" s="48" t="s">
        <v>1356</v>
      </c>
      <c r="B1310" s="48" t="str">
        <f>IFERROR(__xludf.DUMMYFUNCTION("IFERROR(GOOGLEFINANCE(A1310,""NAME""),)"),"Solara Active Pharma Sciences Ltd")</f>
        <v>Solara Active Pharma Sciences Ltd</v>
      </c>
      <c r="C1310" s="48">
        <f>IFERROR(__xludf.DUMMYFUNCTION("IFERROR(GOOGLEFINANCE(A1310,""CHANGE""),)"),7.25)</f>
        <v>7.25</v>
      </c>
      <c r="D1310" s="48">
        <f>IFERROR(__xludf.DUMMYFUNCTION("IFERROR(GOOGLEFINANCE(A1310,""CHANGEPCT""),)"),1.15)</f>
        <v>1.15</v>
      </c>
      <c r="E1310" s="48" t="str">
        <f t="shared" si="1"/>
        <v>1.15%</v>
      </c>
      <c r="F1310" s="48">
        <f t="shared" si="2"/>
        <v>1.15</v>
      </c>
      <c r="G1310" s="48" t="str">
        <f t="shared" si="3"/>
        <v/>
      </c>
      <c r="H1310" s="48">
        <f>IFERROR(__xludf.DUMMYFUNCTION("IFERROR(GOOGLEFINANCE(A1310,""PRICE""),)"),637.1)</f>
        <v>637.1</v>
      </c>
      <c r="I1310" s="49">
        <f>IFERROR(__xludf.DUMMYFUNCTION("IFERROR(GOOGLEFINANCE(A1310,""VOLUME""),)"),396998.0)</f>
        <v>396998</v>
      </c>
      <c r="J1310" s="48" t="str">
        <f>IFERROR(__xludf.DUMMYFUNCTION("IFERROR(INDEX(SPLIT(A1310,"":""),1,2),)"),"SOLARA")</f>
        <v>SOLARA</v>
      </c>
      <c r="K1310" s="48">
        <f t="shared" si="4"/>
        <v>422</v>
      </c>
      <c r="L1310" s="48" t="str">
        <f t="shared" si="5"/>
        <v/>
      </c>
      <c r="M1310" s="48">
        <f t="shared" si="6"/>
        <v>447</v>
      </c>
      <c r="N1310" s="50">
        <f>IFERROR(__xludf.DUMMYFUNCTION("IFERROR(GOOGLEFINANCE(A1310,""TRADETIME""),)"),46269.64583333333)</f>
        <v>46269.64583</v>
      </c>
      <c r="O1310" s="44"/>
      <c r="P1310" s="44"/>
      <c r="Q1310" s="44"/>
      <c r="R1310" s="44"/>
      <c r="S1310" s="44"/>
      <c r="T1310" s="44"/>
      <c r="U1310" s="44"/>
      <c r="V1310" s="44"/>
      <c r="W1310" s="44"/>
      <c r="X1310" s="44"/>
      <c r="Y1310" s="44"/>
      <c r="Z1310" s="44"/>
    </row>
    <row r="1311" ht="15.75" customHeight="1">
      <c r="A1311" s="51" t="s">
        <v>1357</v>
      </c>
      <c r="B1311" s="51" t="str">
        <f>IFERROR(__xludf.DUMMYFUNCTION("IFERROR(GOOGLEFINANCE(A1311,""NAME""),)"),"Solar Industries India Ltd")</f>
        <v>Solar Industries India Ltd</v>
      </c>
      <c r="C1311" s="51">
        <f>IFERROR(__xludf.DUMMYFUNCTION("IFERROR(GOOGLEFINANCE(A1311,""CHANGE""),)"),-155.0)</f>
        <v>-155</v>
      </c>
      <c r="D1311" s="51">
        <f>IFERROR(__xludf.DUMMYFUNCTION("IFERROR(GOOGLEFINANCE(A1311,""CHANGEPCT""),)"),-0.72)</f>
        <v>-0.72</v>
      </c>
      <c r="E1311" s="51" t="str">
        <f t="shared" si="1"/>
        <v>-0.72%</v>
      </c>
      <c r="F1311" s="51" t="str">
        <f t="shared" si="2"/>
        <v/>
      </c>
      <c r="G1311" s="51">
        <f t="shared" si="3"/>
        <v>-0.72</v>
      </c>
      <c r="H1311" s="51">
        <f>IFERROR(__xludf.DUMMYFUNCTION("IFERROR(GOOGLEFINANCE(A1311,""PRICE""),)"),21345.0)</f>
        <v>21345</v>
      </c>
      <c r="I1311" s="52">
        <f>IFERROR(__xludf.DUMMYFUNCTION("IFERROR(GOOGLEFINANCE(A1311,""VOLUME""),)"),127515.0)</f>
        <v>127515</v>
      </c>
      <c r="J1311" s="51" t="str">
        <f>IFERROR(__xludf.DUMMYFUNCTION("IFERROR(INDEX(SPLIT(A1311,"":""),1,2),)"),"SOLARINDS")</f>
        <v>SOLARINDS</v>
      </c>
      <c r="K1311" s="51" t="str">
        <f t="shared" si="4"/>
        <v/>
      </c>
      <c r="L1311" s="51">
        <f t="shared" si="5"/>
        <v>274</v>
      </c>
      <c r="M1311" s="51">
        <f t="shared" si="6"/>
        <v>728</v>
      </c>
      <c r="N1311" s="53">
        <f>IFERROR(__xludf.DUMMYFUNCTION("IFERROR(GOOGLEFINANCE(A1311,""TRADETIME""),)"),46269.64583333333)</f>
        <v>46269.64583</v>
      </c>
      <c r="O1311" s="44"/>
      <c r="P1311" s="44"/>
      <c r="Q1311" s="44"/>
      <c r="R1311" s="44"/>
      <c r="S1311" s="44"/>
      <c r="T1311" s="44"/>
      <c r="U1311" s="44"/>
      <c r="V1311" s="44"/>
      <c r="W1311" s="44"/>
      <c r="X1311" s="44"/>
      <c r="Y1311" s="44"/>
      <c r="Z1311" s="44"/>
    </row>
    <row r="1312" ht="15.75" customHeight="1">
      <c r="A1312" s="48" t="s">
        <v>1358</v>
      </c>
      <c r="B1312" s="48" t="str">
        <f>IFERROR(__xludf.DUMMYFUNCTION("IFERROR(GOOGLEFINANCE(A1312,""NAME""),)"),"Somany Ceramics Ltd")</f>
        <v>Somany Ceramics Ltd</v>
      </c>
      <c r="C1312" s="48">
        <f>IFERROR(__xludf.DUMMYFUNCTION("IFERROR(GOOGLEFINANCE(A1312,""CHANGE""),)"),-12.8)</f>
        <v>-12.8</v>
      </c>
      <c r="D1312" s="48">
        <f>IFERROR(__xludf.DUMMYFUNCTION("IFERROR(GOOGLEFINANCE(A1312,""CHANGEPCT""),)"),-2.25)</f>
        <v>-2.25</v>
      </c>
      <c r="E1312" s="48" t="str">
        <f t="shared" si="1"/>
        <v>-2.25%</v>
      </c>
      <c r="F1312" s="48" t="str">
        <f t="shared" si="2"/>
        <v/>
      </c>
      <c r="G1312" s="48">
        <f t="shared" si="3"/>
        <v>-2.25</v>
      </c>
      <c r="H1312" s="48">
        <f>IFERROR(__xludf.DUMMYFUNCTION("IFERROR(GOOGLEFINANCE(A1312,""PRICE""),)"),556.7)</f>
        <v>556.7</v>
      </c>
      <c r="I1312" s="49">
        <f>IFERROR(__xludf.DUMMYFUNCTION("IFERROR(GOOGLEFINANCE(A1312,""VOLUME""),)"),78257.0)</f>
        <v>78257</v>
      </c>
      <c r="J1312" s="48" t="str">
        <f>IFERROR(__xludf.DUMMYFUNCTION("IFERROR(INDEX(SPLIT(A1312,"":""),1,2),)"),"SOMANYCERA")</f>
        <v>SOMANYCERA</v>
      </c>
      <c r="K1312" s="48" t="str">
        <f t="shared" si="4"/>
        <v/>
      </c>
      <c r="L1312" s="48">
        <f t="shared" si="5"/>
        <v>555</v>
      </c>
      <c r="M1312" s="48">
        <f t="shared" si="6"/>
        <v>829</v>
      </c>
      <c r="N1312" s="50">
        <f>IFERROR(__xludf.DUMMYFUNCTION("IFERROR(GOOGLEFINANCE(A1312,""TRADETIME""),)"),46269.64583333333)</f>
        <v>46269.64583</v>
      </c>
      <c r="O1312" s="44"/>
      <c r="P1312" s="44"/>
      <c r="Q1312" s="44"/>
      <c r="R1312" s="44"/>
      <c r="S1312" s="44"/>
      <c r="T1312" s="44"/>
      <c r="U1312" s="44"/>
      <c r="V1312" s="44"/>
      <c r="W1312" s="44"/>
      <c r="X1312" s="44"/>
      <c r="Y1312" s="44"/>
      <c r="Z1312" s="44"/>
    </row>
    <row r="1313" ht="15.75" customHeight="1">
      <c r="A1313" s="51" t="s">
        <v>1359</v>
      </c>
      <c r="B1313" s="51" t="str">
        <f>IFERROR(__xludf.DUMMYFUNCTION("IFERROR(GOOGLEFINANCE(A1313,""NAME""),)"),"Soma Textiles &amp; Industries Ltd")</f>
        <v>Soma Textiles &amp; Industries Ltd</v>
      </c>
      <c r="C1313" s="51">
        <f>IFERROR(__xludf.DUMMYFUNCTION("IFERROR(GOOGLEFINANCE(A1313,""CHANGE""),)"),-1.85)</f>
        <v>-1.85</v>
      </c>
      <c r="D1313" s="51">
        <f>IFERROR(__xludf.DUMMYFUNCTION("IFERROR(GOOGLEFINANCE(A1313,""CHANGEPCT""),)"),-1.99)</f>
        <v>-1.99</v>
      </c>
      <c r="E1313" s="51" t="str">
        <f t="shared" si="1"/>
        <v>-1.99%</v>
      </c>
      <c r="F1313" s="51" t="str">
        <f t="shared" si="2"/>
        <v/>
      </c>
      <c r="G1313" s="51">
        <f t="shared" si="3"/>
        <v>-1.99</v>
      </c>
      <c r="H1313" s="51">
        <f>IFERROR(__xludf.DUMMYFUNCTION("IFERROR(GOOGLEFINANCE(A1313,""PRICE""),)"),90.9)</f>
        <v>90.9</v>
      </c>
      <c r="I1313" s="52">
        <f>IFERROR(__xludf.DUMMYFUNCTION("IFERROR(GOOGLEFINANCE(A1313,""VOLUME""),)"),33507.0)</f>
        <v>33507</v>
      </c>
      <c r="J1313" s="51" t="str">
        <f>IFERROR(__xludf.DUMMYFUNCTION("IFERROR(INDEX(SPLIT(A1313,"":""),1,2),)"),"SOMATEX")</f>
        <v>SOMATEX</v>
      </c>
      <c r="K1313" s="51" t="str">
        <f t="shared" si="4"/>
        <v/>
      </c>
      <c r="L1313" s="51">
        <f t="shared" si="5"/>
        <v>534</v>
      </c>
      <c r="M1313" s="51">
        <f t="shared" si="6"/>
        <v>1033</v>
      </c>
      <c r="N1313" s="53">
        <f>IFERROR(__xludf.DUMMYFUNCTION("IFERROR(GOOGLEFINANCE(A1313,""TRADETIME""),)"),46269.64583333333)</f>
        <v>46269.64583</v>
      </c>
      <c r="O1313" s="44"/>
      <c r="P1313" s="44"/>
      <c r="Q1313" s="44"/>
      <c r="R1313" s="44"/>
      <c r="S1313" s="44"/>
      <c r="T1313" s="44"/>
      <c r="U1313" s="44"/>
      <c r="V1313" s="44"/>
      <c r="W1313" s="44"/>
      <c r="X1313" s="44"/>
      <c r="Y1313" s="44"/>
      <c r="Z1313" s="44"/>
    </row>
    <row r="1314" ht="15.75" customHeight="1">
      <c r="A1314" s="48" t="s">
        <v>1360</v>
      </c>
      <c r="B1314" s="48" t="str">
        <f>IFERROR(__xludf.DUMMYFUNCTION("IFERROR(GOOGLEFINANCE(A1314,""NAME""),)"),"Somi Conveyor Beltings Ltd")</f>
        <v>Somi Conveyor Beltings Ltd</v>
      </c>
      <c r="C1314" s="48">
        <f>IFERROR(__xludf.DUMMYFUNCTION("IFERROR(GOOGLEFINANCE(A1314,""CHANGE""),)"),-1.18)</f>
        <v>-1.18</v>
      </c>
      <c r="D1314" s="48">
        <f>IFERROR(__xludf.DUMMYFUNCTION("IFERROR(GOOGLEFINANCE(A1314,""CHANGEPCT""),)"),-1.28)</f>
        <v>-1.28</v>
      </c>
      <c r="E1314" s="48" t="str">
        <f t="shared" si="1"/>
        <v>-1.28%</v>
      </c>
      <c r="F1314" s="48" t="str">
        <f t="shared" si="2"/>
        <v/>
      </c>
      <c r="G1314" s="48">
        <f t="shared" si="3"/>
        <v>-1.28</v>
      </c>
      <c r="H1314" s="48">
        <f>IFERROR(__xludf.DUMMYFUNCTION("IFERROR(GOOGLEFINANCE(A1314,""PRICE""),)"),91.03)</f>
        <v>91.03</v>
      </c>
      <c r="I1314" s="49">
        <f>IFERROR(__xludf.DUMMYFUNCTION("IFERROR(GOOGLEFINANCE(A1314,""VOLUME""),)"),8738.0)</f>
        <v>8738</v>
      </c>
      <c r="J1314" s="48" t="str">
        <f>IFERROR(__xludf.DUMMYFUNCTION("IFERROR(INDEX(SPLIT(A1314,"":""),1,2),)"),"SOMICONVEY")</f>
        <v>SOMICONVEY</v>
      </c>
      <c r="K1314" s="48" t="str">
        <f t="shared" si="4"/>
        <v/>
      </c>
      <c r="L1314" s="48">
        <f t="shared" si="5"/>
        <v>399</v>
      </c>
      <c r="M1314" s="48">
        <f t="shared" si="6"/>
        <v>1249</v>
      </c>
      <c r="N1314" s="50">
        <f>IFERROR(__xludf.DUMMYFUNCTION("IFERROR(GOOGLEFINANCE(A1314,""TRADETIME""),)"),46269.64583333333)</f>
        <v>46269.64583</v>
      </c>
      <c r="O1314" s="44"/>
      <c r="P1314" s="44"/>
      <c r="Q1314" s="44"/>
      <c r="R1314" s="44"/>
      <c r="S1314" s="44"/>
      <c r="T1314" s="44"/>
      <c r="U1314" s="44"/>
      <c r="V1314" s="44"/>
      <c r="W1314" s="44"/>
      <c r="X1314" s="44"/>
      <c r="Y1314" s="44"/>
      <c r="Z1314" s="44"/>
    </row>
    <row r="1315" ht="15.75" customHeight="1">
      <c r="A1315" s="51" t="s">
        <v>1361</v>
      </c>
      <c r="B1315" s="51" t="str">
        <f>IFERROR(__xludf.DUMMYFUNCTION("IFERROR(GOOGLEFINANCE(A1315,""NAME""),)"),"Sonata Software Ltd")</f>
        <v>Sonata Software Ltd</v>
      </c>
      <c r="C1315" s="51">
        <f>IFERROR(__xludf.DUMMYFUNCTION("IFERROR(GOOGLEFINANCE(A1315,""CHANGE""),)"),1.15)</f>
        <v>1.15</v>
      </c>
      <c r="D1315" s="51">
        <f>IFERROR(__xludf.DUMMYFUNCTION("IFERROR(GOOGLEFINANCE(A1315,""CHANGEPCT""),)"),0.4)</f>
        <v>0.4</v>
      </c>
      <c r="E1315" s="51" t="str">
        <f t="shared" si="1"/>
        <v>0.4%</v>
      </c>
      <c r="F1315" s="51">
        <f t="shared" si="2"/>
        <v>0.4</v>
      </c>
      <c r="G1315" s="51" t="str">
        <f t="shared" si="3"/>
        <v/>
      </c>
      <c r="H1315" s="51">
        <f>IFERROR(__xludf.DUMMYFUNCTION("IFERROR(GOOGLEFINANCE(A1315,""PRICE""),)"),285.15)</f>
        <v>285.15</v>
      </c>
      <c r="I1315" s="52">
        <f>IFERROR(__xludf.DUMMYFUNCTION("IFERROR(GOOGLEFINANCE(A1315,""VOLUME""),)"),830434.0)</f>
        <v>830434</v>
      </c>
      <c r="J1315" s="51" t="str">
        <f>IFERROR(__xludf.DUMMYFUNCTION("IFERROR(INDEX(SPLIT(A1315,"":""),1,2),)"),"SONATSOFTW")</f>
        <v>SONATSOFTW</v>
      </c>
      <c r="K1315" s="51">
        <f t="shared" si="4"/>
        <v>623</v>
      </c>
      <c r="L1315" s="51" t="str">
        <f t="shared" si="5"/>
        <v/>
      </c>
      <c r="M1315" s="51">
        <f t="shared" si="6"/>
        <v>304</v>
      </c>
      <c r="N1315" s="53">
        <f>IFERROR(__xludf.DUMMYFUNCTION("IFERROR(GOOGLEFINANCE(A1315,""TRADETIME""),)"),46269.64584490741)</f>
        <v>46269.64584</v>
      </c>
      <c r="O1315" s="44"/>
      <c r="P1315" s="44"/>
      <c r="Q1315" s="44"/>
      <c r="R1315" s="44"/>
      <c r="S1315" s="44"/>
      <c r="T1315" s="44"/>
      <c r="U1315" s="44"/>
      <c r="V1315" s="44"/>
      <c r="W1315" s="44"/>
      <c r="X1315" s="44"/>
      <c r="Y1315" s="44"/>
      <c r="Z1315" s="44"/>
    </row>
    <row r="1316" ht="15.75" customHeight="1">
      <c r="A1316" s="48" t="s">
        <v>1362</v>
      </c>
      <c r="B1316" s="48" t="str">
        <f>IFERROR(__xludf.DUMMYFUNCTION("IFERROR(GOOGLEFINANCE(A1316,""NAME""),)"),"Savita Oil Technologies Ltd")</f>
        <v>Savita Oil Technologies Ltd</v>
      </c>
      <c r="C1316" s="48">
        <f>IFERROR(__xludf.DUMMYFUNCTION("IFERROR(GOOGLEFINANCE(A1316,""CHANGE""),)"),6.9)</f>
        <v>6.9</v>
      </c>
      <c r="D1316" s="48">
        <f>IFERROR(__xludf.DUMMYFUNCTION("IFERROR(GOOGLEFINANCE(A1316,""CHANGEPCT""),)"),0.94)</f>
        <v>0.94</v>
      </c>
      <c r="E1316" s="48" t="str">
        <f t="shared" si="1"/>
        <v>0.94%</v>
      </c>
      <c r="F1316" s="48">
        <f t="shared" si="2"/>
        <v>0.94</v>
      </c>
      <c r="G1316" s="48" t="str">
        <f t="shared" si="3"/>
        <v/>
      </c>
      <c r="H1316" s="48">
        <f>IFERROR(__xludf.DUMMYFUNCTION("IFERROR(GOOGLEFINANCE(A1316,""PRICE""),)"),744.25)</f>
        <v>744.25</v>
      </c>
      <c r="I1316" s="49">
        <f>IFERROR(__xludf.DUMMYFUNCTION("IFERROR(GOOGLEFINANCE(A1316,""VOLUME""),)"),273612.0)</f>
        <v>273612</v>
      </c>
      <c r="J1316" s="48" t="str">
        <f>IFERROR(__xludf.DUMMYFUNCTION("IFERROR(INDEX(SPLIT(A1316,"":""),1,2),)"),"SOTL")</f>
        <v>SOTL</v>
      </c>
      <c r="K1316" s="48">
        <f t="shared" si="4"/>
        <v>461</v>
      </c>
      <c r="L1316" s="48" t="str">
        <f t="shared" si="5"/>
        <v/>
      </c>
      <c r="M1316" s="48">
        <f t="shared" si="6"/>
        <v>545</v>
      </c>
      <c r="N1316" s="50">
        <f>IFERROR(__xludf.DUMMYFUNCTION("IFERROR(GOOGLEFINANCE(A1316,""TRADETIME""),)"),46269.64585648148)</f>
        <v>46269.64586</v>
      </c>
      <c r="O1316" s="44"/>
      <c r="P1316" s="44"/>
      <c r="Q1316" s="44"/>
      <c r="R1316" s="44"/>
      <c r="S1316" s="44"/>
      <c r="T1316" s="44"/>
      <c r="U1316" s="44"/>
      <c r="V1316" s="44"/>
      <c r="W1316" s="44"/>
      <c r="X1316" s="44"/>
      <c r="Y1316" s="44"/>
      <c r="Z1316" s="44"/>
    </row>
    <row r="1317" ht="15.75" customHeight="1">
      <c r="A1317" s="51" t="s">
        <v>1363</v>
      </c>
      <c r="B1317" s="51" t="str">
        <f>IFERROR(__xludf.DUMMYFUNCTION("IFERROR(GOOGLEFINANCE(A1317,""NAME""),)"),"South Indian Bank Ltd")</f>
        <v>South Indian Bank Ltd</v>
      </c>
      <c r="C1317" s="51">
        <f>IFERROR(__xludf.DUMMYFUNCTION("IFERROR(GOOGLEFINANCE(A1317,""CHANGE""),)"),-0.32)</f>
        <v>-0.32</v>
      </c>
      <c r="D1317" s="51">
        <f>IFERROR(__xludf.DUMMYFUNCTION("IFERROR(GOOGLEFINANCE(A1317,""CHANGEPCT""),)"),-0.67)</f>
        <v>-0.67</v>
      </c>
      <c r="E1317" s="51" t="str">
        <f t="shared" si="1"/>
        <v>-0.67%</v>
      </c>
      <c r="F1317" s="51" t="str">
        <f t="shared" si="2"/>
        <v/>
      </c>
      <c r="G1317" s="51">
        <f t="shared" si="3"/>
        <v>-0.67</v>
      </c>
      <c r="H1317" s="51">
        <f>IFERROR(__xludf.DUMMYFUNCTION("IFERROR(GOOGLEFINANCE(A1317,""PRICE""),)"),47.38)</f>
        <v>47.38</v>
      </c>
      <c r="I1317" s="52">
        <f>IFERROR(__xludf.DUMMYFUNCTION("IFERROR(GOOGLEFINANCE(A1317,""VOLUME""),)"),8819050.0)</f>
        <v>8819050</v>
      </c>
      <c r="J1317" s="51" t="str">
        <f>IFERROR(__xludf.DUMMYFUNCTION("IFERROR(INDEX(SPLIT(A1317,"":""),1,2),)"),"SOUTHBANK")</f>
        <v>SOUTHBANK</v>
      </c>
      <c r="K1317" s="51" t="str">
        <f t="shared" si="4"/>
        <v/>
      </c>
      <c r="L1317" s="51">
        <f t="shared" si="5"/>
        <v>251</v>
      </c>
      <c r="M1317" s="51">
        <f t="shared" si="6"/>
        <v>48</v>
      </c>
      <c r="N1317" s="53">
        <f>IFERROR(__xludf.DUMMYFUNCTION("IFERROR(GOOGLEFINANCE(A1317,""TRADETIME""),)"),46269.64584490741)</f>
        <v>46269.64584</v>
      </c>
      <c r="O1317" s="44"/>
      <c r="P1317" s="44"/>
      <c r="Q1317" s="44"/>
      <c r="R1317" s="44"/>
      <c r="S1317" s="44"/>
      <c r="T1317" s="44"/>
      <c r="U1317" s="44"/>
      <c r="V1317" s="44"/>
      <c r="W1317" s="44"/>
      <c r="X1317" s="44"/>
      <c r="Y1317" s="44"/>
      <c r="Z1317" s="44"/>
    </row>
    <row r="1318" ht="15.75" customHeight="1">
      <c r="A1318" s="48" t="s">
        <v>1364</v>
      </c>
      <c r="B1318" s="48" t="str">
        <f>IFERROR(__xludf.DUMMYFUNCTION("IFERROR(GOOGLEFINANCE(A1318,""NAME""),)"),"South West Pinnacle Exploration Ltd")</f>
        <v>South West Pinnacle Exploration Ltd</v>
      </c>
      <c r="C1318" s="48">
        <f>IFERROR(__xludf.DUMMYFUNCTION("IFERROR(GOOGLEFINANCE(A1318,""CHANGE""),)"),-0.92)</f>
        <v>-0.92</v>
      </c>
      <c r="D1318" s="48">
        <f>IFERROR(__xludf.DUMMYFUNCTION("IFERROR(GOOGLEFINANCE(A1318,""CHANGEPCT""),)"),-0.43)</f>
        <v>-0.43</v>
      </c>
      <c r="E1318" s="48" t="str">
        <f t="shared" si="1"/>
        <v>-0.43%</v>
      </c>
      <c r="F1318" s="48" t="str">
        <f t="shared" si="2"/>
        <v/>
      </c>
      <c r="G1318" s="48">
        <f t="shared" si="3"/>
        <v>-0.43</v>
      </c>
      <c r="H1318" s="48">
        <f>IFERROR(__xludf.DUMMYFUNCTION("IFERROR(GOOGLEFINANCE(A1318,""PRICE""),)"),212.2)</f>
        <v>212.2</v>
      </c>
      <c r="I1318" s="49">
        <f>IFERROR(__xludf.DUMMYFUNCTION("IFERROR(GOOGLEFINANCE(A1318,""VOLUME""),)"),139283.0)</f>
        <v>139283</v>
      </c>
      <c r="J1318" s="48" t="str">
        <f>IFERROR(__xludf.DUMMYFUNCTION("IFERROR(INDEX(SPLIT(A1318,"":""),1,2),)"),"SOUTHWEST")</f>
        <v>SOUTHWEST</v>
      </c>
      <c r="K1318" s="48" t="str">
        <f t="shared" si="4"/>
        <v/>
      </c>
      <c r="L1318" s="48">
        <f t="shared" si="5"/>
        <v>167</v>
      </c>
      <c r="M1318" s="48">
        <f t="shared" si="6"/>
        <v>708</v>
      </c>
      <c r="N1318" s="50">
        <f>IFERROR(__xludf.DUMMYFUNCTION("IFERROR(GOOGLEFINANCE(A1318,""TRADETIME""),)"),46269.64585648148)</f>
        <v>46269.64586</v>
      </c>
      <c r="O1318" s="44"/>
      <c r="P1318" s="44"/>
      <c r="Q1318" s="44"/>
      <c r="R1318" s="44"/>
      <c r="S1318" s="44"/>
      <c r="T1318" s="44"/>
      <c r="U1318" s="44"/>
      <c r="V1318" s="44"/>
      <c r="W1318" s="44"/>
      <c r="X1318" s="44"/>
      <c r="Y1318" s="44"/>
      <c r="Z1318" s="44"/>
    </row>
    <row r="1319" ht="15.75" customHeight="1">
      <c r="A1319" s="51" t="s">
        <v>1365</v>
      </c>
      <c r="B1319" s="51" t="str">
        <f>IFERROR(__xludf.DUMMYFUNCTION("IFERROR(GOOGLEFINANCE(A1319,""NAME""),)"),"S.P.Apparels Ltd")</f>
        <v>S.P.Apparels Ltd</v>
      </c>
      <c r="C1319" s="51">
        <f>IFERROR(__xludf.DUMMYFUNCTION("IFERROR(GOOGLEFINANCE(A1319,""CHANGE""),)"),-1.8)</f>
        <v>-1.8</v>
      </c>
      <c r="D1319" s="51">
        <f>IFERROR(__xludf.DUMMYFUNCTION("IFERROR(GOOGLEFINANCE(A1319,""CHANGEPCT""),)"),-0.17)</f>
        <v>-0.17</v>
      </c>
      <c r="E1319" s="51" t="str">
        <f t="shared" si="1"/>
        <v>-0.17%</v>
      </c>
      <c r="F1319" s="51" t="str">
        <f t="shared" si="2"/>
        <v/>
      </c>
      <c r="G1319" s="51">
        <f t="shared" si="3"/>
        <v>-0.17</v>
      </c>
      <c r="H1319" s="51">
        <f>IFERROR(__xludf.DUMMYFUNCTION("IFERROR(GOOGLEFINANCE(A1319,""PRICE""),)"),1061.0)</f>
        <v>1061</v>
      </c>
      <c r="I1319" s="52">
        <f>IFERROR(__xludf.DUMMYFUNCTION("IFERROR(GOOGLEFINANCE(A1319,""VOLUME""),)"),64434.0)</f>
        <v>64434</v>
      </c>
      <c r="J1319" s="51" t="str">
        <f>IFERROR(__xludf.DUMMYFUNCTION("IFERROR(INDEX(SPLIT(A1319,"":""),1,2),)"),"SPAL")</f>
        <v>SPAL</v>
      </c>
      <c r="K1319" s="51" t="str">
        <f t="shared" si="4"/>
        <v/>
      </c>
      <c r="L1319" s="51">
        <f t="shared" si="5"/>
        <v>65</v>
      </c>
      <c r="M1319" s="51">
        <f t="shared" si="6"/>
        <v>885</v>
      </c>
      <c r="N1319" s="53">
        <f>IFERROR(__xludf.DUMMYFUNCTION("IFERROR(GOOGLEFINANCE(A1319,""TRADETIME""),)"),46269.64583333333)</f>
        <v>46269.64583</v>
      </c>
      <c r="O1319" s="44"/>
      <c r="P1319" s="44"/>
      <c r="Q1319" s="44"/>
      <c r="R1319" s="44"/>
      <c r="S1319" s="44"/>
      <c r="T1319" s="44"/>
      <c r="U1319" s="44"/>
      <c r="V1319" s="44"/>
      <c r="W1319" s="44"/>
      <c r="X1319" s="44"/>
      <c r="Y1319" s="44"/>
      <c r="Z1319" s="44"/>
    </row>
    <row r="1320" ht="15.75" customHeight="1">
      <c r="A1320" s="48" t="s">
        <v>1366</v>
      </c>
      <c r="B1320" s="48" t="str">
        <f>IFERROR(__xludf.DUMMYFUNCTION("IFERROR(GOOGLEFINANCE(A1320,""NAME""),)"),"Spandana Sphoorty Financial Ltd")</f>
        <v>Spandana Sphoorty Financial Ltd</v>
      </c>
      <c r="C1320" s="48">
        <f>IFERROR(__xludf.DUMMYFUNCTION("IFERROR(GOOGLEFINANCE(A1320,""CHANGE""),)"),3.48)</f>
        <v>3.48</v>
      </c>
      <c r="D1320" s="48">
        <f>IFERROR(__xludf.DUMMYFUNCTION("IFERROR(GOOGLEFINANCE(A1320,""CHANGEPCT""),)"),1.47)</f>
        <v>1.47</v>
      </c>
      <c r="E1320" s="48" t="str">
        <f t="shared" si="1"/>
        <v>1.47%</v>
      </c>
      <c r="F1320" s="48">
        <f t="shared" si="2"/>
        <v>1.47</v>
      </c>
      <c r="G1320" s="48" t="str">
        <f t="shared" si="3"/>
        <v/>
      </c>
      <c r="H1320" s="48">
        <f>IFERROR(__xludf.DUMMYFUNCTION("IFERROR(GOOGLEFINANCE(A1320,""PRICE""),)"),240.0)</f>
        <v>240</v>
      </c>
      <c r="I1320" s="49">
        <f>IFERROR(__xludf.DUMMYFUNCTION("IFERROR(GOOGLEFINANCE(A1320,""VOLUME""),)"),79485.0)</f>
        <v>79485</v>
      </c>
      <c r="J1320" s="48" t="str">
        <f>IFERROR(__xludf.DUMMYFUNCTION("IFERROR(INDEX(SPLIT(A1320,"":""),1,2),)"),"SPANDANA")</f>
        <v>SPANDANA</v>
      </c>
      <c r="K1320" s="48">
        <f t="shared" si="4"/>
        <v>353</v>
      </c>
      <c r="L1320" s="48" t="str">
        <f t="shared" si="5"/>
        <v/>
      </c>
      <c r="M1320" s="48">
        <f t="shared" si="6"/>
        <v>826</v>
      </c>
      <c r="N1320" s="50">
        <f>IFERROR(__xludf.DUMMYFUNCTION("IFERROR(GOOGLEFINANCE(A1320,""TRADETIME""),)"),46269.64583333333)</f>
        <v>46269.64583</v>
      </c>
      <c r="O1320" s="44"/>
      <c r="P1320" s="44"/>
      <c r="Q1320" s="44"/>
      <c r="R1320" s="44"/>
      <c r="S1320" s="44"/>
      <c r="T1320" s="44"/>
      <c r="U1320" s="44"/>
      <c r="V1320" s="44"/>
      <c r="W1320" s="44"/>
      <c r="X1320" s="44"/>
      <c r="Y1320" s="44"/>
      <c r="Z1320" s="44"/>
    </row>
    <row r="1321" ht="15.75" customHeight="1">
      <c r="A1321" s="51" t="s">
        <v>1367</v>
      </c>
      <c r="B1321" s="51" t="str">
        <f>IFERROR(__xludf.DUMMYFUNCTION("IFERROR(GOOGLEFINANCE(A1321,""NAME""),)"),"Sun Pharma Advanced Research Co Ltd")</f>
        <v>Sun Pharma Advanced Research Co Ltd</v>
      </c>
      <c r="C1321" s="51">
        <f>IFERROR(__xludf.DUMMYFUNCTION("IFERROR(GOOGLEFINANCE(A1321,""CHANGE""),)"),-2.74)</f>
        <v>-2.74</v>
      </c>
      <c r="D1321" s="51">
        <f>IFERROR(__xludf.DUMMYFUNCTION("IFERROR(GOOGLEFINANCE(A1321,""CHANGEPCT""),)"),-1.35)</f>
        <v>-1.35</v>
      </c>
      <c r="E1321" s="51" t="str">
        <f t="shared" si="1"/>
        <v>-1.35%</v>
      </c>
      <c r="F1321" s="51" t="str">
        <f t="shared" si="2"/>
        <v/>
      </c>
      <c r="G1321" s="51">
        <f t="shared" si="3"/>
        <v>-1.35</v>
      </c>
      <c r="H1321" s="51">
        <f>IFERROR(__xludf.DUMMYFUNCTION("IFERROR(GOOGLEFINANCE(A1321,""PRICE""),)"),199.8)</f>
        <v>199.8</v>
      </c>
      <c r="I1321" s="52">
        <f>IFERROR(__xludf.DUMMYFUNCTION("IFERROR(GOOGLEFINANCE(A1321,""VOLUME""),)"),588034.0)</f>
        <v>588034</v>
      </c>
      <c r="J1321" s="51" t="str">
        <f>IFERROR(__xludf.DUMMYFUNCTION("IFERROR(INDEX(SPLIT(A1321,"":""),1,2),)"),"SPARC")</f>
        <v>SPARC</v>
      </c>
      <c r="K1321" s="51" t="str">
        <f t="shared" si="4"/>
        <v/>
      </c>
      <c r="L1321" s="51">
        <f t="shared" si="5"/>
        <v>417</v>
      </c>
      <c r="M1321" s="51">
        <f t="shared" si="6"/>
        <v>362</v>
      </c>
      <c r="N1321" s="53">
        <f>IFERROR(__xludf.DUMMYFUNCTION("IFERROR(GOOGLEFINANCE(A1321,""TRADETIME""),)"),46269.64584490741)</f>
        <v>46269.64584</v>
      </c>
      <c r="O1321" s="44"/>
      <c r="P1321" s="44"/>
      <c r="Q1321" s="44"/>
      <c r="R1321" s="44"/>
      <c r="S1321" s="44"/>
      <c r="T1321" s="44"/>
      <c r="U1321" s="44"/>
      <c r="V1321" s="44"/>
      <c r="W1321" s="44"/>
      <c r="X1321" s="44"/>
      <c r="Y1321" s="44"/>
      <c r="Z1321" s="44"/>
    </row>
    <row r="1322" ht="15.75" customHeight="1">
      <c r="A1322" s="48" t="s">
        <v>1368</v>
      </c>
      <c r="B1322" s="48" t="str">
        <f>IFERROR(__xludf.DUMMYFUNCTION("IFERROR(GOOGLEFINANCE(A1322,""NAME""),)"),"Speciality Restaurants Ltd")</f>
        <v>Speciality Restaurants Ltd</v>
      </c>
      <c r="C1322" s="48">
        <f>IFERROR(__xludf.DUMMYFUNCTION("IFERROR(GOOGLEFINANCE(A1322,""CHANGE""),)"),5.13)</f>
        <v>5.13</v>
      </c>
      <c r="D1322" s="48">
        <f>IFERROR(__xludf.DUMMYFUNCTION("IFERROR(GOOGLEFINANCE(A1322,""CHANGEPCT""),)"),3.78)</f>
        <v>3.78</v>
      </c>
      <c r="E1322" s="48" t="str">
        <f t="shared" si="1"/>
        <v>3.78%</v>
      </c>
      <c r="F1322" s="48">
        <f t="shared" si="2"/>
        <v>3.78</v>
      </c>
      <c r="G1322" s="48" t="str">
        <f t="shared" si="3"/>
        <v/>
      </c>
      <c r="H1322" s="48">
        <f>IFERROR(__xludf.DUMMYFUNCTION("IFERROR(GOOGLEFINANCE(A1322,""PRICE""),)"),140.8)</f>
        <v>140.8</v>
      </c>
      <c r="I1322" s="49">
        <f>IFERROR(__xludf.DUMMYFUNCTION("IFERROR(GOOGLEFINANCE(A1322,""VOLUME""),)"),16598.0)</f>
        <v>16598</v>
      </c>
      <c r="J1322" s="48" t="str">
        <f>IFERROR(__xludf.DUMMYFUNCTION("IFERROR(INDEX(SPLIT(A1322,"":""),1,2),)"),"SPECIALITY")</f>
        <v>SPECIALITY</v>
      </c>
      <c r="K1322" s="48">
        <f t="shared" si="4"/>
        <v>125</v>
      </c>
      <c r="L1322" s="48" t="str">
        <f t="shared" si="5"/>
        <v/>
      </c>
      <c r="M1322" s="48">
        <f t="shared" si="6"/>
        <v>1159</v>
      </c>
      <c r="N1322" s="50">
        <f>IFERROR(__xludf.DUMMYFUNCTION("IFERROR(GOOGLEFINANCE(A1322,""TRADETIME""),)"),46269.64583333333)</f>
        <v>46269.64583</v>
      </c>
      <c r="O1322" s="44"/>
      <c r="P1322" s="44"/>
      <c r="Q1322" s="44"/>
      <c r="R1322" s="44"/>
      <c r="S1322" s="44"/>
      <c r="T1322" s="44"/>
      <c r="U1322" s="44"/>
      <c r="V1322" s="44"/>
      <c r="W1322" s="44"/>
      <c r="X1322" s="44"/>
      <c r="Y1322" s="44"/>
      <c r="Z1322" s="44"/>
    </row>
    <row r="1323" ht="15.75" customHeight="1">
      <c r="A1323" s="51" t="s">
        <v>1369</v>
      </c>
      <c r="B1323" s="51" t="str">
        <f>IFERROR(__xludf.DUMMYFUNCTION("IFERROR(GOOGLEFINANCE(A1323,""NAME""),)"),"Spencer's Retail Ltd")</f>
        <v>Spencer's Retail Ltd</v>
      </c>
      <c r="C1323" s="51">
        <f>IFERROR(__xludf.DUMMYFUNCTION("IFERROR(GOOGLEFINANCE(A1323,""CHANGE""),)"),0.03)</f>
        <v>0.03</v>
      </c>
      <c r="D1323" s="51">
        <f>IFERROR(__xludf.DUMMYFUNCTION("IFERROR(GOOGLEFINANCE(A1323,""CHANGEPCT""),)"),0.11)</f>
        <v>0.11</v>
      </c>
      <c r="E1323" s="51" t="str">
        <f t="shared" si="1"/>
        <v>0.11%</v>
      </c>
      <c r="F1323" s="51">
        <f t="shared" si="2"/>
        <v>0.11</v>
      </c>
      <c r="G1323" s="51" t="str">
        <f t="shared" si="3"/>
        <v/>
      </c>
      <c r="H1323" s="51">
        <f>IFERROR(__xludf.DUMMYFUNCTION("IFERROR(GOOGLEFINANCE(A1323,""PRICE""),)"),28.6)</f>
        <v>28.6</v>
      </c>
      <c r="I1323" s="52">
        <f>IFERROR(__xludf.DUMMYFUNCTION("IFERROR(GOOGLEFINANCE(A1323,""VOLUME""),)"),24318.0)</f>
        <v>24318</v>
      </c>
      <c r="J1323" s="51" t="str">
        <f>IFERROR(__xludf.DUMMYFUNCTION("IFERROR(INDEX(SPLIT(A1323,"":""),1,2),)"),"SPENCERS")</f>
        <v>SPENCERS</v>
      </c>
      <c r="K1323" s="51">
        <f t="shared" si="4"/>
        <v>737</v>
      </c>
      <c r="L1323" s="51" t="str">
        <f t="shared" si="5"/>
        <v/>
      </c>
      <c r="M1323" s="51">
        <f t="shared" si="6"/>
        <v>1090</v>
      </c>
      <c r="N1323" s="53">
        <f>IFERROR(__xludf.DUMMYFUNCTION("IFERROR(GOOGLEFINANCE(A1323,""TRADETIME""),)"),46269.64583333333)</f>
        <v>46269.64583</v>
      </c>
      <c r="O1323" s="44"/>
      <c r="P1323" s="44"/>
      <c r="Q1323" s="44"/>
      <c r="R1323" s="44"/>
      <c r="S1323" s="44"/>
      <c r="T1323" s="44"/>
      <c r="U1323" s="44"/>
      <c r="V1323" s="44"/>
      <c r="W1323" s="44"/>
      <c r="X1323" s="44"/>
      <c r="Y1323" s="44"/>
      <c r="Z1323" s="44"/>
    </row>
    <row r="1324" ht="15.75" customHeight="1">
      <c r="A1324" s="48" t="s">
        <v>1370</v>
      </c>
      <c r="B1324" s="48" t="str">
        <f>IFERROR(__xludf.DUMMYFUNCTION("IFERROR(GOOGLEFINANCE(A1324,""NAME""),)"),"")</f>
        <v/>
      </c>
      <c r="C1324" s="48" t="str">
        <f>IFERROR(__xludf.DUMMYFUNCTION("IFERROR(GOOGLEFINANCE(A1324,""CHANGE""),)"),"")</f>
        <v/>
      </c>
      <c r="D1324" s="48" t="str">
        <f>IFERROR(__xludf.DUMMYFUNCTION("IFERROR(GOOGLEFINANCE(A1324,""CHANGEPCT""),)"),"")</f>
        <v/>
      </c>
      <c r="E1324" s="48" t="str">
        <f t="shared" si="1"/>
        <v>%</v>
      </c>
      <c r="F1324" s="48" t="str">
        <f t="shared" si="2"/>
        <v/>
      </c>
      <c r="G1324" s="48" t="str">
        <f t="shared" si="3"/>
        <v/>
      </c>
      <c r="H1324" s="48" t="str">
        <f>IFERROR(__xludf.DUMMYFUNCTION("IFERROR(GOOGLEFINANCE(A1324,""PRICE""),)"),"")</f>
        <v/>
      </c>
      <c r="I1324" s="49" t="str">
        <f>IFERROR(__xludf.DUMMYFUNCTION("IFERROR(GOOGLEFINANCE(A1324,""VOLUME""),)"),"")</f>
        <v/>
      </c>
      <c r="J1324" s="48" t="str">
        <f>IFERROR(__xludf.DUMMYFUNCTION("IFERROR(INDEX(SPLIT(A1324,"":""),1,2),)"),"SPENTEX")</f>
        <v>SPENTEX</v>
      </c>
      <c r="K1324" s="48" t="str">
        <f t="shared" si="4"/>
        <v/>
      </c>
      <c r="L1324" s="48" t="str">
        <f t="shared" si="5"/>
        <v/>
      </c>
      <c r="M1324" s="48">
        <f t="shared" si="6"/>
        <v>1456</v>
      </c>
      <c r="N1324" s="50" t="str">
        <f>IFERROR(__xludf.DUMMYFUNCTION("IFERROR(GOOGLEFINANCE(A1324,""TRADETIME""),)"),"")</f>
        <v/>
      </c>
      <c r="O1324" s="44"/>
      <c r="P1324" s="44"/>
      <c r="Q1324" s="44"/>
      <c r="R1324" s="44"/>
      <c r="S1324" s="44"/>
      <c r="T1324" s="44"/>
      <c r="U1324" s="44"/>
      <c r="V1324" s="44"/>
      <c r="W1324" s="44"/>
      <c r="X1324" s="44"/>
      <c r="Y1324" s="44"/>
      <c r="Z1324" s="44"/>
    </row>
    <row r="1325" ht="15.75" customHeight="1">
      <c r="A1325" s="51" t="s">
        <v>1371</v>
      </c>
      <c r="B1325" s="51" t="str">
        <f>IFERROR(__xludf.DUMMYFUNCTION("IFERROR(GOOGLEFINANCE(A1325,""NAME""),)"),"Southern Petrochemical Industries CorpLd")</f>
        <v>Southern Petrochemical Industries CorpLd</v>
      </c>
      <c r="C1325" s="51">
        <f>IFERROR(__xludf.DUMMYFUNCTION("IFERROR(GOOGLEFINANCE(A1325,""CHANGE""),)"),0.22)</f>
        <v>0.22</v>
      </c>
      <c r="D1325" s="51">
        <f>IFERROR(__xludf.DUMMYFUNCTION("IFERROR(GOOGLEFINANCE(A1325,""CHANGEPCT""),)"),0.31)</f>
        <v>0.31</v>
      </c>
      <c r="E1325" s="51" t="str">
        <f t="shared" si="1"/>
        <v>0.31%</v>
      </c>
      <c r="F1325" s="51">
        <f t="shared" si="2"/>
        <v>0.31</v>
      </c>
      <c r="G1325" s="51" t="str">
        <f t="shared" si="3"/>
        <v/>
      </c>
      <c r="H1325" s="51">
        <f>IFERROR(__xludf.DUMMYFUNCTION("IFERROR(GOOGLEFINANCE(A1325,""PRICE""),)"),71.35)</f>
        <v>71.35</v>
      </c>
      <c r="I1325" s="52">
        <f>IFERROR(__xludf.DUMMYFUNCTION("IFERROR(GOOGLEFINANCE(A1325,""VOLUME""),)"),648651.0)</f>
        <v>648651</v>
      </c>
      <c r="J1325" s="51" t="str">
        <f>IFERROR(__xludf.DUMMYFUNCTION("IFERROR(INDEX(SPLIT(A1325,"":""),1,2),)"),"SPIC")</f>
        <v>SPIC</v>
      </c>
      <c r="K1325" s="51">
        <f t="shared" si="4"/>
        <v>659</v>
      </c>
      <c r="L1325" s="51" t="str">
        <f t="shared" si="5"/>
        <v/>
      </c>
      <c r="M1325" s="51">
        <f t="shared" si="6"/>
        <v>344</v>
      </c>
      <c r="N1325" s="53">
        <f>IFERROR(__xludf.DUMMYFUNCTION("IFERROR(GOOGLEFINANCE(A1325,""TRADETIME""),)"),46269.64583333333)</f>
        <v>46269.64583</v>
      </c>
      <c r="O1325" s="44"/>
      <c r="P1325" s="44"/>
      <c r="Q1325" s="44"/>
      <c r="R1325" s="44"/>
      <c r="S1325" s="44"/>
      <c r="T1325" s="44"/>
      <c r="U1325" s="44"/>
      <c r="V1325" s="44"/>
      <c r="W1325" s="44"/>
      <c r="X1325" s="44"/>
      <c r="Y1325" s="44"/>
      <c r="Z1325" s="44"/>
    </row>
    <row r="1326" ht="15.75" customHeight="1">
      <c r="A1326" s="48" t="s">
        <v>1372</v>
      </c>
      <c r="B1326" s="48" t="str">
        <f>IFERROR(__xludf.DUMMYFUNCTION("IFERROR(GOOGLEFINANCE(A1326,""NAME""),)"),"")</f>
        <v/>
      </c>
      <c r="C1326" s="48" t="str">
        <f>IFERROR(__xludf.DUMMYFUNCTION("IFERROR(GOOGLEFINANCE(A1326,""CHANGE""),)"),"")</f>
        <v/>
      </c>
      <c r="D1326" s="48" t="str">
        <f>IFERROR(__xludf.DUMMYFUNCTION("IFERROR(GOOGLEFINANCE(A1326,""CHANGEPCT""),)"),"")</f>
        <v/>
      </c>
      <c r="E1326" s="48" t="str">
        <f t="shared" si="1"/>
        <v>%</v>
      </c>
      <c r="F1326" s="48" t="str">
        <f t="shared" si="2"/>
        <v/>
      </c>
      <c r="G1326" s="48" t="str">
        <f t="shared" si="3"/>
        <v/>
      </c>
      <c r="H1326" s="48" t="str">
        <f>IFERROR(__xludf.DUMMYFUNCTION("IFERROR(GOOGLEFINANCE(A1326,""PRICE""),)"),"")</f>
        <v/>
      </c>
      <c r="I1326" s="49" t="str">
        <f>IFERROR(__xludf.DUMMYFUNCTION("IFERROR(GOOGLEFINANCE(A1326,""VOLUME""),)"),"")</f>
        <v/>
      </c>
      <c r="J1326" s="48" t="str">
        <f>IFERROR(__xludf.DUMMYFUNCTION("IFERROR(INDEX(SPLIT(A1326,"":""),1,2),)"),"SPICEJET")</f>
        <v>SPICEJET</v>
      </c>
      <c r="K1326" s="48" t="str">
        <f t="shared" si="4"/>
        <v/>
      </c>
      <c r="L1326" s="48" t="str">
        <f t="shared" si="5"/>
        <v/>
      </c>
      <c r="M1326" s="48">
        <f t="shared" si="6"/>
        <v>1456</v>
      </c>
      <c r="N1326" s="50" t="str">
        <f>IFERROR(__xludf.DUMMYFUNCTION("IFERROR(GOOGLEFINANCE(A1326,""TRADETIME""),)"),"")</f>
        <v/>
      </c>
      <c r="O1326" s="44"/>
      <c r="P1326" s="44"/>
      <c r="Q1326" s="44"/>
      <c r="R1326" s="44"/>
      <c r="S1326" s="44"/>
      <c r="T1326" s="44"/>
      <c r="U1326" s="44"/>
      <c r="V1326" s="44"/>
      <c r="W1326" s="44"/>
      <c r="X1326" s="44"/>
      <c r="Y1326" s="44"/>
      <c r="Z1326" s="44"/>
    </row>
    <row r="1327" ht="15.75" customHeight="1">
      <c r="A1327" s="51" t="s">
        <v>1373</v>
      </c>
      <c r="B1327" s="51" t="str">
        <f>IFERROR(__xludf.DUMMYFUNCTION("IFERROR(GOOGLEFINANCE(A1327,""NAME""),)"),"SPL Industries Ltd")</f>
        <v>SPL Industries Ltd</v>
      </c>
      <c r="C1327" s="51">
        <f>IFERROR(__xludf.DUMMYFUNCTION("IFERROR(GOOGLEFINANCE(A1327,""CHANGE""),)"),-0.28)</f>
        <v>-0.28</v>
      </c>
      <c r="D1327" s="51">
        <f>IFERROR(__xludf.DUMMYFUNCTION("IFERROR(GOOGLEFINANCE(A1327,""CHANGEPCT""),)"),-0.9)</f>
        <v>-0.9</v>
      </c>
      <c r="E1327" s="51" t="str">
        <f t="shared" si="1"/>
        <v>-0.9%</v>
      </c>
      <c r="F1327" s="51" t="str">
        <f t="shared" si="2"/>
        <v/>
      </c>
      <c r="G1327" s="51">
        <f t="shared" si="3"/>
        <v>-0.9</v>
      </c>
      <c r="H1327" s="51">
        <f>IFERROR(__xludf.DUMMYFUNCTION("IFERROR(GOOGLEFINANCE(A1327,""PRICE""),)"),30.69)</f>
        <v>30.69</v>
      </c>
      <c r="I1327" s="52">
        <f>IFERROR(__xludf.DUMMYFUNCTION("IFERROR(GOOGLEFINANCE(A1327,""VOLUME""),)"),20970.0)</f>
        <v>20970</v>
      </c>
      <c r="J1327" s="51" t="str">
        <f>IFERROR(__xludf.DUMMYFUNCTION("IFERROR(INDEX(SPLIT(A1327,"":""),1,2),)"),"SPLIL")</f>
        <v>SPLIL</v>
      </c>
      <c r="K1327" s="51" t="str">
        <f t="shared" si="4"/>
        <v/>
      </c>
      <c r="L1327" s="51">
        <f t="shared" si="5"/>
        <v>320</v>
      </c>
      <c r="M1327" s="51">
        <f t="shared" si="6"/>
        <v>1118</v>
      </c>
      <c r="N1327" s="53">
        <f>IFERROR(__xludf.DUMMYFUNCTION("IFERROR(GOOGLEFINANCE(A1327,""TRADETIME""),)"),46269.64583333333)</f>
        <v>46269.64583</v>
      </c>
      <c r="O1327" s="44"/>
      <c r="P1327" s="44"/>
      <c r="Q1327" s="44"/>
      <c r="R1327" s="44"/>
      <c r="S1327" s="44"/>
      <c r="T1327" s="44"/>
      <c r="U1327" s="44"/>
      <c r="V1327" s="44"/>
      <c r="W1327" s="44"/>
      <c r="X1327" s="44"/>
      <c r="Y1327" s="44"/>
      <c r="Z1327" s="44"/>
    </row>
    <row r="1328" ht="15.75" customHeight="1">
      <c r="A1328" s="48" t="s">
        <v>1374</v>
      </c>
      <c r="B1328" s="48" t="str">
        <f>IFERROR(__xludf.DUMMYFUNCTION("IFERROR(GOOGLEFINANCE(A1328,""NAME""),)"),"SPML Infra Ltd")</f>
        <v>SPML Infra Ltd</v>
      </c>
      <c r="C1328" s="48">
        <f>IFERROR(__xludf.DUMMYFUNCTION("IFERROR(GOOGLEFINANCE(A1328,""CHANGE""),)"),6.89)</f>
        <v>6.89</v>
      </c>
      <c r="D1328" s="48">
        <f>IFERROR(__xludf.DUMMYFUNCTION("IFERROR(GOOGLEFINANCE(A1328,""CHANGEPCT""),)"),3.98)</f>
        <v>3.98</v>
      </c>
      <c r="E1328" s="48" t="str">
        <f t="shared" si="1"/>
        <v>3.98%</v>
      </c>
      <c r="F1328" s="48">
        <f t="shared" si="2"/>
        <v>3.98</v>
      </c>
      <c r="G1328" s="48" t="str">
        <f t="shared" si="3"/>
        <v/>
      </c>
      <c r="H1328" s="48">
        <f>IFERROR(__xludf.DUMMYFUNCTION("IFERROR(GOOGLEFINANCE(A1328,""PRICE""),)"),180.2)</f>
        <v>180.2</v>
      </c>
      <c r="I1328" s="49">
        <f>IFERROR(__xludf.DUMMYFUNCTION("IFERROR(GOOGLEFINANCE(A1328,""VOLUME""),)"),407685.0)</f>
        <v>407685</v>
      </c>
      <c r="J1328" s="48" t="str">
        <f>IFERROR(__xludf.DUMMYFUNCTION("IFERROR(INDEX(SPLIT(A1328,"":""),1,2),)"),"SPMLINFRA")</f>
        <v>SPMLINFRA</v>
      </c>
      <c r="K1328" s="48">
        <f t="shared" si="4"/>
        <v>119</v>
      </c>
      <c r="L1328" s="48" t="str">
        <f t="shared" si="5"/>
        <v/>
      </c>
      <c r="M1328" s="48">
        <f t="shared" si="6"/>
        <v>438</v>
      </c>
      <c r="N1328" s="50">
        <f>IFERROR(__xludf.DUMMYFUNCTION("IFERROR(GOOGLEFINANCE(A1328,""TRADETIME""),)"),46269.64584490741)</f>
        <v>46269.64584</v>
      </c>
      <c r="O1328" s="44"/>
      <c r="P1328" s="44"/>
      <c r="Q1328" s="44"/>
      <c r="R1328" s="44"/>
      <c r="S1328" s="44"/>
      <c r="T1328" s="44"/>
      <c r="U1328" s="44"/>
      <c r="V1328" s="44"/>
      <c r="W1328" s="44"/>
      <c r="X1328" s="44"/>
      <c r="Y1328" s="44"/>
      <c r="Z1328" s="44"/>
    </row>
    <row r="1329" ht="15.75" customHeight="1">
      <c r="A1329" s="51" t="s">
        <v>1375</v>
      </c>
      <c r="B1329" s="51" t="str">
        <f>IFERROR(__xludf.DUMMYFUNCTION("IFERROR(GOOGLEFINANCE(A1329,""NAME""),)"),"")</f>
        <v/>
      </c>
      <c r="C1329" s="51" t="str">
        <f>IFERROR(__xludf.DUMMYFUNCTION("IFERROR(GOOGLEFINANCE(A1329,""CHANGE""),)"),"")</f>
        <v/>
      </c>
      <c r="D1329" s="51" t="str">
        <f>IFERROR(__xludf.DUMMYFUNCTION("IFERROR(GOOGLEFINANCE(A1329,""CHANGEPCT""),)"),"")</f>
        <v/>
      </c>
      <c r="E1329" s="51" t="str">
        <f t="shared" si="1"/>
        <v>%</v>
      </c>
      <c r="F1329" s="51" t="str">
        <f t="shared" si="2"/>
        <v/>
      </c>
      <c r="G1329" s="51" t="str">
        <f t="shared" si="3"/>
        <v/>
      </c>
      <c r="H1329" s="51" t="str">
        <f>IFERROR(__xludf.DUMMYFUNCTION("IFERROR(GOOGLEFINANCE(A1329,""PRICE""),)"),"")</f>
        <v/>
      </c>
      <c r="I1329" s="52" t="str">
        <f>IFERROR(__xludf.DUMMYFUNCTION("IFERROR(GOOGLEFINANCE(A1329,""VOLUME""),)"),"")</f>
        <v/>
      </c>
      <c r="J1329" s="51" t="str">
        <f>IFERROR(__xludf.DUMMYFUNCTION("IFERROR(INDEX(SPLIT(A1329,"":""),1,2),)"),"SPTL")</f>
        <v>SPTL</v>
      </c>
      <c r="K1329" s="51" t="str">
        <f t="shared" si="4"/>
        <v/>
      </c>
      <c r="L1329" s="51" t="str">
        <f t="shared" si="5"/>
        <v/>
      </c>
      <c r="M1329" s="51">
        <f t="shared" si="6"/>
        <v>1456</v>
      </c>
      <c r="N1329" s="53" t="str">
        <f>IFERROR(__xludf.DUMMYFUNCTION("IFERROR(GOOGLEFINANCE(A1329,""TRADETIME""),)"),"")</f>
        <v/>
      </c>
      <c r="O1329" s="44"/>
      <c r="P1329" s="44"/>
      <c r="Q1329" s="44"/>
      <c r="R1329" s="44"/>
      <c r="S1329" s="44"/>
      <c r="T1329" s="44"/>
      <c r="U1329" s="44"/>
      <c r="V1329" s="44"/>
      <c r="W1329" s="44"/>
      <c r="X1329" s="44"/>
      <c r="Y1329" s="44"/>
      <c r="Z1329" s="44"/>
    </row>
    <row r="1330" ht="15.75" customHeight="1">
      <c r="A1330" s="48" t="s">
        <v>1376</v>
      </c>
      <c r="B1330" s="48" t="str">
        <f>IFERROR(__xludf.DUMMYFUNCTION("IFERROR(GOOGLEFINANCE(A1330,""NAME""),)"),"")</f>
        <v/>
      </c>
      <c r="C1330" s="48" t="str">
        <f>IFERROR(__xludf.DUMMYFUNCTION("IFERROR(GOOGLEFINANCE(A1330,""CHANGE""),)"),"")</f>
        <v/>
      </c>
      <c r="D1330" s="48" t="str">
        <f>IFERROR(__xludf.DUMMYFUNCTION("IFERROR(GOOGLEFINANCE(A1330,""CHANGEPCT""),)"),"")</f>
        <v/>
      </c>
      <c r="E1330" s="48" t="str">
        <f t="shared" si="1"/>
        <v>%</v>
      </c>
      <c r="F1330" s="48" t="str">
        <f t="shared" si="2"/>
        <v/>
      </c>
      <c r="G1330" s="48" t="str">
        <f t="shared" si="3"/>
        <v/>
      </c>
      <c r="H1330" s="48" t="str">
        <f>IFERROR(__xludf.DUMMYFUNCTION("IFERROR(GOOGLEFINANCE(A1330,""PRICE""),)"),"")</f>
        <v/>
      </c>
      <c r="I1330" s="49" t="str">
        <f>IFERROR(__xludf.DUMMYFUNCTION("IFERROR(GOOGLEFINANCE(A1330,""VOLUME""),)"),"")</f>
        <v/>
      </c>
      <c r="J1330" s="48" t="str">
        <f>IFERROR(__xludf.DUMMYFUNCTION("IFERROR(INDEX(SPLIT(A1330,"":""),1,2),)"),"SPYL")</f>
        <v>SPYL</v>
      </c>
      <c r="K1330" s="48" t="str">
        <f t="shared" si="4"/>
        <v/>
      </c>
      <c r="L1330" s="48" t="str">
        <f t="shared" si="5"/>
        <v/>
      </c>
      <c r="M1330" s="48">
        <f t="shared" si="6"/>
        <v>1456</v>
      </c>
      <c r="N1330" s="50" t="str">
        <f>IFERROR(__xludf.DUMMYFUNCTION("IFERROR(GOOGLEFINANCE(A1330,""TRADETIME""),)"),"")</f>
        <v/>
      </c>
      <c r="O1330" s="44"/>
      <c r="P1330" s="44"/>
      <c r="Q1330" s="44"/>
      <c r="R1330" s="44"/>
      <c r="S1330" s="44"/>
      <c r="T1330" s="44"/>
      <c r="U1330" s="44"/>
      <c r="V1330" s="44"/>
      <c r="W1330" s="44"/>
      <c r="X1330" s="44"/>
      <c r="Y1330" s="44"/>
      <c r="Z1330" s="44"/>
    </row>
    <row r="1331" ht="15.75" customHeight="1">
      <c r="A1331" s="51" t="s">
        <v>1377</v>
      </c>
      <c r="B1331" s="51" t="str">
        <f>IFERROR(__xludf.DUMMYFUNCTION("IFERROR(GOOGLEFINANCE(A1331,""NAME""),)"),"Sreeleathers Ltd")</f>
        <v>Sreeleathers Ltd</v>
      </c>
      <c r="C1331" s="51">
        <f>IFERROR(__xludf.DUMMYFUNCTION("IFERROR(GOOGLEFINANCE(A1331,""CHANGE""),)"),5.24)</f>
        <v>5.24</v>
      </c>
      <c r="D1331" s="51">
        <f>IFERROR(__xludf.DUMMYFUNCTION("IFERROR(GOOGLEFINANCE(A1331,""CHANGEPCT""),)"),2.02)</f>
        <v>2.02</v>
      </c>
      <c r="E1331" s="51" t="str">
        <f t="shared" si="1"/>
        <v>2.02%</v>
      </c>
      <c r="F1331" s="51">
        <f t="shared" si="2"/>
        <v>2.02</v>
      </c>
      <c r="G1331" s="51" t="str">
        <f t="shared" si="3"/>
        <v/>
      </c>
      <c r="H1331" s="51">
        <f>IFERROR(__xludf.DUMMYFUNCTION("IFERROR(GOOGLEFINANCE(A1331,""PRICE""),)"),264.2)</f>
        <v>264.2</v>
      </c>
      <c r="I1331" s="52">
        <f>IFERROR(__xludf.DUMMYFUNCTION("IFERROR(GOOGLEFINANCE(A1331,""VOLUME""),)"),21434.0)</f>
        <v>21434</v>
      </c>
      <c r="J1331" s="51" t="str">
        <f>IFERROR(__xludf.DUMMYFUNCTION("IFERROR(INDEX(SPLIT(A1331,"":""),1,2),)"),"SREEL")</f>
        <v>SREEL</v>
      </c>
      <c r="K1331" s="51">
        <f t="shared" si="4"/>
        <v>254</v>
      </c>
      <c r="L1331" s="51" t="str">
        <f t="shared" si="5"/>
        <v/>
      </c>
      <c r="M1331" s="51">
        <f t="shared" si="6"/>
        <v>1113</v>
      </c>
      <c r="N1331" s="53">
        <f>IFERROR(__xludf.DUMMYFUNCTION("IFERROR(GOOGLEFINANCE(A1331,""TRADETIME""),)"),46269.64583333333)</f>
        <v>46269.64583</v>
      </c>
      <c r="O1331" s="44"/>
      <c r="P1331" s="44"/>
      <c r="Q1331" s="44"/>
      <c r="R1331" s="44"/>
      <c r="S1331" s="44"/>
      <c r="T1331" s="44"/>
      <c r="U1331" s="44"/>
      <c r="V1331" s="44"/>
      <c r="W1331" s="44"/>
      <c r="X1331" s="44"/>
      <c r="Y1331" s="44"/>
      <c r="Z1331" s="44"/>
    </row>
    <row r="1332" ht="15.75" customHeight="1">
      <c r="A1332" s="48" t="s">
        <v>1378</v>
      </c>
      <c r="B1332" s="48" t="str">
        <f>IFERROR(__xludf.DUMMYFUNCTION("IFERROR(GOOGLEFINANCE(A1332,""NAME""),)"),"")</f>
        <v/>
      </c>
      <c r="C1332" s="48" t="str">
        <f>IFERROR(__xludf.DUMMYFUNCTION("IFERROR(GOOGLEFINANCE(A1332,""CHANGE""),)"),"")</f>
        <v/>
      </c>
      <c r="D1332" s="48" t="str">
        <f>IFERROR(__xludf.DUMMYFUNCTION("IFERROR(GOOGLEFINANCE(A1332,""CHANGEPCT""),)"),"")</f>
        <v/>
      </c>
      <c r="E1332" s="48" t="str">
        <f t="shared" si="1"/>
        <v>%</v>
      </c>
      <c r="F1332" s="48" t="str">
        <f t="shared" si="2"/>
        <v/>
      </c>
      <c r="G1332" s="48" t="str">
        <f t="shared" si="3"/>
        <v/>
      </c>
      <c r="H1332" s="48" t="str">
        <f>IFERROR(__xludf.DUMMYFUNCTION("IFERROR(GOOGLEFINANCE(A1332,""PRICE""),)"),"")</f>
        <v/>
      </c>
      <c r="I1332" s="49" t="str">
        <f>IFERROR(__xludf.DUMMYFUNCTION("IFERROR(GOOGLEFINANCE(A1332,""VOLUME""),)"),"")</f>
        <v/>
      </c>
      <c r="J1332" s="48" t="str">
        <f>IFERROR(__xludf.DUMMYFUNCTION("IFERROR(INDEX(SPLIT(A1332,"":""),1,2),)"),"SREINFRA")</f>
        <v>SREINFRA</v>
      </c>
      <c r="K1332" s="48" t="str">
        <f t="shared" si="4"/>
        <v/>
      </c>
      <c r="L1332" s="48" t="str">
        <f t="shared" si="5"/>
        <v/>
      </c>
      <c r="M1332" s="48">
        <f t="shared" si="6"/>
        <v>1456</v>
      </c>
      <c r="N1332" s="50" t="str">
        <f>IFERROR(__xludf.DUMMYFUNCTION("IFERROR(GOOGLEFINANCE(A1332,""TRADETIME""),)"),"")</f>
        <v/>
      </c>
      <c r="O1332" s="44"/>
      <c r="P1332" s="44"/>
      <c r="Q1332" s="44"/>
      <c r="R1332" s="44"/>
      <c r="S1332" s="44"/>
      <c r="T1332" s="44"/>
      <c r="U1332" s="44"/>
      <c r="V1332" s="44"/>
      <c r="W1332" s="44"/>
      <c r="X1332" s="44"/>
      <c r="Y1332" s="44"/>
      <c r="Z1332" s="44"/>
    </row>
    <row r="1333" ht="15.75" customHeight="1">
      <c r="A1333" s="51" t="s">
        <v>1379</v>
      </c>
      <c r="B1333" s="51" t="str">
        <f>IFERROR(__xludf.DUMMYFUNCTION("IFERROR(GOOGLEFINANCE(A1333,""NAME""),)"),"SRF Ltd")</f>
        <v>SRF Ltd</v>
      </c>
      <c r="C1333" s="51">
        <f>IFERROR(__xludf.DUMMYFUNCTION("IFERROR(GOOGLEFINANCE(A1333,""CHANGE""),)"),-70.7)</f>
        <v>-70.7</v>
      </c>
      <c r="D1333" s="51">
        <f>IFERROR(__xludf.DUMMYFUNCTION("IFERROR(GOOGLEFINANCE(A1333,""CHANGEPCT""),)"),-2.7)</f>
        <v>-2.7</v>
      </c>
      <c r="E1333" s="51" t="str">
        <f t="shared" si="1"/>
        <v>-2.7%</v>
      </c>
      <c r="F1333" s="51" t="str">
        <f t="shared" si="2"/>
        <v/>
      </c>
      <c r="G1333" s="51">
        <f t="shared" si="3"/>
        <v>-2.7</v>
      </c>
      <c r="H1333" s="51">
        <f>IFERROR(__xludf.DUMMYFUNCTION("IFERROR(GOOGLEFINANCE(A1333,""PRICE""),)"),2546.3)</f>
        <v>2546.3</v>
      </c>
      <c r="I1333" s="52">
        <f>IFERROR(__xludf.DUMMYFUNCTION("IFERROR(GOOGLEFINANCE(A1333,""VOLUME""),)"),352418.0)</f>
        <v>352418</v>
      </c>
      <c r="J1333" s="51" t="str">
        <f>IFERROR(__xludf.DUMMYFUNCTION("IFERROR(INDEX(SPLIT(A1333,"":""),1,2),)"),"SRF")</f>
        <v>SRF</v>
      </c>
      <c r="K1333" s="51" t="str">
        <f t="shared" si="4"/>
        <v/>
      </c>
      <c r="L1333" s="51">
        <f t="shared" si="5"/>
        <v>583</v>
      </c>
      <c r="M1333" s="51">
        <f t="shared" si="6"/>
        <v>470</v>
      </c>
      <c r="N1333" s="53">
        <f>IFERROR(__xludf.DUMMYFUNCTION("IFERROR(GOOGLEFINANCE(A1333,""TRADETIME""),)"),46269.64583333333)</f>
        <v>46269.64583</v>
      </c>
      <c r="O1333" s="44"/>
      <c r="P1333" s="44"/>
      <c r="Q1333" s="44"/>
      <c r="R1333" s="44"/>
      <c r="S1333" s="44"/>
      <c r="T1333" s="44"/>
      <c r="U1333" s="44"/>
      <c r="V1333" s="44"/>
      <c r="W1333" s="44"/>
      <c r="X1333" s="44"/>
      <c r="Y1333" s="44"/>
      <c r="Z1333" s="44"/>
    </row>
    <row r="1334" ht="15.75" customHeight="1">
      <c r="A1334" s="48" t="s">
        <v>1380</v>
      </c>
      <c r="B1334" s="48" t="str">
        <f>IFERROR(__xludf.DUMMYFUNCTION("IFERROR(GOOGLEFINANCE(A1334,""NAME""),)"),"Sree Rayalaseema Hi-Strength Hypo Ltd")</f>
        <v>Sree Rayalaseema Hi-Strength Hypo Ltd</v>
      </c>
      <c r="C1334" s="48">
        <f>IFERROR(__xludf.DUMMYFUNCTION("IFERROR(GOOGLEFINANCE(A1334,""CHANGE""),)"),22.3)</f>
        <v>22.3</v>
      </c>
      <c r="D1334" s="48">
        <f>IFERROR(__xludf.DUMMYFUNCTION("IFERROR(GOOGLEFINANCE(A1334,""CHANGEPCT""),)"),4.38)</f>
        <v>4.38</v>
      </c>
      <c r="E1334" s="48" t="str">
        <f t="shared" si="1"/>
        <v>4.38%</v>
      </c>
      <c r="F1334" s="48">
        <f t="shared" si="2"/>
        <v>4.38</v>
      </c>
      <c r="G1334" s="48" t="str">
        <f t="shared" si="3"/>
        <v/>
      </c>
      <c r="H1334" s="48">
        <f>IFERROR(__xludf.DUMMYFUNCTION("IFERROR(GOOGLEFINANCE(A1334,""PRICE""),)"),531.2)</f>
        <v>531.2</v>
      </c>
      <c r="I1334" s="49">
        <f>IFERROR(__xludf.DUMMYFUNCTION("IFERROR(GOOGLEFINANCE(A1334,""VOLUME""),)"),49199.0)</f>
        <v>49199</v>
      </c>
      <c r="J1334" s="48" t="str">
        <f>IFERROR(__xludf.DUMMYFUNCTION("IFERROR(INDEX(SPLIT(A1334,"":""),1,2),)"),"SRHHYPOLTD")</f>
        <v>SRHHYPOLTD</v>
      </c>
      <c r="K1334" s="48">
        <f t="shared" si="4"/>
        <v>99</v>
      </c>
      <c r="L1334" s="48" t="str">
        <f t="shared" si="5"/>
        <v/>
      </c>
      <c r="M1334" s="48">
        <f t="shared" si="6"/>
        <v>950</v>
      </c>
      <c r="N1334" s="50">
        <f>IFERROR(__xludf.DUMMYFUNCTION("IFERROR(GOOGLEFINANCE(A1334,""TRADETIME""),)"),46269.64583333333)</f>
        <v>46269.64583</v>
      </c>
      <c r="O1334" s="44"/>
      <c r="P1334" s="44"/>
      <c r="Q1334" s="44"/>
      <c r="R1334" s="44"/>
      <c r="S1334" s="44"/>
      <c r="T1334" s="44"/>
      <c r="U1334" s="44"/>
      <c r="V1334" s="44"/>
      <c r="W1334" s="44"/>
      <c r="X1334" s="44"/>
      <c r="Y1334" s="44"/>
      <c r="Z1334" s="44"/>
    </row>
    <row r="1335" ht="15.75" customHeight="1">
      <c r="A1335" s="51" t="s">
        <v>1381</v>
      </c>
      <c r="B1335" s="51" t="str">
        <f>IFERROR(__xludf.DUMMYFUNCTION("IFERROR(GOOGLEFINANCE(A1335,""NAME""),)"),"Shreeram Proteins Ltd")</f>
        <v>Shreeram Proteins Ltd</v>
      </c>
      <c r="C1335" s="51">
        <f>IFERROR(__xludf.DUMMYFUNCTION("IFERROR(GOOGLEFINANCE(A1335,""CHANGE""),)"),0.01)</f>
        <v>0.01</v>
      </c>
      <c r="D1335" s="51">
        <f>IFERROR(__xludf.DUMMYFUNCTION("IFERROR(GOOGLEFINANCE(A1335,""CHANGEPCT""),)"),3.03)</f>
        <v>3.03</v>
      </c>
      <c r="E1335" s="51" t="str">
        <f t="shared" si="1"/>
        <v>3.03%</v>
      </c>
      <c r="F1335" s="51">
        <f t="shared" si="2"/>
        <v>3.03</v>
      </c>
      <c r="G1335" s="51" t="str">
        <f t="shared" si="3"/>
        <v/>
      </c>
      <c r="H1335" s="51">
        <f>IFERROR(__xludf.DUMMYFUNCTION("IFERROR(GOOGLEFINANCE(A1335,""PRICE""),)"),0.34)</f>
        <v>0.34</v>
      </c>
      <c r="I1335" s="52">
        <f>IFERROR(__xludf.DUMMYFUNCTION("IFERROR(GOOGLEFINANCE(A1335,""VOLUME""),)"),239095.0)</f>
        <v>239095</v>
      </c>
      <c r="J1335" s="51" t="str">
        <f>IFERROR(__xludf.DUMMYFUNCTION("IFERROR(INDEX(SPLIT(A1335,"":""),1,2),)"),"SRPL")</f>
        <v>SRPL</v>
      </c>
      <c r="K1335" s="51">
        <f t="shared" si="4"/>
        <v>161</v>
      </c>
      <c r="L1335" s="51" t="str">
        <f t="shared" si="5"/>
        <v/>
      </c>
      <c r="M1335" s="51">
        <f t="shared" si="6"/>
        <v>580</v>
      </c>
      <c r="N1335" s="53">
        <f>IFERROR(__xludf.DUMMYFUNCTION("IFERROR(GOOGLEFINANCE(A1335,""TRADETIME""),)"),46244.64583333333)</f>
        <v>46244.64583</v>
      </c>
      <c r="O1335" s="44"/>
      <c r="P1335" s="44"/>
      <c r="Q1335" s="44"/>
      <c r="R1335" s="44"/>
      <c r="S1335" s="44"/>
      <c r="T1335" s="44"/>
      <c r="U1335" s="44"/>
      <c r="V1335" s="44"/>
      <c r="W1335" s="44"/>
      <c r="X1335" s="44"/>
      <c r="Y1335" s="44"/>
      <c r="Z1335" s="44"/>
    </row>
    <row r="1336" ht="15.75" customHeight="1">
      <c r="A1336" s="48" t="s">
        <v>1382</v>
      </c>
      <c r="B1336" s="48" t="str">
        <f>IFERROR(__xludf.DUMMYFUNCTION("IFERROR(GOOGLEFINANCE(A1336,""NAME""),)"),"Shriram Finance Ltd")</f>
        <v>Shriram Finance Ltd</v>
      </c>
      <c r="C1336" s="48">
        <f>IFERROR(__xludf.DUMMYFUNCTION("IFERROR(GOOGLEFINANCE(A1336,""CHANGE""),)"),-2.8)</f>
        <v>-2.8</v>
      </c>
      <c r="D1336" s="48">
        <f>IFERROR(__xludf.DUMMYFUNCTION("IFERROR(GOOGLEFINANCE(A1336,""CHANGEPCT""),)"),-0.27)</f>
        <v>-0.27</v>
      </c>
      <c r="E1336" s="48" t="str">
        <f t="shared" si="1"/>
        <v>-0.27%</v>
      </c>
      <c r="F1336" s="48" t="str">
        <f t="shared" si="2"/>
        <v/>
      </c>
      <c r="G1336" s="48">
        <f t="shared" si="3"/>
        <v>-0.27</v>
      </c>
      <c r="H1336" s="48">
        <f>IFERROR(__xludf.DUMMYFUNCTION("IFERROR(GOOGLEFINANCE(A1336,""PRICE""),)"),1041.4)</f>
        <v>1041.4</v>
      </c>
      <c r="I1336" s="49">
        <f>IFERROR(__xludf.DUMMYFUNCTION("IFERROR(GOOGLEFINANCE(A1336,""VOLUME""),)"),4135730.0)</f>
        <v>4135730</v>
      </c>
      <c r="J1336" s="48" t="str">
        <f>IFERROR(__xludf.DUMMYFUNCTION("IFERROR(INDEX(SPLIT(A1336,"":""),1,2),)"),"SHRIRAMFIN")</f>
        <v>SHRIRAMFIN</v>
      </c>
      <c r="K1336" s="48" t="str">
        <f t="shared" si="4"/>
        <v/>
      </c>
      <c r="L1336" s="48">
        <f t="shared" si="5"/>
        <v>99</v>
      </c>
      <c r="M1336" s="48">
        <f t="shared" si="6"/>
        <v>99</v>
      </c>
      <c r="N1336" s="50">
        <f>IFERROR(__xludf.DUMMYFUNCTION("IFERROR(GOOGLEFINANCE(A1336,""TRADETIME""),)"),46269.64583333333)</f>
        <v>46269.64583</v>
      </c>
      <c r="O1336" s="44"/>
      <c r="P1336" s="44"/>
      <c r="Q1336" s="44"/>
      <c r="R1336" s="44"/>
      <c r="S1336" s="44"/>
      <c r="T1336" s="44"/>
      <c r="U1336" s="44"/>
      <c r="V1336" s="44"/>
      <c r="W1336" s="44"/>
      <c r="X1336" s="44"/>
      <c r="Y1336" s="44"/>
      <c r="Z1336" s="44"/>
    </row>
    <row r="1337" ht="15.75" customHeight="1">
      <c r="A1337" s="51" t="s">
        <v>1383</v>
      </c>
      <c r="B1337" s="51" t="str">
        <f>IFERROR(__xludf.DUMMYFUNCTION("IFERROR(GOOGLEFINANCE(A1337,""NAME""),)"),"Steel Strips Wheels Ltd")</f>
        <v>Steel Strips Wheels Ltd</v>
      </c>
      <c r="C1337" s="51">
        <f>IFERROR(__xludf.DUMMYFUNCTION("IFERROR(GOOGLEFINANCE(A1337,""CHANGE""),)"),0.1)</f>
        <v>0.1</v>
      </c>
      <c r="D1337" s="51">
        <f>IFERROR(__xludf.DUMMYFUNCTION("IFERROR(GOOGLEFINANCE(A1337,""CHANGEPCT""),)"),0.03)</f>
        <v>0.03</v>
      </c>
      <c r="E1337" s="51" t="str">
        <f t="shared" si="1"/>
        <v>0.03%</v>
      </c>
      <c r="F1337" s="51">
        <f t="shared" si="2"/>
        <v>0.03</v>
      </c>
      <c r="G1337" s="51" t="str">
        <f t="shared" si="3"/>
        <v/>
      </c>
      <c r="H1337" s="51">
        <f>IFERROR(__xludf.DUMMYFUNCTION("IFERROR(GOOGLEFINANCE(A1337,""PRICE""),)"),360.9)</f>
        <v>360.9</v>
      </c>
      <c r="I1337" s="52">
        <f>IFERROR(__xludf.DUMMYFUNCTION("IFERROR(GOOGLEFINANCE(A1337,""VOLUME""),)"),1006017.0)</f>
        <v>1006017</v>
      </c>
      <c r="J1337" s="51" t="str">
        <f>IFERROR(__xludf.DUMMYFUNCTION("IFERROR(INDEX(SPLIT(A1337,"":""),1,2),)"),"SSWL")</f>
        <v>SSWL</v>
      </c>
      <c r="K1337" s="51">
        <f t="shared" si="4"/>
        <v>768</v>
      </c>
      <c r="L1337" s="51" t="str">
        <f t="shared" si="5"/>
        <v/>
      </c>
      <c r="M1337" s="51">
        <f t="shared" si="6"/>
        <v>274</v>
      </c>
      <c r="N1337" s="53">
        <f>IFERROR(__xludf.DUMMYFUNCTION("IFERROR(GOOGLEFINANCE(A1337,""TRADETIME""),)"),46269.64584490741)</f>
        <v>46269.64584</v>
      </c>
      <c r="O1337" s="44"/>
      <c r="P1337" s="44"/>
      <c r="Q1337" s="44"/>
      <c r="R1337" s="44"/>
      <c r="S1337" s="44"/>
      <c r="T1337" s="44"/>
      <c r="U1337" s="44"/>
      <c r="V1337" s="44"/>
      <c r="W1337" s="44"/>
      <c r="X1337" s="44"/>
      <c r="Y1337" s="44"/>
      <c r="Z1337" s="44"/>
    </row>
    <row r="1338" ht="15.75" customHeight="1">
      <c r="A1338" s="48" t="s">
        <v>1384</v>
      </c>
      <c r="B1338" s="48" t="str">
        <f>IFERROR(__xludf.DUMMYFUNCTION("IFERROR(GOOGLEFINANCE(A1338,""NAME""),)"),"Strides Pharma Science Ltd")</f>
        <v>Strides Pharma Science Ltd</v>
      </c>
      <c r="C1338" s="48">
        <f>IFERROR(__xludf.DUMMYFUNCTION("IFERROR(GOOGLEFINANCE(A1338,""CHANGE""),)"),6.4)</f>
        <v>6.4</v>
      </c>
      <c r="D1338" s="48">
        <f>IFERROR(__xludf.DUMMYFUNCTION("IFERROR(GOOGLEFINANCE(A1338,""CHANGEPCT""),)"),0.61)</f>
        <v>0.61</v>
      </c>
      <c r="E1338" s="48" t="str">
        <f t="shared" si="1"/>
        <v>0.61%</v>
      </c>
      <c r="F1338" s="48">
        <f t="shared" si="2"/>
        <v>0.61</v>
      </c>
      <c r="G1338" s="48" t="str">
        <f t="shared" si="3"/>
        <v/>
      </c>
      <c r="H1338" s="48">
        <f>IFERROR(__xludf.DUMMYFUNCTION("IFERROR(GOOGLEFINANCE(A1338,""PRICE""),)"),1060.0)</f>
        <v>1060</v>
      </c>
      <c r="I1338" s="49">
        <f>IFERROR(__xludf.DUMMYFUNCTION("IFERROR(GOOGLEFINANCE(A1338,""VOLUME""),)"),217190.0)</f>
        <v>217190</v>
      </c>
      <c r="J1338" s="48" t="str">
        <f>IFERROR(__xludf.DUMMYFUNCTION("IFERROR(INDEX(SPLIT(A1338,"":""),1,2),)"),"STAR")</f>
        <v>STAR</v>
      </c>
      <c r="K1338" s="48">
        <f t="shared" si="4"/>
        <v>558</v>
      </c>
      <c r="L1338" s="48" t="str">
        <f t="shared" si="5"/>
        <v/>
      </c>
      <c r="M1338" s="48">
        <f t="shared" si="6"/>
        <v>604</v>
      </c>
      <c r="N1338" s="50">
        <f>IFERROR(__xludf.DUMMYFUNCTION("IFERROR(GOOGLEFINANCE(A1338,""TRADETIME""),)"),46269.64584490741)</f>
        <v>46269.64584</v>
      </c>
      <c r="O1338" s="44"/>
      <c r="P1338" s="44"/>
      <c r="Q1338" s="44"/>
      <c r="R1338" s="44"/>
      <c r="S1338" s="44"/>
      <c r="T1338" s="44"/>
      <c r="U1338" s="44"/>
      <c r="V1338" s="44"/>
      <c r="W1338" s="44"/>
      <c r="X1338" s="44"/>
      <c r="Y1338" s="44"/>
      <c r="Z1338" s="44"/>
    </row>
    <row r="1339" ht="15.75" customHeight="1">
      <c r="A1339" s="51" t="s">
        <v>1385</v>
      </c>
      <c r="B1339" s="51" t="str">
        <f>IFERROR(__xludf.DUMMYFUNCTION("IFERROR(GOOGLEFINANCE(A1339,""NAME""),)"),"Star Cement Ltd")</f>
        <v>Star Cement Ltd</v>
      </c>
      <c r="C1339" s="51">
        <f>IFERROR(__xludf.DUMMYFUNCTION("IFERROR(GOOGLEFINANCE(A1339,""CHANGE""),)"),8.13)</f>
        <v>8.13</v>
      </c>
      <c r="D1339" s="51">
        <f>IFERROR(__xludf.DUMMYFUNCTION("IFERROR(GOOGLEFINANCE(A1339,""CHANGEPCT""),)"),4.41)</f>
        <v>4.41</v>
      </c>
      <c r="E1339" s="51" t="str">
        <f t="shared" si="1"/>
        <v>4.41%</v>
      </c>
      <c r="F1339" s="51">
        <f t="shared" si="2"/>
        <v>4.41</v>
      </c>
      <c r="G1339" s="51" t="str">
        <f t="shared" si="3"/>
        <v/>
      </c>
      <c r="H1339" s="51">
        <f>IFERROR(__xludf.DUMMYFUNCTION("IFERROR(GOOGLEFINANCE(A1339,""PRICE""),)"),192.6)</f>
        <v>192.6</v>
      </c>
      <c r="I1339" s="52">
        <f>IFERROR(__xludf.DUMMYFUNCTION("IFERROR(GOOGLEFINANCE(A1339,""VOLUME""),)"),192236.0)</f>
        <v>192236</v>
      </c>
      <c r="J1339" s="51" t="str">
        <f>IFERROR(__xludf.DUMMYFUNCTION("IFERROR(INDEX(SPLIT(A1339,"":""),1,2),)"),"STARCEMENT")</f>
        <v>STARCEMENT</v>
      </c>
      <c r="K1339" s="51">
        <f t="shared" si="4"/>
        <v>96</v>
      </c>
      <c r="L1339" s="51" t="str">
        <f t="shared" si="5"/>
        <v/>
      </c>
      <c r="M1339" s="51">
        <f t="shared" si="6"/>
        <v>640</v>
      </c>
      <c r="N1339" s="53">
        <f>IFERROR(__xludf.DUMMYFUNCTION("IFERROR(GOOGLEFINANCE(A1339,""TRADETIME""),)"),46269.64583333333)</f>
        <v>46269.64583</v>
      </c>
      <c r="O1339" s="44"/>
      <c r="P1339" s="44"/>
      <c r="Q1339" s="44"/>
      <c r="R1339" s="44"/>
      <c r="S1339" s="44"/>
      <c r="T1339" s="44"/>
      <c r="U1339" s="44"/>
      <c r="V1339" s="44"/>
      <c r="W1339" s="44"/>
      <c r="X1339" s="44"/>
      <c r="Y1339" s="44"/>
      <c r="Z1339" s="44"/>
    </row>
    <row r="1340" ht="15.75" customHeight="1">
      <c r="A1340" s="48" t="s">
        <v>1386</v>
      </c>
      <c r="B1340" s="48" t="str">
        <f>IFERROR(__xludf.DUMMYFUNCTION("IFERROR(GOOGLEFINANCE(A1340,""NAME""),)"),"Star Paper Mills Ltd")</f>
        <v>Star Paper Mills Ltd</v>
      </c>
      <c r="C1340" s="48">
        <f>IFERROR(__xludf.DUMMYFUNCTION("IFERROR(GOOGLEFINANCE(A1340,""CHANGE""),)"),-3.35)</f>
        <v>-3.35</v>
      </c>
      <c r="D1340" s="48">
        <f>IFERROR(__xludf.DUMMYFUNCTION("IFERROR(GOOGLEFINANCE(A1340,""CHANGEPCT""),)"),-2.17)</f>
        <v>-2.17</v>
      </c>
      <c r="E1340" s="48" t="str">
        <f t="shared" si="1"/>
        <v>-2.17%</v>
      </c>
      <c r="F1340" s="48" t="str">
        <f t="shared" si="2"/>
        <v/>
      </c>
      <c r="G1340" s="48">
        <f t="shared" si="3"/>
        <v>-2.17</v>
      </c>
      <c r="H1340" s="48">
        <f>IFERROR(__xludf.DUMMYFUNCTION("IFERROR(GOOGLEFINANCE(A1340,""PRICE""),)"),151.12)</f>
        <v>151.12</v>
      </c>
      <c r="I1340" s="49">
        <f>IFERROR(__xludf.DUMMYFUNCTION("IFERROR(GOOGLEFINANCE(A1340,""VOLUME""),)"),11085.0)</f>
        <v>11085</v>
      </c>
      <c r="J1340" s="48" t="str">
        <f>IFERROR(__xludf.DUMMYFUNCTION("IFERROR(INDEX(SPLIT(A1340,"":""),1,2),)"),"STARPAPER")</f>
        <v>STARPAPER</v>
      </c>
      <c r="K1340" s="48" t="str">
        <f t="shared" si="4"/>
        <v/>
      </c>
      <c r="L1340" s="48">
        <f t="shared" si="5"/>
        <v>550</v>
      </c>
      <c r="M1340" s="48">
        <f t="shared" si="6"/>
        <v>1220</v>
      </c>
      <c r="N1340" s="50">
        <f>IFERROR(__xludf.DUMMYFUNCTION("IFERROR(GOOGLEFINANCE(A1340,""TRADETIME""),)"),46269.64583333333)</f>
        <v>46269.64583</v>
      </c>
      <c r="O1340" s="44"/>
      <c r="P1340" s="44"/>
      <c r="Q1340" s="44"/>
      <c r="R1340" s="44"/>
      <c r="S1340" s="44"/>
      <c r="T1340" s="44"/>
      <c r="U1340" s="44"/>
      <c r="V1340" s="44"/>
      <c r="W1340" s="44"/>
      <c r="X1340" s="44"/>
      <c r="Y1340" s="44"/>
      <c r="Z1340" s="44"/>
    </row>
    <row r="1341" ht="15.75" customHeight="1">
      <c r="A1341" s="51" t="s">
        <v>1387</v>
      </c>
      <c r="B1341" s="51" t="str">
        <f>IFERROR(__xludf.DUMMYFUNCTION("IFERROR(GOOGLEFINANCE(A1341,""NAME""),)"),"State Trading Corporation of India Ltd")</f>
        <v>State Trading Corporation of India Ltd</v>
      </c>
      <c r="C1341" s="51">
        <f>IFERROR(__xludf.DUMMYFUNCTION("IFERROR(GOOGLEFINANCE(A1341,""CHANGE""),)"),0.45)</f>
        <v>0.45</v>
      </c>
      <c r="D1341" s="51">
        <f>IFERROR(__xludf.DUMMYFUNCTION("IFERROR(GOOGLEFINANCE(A1341,""CHANGEPCT""),)"),0.39)</f>
        <v>0.39</v>
      </c>
      <c r="E1341" s="51" t="str">
        <f t="shared" si="1"/>
        <v>0.39%</v>
      </c>
      <c r="F1341" s="51">
        <f t="shared" si="2"/>
        <v>0.39</v>
      </c>
      <c r="G1341" s="51" t="str">
        <f t="shared" si="3"/>
        <v/>
      </c>
      <c r="H1341" s="51">
        <f>IFERROR(__xludf.DUMMYFUNCTION("IFERROR(GOOGLEFINANCE(A1341,""PRICE""),)"),115.1)</f>
        <v>115.1</v>
      </c>
      <c r="I1341" s="52">
        <f>IFERROR(__xludf.DUMMYFUNCTION("IFERROR(GOOGLEFINANCE(A1341,""VOLUME""),)"),60350.0)</f>
        <v>60350</v>
      </c>
      <c r="J1341" s="51" t="str">
        <f>IFERROR(__xludf.DUMMYFUNCTION("IFERROR(INDEX(SPLIT(A1341,"":""),1,2),)"),"STCINDIA")</f>
        <v>STCINDIA</v>
      </c>
      <c r="K1341" s="51">
        <f t="shared" si="4"/>
        <v>627</v>
      </c>
      <c r="L1341" s="51" t="str">
        <f t="shared" si="5"/>
        <v/>
      </c>
      <c r="M1341" s="51">
        <f t="shared" si="6"/>
        <v>903</v>
      </c>
      <c r="N1341" s="53">
        <f>IFERROR(__xludf.DUMMYFUNCTION("IFERROR(GOOGLEFINANCE(A1341,""TRADETIME""),)"),46269.64583333333)</f>
        <v>46269.64583</v>
      </c>
      <c r="O1341" s="44"/>
      <c r="P1341" s="44"/>
      <c r="Q1341" s="44"/>
      <c r="R1341" s="44"/>
      <c r="S1341" s="44"/>
      <c r="T1341" s="44"/>
      <c r="U1341" s="44"/>
      <c r="V1341" s="44"/>
      <c r="W1341" s="44"/>
      <c r="X1341" s="44"/>
      <c r="Y1341" s="44"/>
      <c r="Z1341" s="44"/>
    </row>
    <row r="1342" ht="15.75" customHeight="1">
      <c r="A1342" s="48" t="s">
        <v>1388</v>
      </c>
      <c r="B1342" s="48" t="str">
        <f>IFERROR(__xludf.DUMMYFUNCTION("IFERROR(GOOGLEFINANCE(A1342,""NAME""),)"),"Steel City Securities Ltd")</f>
        <v>Steel City Securities Ltd</v>
      </c>
      <c r="C1342" s="48">
        <f>IFERROR(__xludf.DUMMYFUNCTION("IFERROR(GOOGLEFINANCE(A1342,""CHANGE""),)"),-0.47)</f>
        <v>-0.47</v>
      </c>
      <c r="D1342" s="48">
        <f>IFERROR(__xludf.DUMMYFUNCTION("IFERROR(GOOGLEFINANCE(A1342,""CHANGEPCT""),)"),-0.54)</f>
        <v>-0.54</v>
      </c>
      <c r="E1342" s="48" t="str">
        <f t="shared" si="1"/>
        <v>-0.54%</v>
      </c>
      <c r="F1342" s="48" t="str">
        <f t="shared" si="2"/>
        <v/>
      </c>
      <c r="G1342" s="48">
        <f t="shared" si="3"/>
        <v>-0.54</v>
      </c>
      <c r="H1342" s="48">
        <f>IFERROR(__xludf.DUMMYFUNCTION("IFERROR(GOOGLEFINANCE(A1342,""PRICE""),)"),86.0)</f>
        <v>86</v>
      </c>
      <c r="I1342" s="49">
        <f>IFERROR(__xludf.DUMMYFUNCTION("IFERROR(GOOGLEFINANCE(A1342,""VOLUME""),)"),6956.0)</f>
        <v>6956</v>
      </c>
      <c r="J1342" s="48" t="str">
        <f>IFERROR(__xludf.DUMMYFUNCTION("IFERROR(INDEX(SPLIT(A1342,"":""),1,2),)"),"STEELCITY")</f>
        <v>STEELCITY</v>
      </c>
      <c r="K1342" s="48" t="str">
        <f t="shared" si="4"/>
        <v/>
      </c>
      <c r="L1342" s="48">
        <f t="shared" si="5"/>
        <v>212</v>
      </c>
      <c r="M1342" s="48">
        <f t="shared" si="6"/>
        <v>1289</v>
      </c>
      <c r="N1342" s="50">
        <f>IFERROR(__xludf.DUMMYFUNCTION("IFERROR(GOOGLEFINANCE(A1342,""TRADETIME""),)"),46269.64583333333)</f>
        <v>46269.64583</v>
      </c>
      <c r="O1342" s="44"/>
      <c r="P1342" s="44"/>
      <c r="Q1342" s="44"/>
      <c r="R1342" s="44"/>
      <c r="S1342" s="44"/>
      <c r="T1342" s="44"/>
      <c r="U1342" s="44"/>
      <c r="V1342" s="44"/>
      <c r="W1342" s="44"/>
      <c r="X1342" s="44"/>
      <c r="Y1342" s="44"/>
      <c r="Z1342" s="44"/>
    </row>
    <row r="1343" ht="15.75" customHeight="1">
      <c r="A1343" s="51" t="s">
        <v>1389</v>
      </c>
      <c r="B1343" s="51" t="str">
        <f>IFERROR(__xludf.DUMMYFUNCTION("IFERROR(GOOGLEFINANCE(A1343,""NAME""),)"),"Steel Exchange India Ltd")</f>
        <v>Steel Exchange India Ltd</v>
      </c>
      <c r="C1343" s="51">
        <f>IFERROR(__xludf.DUMMYFUNCTION("IFERROR(GOOGLEFINANCE(A1343,""CHANGE""),)"),-0.01)</f>
        <v>-0.01</v>
      </c>
      <c r="D1343" s="51">
        <f>IFERROR(__xludf.DUMMYFUNCTION("IFERROR(GOOGLEFINANCE(A1343,""CHANGEPCT""),)"),-0.09)</f>
        <v>-0.09</v>
      </c>
      <c r="E1343" s="51" t="str">
        <f t="shared" si="1"/>
        <v>-0.09%</v>
      </c>
      <c r="F1343" s="51" t="str">
        <f t="shared" si="2"/>
        <v/>
      </c>
      <c r="G1343" s="51">
        <f t="shared" si="3"/>
        <v>-0.09</v>
      </c>
      <c r="H1343" s="51">
        <f>IFERROR(__xludf.DUMMYFUNCTION("IFERROR(GOOGLEFINANCE(A1343,""PRICE""),)"),11.3)</f>
        <v>11.3</v>
      </c>
      <c r="I1343" s="52">
        <f>IFERROR(__xludf.DUMMYFUNCTION("IFERROR(GOOGLEFINANCE(A1343,""VOLUME""),)"),3888782.0)</f>
        <v>3888782</v>
      </c>
      <c r="J1343" s="51" t="str">
        <f>IFERROR(__xludf.DUMMYFUNCTION("IFERROR(INDEX(SPLIT(A1343,"":""),1,2),)"),"STEELXIND")</f>
        <v>STEELXIND</v>
      </c>
      <c r="K1343" s="51" t="str">
        <f t="shared" si="4"/>
        <v/>
      </c>
      <c r="L1343" s="51">
        <f t="shared" si="5"/>
        <v>33</v>
      </c>
      <c r="M1343" s="51">
        <f t="shared" si="6"/>
        <v>103</v>
      </c>
      <c r="N1343" s="53">
        <f>IFERROR(__xludf.DUMMYFUNCTION("IFERROR(GOOGLEFINANCE(A1343,""TRADETIME""),)"),46269.64583333333)</f>
        <v>46269.64583</v>
      </c>
      <c r="O1343" s="44"/>
      <c r="P1343" s="44"/>
      <c r="Q1343" s="44"/>
      <c r="R1343" s="44"/>
      <c r="S1343" s="44"/>
      <c r="T1343" s="44"/>
      <c r="U1343" s="44"/>
      <c r="V1343" s="44"/>
      <c r="W1343" s="44"/>
      <c r="X1343" s="44"/>
      <c r="Y1343" s="44"/>
      <c r="Z1343" s="44"/>
    </row>
    <row r="1344" ht="15.75" customHeight="1">
      <c r="A1344" s="48" t="s">
        <v>1390</v>
      </c>
      <c r="B1344" s="48" t="str">
        <f>IFERROR(__xludf.DUMMYFUNCTION("IFERROR(GOOGLEFINANCE(A1344,""NAME""),)"),"STEL Holdings Ltd")</f>
        <v>STEL Holdings Ltd</v>
      </c>
      <c r="C1344" s="48">
        <f>IFERROR(__xludf.DUMMYFUNCTION("IFERROR(GOOGLEFINANCE(A1344,""CHANGE""),)"),6.75)</f>
        <v>6.75</v>
      </c>
      <c r="D1344" s="48">
        <f>IFERROR(__xludf.DUMMYFUNCTION("IFERROR(GOOGLEFINANCE(A1344,""CHANGEPCT""),)"),1.11)</f>
        <v>1.11</v>
      </c>
      <c r="E1344" s="48" t="str">
        <f t="shared" si="1"/>
        <v>1.11%</v>
      </c>
      <c r="F1344" s="48">
        <f t="shared" si="2"/>
        <v>1.11</v>
      </c>
      <c r="G1344" s="48" t="str">
        <f t="shared" si="3"/>
        <v/>
      </c>
      <c r="H1344" s="48">
        <f>IFERROR(__xludf.DUMMYFUNCTION("IFERROR(GOOGLEFINANCE(A1344,""PRICE""),)"),613.7)</f>
        <v>613.7</v>
      </c>
      <c r="I1344" s="49">
        <f>IFERROR(__xludf.DUMMYFUNCTION("IFERROR(GOOGLEFINANCE(A1344,""VOLUME""),)"),3953.0)</f>
        <v>3953</v>
      </c>
      <c r="J1344" s="48" t="str">
        <f>IFERROR(__xludf.DUMMYFUNCTION("IFERROR(INDEX(SPLIT(A1344,"":""),1,2),)"),"STEL")</f>
        <v>STEL</v>
      </c>
      <c r="K1344" s="48">
        <f t="shared" si="4"/>
        <v>433</v>
      </c>
      <c r="L1344" s="48" t="str">
        <f t="shared" si="5"/>
        <v/>
      </c>
      <c r="M1344" s="48">
        <f t="shared" si="6"/>
        <v>1350</v>
      </c>
      <c r="N1344" s="50">
        <f>IFERROR(__xludf.DUMMYFUNCTION("IFERROR(GOOGLEFINANCE(A1344,""TRADETIME""),)"),46269.64583333333)</f>
        <v>46269.64583</v>
      </c>
      <c r="O1344" s="44"/>
      <c r="P1344" s="44"/>
      <c r="Q1344" s="44"/>
      <c r="R1344" s="44"/>
      <c r="S1344" s="44"/>
      <c r="T1344" s="44"/>
      <c r="U1344" s="44"/>
      <c r="V1344" s="44"/>
      <c r="W1344" s="44"/>
      <c r="X1344" s="44"/>
      <c r="Y1344" s="44"/>
      <c r="Z1344" s="44"/>
    </row>
    <row r="1345" ht="15.75" customHeight="1">
      <c r="A1345" s="51" t="s">
        <v>1391</v>
      </c>
      <c r="B1345" s="51" t="str">
        <f>IFERROR(__xludf.DUMMYFUNCTION("IFERROR(GOOGLEFINANCE(A1345,""NAME""),)"),"Sterling Tools Ltd")</f>
        <v>Sterling Tools Ltd</v>
      </c>
      <c r="C1345" s="51">
        <f>IFERROR(__xludf.DUMMYFUNCTION("IFERROR(GOOGLEFINANCE(A1345,""CHANGE""),)"),0.47)</f>
        <v>0.47</v>
      </c>
      <c r="D1345" s="51">
        <f>IFERROR(__xludf.DUMMYFUNCTION("IFERROR(GOOGLEFINANCE(A1345,""CHANGEPCT""),)"),0.21)</f>
        <v>0.21</v>
      </c>
      <c r="E1345" s="51" t="str">
        <f t="shared" si="1"/>
        <v>0.21%</v>
      </c>
      <c r="F1345" s="51">
        <f t="shared" si="2"/>
        <v>0.21</v>
      </c>
      <c r="G1345" s="51" t="str">
        <f t="shared" si="3"/>
        <v/>
      </c>
      <c r="H1345" s="51">
        <f>IFERROR(__xludf.DUMMYFUNCTION("IFERROR(GOOGLEFINANCE(A1345,""PRICE""),)"),221.25)</f>
        <v>221.25</v>
      </c>
      <c r="I1345" s="52">
        <f>IFERROR(__xludf.DUMMYFUNCTION("IFERROR(GOOGLEFINANCE(A1345,""VOLUME""),)"),14338.0)</f>
        <v>14338</v>
      </c>
      <c r="J1345" s="51" t="str">
        <f>IFERROR(__xludf.DUMMYFUNCTION("IFERROR(INDEX(SPLIT(A1345,"":""),1,2),)"),"STERTOOLS")</f>
        <v>STERTOOLS</v>
      </c>
      <c r="K1345" s="51">
        <f t="shared" si="4"/>
        <v>692</v>
      </c>
      <c r="L1345" s="51" t="str">
        <f t="shared" si="5"/>
        <v/>
      </c>
      <c r="M1345" s="51">
        <f t="shared" si="6"/>
        <v>1186</v>
      </c>
      <c r="N1345" s="53">
        <f>IFERROR(__xludf.DUMMYFUNCTION("IFERROR(GOOGLEFINANCE(A1345,""TRADETIME""),)"),46269.64583333333)</f>
        <v>46269.64583</v>
      </c>
      <c r="O1345" s="44"/>
      <c r="P1345" s="44"/>
      <c r="Q1345" s="44"/>
      <c r="R1345" s="44"/>
      <c r="S1345" s="44"/>
      <c r="T1345" s="44"/>
      <c r="U1345" s="44"/>
      <c r="V1345" s="44"/>
      <c r="W1345" s="44"/>
      <c r="X1345" s="44"/>
      <c r="Y1345" s="44"/>
      <c r="Z1345" s="44"/>
    </row>
    <row r="1346" ht="15.75" customHeight="1">
      <c r="A1346" s="48" t="s">
        <v>1392</v>
      </c>
      <c r="B1346" s="48" t="str">
        <f>IFERROR(__xludf.DUMMYFUNCTION("IFERROR(GOOGLEFINANCE(A1346,""NAME""),)"),"Sterlite Technologies Ltd")</f>
        <v>Sterlite Technologies Ltd</v>
      </c>
      <c r="C1346" s="48">
        <f>IFERROR(__xludf.DUMMYFUNCTION("IFERROR(GOOGLEFINANCE(A1346,""CHANGE""),)"),35.65)</f>
        <v>35.65</v>
      </c>
      <c r="D1346" s="48">
        <f>IFERROR(__xludf.DUMMYFUNCTION("IFERROR(GOOGLEFINANCE(A1346,""CHANGEPCT""),)"),5.0)</f>
        <v>5</v>
      </c>
      <c r="E1346" s="48" t="str">
        <f t="shared" si="1"/>
        <v>5%</v>
      </c>
      <c r="F1346" s="48">
        <f t="shared" si="2"/>
        <v>5</v>
      </c>
      <c r="G1346" s="48" t="str">
        <f t="shared" si="3"/>
        <v/>
      </c>
      <c r="H1346" s="48">
        <f>IFERROR(__xludf.DUMMYFUNCTION("IFERROR(GOOGLEFINANCE(A1346,""PRICE""),)"),748.9)</f>
        <v>748.9</v>
      </c>
      <c r="I1346" s="49">
        <f>IFERROR(__xludf.DUMMYFUNCTION("IFERROR(GOOGLEFINANCE(A1346,""VOLUME""),)"),295544.0)</f>
        <v>295544</v>
      </c>
      <c r="J1346" s="48" t="str">
        <f>IFERROR(__xludf.DUMMYFUNCTION("IFERROR(INDEX(SPLIT(A1346,"":""),1,2),)"),"STLTECH")</f>
        <v>STLTECH</v>
      </c>
      <c r="K1346" s="48">
        <f t="shared" si="4"/>
        <v>61</v>
      </c>
      <c r="L1346" s="48" t="str">
        <f t="shared" si="5"/>
        <v/>
      </c>
      <c r="M1346" s="48">
        <f t="shared" si="6"/>
        <v>522</v>
      </c>
      <c r="N1346" s="50">
        <f>IFERROR(__xludf.DUMMYFUNCTION("IFERROR(GOOGLEFINANCE(A1346,""TRADETIME""),)"),46269.64584490741)</f>
        <v>46269.64584</v>
      </c>
      <c r="O1346" s="44"/>
      <c r="P1346" s="44"/>
      <c r="Q1346" s="44"/>
      <c r="R1346" s="44"/>
      <c r="S1346" s="44"/>
      <c r="T1346" s="44"/>
      <c r="U1346" s="44"/>
      <c r="V1346" s="44"/>
      <c r="W1346" s="44"/>
      <c r="X1346" s="44"/>
      <c r="Y1346" s="44"/>
      <c r="Z1346" s="44"/>
    </row>
    <row r="1347" ht="15.75" customHeight="1">
      <c r="A1347" s="51" t="s">
        <v>1393</v>
      </c>
      <c r="B1347" s="51" t="str">
        <f>IFERROR(__xludf.DUMMYFUNCTION("IFERROR(GOOGLEFINANCE(A1347,""NAME""),)"),"Subex Ltd")</f>
        <v>Subex Ltd</v>
      </c>
      <c r="C1347" s="51">
        <f>IFERROR(__xludf.DUMMYFUNCTION("IFERROR(GOOGLEFINANCE(A1347,""CHANGE""),)"),-0.41)</f>
        <v>-0.41</v>
      </c>
      <c r="D1347" s="51">
        <f>IFERROR(__xludf.DUMMYFUNCTION("IFERROR(GOOGLEFINANCE(A1347,""CHANGEPCT""),)"),-2.32)</f>
        <v>-2.32</v>
      </c>
      <c r="E1347" s="51" t="str">
        <f t="shared" si="1"/>
        <v>-2.32%</v>
      </c>
      <c r="F1347" s="51" t="str">
        <f t="shared" si="2"/>
        <v/>
      </c>
      <c r="G1347" s="51">
        <f t="shared" si="3"/>
        <v>-2.32</v>
      </c>
      <c r="H1347" s="51">
        <f>IFERROR(__xludf.DUMMYFUNCTION("IFERROR(GOOGLEFINANCE(A1347,""PRICE""),)"),17.28)</f>
        <v>17.28</v>
      </c>
      <c r="I1347" s="52">
        <f>IFERROR(__xludf.DUMMYFUNCTION("IFERROR(GOOGLEFINANCE(A1347,""VOLUME""),)"),1970415.0)</f>
        <v>1970415</v>
      </c>
      <c r="J1347" s="51" t="str">
        <f>IFERROR(__xludf.DUMMYFUNCTION("IFERROR(INDEX(SPLIT(A1347,"":""),1,2),)"),"SUBEXLTD")</f>
        <v>SUBEXLTD</v>
      </c>
      <c r="K1347" s="51" t="str">
        <f t="shared" si="4"/>
        <v/>
      </c>
      <c r="L1347" s="51">
        <f t="shared" si="5"/>
        <v>561</v>
      </c>
      <c r="M1347" s="51">
        <f t="shared" si="6"/>
        <v>173</v>
      </c>
      <c r="N1347" s="53">
        <f>IFERROR(__xludf.DUMMYFUNCTION("IFERROR(GOOGLEFINANCE(A1347,""TRADETIME""),)"),46269.64585648148)</f>
        <v>46269.64586</v>
      </c>
      <c r="O1347" s="44"/>
      <c r="P1347" s="44"/>
      <c r="Q1347" s="44"/>
      <c r="R1347" s="44"/>
      <c r="S1347" s="44"/>
      <c r="T1347" s="44"/>
      <c r="U1347" s="44"/>
      <c r="V1347" s="44"/>
      <c r="W1347" s="44"/>
      <c r="X1347" s="44"/>
      <c r="Y1347" s="44"/>
      <c r="Z1347" s="44"/>
    </row>
    <row r="1348" ht="15.75" customHeight="1">
      <c r="A1348" s="48" t="s">
        <v>1394</v>
      </c>
      <c r="B1348" s="48" t="str">
        <f>IFERROR(__xludf.DUMMYFUNCTION("IFERROR(GOOGLEFINANCE(A1348,""NAME""),)"),"Subros Ltd")</f>
        <v>Subros Ltd</v>
      </c>
      <c r="C1348" s="48">
        <f>IFERROR(__xludf.DUMMYFUNCTION("IFERROR(GOOGLEFINANCE(A1348,""CHANGE""),)"),4.6)</f>
        <v>4.6</v>
      </c>
      <c r="D1348" s="48">
        <f>IFERROR(__xludf.DUMMYFUNCTION("IFERROR(GOOGLEFINANCE(A1348,""CHANGEPCT""),)"),0.65)</f>
        <v>0.65</v>
      </c>
      <c r="E1348" s="48" t="str">
        <f t="shared" si="1"/>
        <v>0.65%</v>
      </c>
      <c r="F1348" s="48">
        <f t="shared" si="2"/>
        <v>0.65</v>
      </c>
      <c r="G1348" s="48" t="str">
        <f t="shared" si="3"/>
        <v/>
      </c>
      <c r="H1348" s="48">
        <f>IFERROR(__xludf.DUMMYFUNCTION("IFERROR(GOOGLEFINANCE(A1348,""PRICE""),)"),710.45)</f>
        <v>710.45</v>
      </c>
      <c r="I1348" s="49">
        <f>IFERROR(__xludf.DUMMYFUNCTION("IFERROR(GOOGLEFINANCE(A1348,""VOLUME""),)"),26816.0)</f>
        <v>26816</v>
      </c>
      <c r="J1348" s="48" t="str">
        <f>IFERROR(__xludf.DUMMYFUNCTION("IFERROR(INDEX(SPLIT(A1348,"":""),1,2),)"),"SUBROS")</f>
        <v>SUBROS</v>
      </c>
      <c r="K1348" s="48">
        <f t="shared" si="4"/>
        <v>544</v>
      </c>
      <c r="L1348" s="48" t="str">
        <f t="shared" si="5"/>
        <v/>
      </c>
      <c r="M1348" s="48">
        <f t="shared" si="6"/>
        <v>1074</v>
      </c>
      <c r="N1348" s="50">
        <f>IFERROR(__xludf.DUMMYFUNCTION("IFERROR(GOOGLEFINANCE(A1348,""TRADETIME""),)"),46269.64583333333)</f>
        <v>46269.64583</v>
      </c>
      <c r="O1348" s="44"/>
      <c r="P1348" s="44"/>
      <c r="Q1348" s="44"/>
      <c r="R1348" s="44"/>
      <c r="S1348" s="44"/>
      <c r="T1348" s="44"/>
      <c r="U1348" s="44"/>
      <c r="V1348" s="44"/>
      <c r="W1348" s="44"/>
      <c r="X1348" s="44"/>
      <c r="Y1348" s="44"/>
      <c r="Z1348" s="44"/>
    </row>
    <row r="1349" ht="15.75" customHeight="1">
      <c r="A1349" s="51" t="s">
        <v>1395</v>
      </c>
      <c r="B1349" s="51" t="str">
        <f>IFERROR(__xludf.DUMMYFUNCTION("IFERROR(GOOGLEFINANCE(A1349,""NAME""),)"),"Sudarshan Chemical Industries Ltd")</f>
        <v>Sudarshan Chemical Industries Ltd</v>
      </c>
      <c r="C1349" s="51">
        <f>IFERROR(__xludf.DUMMYFUNCTION("IFERROR(GOOGLEFINANCE(A1349,""CHANGE""),)"),-26.8)</f>
        <v>-26.8</v>
      </c>
      <c r="D1349" s="51">
        <f>IFERROR(__xludf.DUMMYFUNCTION("IFERROR(GOOGLEFINANCE(A1349,""CHANGEPCT""),)"),-2.15)</f>
        <v>-2.15</v>
      </c>
      <c r="E1349" s="51" t="str">
        <f t="shared" si="1"/>
        <v>-2.15%</v>
      </c>
      <c r="F1349" s="51" t="str">
        <f t="shared" si="2"/>
        <v/>
      </c>
      <c r="G1349" s="51">
        <f t="shared" si="3"/>
        <v>-2.15</v>
      </c>
      <c r="H1349" s="51">
        <f>IFERROR(__xludf.DUMMYFUNCTION("IFERROR(GOOGLEFINANCE(A1349,""PRICE""),)"),1222.5)</f>
        <v>1222.5</v>
      </c>
      <c r="I1349" s="52">
        <f>IFERROR(__xludf.DUMMYFUNCTION("IFERROR(GOOGLEFINANCE(A1349,""VOLUME""),)"),186180.0)</f>
        <v>186180</v>
      </c>
      <c r="J1349" s="51" t="str">
        <f>IFERROR(__xludf.DUMMYFUNCTION("IFERROR(INDEX(SPLIT(A1349,"":""),1,2),)"),"SUDARSCHEM")</f>
        <v>SUDARSCHEM</v>
      </c>
      <c r="K1349" s="51" t="str">
        <f t="shared" si="4"/>
        <v/>
      </c>
      <c r="L1349" s="51">
        <f t="shared" si="5"/>
        <v>545</v>
      </c>
      <c r="M1349" s="51">
        <f t="shared" si="6"/>
        <v>645</v>
      </c>
      <c r="N1349" s="53">
        <f>IFERROR(__xludf.DUMMYFUNCTION("IFERROR(GOOGLEFINANCE(A1349,""TRADETIME""),)"),46269.64583333333)</f>
        <v>46269.64583</v>
      </c>
      <c r="O1349" s="44"/>
      <c r="P1349" s="44"/>
      <c r="Q1349" s="44"/>
      <c r="R1349" s="44"/>
      <c r="S1349" s="44"/>
      <c r="T1349" s="44"/>
      <c r="U1349" s="44"/>
      <c r="V1349" s="44"/>
      <c r="W1349" s="44"/>
      <c r="X1349" s="44"/>
      <c r="Y1349" s="44"/>
      <c r="Z1349" s="44"/>
    </row>
    <row r="1350" ht="15.75" customHeight="1">
      <c r="A1350" s="48" t="s">
        <v>1396</v>
      </c>
      <c r="B1350" s="48" t="str">
        <f>IFERROR(__xludf.DUMMYFUNCTION("IFERROR(GOOGLEFINANCE(A1350,""NAME""),)"),"Sumitomo Chemical India Ltd")</f>
        <v>Sumitomo Chemical India Ltd</v>
      </c>
      <c r="C1350" s="48">
        <f>IFERROR(__xludf.DUMMYFUNCTION("IFERROR(GOOGLEFINANCE(A1350,""CHANGE""),)"),-1.85)</f>
        <v>-1.85</v>
      </c>
      <c r="D1350" s="48">
        <f>IFERROR(__xludf.DUMMYFUNCTION("IFERROR(GOOGLEFINANCE(A1350,""CHANGEPCT""),)"),-0.37)</f>
        <v>-0.37</v>
      </c>
      <c r="E1350" s="48" t="str">
        <f t="shared" si="1"/>
        <v>-0.37%</v>
      </c>
      <c r="F1350" s="48" t="str">
        <f t="shared" si="2"/>
        <v/>
      </c>
      <c r="G1350" s="48">
        <f t="shared" si="3"/>
        <v>-0.37</v>
      </c>
      <c r="H1350" s="48">
        <f>IFERROR(__xludf.DUMMYFUNCTION("IFERROR(GOOGLEFINANCE(A1350,""PRICE""),)"),496.5)</f>
        <v>496.5</v>
      </c>
      <c r="I1350" s="49">
        <f>IFERROR(__xludf.DUMMYFUNCTION("IFERROR(GOOGLEFINANCE(A1350,""VOLUME""),)"),142729.0)</f>
        <v>142729</v>
      </c>
      <c r="J1350" s="48" t="str">
        <f>IFERROR(__xludf.DUMMYFUNCTION("IFERROR(INDEX(SPLIT(A1350,"":""),1,2),)"),"SUMICHEM")</f>
        <v>SUMICHEM</v>
      </c>
      <c r="K1350" s="48" t="str">
        <f t="shared" si="4"/>
        <v/>
      </c>
      <c r="L1350" s="48">
        <f t="shared" si="5"/>
        <v>145</v>
      </c>
      <c r="M1350" s="48">
        <f t="shared" si="6"/>
        <v>700</v>
      </c>
      <c r="N1350" s="50">
        <f>IFERROR(__xludf.DUMMYFUNCTION("IFERROR(GOOGLEFINANCE(A1350,""TRADETIME""),)"),46269.64584490741)</f>
        <v>46269.64584</v>
      </c>
      <c r="O1350" s="44"/>
      <c r="P1350" s="44"/>
      <c r="Q1350" s="44"/>
      <c r="R1350" s="44"/>
      <c r="S1350" s="44"/>
      <c r="T1350" s="44"/>
      <c r="U1350" s="44"/>
      <c r="V1350" s="44"/>
      <c r="W1350" s="44"/>
      <c r="X1350" s="44"/>
      <c r="Y1350" s="44"/>
      <c r="Z1350" s="44"/>
    </row>
    <row r="1351" ht="15.75" customHeight="1">
      <c r="A1351" s="51" t="s">
        <v>1397</v>
      </c>
      <c r="B1351" s="51" t="str">
        <f>IFERROR(__xludf.DUMMYFUNCTION("IFERROR(GOOGLEFINANCE(A1351,""NAME""),)"),"Sumit Woods Ltd")</f>
        <v>Sumit Woods Ltd</v>
      </c>
      <c r="C1351" s="51">
        <f>IFERROR(__xludf.DUMMYFUNCTION("IFERROR(GOOGLEFINANCE(A1351,""CHANGE""),)"),0.16)</f>
        <v>0.16</v>
      </c>
      <c r="D1351" s="51">
        <f>IFERROR(__xludf.DUMMYFUNCTION("IFERROR(GOOGLEFINANCE(A1351,""CHANGEPCT""),)"),0.31)</f>
        <v>0.31</v>
      </c>
      <c r="E1351" s="51" t="str">
        <f t="shared" si="1"/>
        <v>0.31%</v>
      </c>
      <c r="F1351" s="51">
        <f t="shared" si="2"/>
        <v>0.31</v>
      </c>
      <c r="G1351" s="51" t="str">
        <f t="shared" si="3"/>
        <v/>
      </c>
      <c r="H1351" s="51">
        <f>IFERROR(__xludf.DUMMYFUNCTION("IFERROR(GOOGLEFINANCE(A1351,""PRICE""),)"),51.73)</f>
        <v>51.73</v>
      </c>
      <c r="I1351" s="52">
        <f>IFERROR(__xludf.DUMMYFUNCTION("IFERROR(GOOGLEFINANCE(A1351,""VOLUME""),)"),9572.0)</f>
        <v>9572</v>
      </c>
      <c r="J1351" s="51" t="str">
        <f>IFERROR(__xludf.DUMMYFUNCTION("IFERROR(INDEX(SPLIT(A1351,"":""),1,2),)"),"SUMIT")</f>
        <v>SUMIT</v>
      </c>
      <c r="K1351" s="51">
        <f t="shared" si="4"/>
        <v>660</v>
      </c>
      <c r="L1351" s="51" t="str">
        <f t="shared" si="5"/>
        <v/>
      </c>
      <c r="M1351" s="51">
        <f t="shared" si="6"/>
        <v>1238</v>
      </c>
      <c r="N1351" s="53">
        <f>IFERROR(__xludf.DUMMYFUNCTION("IFERROR(GOOGLEFINANCE(A1351,""TRADETIME""),)"),46269.64583333333)</f>
        <v>46269.64583</v>
      </c>
      <c r="O1351" s="44"/>
      <c r="P1351" s="44"/>
      <c r="Q1351" s="44"/>
      <c r="R1351" s="44"/>
      <c r="S1351" s="44"/>
      <c r="T1351" s="44"/>
      <c r="U1351" s="44"/>
      <c r="V1351" s="44"/>
      <c r="W1351" s="44"/>
      <c r="X1351" s="44"/>
      <c r="Y1351" s="44"/>
      <c r="Z1351" s="44"/>
    </row>
    <row r="1352" ht="15.75" customHeight="1">
      <c r="A1352" s="48" t="s">
        <v>1398</v>
      </c>
      <c r="B1352" s="48" t="str">
        <f>IFERROR(__xludf.DUMMYFUNCTION("IFERROR(GOOGLEFINANCE(A1352,""NAME""),)"),"Summit Securities Ltd")</f>
        <v>Summit Securities Ltd</v>
      </c>
      <c r="C1352" s="48">
        <f>IFERROR(__xludf.DUMMYFUNCTION("IFERROR(GOOGLEFINANCE(A1352,""CHANGE""),)"),-9.0)</f>
        <v>-9</v>
      </c>
      <c r="D1352" s="48">
        <f>IFERROR(__xludf.DUMMYFUNCTION("IFERROR(GOOGLEFINANCE(A1352,""CHANGEPCT""),)"),-0.62)</f>
        <v>-0.62</v>
      </c>
      <c r="E1352" s="48" t="str">
        <f t="shared" si="1"/>
        <v>-0.62%</v>
      </c>
      <c r="F1352" s="48" t="str">
        <f t="shared" si="2"/>
        <v/>
      </c>
      <c r="G1352" s="48">
        <f t="shared" si="3"/>
        <v>-0.62</v>
      </c>
      <c r="H1352" s="48">
        <f>IFERROR(__xludf.DUMMYFUNCTION("IFERROR(GOOGLEFINANCE(A1352,""PRICE""),)"),1433.3)</f>
        <v>1433.3</v>
      </c>
      <c r="I1352" s="49">
        <f>IFERROR(__xludf.DUMMYFUNCTION("IFERROR(GOOGLEFINANCE(A1352,""VOLUME""),)"),1566.0)</f>
        <v>1566</v>
      </c>
      <c r="J1352" s="48" t="str">
        <f>IFERROR(__xludf.DUMMYFUNCTION("IFERROR(INDEX(SPLIT(A1352,"":""),1,2),)"),"SUMMITSEC")</f>
        <v>SUMMITSEC</v>
      </c>
      <c r="K1352" s="48" t="str">
        <f t="shared" si="4"/>
        <v/>
      </c>
      <c r="L1352" s="48">
        <f t="shared" si="5"/>
        <v>231</v>
      </c>
      <c r="M1352" s="48">
        <f t="shared" si="6"/>
        <v>1403</v>
      </c>
      <c r="N1352" s="50">
        <f>IFERROR(__xludf.DUMMYFUNCTION("IFERROR(GOOGLEFINANCE(A1352,""TRADETIME""),)"),46269.64583333333)</f>
        <v>46269.64583</v>
      </c>
      <c r="O1352" s="44"/>
      <c r="P1352" s="44"/>
      <c r="Q1352" s="44"/>
      <c r="R1352" s="44"/>
      <c r="S1352" s="44"/>
      <c r="T1352" s="44"/>
      <c r="U1352" s="44"/>
      <c r="V1352" s="44"/>
      <c r="W1352" s="44"/>
      <c r="X1352" s="44"/>
      <c r="Y1352" s="44"/>
      <c r="Z1352" s="44"/>
    </row>
    <row r="1353" ht="15.75" customHeight="1">
      <c r="A1353" s="51" t="s">
        <v>1399</v>
      </c>
      <c r="B1353" s="51" t="str">
        <f>IFERROR(__xludf.DUMMYFUNCTION("IFERROR(GOOGLEFINANCE(A1353,""NAME""),)"),"")</f>
        <v/>
      </c>
      <c r="C1353" s="51" t="str">
        <f>IFERROR(__xludf.DUMMYFUNCTION("IFERROR(GOOGLEFINANCE(A1353,""CHANGE""),)"),"")</f>
        <v/>
      </c>
      <c r="D1353" s="51" t="str">
        <f>IFERROR(__xludf.DUMMYFUNCTION("IFERROR(GOOGLEFINANCE(A1353,""CHANGEPCT""),)"),"")</f>
        <v/>
      </c>
      <c r="E1353" s="51" t="str">
        <f t="shared" si="1"/>
        <v>%</v>
      </c>
      <c r="F1353" s="51" t="str">
        <f t="shared" si="2"/>
        <v/>
      </c>
      <c r="G1353" s="51" t="str">
        <f t="shared" si="3"/>
        <v/>
      </c>
      <c r="H1353" s="51" t="str">
        <f>IFERROR(__xludf.DUMMYFUNCTION("IFERROR(GOOGLEFINANCE(A1353,""PRICE""),)"),"")</f>
        <v/>
      </c>
      <c r="I1353" s="52" t="str">
        <f>IFERROR(__xludf.DUMMYFUNCTION("IFERROR(GOOGLEFINANCE(A1353,""VOLUME""),)"),"")</f>
        <v/>
      </c>
      <c r="J1353" s="51" t="str">
        <f>IFERROR(__xludf.DUMMYFUNCTION("IFERROR(INDEX(SPLIT(A1353,"":""),1,2),)"),"SUNCLAYLTD")</f>
        <v>SUNCLAYLTD</v>
      </c>
      <c r="K1353" s="51" t="str">
        <f t="shared" si="4"/>
        <v/>
      </c>
      <c r="L1353" s="51" t="str">
        <f t="shared" si="5"/>
        <v/>
      </c>
      <c r="M1353" s="51">
        <f t="shared" si="6"/>
        <v>1456</v>
      </c>
      <c r="N1353" s="53" t="str">
        <f>IFERROR(__xludf.DUMMYFUNCTION("IFERROR(GOOGLEFINANCE(A1353,""TRADETIME""),)"),"")</f>
        <v/>
      </c>
      <c r="O1353" s="44"/>
      <c r="P1353" s="44"/>
      <c r="Q1353" s="44"/>
      <c r="R1353" s="44"/>
      <c r="S1353" s="44"/>
      <c r="T1353" s="44"/>
      <c r="U1353" s="44"/>
      <c r="V1353" s="44"/>
      <c r="W1353" s="44"/>
      <c r="X1353" s="44"/>
      <c r="Y1353" s="44"/>
      <c r="Z1353" s="44"/>
    </row>
    <row r="1354" ht="15.75" customHeight="1">
      <c r="A1354" s="48" t="s">
        <v>1400</v>
      </c>
      <c r="B1354" s="48" t="str">
        <f>IFERROR(__xludf.DUMMYFUNCTION("IFERROR(GOOGLEFINANCE(A1354,""NAME""),)"),"Sundaram Multi Pap Ltd")</f>
        <v>Sundaram Multi Pap Ltd</v>
      </c>
      <c r="C1354" s="48">
        <f>IFERROR(__xludf.DUMMYFUNCTION("IFERROR(GOOGLEFINANCE(A1354,""CHANGE""),)"),0.0)</f>
        <v>0</v>
      </c>
      <c r="D1354" s="48">
        <f>IFERROR(__xludf.DUMMYFUNCTION("IFERROR(GOOGLEFINANCE(A1354,""CHANGEPCT""),)"),0.0)</f>
        <v>0</v>
      </c>
      <c r="E1354" s="48" t="str">
        <f t="shared" si="1"/>
        <v>0%</v>
      </c>
      <c r="F1354" s="48" t="str">
        <f t="shared" si="2"/>
        <v/>
      </c>
      <c r="G1354" s="48" t="str">
        <f t="shared" si="3"/>
        <v/>
      </c>
      <c r="H1354" s="48">
        <f>IFERROR(__xludf.DUMMYFUNCTION("IFERROR(GOOGLEFINANCE(A1354,""PRICE""),)"),1.23)</f>
        <v>1.23</v>
      </c>
      <c r="I1354" s="49">
        <f>IFERROR(__xludf.DUMMYFUNCTION("IFERROR(GOOGLEFINANCE(A1354,""VOLUME""),)"),323987.0)</f>
        <v>323987</v>
      </c>
      <c r="J1354" s="48" t="str">
        <f>IFERROR(__xludf.DUMMYFUNCTION("IFERROR(INDEX(SPLIT(A1354,"":""),1,2),)"),"SUNDARAM")</f>
        <v>SUNDARAM</v>
      </c>
      <c r="K1354" s="48" t="str">
        <f t="shared" si="4"/>
        <v/>
      </c>
      <c r="L1354" s="48" t="str">
        <f t="shared" si="5"/>
        <v/>
      </c>
      <c r="M1354" s="48">
        <f t="shared" si="6"/>
        <v>491</v>
      </c>
      <c r="N1354" s="50">
        <f>IFERROR(__xludf.DUMMYFUNCTION("IFERROR(GOOGLEFINANCE(A1354,""TRADETIME""),)"),46269.64583333333)</f>
        <v>46269.64583</v>
      </c>
      <c r="O1354" s="44"/>
      <c r="P1354" s="44"/>
      <c r="Q1354" s="44"/>
      <c r="R1354" s="44"/>
      <c r="S1354" s="44"/>
      <c r="T1354" s="44"/>
      <c r="U1354" s="44"/>
      <c r="V1354" s="44"/>
      <c r="W1354" s="44"/>
      <c r="X1354" s="44"/>
      <c r="Y1354" s="44"/>
      <c r="Z1354" s="44"/>
    </row>
    <row r="1355" ht="15.75" customHeight="1">
      <c r="A1355" s="51" t="s">
        <v>1401</v>
      </c>
      <c r="B1355" s="51" t="str">
        <f>IFERROR(__xludf.DUMMYFUNCTION("IFERROR(GOOGLEFINANCE(A1355,""NAME""),)"),"Sundaram Finance Ltd")</f>
        <v>Sundaram Finance Ltd</v>
      </c>
      <c r="C1355" s="51">
        <f>IFERROR(__xludf.DUMMYFUNCTION("IFERROR(GOOGLEFINANCE(A1355,""CHANGE""),)"),76.9)</f>
        <v>76.9</v>
      </c>
      <c r="D1355" s="51">
        <f>IFERROR(__xludf.DUMMYFUNCTION("IFERROR(GOOGLEFINANCE(A1355,""CHANGEPCT""),)"),1.68)</f>
        <v>1.68</v>
      </c>
      <c r="E1355" s="51" t="str">
        <f t="shared" si="1"/>
        <v>1.68%</v>
      </c>
      <c r="F1355" s="51">
        <f t="shared" si="2"/>
        <v>1.68</v>
      </c>
      <c r="G1355" s="51" t="str">
        <f t="shared" si="3"/>
        <v/>
      </c>
      <c r="H1355" s="51">
        <f>IFERROR(__xludf.DUMMYFUNCTION("IFERROR(GOOGLEFINANCE(A1355,""PRICE""),)"),4654.9)</f>
        <v>4654.9</v>
      </c>
      <c r="I1355" s="52">
        <f>IFERROR(__xludf.DUMMYFUNCTION("IFERROR(GOOGLEFINANCE(A1355,""VOLUME""),)"),19600.0)</f>
        <v>19600</v>
      </c>
      <c r="J1355" s="51" t="str">
        <f>IFERROR(__xludf.DUMMYFUNCTION("IFERROR(INDEX(SPLIT(A1355,"":""),1,2),)"),"SUNDARMFIN")</f>
        <v>SUNDARMFIN</v>
      </c>
      <c r="K1355" s="51">
        <f t="shared" si="4"/>
        <v>314</v>
      </c>
      <c r="L1355" s="51" t="str">
        <f t="shared" si="5"/>
        <v/>
      </c>
      <c r="M1355" s="51">
        <f t="shared" si="6"/>
        <v>1126</v>
      </c>
      <c r="N1355" s="53">
        <f>IFERROR(__xludf.DUMMYFUNCTION("IFERROR(GOOGLEFINANCE(A1355,""TRADETIME""),)"),46269.64583333333)</f>
        <v>46269.64583</v>
      </c>
      <c r="O1355" s="44"/>
      <c r="P1355" s="44"/>
      <c r="Q1355" s="44"/>
      <c r="R1355" s="44"/>
      <c r="S1355" s="44"/>
      <c r="T1355" s="44"/>
      <c r="U1355" s="44"/>
      <c r="V1355" s="44"/>
      <c r="W1355" s="44"/>
      <c r="X1355" s="44"/>
      <c r="Y1355" s="44"/>
      <c r="Z1355" s="44"/>
    </row>
    <row r="1356" ht="15.75" customHeight="1">
      <c r="A1356" s="48" t="s">
        <v>1402</v>
      </c>
      <c r="B1356" s="48" t="str">
        <f>IFERROR(__xludf.DUMMYFUNCTION("IFERROR(GOOGLEFINANCE(A1356,""NAME""),)"),"")</f>
        <v/>
      </c>
      <c r="C1356" s="48" t="str">
        <f>IFERROR(__xludf.DUMMYFUNCTION("IFERROR(GOOGLEFINANCE(A1356,""CHANGE""),)"),"")</f>
        <v/>
      </c>
      <c r="D1356" s="48" t="str">
        <f>IFERROR(__xludf.DUMMYFUNCTION("IFERROR(GOOGLEFINANCE(A1356,""CHANGEPCT""),)"),"")</f>
        <v/>
      </c>
      <c r="E1356" s="48" t="str">
        <f t="shared" si="1"/>
        <v>%</v>
      </c>
      <c r="F1356" s="48" t="str">
        <f t="shared" si="2"/>
        <v/>
      </c>
      <c r="G1356" s="48" t="str">
        <f t="shared" si="3"/>
        <v/>
      </c>
      <c r="H1356" s="48" t="str">
        <f>IFERROR(__xludf.DUMMYFUNCTION("IFERROR(GOOGLEFINANCE(A1356,""PRICE""),)"),"")</f>
        <v/>
      </c>
      <c r="I1356" s="49" t="str">
        <f>IFERROR(__xludf.DUMMYFUNCTION("IFERROR(GOOGLEFINANCE(A1356,""VOLUME""),)"),"")</f>
        <v/>
      </c>
      <c r="J1356" s="48" t="str">
        <f>IFERROR(__xludf.DUMMYFUNCTION("IFERROR(INDEX(SPLIT(A1356,"":""),1,2),)"),"SUNDARMHLD")</f>
        <v>SUNDARMHLD</v>
      </c>
      <c r="K1356" s="48" t="str">
        <f t="shared" si="4"/>
        <v/>
      </c>
      <c r="L1356" s="48" t="str">
        <f t="shared" si="5"/>
        <v/>
      </c>
      <c r="M1356" s="48">
        <f t="shared" si="6"/>
        <v>1456</v>
      </c>
      <c r="N1356" s="50" t="str">
        <f>IFERROR(__xludf.DUMMYFUNCTION("IFERROR(GOOGLEFINANCE(A1356,""TRADETIME""),)"),"")</f>
        <v/>
      </c>
      <c r="O1356" s="44"/>
      <c r="P1356" s="44"/>
      <c r="Q1356" s="44"/>
      <c r="R1356" s="44"/>
      <c r="S1356" s="44"/>
      <c r="T1356" s="44"/>
      <c r="U1356" s="44"/>
      <c r="V1356" s="44"/>
      <c r="W1356" s="44"/>
      <c r="X1356" s="44"/>
      <c r="Y1356" s="44"/>
      <c r="Z1356" s="44"/>
    </row>
    <row r="1357" ht="15.75" customHeight="1">
      <c r="A1357" s="51" t="s">
        <v>1403</v>
      </c>
      <c r="B1357" s="51" t="str">
        <f>IFERROR(__xludf.DUMMYFUNCTION("IFERROR(GOOGLEFINANCE(A1357,""NAME""),)"),"Sundaram Brake Linings Ltd")</f>
        <v>Sundaram Brake Linings Ltd</v>
      </c>
      <c r="C1357" s="51">
        <f>IFERROR(__xludf.DUMMYFUNCTION("IFERROR(GOOGLEFINANCE(A1357,""CHANGE""),)"),-11.0)</f>
        <v>-11</v>
      </c>
      <c r="D1357" s="51">
        <f>IFERROR(__xludf.DUMMYFUNCTION("IFERROR(GOOGLEFINANCE(A1357,""CHANGEPCT""),)"),-1.46)</f>
        <v>-1.46</v>
      </c>
      <c r="E1357" s="51" t="str">
        <f t="shared" si="1"/>
        <v>-1.46%</v>
      </c>
      <c r="F1357" s="51" t="str">
        <f t="shared" si="2"/>
        <v/>
      </c>
      <c r="G1357" s="51">
        <f t="shared" si="3"/>
        <v>-1.46</v>
      </c>
      <c r="H1357" s="51">
        <f>IFERROR(__xludf.DUMMYFUNCTION("IFERROR(GOOGLEFINANCE(A1357,""PRICE""),)"),740.0)</f>
        <v>740</v>
      </c>
      <c r="I1357" s="52">
        <f>IFERROR(__xludf.DUMMYFUNCTION("IFERROR(GOOGLEFINANCE(A1357,""VOLUME""),)"),1401.0)</f>
        <v>1401</v>
      </c>
      <c r="J1357" s="51" t="str">
        <f>IFERROR(__xludf.DUMMYFUNCTION("IFERROR(INDEX(SPLIT(A1357,"":""),1,2),)"),"SUNDRMBRAK")</f>
        <v>SUNDRMBRAK</v>
      </c>
      <c r="K1357" s="51" t="str">
        <f t="shared" si="4"/>
        <v/>
      </c>
      <c r="L1357" s="51">
        <f t="shared" si="5"/>
        <v>441</v>
      </c>
      <c r="M1357" s="51">
        <f t="shared" si="6"/>
        <v>1408</v>
      </c>
      <c r="N1357" s="53">
        <f>IFERROR(__xludf.DUMMYFUNCTION("IFERROR(GOOGLEFINANCE(A1357,""TRADETIME""),)"),46269.64583333333)</f>
        <v>46269.64583</v>
      </c>
      <c r="O1357" s="44"/>
      <c r="P1357" s="44"/>
      <c r="Q1357" s="44"/>
      <c r="R1357" s="44"/>
      <c r="S1357" s="44"/>
      <c r="T1357" s="44"/>
      <c r="U1357" s="44"/>
      <c r="V1357" s="44"/>
      <c r="W1357" s="44"/>
      <c r="X1357" s="44"/>
      <c r="Y1357" s="44"/>
      <c r="Z1357" s="44"/>
    </row>
    <row r="1358" ht="15.75" customHeight="1">
      <c r="A1358" s="48" t="s">
        <v>1404</v>
      </c>
      <c r="B1358" s="48" t="str">
        <f>IFERROR(__xludf.DUMMYFUNCTION("IFERROR(GOOGLEFINANCE(A1358,""NAME""),)"),"Sundram Fasteners Ltd")</f>
        <v>Sundram Fasteners Ltd</v>
      </c>
      <c r="C1358" s="48">
        <f>IFERROR(__xludf.DUMMYFUNCTION("IFERROR(GOOGLEFINANCE(A1358,""CHANGE""),)"),7.9)</f>
        <v>7.9</v>
      </c>
      <c r="D1358" s="48">
        <f>IFERROR(__xludf.DUMMYFUNCTION("IFERROR(GOOGLEFINANCE(A1358,""CHANGEPCT""),)"),0.66)</f>
        <v>0.66</v>
      </c>
      <c r="E1358" s="48" t="str">
        <f t="shared" si="1"/>
        <v>0.66%</v>
      </c>
      <c r="F1358" s="48">
        <f t="shared" si="2"/>
        <v>0.66</v>
      </c>
      <c r="G1358" s="48" t="str">
        <f t="shared" si="3"/>
        <v/>
      </c>
      <c r="H1358" s="48">
        <f>IFERROR(__xludf.DUMMYFUNCTION("IFERROR(GOOGLEFINANCE(A1358,""PRICE""),)"),1207.0)</f>
        <v>1207</v>
      </c>
      <c r="I1358" s="49">
        <f>IFERROR(__xludf.DUMMYFUNCTION("IFERROR(GOOGLEFINANCE(A1358,""VOLUME""),)"),44457.0)</f>
        <v>44457</v>
      </c>
      <c r="J1358" s="48" t="str">
        <f>IFERROR(__xludf.DUMMYFUNCTION("IFERROR(INDEX(SPLIT(A1358,"":""),1,2),)"),"SUNDRMFAST")</f>
        <v>SUNDRMFAST</v>
      </c>
      <c r="K1358" s="48">
        <f t="shared" si="4"/>
        <v>540</v>
      </c>
      <c r="L1358" s="48" t="str">
        <f t="shared" si="5"/>
        <v/>
      </c>
      <c r="M1358" s="48">
        <f t="shared" si="6"/>
        <v>973</v>
      </c>
      <c r="N1358" s="50">
        <f>IFERROR(__xludf.DUMMYFUNCTION("IFERROR(GOOGLEFINANCE(A1358,""TRADETIME""),)"),46269.64583333333)</f>
        <v>46269.64583</v>
      </c>
      <c r="O1358" s="44"/>
      <c r="P1358" s="44"/>
      <c r="Q1358" s="44"/>
      <c r="R1358" s="44"/>
      <c r="S1358" s="44"/>
      <c r="T1358" s="44"/>
      <c r="U1358" s="44"/>
      <c r="V1358" s="44"/>
      <c r="W1358" s="44"/>
      <c r="X1358" s="44"/>
      <c r="Y1358" s="44"/>
      <c r="Z1358" s="44"/>
    </row>
    <row r="1359" ht="15.75" customHeight="1">
      <c r="A1359" s="51" t="s">
        <v>1405</v>
      </c>
      <c r="B1359" s="51" t="str">
        <f>IFERROR(__xludf.DUMMYFUNCTION("IFERROR(GOOGLEFINANCE(A1359,""NAME""),)"),"Sunflag Iron and Steel Co Ltd")</f>
        <v>Sunflag Iron and Steel Co Ltd</v>
      </c>
      <c r="C1359" s="51">
        <f>IFERROR(__xludf.DUMMYFUNCTION("IFERROR(GOOGLEFINANCE(A1359,""CHANGE""),)"),-1.75)</f>
        <v>-1.75</v>
      </c>
      <c r="D1359" s="51">
        <f>IFERROR(__xludf.DUMMYFUNCTION("IFERROR(GOOGLEFINANCE(A1359,""CHANGEPCT""),)"),-0.51)</f>
        <v>-0.51</v>
      </c>
      <c r="E1359" s="51" t="str">
        <f t="shared" si="1"/>
        <v>-0.51%</v>
      </c>
      <c r="F1359" s="51" t="str">
        <f t="shared" si="2"/>
        <v/>
      </c>
      <c r="G1359" s="51">
        <f t="shared" si="3"/>
        <v>-0.51</v>
      </c>
      <c r="H1359" s="51">
        <f>IFERROR(__xludf.DUMMYFUNCTION("IFERROR(GOOGLEFINANCE(A1359,""PRICE""),)"),344.75)</f>
        <v>344.75</v>
      </c>
      <c r="I1359" s="52">
        <f>IFERROR(__xludf.DUMMYFUNCTION("IFERROR(GOOGLEFINANCE(A1359,""VOLUME""),)"),90403.0)</f>
        <v>90403</v>
      </c>
      <c r="J1359" s="51" t="str">
        <f>IFERROR(__xludf.DUMMYFUNCTION("IFERROR(INDEX(SPLIT(A1359,"":""),1,2),)"),"SUNFLAG")</f>
        <v>SUNFLAG</v>
      </c>
      <c r="K1359" s="51" t="str">
        <f t="shared" si="4"/>
        <v/>
      </c>
      <c r="L1359" s="51">
        <f t="shared" si="5"/>
        <v>199</v>
      </c>
      <c r="M1359" s="51">
        <f t="shared" si="6"/>
        <v>797</v>
      </c>
      <c r="N1359" s="53">
        <f>IFERROR(__xludf.DUMMYFUNCTION("IFERROR(GOOGLEFINANCE(A1359,""TRADETIME""),)"),46269.64584490741)</f>
        <v>46269.64584</v>
      </c>
      <c r="O1359" s="44"/>
      <c r="P1359" s="44"/>
      <c r="Q1359" s="44"/>
      <c r="R1359" s="44"/>
      <c r="S1359" s="44"/>
      <c r="T1359" s="44"/>
      <c r="U1359" s="44"/>
      <c r="V1359" s="44"/>
      <c r="W1359" s="44"/>
      <c r="X1359" s="44"/>
      <c r="Y1359" s="44"/>
      <c r="Z1359" s="44"/>
    </row>
    <row r="1360" ht="15.75" customHeight="1">
      <c r="A1360" s="48" t="s">
        <v>1406</v>
      </c>
      <c r="B1360" s="48" t="str">
        <f>IFERROR(__xludf.DUMMYFUNCTION("IFERROR(GOOGLEFINANCE(A1360,""NAME""),)"),"Sun Pharmaceutical Industries Ltd")</f>
        <v>Sun Pharmaceutical Industries Ltd</v>
      </c>
      <c r="C1360" s="48">
        <f>IFERROR(__xludf.DUMMYFUNCTION("IFERROR(GOOGLEFINANCE(A1360,""CHANGE""),)"),-17.1)</f>
        <v>-17.1</v>
      </c>
      <c r="D1360" s="48">
        <f>IFERROR(__xludf.DUMMYFUNCTION("IFERROR(GOOGLEFINANCE(A1360,""CHANGEPCT""),)"),-0.89)</f>
        <v>-0.89</v>
      </c>
      <c r="E1360" s="48" t="str">
        <f t="shared" si="1"/>
        <v>-0.89%</v>
      </c>
      <c r="F1360" s="48" t="str">
        <f t="shared" si="2"/>
        <v/>
      </c>
      <c r="G1360" s="48">
        <f t="shared" si="3"/>
        <v>-0.89</v>
      </c>
      <c r="H1360" s="48">
        <f>IFERROR(__xludf.DUMMYFUNCTION("IFERROR(GOOGLEFINANCE(A1360,""PRICE""),)"),1898.9)</f>
        <v>1898.9</v>
      </c>
      <c r="I1360" s="49">
        <f>IFERROR(__xludf.DUMMYFUNCTION("IFERROR(GOOGLEFINANCE(A1360,""VOLUME""),)"),761333.0)</f>
        <v>761333</v>
      </c>
      <c r="J1360" s="48" t="str">
        <f>IFERROR(__xludf.DUMMYFUNCTION("IFERROR(INDEX(SPLIT(A1360,"":""),1,2),)"),"SUNPHARMA")</f>
        <v>SUNPHARMA</v>
      </c>
      <c r="K1360" s="48" t="str">
        <f t="shared" si="4"/>
        <v/>
      </c>
      <c r="L1360" s="48">
        <f t="shared" si="5"/>
        <v>315</v>
      </c>
      <c r="M1360" s="48">
        <f t="shared" si="6"/>
        <v>316</v>
      </c>
      <c r="N1360" s="50">
        <f>IFERROR(__xludf.DUMMYFUNCTION("IFERROR(GOOGLEFINANCE(A1360,""TRADETIME""),)"),46269.64583333333)</f>
        <v>46269.64583</v>
      </c>
      <c r="O1360" s="44"/>
      <c r="P1360" s="44"/>
      <c r="Q1360" s="44"/>
      <c r="R1360" s="44"/>
      <c r="S1360" s="44"/>
      <c r="T1360" s="44"/>
      <c r="U1360" s="44"/>
      <c r="V1360" s="44"/>
      <c r="W1360" s="44"/>
      <c r="X1360" s="44"/>
      <c r="Y1360" s="44"/>
      <c r="Z1360" s="44"/>
    </row>
    <row r="1361" ht="15.75" customHeight="1">
      <c r="A1361" s="51" t="s">
        <v>1407</v>
      </c>
      <c r="B1361" s="51" t="str">
        <f>IFERROR(__xludf.DUMMYFUNCTION("IFERROR(GOOGLEFINANCE(A1361,""NAME""),)"),"Sunteck Realty Ltd")</f>
        <v>Sunteck Realty Ltd</v>
      </c>
      <c r="C1361" s="51">
        <f>IFERROR(__xludf.DUMMYFUNCTION("IFERROR(GOOGLEFINANCE(A1361,""CHANGE""),)"),2.25)</f>
        <v>2.25</v>
      </c>
      <c r="D1361" s="51">
        <f>IFERROR(__xludf.DUMMYFUNCTION("IFERROR(GOOGLEFINANCE(A1361,""CHANGEPCT""),)"),0.76)</f>
        <v>0.76</v>
      </c>
      <c r="E1361" s="51" t="str">
        <f t="shared" si="1"/>
        <v>0.76%</v>
      </c>
      <c r="F1361" s="51">
        <f t="shared" si="2"/>
        <v>0.76</v>
      </c>
      <c r="G1361" s="51" t="str">
        <f t="shared" si="3"/>
        <v/>
      </c>
      <c r="H1361" s="51">
        <f>IFERROR(__xludf.DUMMYFUNCTION("IFERROR(GOOGLEFINANCE(A1361,""PRICE""),)"),300.0)</f>
        <v>300</v>
      </c>
      <c r="I1361" s="52">
        <f>IFERROR(__xludf.DUMMYFUNCTION("IFERROR(GOOGLEFINANCE(A1361,""VOLUME""),)"),71967.0)</f>
        <v>71967</v>
      </c>
      <c r="J1361" s="51" t="str">
        <f>IFERROR(__xludf.DUMMYFUNCTION("IFERROR(INDEX(SPLIT(A1361,"":""),1,2),)"),"SUNTECK")</f>
        <v>SUNTECK</v>
      </c>
      <c r="K1361" s="51">
        <f t="shared" si="4"/>
        <v>515</v>
      </c>
      <c r="L1361" s="51" t="str">
        <f t="shared" si="5"/>
        <v/>
      </c>
      <c r="M1361" s="51">
        <f t="shared" si="6"/>
        <v>857</v>
      </c>
      <c r="N1361" s="53">
        <f>IFERROR(__xludf.DUMMYFUNCTION("IFERROR(GOOGLEFINANCE(A1361,""TRADETIME""),)"),46269.64583333333)</f>
        <v>46269.64583</v>
      </c>
      <c r="O1361" s="44"/>
      <c r="P1361" s="44"/>
      <c r="Q1361" s="44"/>
      <c r="R1361" s="44"/>
      <c r="S1361" s="44"/>
      <c r="T1361" s="44"/>
      <c r="U1361" s="44"/>
      <c r="V1361" s="44"/>
      <c r="W1361" s="44"/>
      <c r="X1361" s="44"/>
      <c r="Y1361" s="44"/>
      <c r="Z1361" s="44"/>
    </row>
    <row r="1362" ht="15.75" customHeight="1">
      <c r="A1362" s="48" t="s">
        <v>1408</v>
      </c>
      <c r="B1362" s="48" t="str">
        <f>IFERROR(__xludf.DUMMYFUNCTION("IFERROR(GOOGLEFINANCE(A1362,""NAME""),)"),"Sun Tv Network Ltd")</f>
        <v>Sun Tv Network Ltd</v>
      </c>
      <c r="C1362" s="48">
        <f>IFERROR(__xludf.DUMMYFUNCTION("IFERROR(GOOGLEFINANCE(A1362,""CHANGE""),)"),5.75)</f>
        <v>5.75</v>
      </c>
      <c r="D1362" s="48">
        <f>IFERROR(__xludf.DUMMYFUNCTION("IFERROR(GOOGLEFINANCE(A1362,""CHANGEPCT""),)"),1.23)</f>
        <v>1.23</v>
      </c>
      <c r="E1362" s="48" t="str">
        <f t="shared" si="1"/>
        <v>1.23%</v>
      </c>
      <c r="F1362" s="48">
        <f t="shared" si="2"/>
        <v>1.23</v>
      </c>
      <c r="G1362" s="48" t="str">
        <f t="shared" si="3"/>
        <v/>
      </c>
      <c r="H1362" s="48">
        <f>IFERROR(__xludf.DUMMYFUNCTION("IFERROR(GOOGLEFINANCE(A1362,""PRICE""),)"),471.65)</f>
        <v>471.65</v>
      </c>
      <c r="I1362" s="49">
        <f>IFERROR(__xludf.DUMMYFUNCTION("IFERROR(GOOGLEFINANCE(A1362,""VOLUME""),)"),846938.0)</f>
        <v>846938</v>
      </c>
      <c r="J1362" s="48" t="str">
        <f>IFERROR(__xludf.DUMMYFUNCTION("IFERROR(INDEX(SPLIT(A1362,"":""),1,2),)"),"SUNTV")</f>
        <v>SUNTV</v>
      </c>
      <c r="K1362" s="48">
        <f t="shared" si="4"/>
        <v>399</v>
      </c>
      <c r="L1362" s="48" t="str">
        <f t="shared" si="5"/>
        <v/>
      </c>
      <c r="M1362" s="48">
        <f t="shared" si="6"/>
        <v>301</v>
      </c>
      <c r="N1362" s="50">
        <f>IFERROR(__xludf.DUMMYFUNCTION("IFERROR(GOOGLEFINANCE(A1362,""TRADETIME""),)"),46269.64583333333)</f>
        <v>46269.64583</v>
      </c>
      <c r="O1362" s="44"/>
      <c r="P1362" s="44"/>
      <c r="Q1362" s="44"/>
      <c r="R1362" s="44"/>
      <c r="S1362" s="44"/>
      <c r="T1362" s="44"/>
      <c r="U1362" s="44"/>
      <c r="V1362" s="44"/>
      <c r="W1362" s="44"/>
      <c r="X1362" s="44"/>
      <c r="Y1362" s="44"/>
      <c r="Z1362" s="44"/>
    </row>
    <row r="1363" ht="15.75" customHeight="1">
      <c r="A1363" s="51" t="s">
        <v>1409</v>
      </c>
      <c r="B1363" s="51" t="str">
        <f>IFERROR(__xludf.DUMMYFUNCTION("IFERROR(GOOGLEFINANCE(A1363,""NAME""),)"),"Super House Ltd")</f>
        <v>Super House Ltd</v>
      </c>
      <c r="C1363" s="51">
        <f>IFERROR(__xludf.DUMMYFUNCTION("IFERROR(GOOGLEFINANCE(A1363,""CHANGE""),)"),1.25)</f>
        <v>1.25</v>
      </c>
      <c r="D1363" s="51">
        <f>IFERROR(__xludf.DUMMYFUNCTION("IFERROR(GOOGLEFINANCE(A1363,""CHANGEPCT""),)"),0.74)</f>
        <v>0.74</v>
      </c>
      <c r="E1363" s="51" t="str">
        <f t="shared" si="1"/>
        <v>0.74%</v>
      </c>
      <c r="F1363" s="51">
        <f t="shared" si="2"/>
        <v>0.74</v>
      </c>
      <c r="G1363" s="51" t="str">
        <f t="shared" si="3"/>
        <v/>
      </c>
      <c r="H1363" s="51">
        <f>IFERROR(__xludf.DUMMYFUNCTION("IFERROR(GOOGLEFINANCE(A1363,""PRICE""),)"),169.99)</f>
        <v>169.99</v>
      </c>
      <c r="I1363" s="52">
        <f>IFERROR(__xludf.DUMMYFUNCTION("IFERROR(GOOGLEFINANCE(A1363,""VOLUME""),)"),2738.0)</f>
        <v>2738</v>
      </c>
      <c r="J1363" s="51" t="str">
        <f>IFERROR(__xludf.DUMMYFUNCTION("IFERROR(INDEX(SPLIT(A1363,"":""),1,2),)"),"SUPERHOUSE")</f>
        <v>SUPERHOUSE</v>
      </c>
      <c r="K1363" s="51">
        <f t="shared" si="4"/>
        <v>519</v>
      </c>
      <c r="L1363" s="51" t="str">
        <f t="shared" si="5"/>
        <v/>
      </c>
      <c r="M1363" s="51">
        <f t="shared" si="6"/>
        <v>1373</v>
      </c>
      <c r="N1363" s="53">
        <f>IFERROR(__xludf.DUMMYFUNCTION("IFERROR(GOOGLEFINANCE(A1363,""TRADETIME""),)"),46269.64583333333)</f>
        <v>46269.64583</v>
      </c>
      <c r="O1363" s="44"/>
      <c r="P1363" s="44"/>
      <c r="Q1363" s="44"/>
      <c r="R1363" s="44"/>
      <c r="S1363" s="44"/>
      <c r="T1363" s="44"/>
      <c r="U1363" s="44"/>
      <c r="V1363" s="44"/>
      <c r="W1363" s="44"/>
      <c r="X1363" s="44"/>
      <c r="Y1363" s="44"/>
      <c r="Z1363" s="44"/>
    </row>
    <row r="1364" ht="15.75" customHeight="1">
      <c r="A1364" s="48" t="s">
        <v>1410</v>
      </c>
      <c r="B1364" s="48" t="str">
        <f>IFERROR(__xludf.DUMMYFUNCTION("IFERROR(GOOGLEFINANCE(A1364,""NAME""),)"),"Super Spinning Mills Ltd")</f>
        <v>Super Spinning Mills Ltd</v>
      </c>
      <c r="C1364" s="48">
        <f>IFERROR(__xludf.DUMMYFUNCTION("IFERROR(GOOGLEFINANCE(A1364,""CHANGE""),)"),0.17)</f>
        <v>0.17</v>
      </c>
      <c r="D1364" s="48">
        <f>IFERROR(__xludf.DUMMYFUNCTION("IFERROR(GOOGLEFINANCE(A1364,""CHANGEPCT""),)"),2.49)</f>
        <v>2.49</v>
      </c>
      <c r="E1364" s="48" t="str">
        <f t="shared" si="1"/>
        <v>2.49%</v>
      </c>
      <c r="F1364" s="48">
        <f t="shared" si="2"/>
        <v>2.49</v>
      </c>
      <c r="G1364" s="48" t="str">
        <f t="shared" si="3"/>
        <v/>
      </c>
      <c r="H1364" s="48">
        <f>IFERROR(__xludf.DUMMYFUNCTION("IFERROR(GOOGLEFINANCE(A1364,""PRICE""),)"),7.0)</f>
        <v>7</v>
      </c>
      <c r="I1364" s="49">
        <f>IFERROR(__xludf.DUMMYFUNCTION("IFERROR(GOOGLEFINANCE(A1364,""VOLUME""),)"),105266.0)</f>
        <v>105266</v>
      </c>
      <c r="J1364" s="48" t="str">
        <f>IFERROR(__xludf.DUMMYFUNCTION("IFERROR(INDEX(SPLIT(A1364,"":""),1,2),)"),"SUPERSPIN")</f>
        <v>SUPERSPIN</v>
      </c>
      <c r="K1364" s="48">
        <f t="shared" si="4"/>
        <v>206</v>
      </c>
      <c r="L1364" s="48" t="str">
        <f t="shared" si="5"/>
        <v/>
      </c>
      <c r="M1364" s="48">
        <f t="shared" si="6"/>
        <v>760</v>
      </c>
      <c r="N1364" s="50">
        <f>IFERROR(__xludf.DUMMYFUNCTION("IFERROR(GOOGLEFINANCE(A1364,""TRADETIME""),)"),46269.64583333333)</f>
        <v>46269.64583</v>
      </c>
      <c r="O1364" s="44"/>
      <c r="P1364" s="44"/>
      <c r="Q1364" s="44"/>
      <c r="R1364" s="44"/>
      <c r="S1364" s="44"/>
      <c r="T1364" s="44"/>
      <c r="U1364" s="44"/>
      <c r="V1364" s="44"/>
      <c r="W1364" s="44"/>
      <c r="X1364" s="44"/>
      <c r="Y1364" s="44"/>
      <c r="Z1364" s="44"/>
    </row>
    <row r="1365" ht="15.75" customHeight="1">
      <c r="A1365" s="51" t="s">
        <v>1411</v>
      </c>
      <c r="B1365" s="51" t="str">
        <f>IFERROR(__xludf.DUMMYFUNCTION("IFERROR(GOOGLEFINANCE(A1365,""NAME""),)"),"Supreme Petrochem Ltd")</f>
        <v>Supreme Petrochem Ltd</v>
      </c>
      <c r="C1365" s="51">
        <f>IFERROR(__xludf.DUMMYFUNCTION("IFERROR(GOOGLEFINANCE(A1365,""CHANGE""),)"),42.4)</f>
        <v>42.4</v>
      </c>
      <c r="D1365" s="51">
        <f>IFERROR(__xludf.DUMMYFUNCTION("IFERROR(GOOGLEFINANCE(A1365,""CHANGEPCT""),)"),5.84)</f>
        <v>5.84</v>
      </c>
      <c r="E1365" s="51" t="str">
        <f t="shared" si="1"/>
        <v>5.84%</v>
      </c>
      <c r="F1365" s="51">
        <f t="shared" si="2"/>
        <v>5.84</v>
      </c>
      <c r="G1365" s="51" t="str">
        <f t="shared" si="3"/>
        <v/>
      </c>
      <c r="H1365" s="51">
        <f>IFERROR(__xludf.DUMMYFUNCTION("IFERROR(GOOGLEFINANCE(A1365,""PRICE""),)"),768.2)</f>
        <v>768.2</v>
      </c>
      <c r="I1365" s="52">
        <f>IFERROR(__xludf.DUMMYFUNCTION("IFERROR(GOOGLEFINANCE(A1365,""VOLUME""),)"),1726190.0)</f>
        <v>1726190</v>
      </c>
      <c r="J1365" s="51" t="str">
        <f>IFERROR(__xludf.DUMMYFUNCTION("IFERROR(INDEX(SPLIT(A1365,"":""),1,2),)"),"SPLPETRO")</f>
        <v>SPLPETRO</v>
      </c>
      <c r="K1365" s="51">
        <f t="shared" si="4"/>
        <v>38</v>
      </c>
      <c r="L1365" s="51" t="str">
        <f t="shared" si="5"/>
        <v/>
      </c>
      <c r="M1365" s="51">
        <f t="shared" si="6"/>
        <v>193</v>
      </c>
      <c r="N1365" s="53">
        <f>IFERROR(__xludf.DUMMYFUNCTION("IFERROR(GOOGLEFINANCE(A1365,""TRADETIME""),)"),46269.64586805555)</f>
        <v>46269.64587</v>
      </c>
      <c r="O1365" s="44"/>
      <c r="P1365" s="44"/>
      <c r="Q1365" s="44"/>
      <c r="R1365" s="44"/>
      <c r="S1365" s="44"/>
      <c r="T1365" s="44"/>
      <c r="U1365" s="44"/>
      <c r="V1365" s="44"/>
      <c r="W1365" s="44"/>
      <c r="X1365" s="44"/>
      <c r="Y1365" s="44"/>
      <c r="Z1365" s="44"/>
    </row>
    <row r="1366" ht="15.75" customHeight="1">
      <c r="A1366" s="48" t="s">
        <v>1412</v>
      </c>
      <c r="B1366" s="48" t="str">
        <f>IFERROR(__xludf.DUMMYFUNCTION("IFERROR(GOOGLEFINANCE(A1366,""NAME""),)"),"Suprajit Engineering Ltd")</f>
        <v>Suprajit Engineering Ltd</v>
      </c>
      <c r="C1366" s="48">
        <f>IFERROR(__xludf.DUMMYFUNCTION("IFERROR(GOOGLEFINANCE(A1366,""CHANGE""),)"),-9.3)</f>
        <v>-9.3</v>
      </c>
      <c r="D1366" s="48">
        <f>IFERROR(__xludf.DUMMYFUNCTION("IFERROR(GOOGLEFINANCE(A1366,""CHANGEPCT""),)"),-1.9)</f>
        <v>-1.9</v>
      </c>
      <c r="E1366" s="48" t="str">
        <f t="shared" si="1"/>
        <v>-1.9%</v>
      </c>
      <c r="F1366" s="48" t="str">
        <f t="shared" si="2"/>
        <v/>
      </c>
      <c r="G1366" s="48">
        <f t="shared" si="3"/>
        <v>-1.9</v>
      </c>
      <c r="H1366" s="48">
        <f>IFERROR(__xludf.DUMMYFUNCTION("IFERROR(GOOGLEFINANCE(A1366,""PRICE""),)"),480.4)</f>
        <v>480.4</v>
      </c>
      <c r="I1366" s="49">
        <f>IFERROR(__xludf.DUMMYFUNCTION("IFERROR(GOOGLEFINANCE(A1366,""VOLUME""),)"),56637.0)</f>
        <v>56637</v>
      </c>
      <c r="J1366" s="48" t="str">
        <f>IFERROR(__xludf.DUMMYFUNCTION("IFERROR(INDEX(SPLIT(A1366,"":""),1,2),)"),"SUPRAJIT")</f>
        <v>SUPRAJIT</v>
      </c>
      <c r="K1366" s="48" t="str">
        <f t="shared" si="4"/>
        <v/>
      </c>
      <c r="L1366" s="48">
        <f t="shared" si="5"/>
        <v>510</v>
      </c>
      <c r="M1366" s="48">
        <f t="shared" si="6"/>
        <v>912</v>
      </c>
      <c r="N1366" s="50">
        <f>IFERROR(__xludf.DUMMYFUNCTION("IFERROR(GOOGLEFINANCE(A1366,""TRADETIME""),)"),46269.64585648148)</f>
        <v>46269.64586</v>
      </c>
      <c r="O1366" s="44"/>
      <c r="P1366" s="44"/>
      <c r="Q1366" s="44"/>
      <c r="R1366" s="44"/>
      <c r="S1366" s="44"/>
      <c r="T1366" s="44"/>
      <c r="U1366" s="44"/>
      <c r="V1366" s="44"/>
      <c r="W1366" s="44"/>
      <c r="X1366" s="44"/>
      <c r="Y1366" s="44"/>
      <c r="Z1366" s="44"/>
    </row>
    <row r="1367" ht="15.75" customHeight="1">
      <c r="A1367" s="51" t="s">
        <v>1413</v>
      </c>
      <c r="B1367" s="51" t="str">
        <f>IFERROR(__xludf.DUMMYFUNCTION("IFERROR(GOOGLEFINANCE(A1367,""NAME""),)"),"Supreme Engineering Ltd")</f>
        <v>Supreme Engineering Ltd</v>
      </c>
      <c r="C1367" s="51">
        <f>IFERROR(__xludf.DUMMYFUNCTION("IFERROR(GOOGLEFINANCE(A1367,""CHANGE""),)"),0.05)</f>
        <v>0.05</v>
      </c>
      <c r="D1367" s="51">
        <f>IFERROR(__xludf.DUMMYFUNCTION("IFERROR(GOOGLEFINANCE(A1367,""CHANGEPCT""),)"),1.68)</f>
        <v>1.68</v>
      </c>
      <c r="E1367" s="51" t="str">
        <f t="shared" si="1"/>
        <v>1.68%</v>
      </c>
      <c r="F1367" s="51">
        <f t="shared" si="2"/>
        <v>1.68</v>
      </c>
      <c r="G1367" s="51" t="str">
        <f t="shared" si="3"/>
        <v/>
      </c>
      <c r="H1367" s="51">
        <f>IFERROR(__xludf.DUMMYFUNCTION("IFERROR(GOOGLEFINANCE(A1367,""PRICE""),)"),3.03)</f>
        <v>3.03</v>
      </c>
      <c r="I1367" s="52">
        <f>IFERROR(__xludf.DUMMYFUNCTION("IFERROR(GOOGLEFINANCE(A1367,""VOLUME""),)"),297128.0)</f>
        <v>297128</v>
      </c>
      <c r="J1367" s="51" t="str">
        <f>IFERROR(__xludf.DUMMYFUNCTION("IFERROR(INDEX(SPLIT(A1367,"":""),1,2),)"),"SUPREMEENG")</f>
        <v>SUPREMEENG</v>
      </c>
      <c r="K1367" s="51">
        <f t="shared" si="4"/>
        <v>315</v>
      </c>
      <c r="L1367" s="51" t="str">
        <f t="shared" si="5"/>
        <v/>
      </c>
      <c r="M1367" s="51">
        <f t="shared" si="6"/>
        <v>519</v>
      </c>
      <c r="N1367" s="53">
        <f>IFERROR(__xludf.DUMMYFUNCTION("IFERROR(GOOGLEFINANCE(A1367,""TRADETIME""),)"),46269.64583333333)</f>
        <v>46269.64583</v>
      </c>
      <c r="O1367" s="44"/>
      <c r="P1367" s="44"/>
      <c r="Q1367" s="44"/>
      <c r="R1367" s="44"/>
      <c r="S1367" s="44"/>
      <c r="T1367" s="44"/>
      <c r="U1367" s="44"/>
      <c r="V1367" s="44"/>
      <c r="W1367" s="44"/>
      <c r="X1367" s="44"/>
      <c r="Y1367" s="44"/>
      <c r="Z1367" s="44"/>
    </row>
    <row r="1368" ht="15.75" customHeight="1">
      <c r="A1368" s="48" t="s">
        <v>1414</v>
      </c>
      <c r="B1368" s="48" t="str">
        <f>IFERROR(__xludf.DUMMYFUNCTION("IFERROR(GOOGLEFINANCE(A1368,""NAME""),)"),"Supreme Industries Ltd")</f>
        <v>Supreme Industries Ltd</v>
      </c>
      <c r="C1368" s="48">
        <f>IFERROR(__xludf.DUMMYFUNCTION("IFERROR(GOOGLEFINANCE(A1368,""CHANGE""),)"),-25.1)</f>
        <v>-25.1</v>
      </c>
      <c r="D1368" s="48">
        <f>IFERROR(__xludf.DUMMYFUNCTION("IFERROR(GOOGLEFINANCE(A1368,""CHANGEPCT""),)"),-0.72)</f>
        <v>-0.72</v>
      </c>
      <c r="E1368" s="48" t="str">
        <f t="shared" si="1"/>
        <v>-0.72%</v>
      </c>
      <c r="F1368" s="48" t="str">
        <f t="shared" si="2"/>
        <v/>
      </c>
      <c r="G1368" s="48">
        <f t="shared" si="3"/>
        <v>-0.72</v>
      </c>
      <c r="H1368" s="48">
        <f>IFERROR(__xludf.DUMMYFUNCTION("IFERROR(GOOGLEFINANCE(A1368,""PRICE""),)"),3483.0)</f>
        <v>3483</v>
      </c>
      <c r="I1368" s="49">
        <f>IFERROR(__xludf.DUMMYFUNCTION("IFERROR(GOOGLEFINANCE(A1368,""VOLUME""),)"),139232.0)</f>
        <v>139232</v>
      </c>
      <c r="J1368" s="48" t="str">
        <f>IFERROR(__xludf.DUMMYFUNCTION("IFERROR(INDEX(SPLIT(A1368,"":""),1,2),)"),"SUPREMEIND")</f>
        <v>SUPREMEIND</v>
      </c>
      <c r="K1368" s="48" t="str">
        <f t="shared" si="4"/>
        <v/>
      </c>
      <c r="L1368" s="48">
        <f t="shared" si="5"/>
        <v>275</v>
      </c>
      <c r="M1368" s="48">
        <f t="shared" si="6"/>
        <v>709</v>
      </c>
      <c r="N1368" s="50">
        <f>IFERROR(__xludf.DUMMYFUNCTION("IFERROR(GOOGLEFINANCE(A1368,""TRADETIME""),)"),46269.64583333333)</f>
        <v>46269.64583</v>
      </c>
      <c r="O1368" s="44"/>
      <c r="P1368" s="44"/>
      <c r="Q1368" s="44"/>
      <c r="R1368" s="44"/>
      <c r="S1368" s="44"/>
      <c r="T1368" s="44"/>
      <c r="U1368" s="44"/>
      <c r="V1368" s="44"/>
      <c r="W1368" s="44"/>
      <c r="X1368" s="44"/>
      <c r="Y1368" s="44"/>
      <c r="Z1368" s="44"/>
    </row>
    <row r="1369" ht="15.75" customHeight="1">
      <c r="A1369" s="51" t="s">
        <v>1415</v>
      </c>
      <c r="B1369" s="51" t="str">
        <f>IFERROR(__xludf.DUMMYFUNCTION("IFERROR(GOOGLEFINANCE(A1369,""NAME""),)"),"Surana Solar Ltd")</f>
        <v>Surana Solar Ltd</v>
      </c>
      <c r="C1369" s="51">
        <f>IFERROR(__xludf.DUMMYFUNCTION("IFERROR(GOOGLEFINANCE(A1369,""CHANGE""),)"),0.13)</f>
        <v>0.13</v>
      </c>
      <c r="D1369" s="51">
        <f>IFERROR(__xludf.DUMMYFUNCTION("IFERROR(GOOGLEFINANCE(A1369,""CHANGEPCT""),)"),0.5)</f>
        <v>0.5</v>
      </c>
      <c r="E1369" s="51" t="str">
        <f t="shared" si="1"/>
        <v>0.5%</v>
      </c>
      <c r="F1369" s="51">
        <f t="shared" si="2"/>
        <v>0.5</v>
      </c>
      <c r="G1369" s="51" t="str">
        <f t="shared" si="3"/>
        <v/>
      </c>
      <c r="H1369" s="51">
        <f>IFERROR(__xludf.DUMMYFUNCTION("IFERROR(GOOGLEFINANCE(A1369,""PRICE""),)"),26.07)</f>
        <v>26.07</v>
      </c>
      <c r="I1369" s="52">
        <f>IFERROR(__xludf.DUMMYFUNCTION("IFERROR(GOOGLEFINANCE(A1369,""VOLUME""),)"),96327.0)</f>
        <v>96327</v>
      </c>
      <c r="J1369" s="51" t="str">
        <f>IFERROR(__xludf.DUMMYFUNCTION("IFERROR(INDEX(SPLIT(A1369,"":""),1,2),)"),"SURANASOL")</f>
        <v>SURANASOL</v>
      </c>
      <c r="K1369" s="51">
        <f t="shared" si="4"/>
        <v>594</v>
      </c>
      <c r="L1369" s="51" t="str">
        <f t="shared" si="5"/>
        <v/>
      </c>
      <c r="M1369" s="51">
        <f t="shared" si="6"/>
        <v>784</v>
      </c>
      <c r="N1369" s="53">
        <f>IFERROR(__xludf.DUMMYFUNCTION("IFERROR(GOOGLEFINANCE(A1369,""TRADETIME""),)"),46269.64583333333)</f>
        <v>46269.64583</v>
      </c>
      <c r="O1369" s="44"/>
      <c r="P1369" s="44"/>
      <c r="Q1369" s="44"/>
      <c r="R1369" s="44"/>
      <c r="S1369" s="44"/>
      <c r="T1369" s="44"/>
      <c r="U1369" s="44"/>
      <c r="V1369" s="44"/>
      <c r="W1369" s="44"/>
      <c r="X1369" s="44"/>
      <c r="Y1369" s="44"/>
      <c r="Z1369" s="44"/>
    </row>
    <row r="1370" ht="15.75" customHeight="1">
      <c r="A1370" s="48" t="s">
        <v>1416</v>
      </c>
      <c r="B1370" s="48" t="str">
        <f>IFERROR(__xludf.DUMMYFUNCTION("IFERROR(GOOGLEFINANCE(A1370,""NAME""),)"),"Surana Telecom and Power Ltd")</f>
        <v>Surana Telecom and Power Ltd</v>
      </c>
      <c r="C1370" s="48">
        <f>IFERROR(__xludf.DUMMYFUNCTION("IFERROR(GOOGLEFINANCE(A1370,""CHANGE""),)"),0.37)</f>
        <v>0.37</v>
      </c>
      <c r="D1370" s="48">
        <f>IFERROR(__xludf.DUMMYFUNCTION("IFERROR(GOOGLEFINANCE(A1370,""CHANGEPCT""),)"),2.28)</f>
        <v>2.28</v>
      </c>
      <c r="E1370" s="48" t="str">
        <f t="shared" si="1"/>
        <v>2.28%</v>
      </c>
      <c r="F1370" s="48">
        <f t="shared" si="2"/>
        <v>2.28</v>
      </c>
      <c r="G1370" s="48" t="str">
        <f t="shared" si="3"/>
        <v/>
      </c>
      <c r="H1370" s="48">
        <f>IFERROR(__xludf.DUMMYFUNCTION("IFERROR(GOOGLEFINANCE(A1370,""PRICE""),)"),16.58)</f>
        <v>16.58</v>
      </c>
      <c r="I1370" s="49">
        <f>IFERROR(__xludf.DUMMYFUNCTION("IFERROR(GOOGLEFINANCE(A1370,""VOLUME""),)"),29385.0)</f>
        <v>29385</v>
      </c>
      <c r="J1370" s="48" t="str">
        <f>IFERROR(__xludf.DUMMYFUNCTION("IFERROR(INDEX(SPLIT(A1370,"":""),1,2),)"),"SURANAT&amp;P")</f>
        <v>SURANAT&amp;P</v>
      </c>
      <c r="K1370" s="48">
        <f t="shared" si="4"/>
        <v>227</v>
      </c>
      <c r="L1370" s="48" t="str">
        <f t="shared" si="5"/>
        <v/>
      </c>
      <c r="M1370" s="48">
        <f t="shared" si="6"/>
        <v>1058</v>
      </c>
      <c r="N1370" s="50">
        <f>IFERROR(__xludf.DUMMYFUNCTION("IFERROR(GOOGLEFINANCE(A1370,""TRADETIME""),)"),46269.64583333333)</f>
        <v>46269.64583</v>
      </c>
      <c r="O1370" s="44"/>
      <c r="P1370" s="44"/>
      <c r="Q1370" s="44"/>
      <c r="R1370" s="44"/>
      <c r="S1370" s="44"/>
      <c r="T1370" s="44"/>
      <c r="U1370" s="44"/>
      <c r="V1370" s="44"/>
      <c r="W1370" s="44"/>
      <c r="X1370" s="44"/>
      <c r="Y1370" s="44"/>
      <c r="Z1370" s="44"/>
    </row>
    <row r="1371" ht="15.75" customHeight="1">
      <c r="A1371" s="51" t="s">
        <v>1417</v>
      </c>
      <c r="B1371" s="51" t="str">
        <f>IFERROR(__xludf.DUMMYFUNCTION("IFERROR(GOOGLEFINANCE(A1371,""NAME""),)"),"Surya Lakshmi Cotton Mills Ltd")</f>
        <v>Surya Lakshmi Cotton Mills Ltd</v>
      </c>
      <c r="C1371" s="51">
        <f>IFERROR(__xludf.DUMMYFUNCTION("IFERROR(GOOGLEFINANCE(A1371,""CHANGE""),)"),1.1)</f>
        <v>1.1</v>
      </c>
      <c r="D1371" s="51">
        <f>IFERROR(__xludf.DUMMYFUNCTION("IFERROR(GOOGLEFINANCE(A1371,""CHANGEPCT""),)"),1.83)</f>
        <v>1.83</v>
      </c>
      <c r="E1371" s="51" t="str">
        <f t="shared" si="1"/>
        <v>1.83%</v>
      </c>
      <c r="F1371" s="51">
        <f t="shared" si="2"/>
        <v>1.83</v>
      </c>
      <c r="G1371" s="51" t="str">
        <f t="shared" si="3"/>
        <v/>
      </c>
      <c r="H1371" s="51">
        <f>IFERROR(__xludf.DUMMYFUNCTION("IFERROR(GOOGLEFINANCE(A1371,""PRICE""),)"),61.13)</f>
        <v>61.13</v>
      </c>
      <c r="I1371" s="52">
        <f>IFERROR(__xludf.DUMMYFUNCTION("IFERROR(GOOGLEFINANCE(A1371,""VOLUME""),)"),1013.0)</f>
        <v>1013</v>
      </c>
      <c r="J1371" s="51" t="str">
        <f>IFERROR(__xludf.DUMMYFUNCTION("IFERROR(INDEX(SPLIT(A1371,"":""),1,2),)"),"SURYALAXMI")</f>
        <v>SURYALAXMI</v>
      </c>
      <c r="K1371" s="51">
        <f t="shared" si="4"/>
        <v>291</v>
      </c>
      <c r="L1371" s="51" t="str">
        <f t="shared" si="5"/>
        <v/>
      </c>
      <c r="M1371" s="51">
        <f t="shared" si="6"/>
        <v>1422</v>
      </c>
      <c r="N1371" s="53">
        <f>IFERROR(__xludf.DUMMYFUNCTION("IFERROR(GOOGLEFINANCE(A1371,""TRADETIME""),)"),46269.64583333333)</f>
        <v>46269.64583</v>
      </c>
      <c r="O1371" s="44"/>
      <c r="P1371" s="44"/>
      <c r="Q1371" s="44"/>
      <c r="R1371" s="44"/>
      <c r="S1371" s="44"/>
      <c r="T1371" s="44"/>
      <c r="U1371" s="44"/>
      <c r="V1371" s="44"/>
      <c r="W1371" s="44"/>
      <c r="X1371" s="44"/>
      <c r="Y1371" s="44"/>
      <c r="Z1371" s="44"/>
    </row>
    <row r="1372" ht="15.75" customHeight="1">
      <c r="A1372" s="48" t="s">
        <v>1418</v>
      </c>
      <c r="B1372" s="48" t="str">
        <f>IFERROR(__xludf.DUMMYFUNCTION("IFERROR(GOOGLEFINANCE(A1372,""NAME""),)"),"Surya Roshni Ltd")</f>
        <v>Surya Roshni Ltd</v>
      </c>
      <c r="C1372" s="48">
        <f>IFERROR(__xludf.DUMMYFUNCTION("IFERROR(GOOGLEFINANCE(A1372,""CHANGE""),)"),-0.56)</f>
        <v>-0.56</v>
      </c>
      <c r="D1372" s="48">
        <f>IFERROR(__xludf.DUMMYFUNCTION("IFERROR(GOOGLEFINANCE(A1372,""CHANGEPCT""),)"),-0.26)</f>
        <v>-0.26</v>
      </c>
      <c r="E1372" s="48" t="str">
        <f t="shared" si="1"/>
        <v>-0.26%</v>
      </c>
      <c r="F1372" s="48" t="str">
        <f t="shared" si="2"/>
        <v/>
      </c>
      <c r="G1372" s="48">
        <f t="shared" si="3"/>
        <v>-0.26</v>
      </c>
      <c r="H1372" s="48">
        <f>IFERROR(__xludf.DUMMYFUNCTION("IFERROR(GOOGLEFINANCE(A1372,""PRICE""),)"),216.1)</f>
        <v>216.1</v>
      </c>
      <c r="I1372" s="49">
        <f>IFERROR(__xludf.DUMMYFUNCTION("IFERROR(GOOGLEFINANCE(A1372,""VOLUME""),)"),449482.0)</f>
        <v>449482</v>
      </c>
      <c r="J1372" s="48" t="str">
        <f>IFERROR(__xludf.DUMMYFUNCTION("IFERROR(INDEX(SPLIT(A1372,"":""),1,2),)"),"SURYAROSNI")</f>
        <v>SURYAROSNI</v>
      </c>
      <c r="K1372" s="48" t="str">
        <f t="shared" si="4"/>
        <v/>
      </c>
      <c r="L1372" s="48">
        <f t="shared" si="5"/>
        <v>96</v>
      </c>
      <c r="M1372" s="48">
        <f t="shared" si="6"/>
        <v>422</v>
      </c>
      <c r="N1372" s="50">
        <f>IFERROR(__xludf.DUMMYFUNCTION("IFERROR(GOOGLEFINANCE(A1372,""TRADETIME""),)"),46269.64583333333)</f>
        <v>46269.64583</v>
      </c>
      <c r="O1372" s="44"/>
      <c r="P1372" s="44"/>
      <c r="Q1372" s="44"/>
      <c r="R1372" s="44"/>
      <c r="S1372" s="44"/>
      <c r="T1372" s="44"/>
      <c r="U1372" s="44"/>
      <c r="V1372" s="44"/>
      <c r="W1372" s="44"/>
      <c r="X1372" s="44"/>
      <c r="Y1372" s="44"/>
      <c r="Z1372" s="44"/>
    </row>
    <row r="1373" ht="15.75" customHeight="1">
      <c r="A1373" s="51" t="s">
        <v>1419</v>
      </c>
      <c r="B1373" s="51" t="str">
        <f>IFERROR(__xludf.DUMMYFUNCTION("IFERROR(GOOGLEFINANCE(A1373,""NAME""),)"),"Sutlej Textiles And Industries Ltd")</f>
        <v>Sutlej Textiles And Industries Ltd</v>
      </c>
      <c r="C1373" s="51">
        <f>IFERROR(__xludf.DUMMYFUNCTION("IFERROR(GOOGLEFINANCE(A1373,""CHANGE""),)"),1.94)</f>
        <v>1.94</v>
      </c>
      <c r="D1373" s="51">
        <f>IFERROR(__xludf.DUMMYFUNCTION("IFERROR(GOOGLEFINANCE(A1373,""CHANGEPCT""),)"),4.98)</f>
        <v>4.98</v>
      </c>
      <c r="E1373" s="51" t="str">
        <f t="shared" si="1"/>
        <v>4.98%</v>
      </c>
      <c r="F1373" s="51">
        <f t="shared" si="2"/>
        <v>4.98</v>
      </c>
      <c r="G1373" s="51" t="str">
        <f t="shared" si="3"/>
        <v/>
      </c>
      <c r="H1373" s="51">
        <f>IFERROR(__xludf.DUMMYFUNCTION("IFERROR(GOOGLEFINANCE(A1373,""PRICE""),)"),40.9)</f>
        <v>40.9</v>
      </c>
      <c r="I1373" s="52">
        <f>IFERROR(__xludf.DUMMYFUNCTION("IFERROR(GOOGLEFINANCE(A1373,""VOLUME""),)"),71822.0)</f>
        <v>71822</v>
      </c>
      <c r="J1373" s="51" t="str">
        <f>IFERROR(__xludf.DUMMYFUNCTION("IFERROR(INDEX(SPLIT(A1373,"":""),1,2),)"),"SUTLEJTEX")</f>
        <v>SUTLEJTEX</v>
      </c>
      <c r="K1373" s="51">
        <f t="shared" si="4"/>
        <v>71</v>
      </c>
      <c r="L1373" s="51" t="str">
        <f t="shared" si="5"/>
        <v/>
      </c>
      <c r="M1373" s="51">
        <f t="shared" si="6"/>
        <v>858</v>
      </c>
      <c r="N1373" s="53">
        <f>IFERROR(__xludf.DUMMYFUNCTION("IFERROR(GOOGLEFINANCE(A1373,""TRADETIME""),)"),46269.64583333333)</f>
        <v>46269.64583</v>
      </c>
      <c r="O1373" s="44"/>
      <c r="P1373" s="44"/>
      <c r="Q1373" s="44"/>
      <c r="R1373" s="44"/>
      <c r="S1373" s="44"/>
      <c r="T1373" s="44"/>
      <c r="U1373" s="44"/>
      <c r="V1373" s="44"/>
      <c r="W1373" s="44"/>
      <c r="X1373" s="44"/>
      <c r="Y1373" s="44"/>
      <c r="Z1373" s="44"/>
    </row>
    <row r="1374" ht="15.75" customHeight="1">
      <c r="A1374" s="48" t="s">
        <v>1420</v>
      </c>
      <c r="B1374" s="48" t="str">
        <f>IFERROR(__xludf.DUMMYFUNCTION("IFERROR(GOOGLEFINANCE(A1374,""NAME""),)"),"")</f>
        <v/>
      </c>
      <c r="C1374" s="48" t="str">
        <f>IFERROR(__xludf.DUMMYFUNCTION("IFERROR(GOOGLEFINANCE(A1374,""CHANGE""),)"),"")</f>
        <v/>
      </c>
      <c r="D1374" s="48" t="str">
        <f>IFERROR(__xludf.DUMMYFUNCTION("IFERROR(GOOGLEFINANCE(A1374,""CHANGEPCT""),)"),"")</f>
        <v/>
      </c>
      <c r="E1374" s="48" t="str">
        <f t="shared" si="1"/>
        <v>%</v>
      </c>
      <c r="F1374" s="48" t="str">
        <f t="shared" si="2"/>
        <v/>
      </c>
      <c r="G1374" s="48" t="str">
        <f t="shared" si="3"/>
        <v/>
      </c>
      <c r="H1374" s="48" t="str">
        <f>IFERROR(__xludf.DUMMYFUNCTION("IFERROR(GOOGLEFINANCE(A1374,""PRICE""),)"),"")</f>
        <v/>
      </c>
      <c r="I1374" s="49" t="str">
        <f>IFERROR(__xludf.DUMMYFUNCTION("IFERROR(GOOGLEFINANCE(A1374,""VOLUME""),)"),"")</f>
        <v/>
      </c>
      <c r="J1374" s="48" t="str">
        <f>IFERROR(__xludf.DUMMYFUNCTION("IFERROR(INDEX(SPLIT(A1374,"":""),1,2),)"),"SUULD")</f>
        <v>SUULD</v>
      </c>
      <c r="K1374" s="48" t="str">
        <f t="shared" si="4"/>
        <v/>
      </c>
      <c r="L1374" s="48" t="str">
        <f t="shared" si="5"/>
        <v/>
      </c>
      <c r="M1374" s="48">
        <f t="shared" si="6"/>
        <v>1456</v>
      </c>
      <c r="N1374" s="50" t="str">
        <f>IFERROR(__xludf.DUMMYFUNCTION("IFERROR(GOOGLEFINANCE(A1374,""TRADETIME""),)"),"")</f>
        <v/>
      </c>
      <c r="O1374" s="44"/>
      <c r="P1374" s="44"/>
      <c r="Q1374" s="44"/>
      <c r="R1374" s="44"/>
      <c r="S1374" s="44"/>
      <c r="T1374" s="44"/>
      <c r="U1374" s="44"/>
      <c r="V1374" s="44"/>
      <c r="W1374" s="44"/>
      <c r="X1374" s="44"/>
      <c r="Y1374" s="44"/>
      <c r="Z1374" s="44"/>
    </row>
    <row r="1375" ht="15.75" customHeight="1">
      <c r="A1375" s="51" t="s">
        <v>1421</v>
      </c>
      <c r="B1375" s="51" t="str">
        <f>IFERROR(__xludf.DUMMYFUNCTION("IFERROR(GOOGLEFINANCE(A1375,""NAME""),)"),"Suven Life Sciences Ltd")</f>
        <v>Suven Life Sciences Ltd</v>
      </c>
      <c r="C1375" s="51">
        <f>IFERROR(__xludf.DUMMYFUNCTION("IFERROR(GOOGLEFINANCE(A1375,""CHANGE""),)"),0.05)</f>
        <v>0.05</v>
      </c>
      <c r="D1375" s="51">
        <f>IFERROR(__xludf.DUMMYFUNCTION("IFERROR(GOOGLEFINANCE(A1375,""CHANGEPCT""),)"),0.01)</f>
        <v>0.01</v>
      </c>
      <c r="E1375" s="51" t="str">
        <f t="shared" si="1"/>
        <v>0.01%</v>
      </c>
      <c r="F1375" s="51">
        <f t="shared" si="2"/>
        <v>0.01</v>
      </c>
      <c r="G1375" s="51" t="str">
        <f t="shared" si="3"/>
        <v/>
      </c>
      <c r="H1375" s="51">
        <f>IFERROR(__xludf.DUMMYFUNCTION("IFERROR(GOOGLEFINANCE(A1375,""PRICE""),)"),378.4)</f>
        <v>378.4</v>
      </c>
      <c r="I1375" s="52">
        <f>IFERROR(__xludf.DUMMYFUNCTION("IFERROR(GOOGLEFINANCE(A1375,""VOLUME""),)"),494667.0)</f>
        <v>494667</v>
      </c>
      <c r="J1375" s="51" t="str">
        <f>IFERROR(__xludf.DUMMYFUNCTION("IFERROR(INDEX(SPLIT(A1375,"":""),1,2),)"),"SUVEN")</f>
        <v>SUVEN</v>
      </c>
      <c r="K1375" s="51">
        <f t="shared" si="4"/>
        <v>780</v>
      </c>
      <c r="L1375" s="51" t="str">
        <f t="shared" si="5"/>
        <v/>
      </c>
      <c r="M1375" s="51">
        <f t="shared" si="6"/>
        <v>397</v>
      </c>
      <c r="N1375" s="53">
        <f>IFERROR(__xludf.DUMMYFUNCTION("IFERROR(GOOGLEFINANCE(A1375,""TRADETIME""),)"),46269.64584490741)</f>
        <v>46269.64584</v>
      </c>
      <c r="O1375" s="44"/>
      <c r="P1375" s="44"/>
      <c r="Q1375" s="44"/>
      <c r="R1375" s="44"/>
      <c r="S1375" s="44"/>
      <c r="T1375" s="44"/>
      <c r="U1375" s="44"/>
      <c r="V1375" s="44"/>
      <c r="W1375" s="44"/>
      <c r="X1375" s="44"/>
      <c r="Y1375" s="44"/>
      <c r="Z1375" s="44"/>
    </row>
    <row r="1376" ht="15.75" customHeight="1">
      <c r="A1376" s="48" t="s">
        <v>1422</v>
      </c>
      <c r="B1376" s="48" t="str">
        <f>IFERROR(__xludf.DUMMYFUNCTION("IFERROR(GOOGLEFINANCE(A1376,""NAME""),)"),"")</f>
        <v/>
      </c>
      <c r="C1376" s="48" t="str">
        <f>IFERROR(__xludf.DUMMYFUNCTION("IFERROR(GOOGLEFINANCE(A1376,""CHANGE""),)"),"")</f>
        <v/>
      </c>
      <c r="D1376" s="48" t="str">
        <f>IFERROR(__xludf.DUMMYFUNCTION("IFERROR(GOOGLEFINANCE(A1376,""CHANGEPCT""),)"),"")</f>
        <v/>
      </c>
      <c r="E1376" s="48" t="str">
        <f t="shared" si="1"/>
        <v>%</v>
      </c>
      <c r="F1376" s="48" t="str">
        <f t="shared" si="2"/>
        <v/>
      </c>
      <c r="G1376" s="48" t="str">
        <f t="shared" si="3"/>
        <v/>
      </c>
      <c r="H1376" s="48" t="str">
        <f>IFERROR(__xludf.DUMMYFUNCTION("IFERROR(GOOGLEFINANCE(A1376,""PRICE""),)"),"")</f>
        <v/>
      </c>
      <c r="I1376" s="49" t="str">
        <f>IFERROR(__xludf.DUMMYFUNCTION("IFERROR(GOOGLEFINANCE(A1376,""VOLUME""),)"),"")</f>
        <v/>
      </c>
      <c r="J1376" s="48" t="str">
        <f>IFERROR(__xludf.DUMMYFUNCTION("IFERROR(INDEX(SPLIT(A1376,"":""),1,2),)"),"SUVENPHAR")</f>
        <v>SUVENPHAR</v>
      </c>
      <c r="K1376" s="48" t="str">
        <f t="shared" si="4"/>
        <v/>
      </c>
      <c r="L1376" s="48" t="str">
        <f t="shared" si="5"/>
        <v/>
      </c>
      <c r="M1376" s="48">
        <f t="shared" si="6"/>
        <v>1456</v>
      </c>
      <c r="N1376" s="50" t="str">
        <f>IFERROR(__xludf.DUMMYFUNCTION("IFERROR(GOOGLEFINANCE(A1376,""TRADETIME""),)"),"")</f>
        <v/>
      </c>
      <c r="O1376" s="44"/>
      <c r="P1376" s="44"/>
      <c r="Q1376" s="44"/>
      <c r="R1376" s="44"/>
      <c r="S1376" s="44"/>
      <c r="T1376" s="44"/>
      <c r="U1376" s="44"/>
      <c r="V1376" s="44"/>
      <c r="W1376" s="44"/>
      <c r="X1376" s="44"/>
      <c r="Y1376" s="44"/>
      <c r="Z1376" s="44"/>
    </row>
    <row r="1377" ht="15.75" customHeight="1">
      <c r="A1377" s="51" t="s">
        <v>1423</v>
      </c>
      <c r="B1377" s="51" t="str">
        <f>IFERROR(__xludf.DUMMYFUNCTION("IFERROR(GOOGLEFINANCE(A1377,""NAME""),)"),"Suzlon Energy Ltd")</f>
        <v>Suzlon Energy Ltd</v>
      </c>
      <c r="C1377" s="51">
        <f>IFERROR(__xludf.DUMMYFUNCTION("IFERROR(GOOGLEFINANCE(A1377,""CHANGE""),)"),-0.7)</f>
        <v>-0.7</v>
      </c>
      <c r="D1377" s="51">
        <f>IFERROR(__xludf.DUMMYFUNCTION("IFERROR(GOOGLEFINANCE(A1377,""CHANGEPCT""),)"),-1.52)</f>
        <v>-1.52</v>
      </c>
      <c r="E1377" s="51" t="str">
        <f t="shared" si="1"/>
        <v>-1.52%</v>
      </c>
      <c r="F1377" s="51" t="str">
        <f t="shared" si="2"/>
        <v/>
      </c>
      <c r="G1377" s="51">
        <f t="shared" si="3"/>
        <v>-1.52</v>
      </c>
      <c r="H1377" s="51">
        <f>IFERROR(__xludf.DUMMYFUNCTION("IFERROR(GOOGLEFINANCE(A1377,""PRICE""),)"),45.33)</f>
        <v>45.33</v>
      </c>
      <c r="I1377" s="52">
        <f>IFERROR(__xludf.DUMMYFUNCTION("IFERROR(GOOGLEFINANCE(A1377,""VOLUME""),)"),5.5366085E7)</f>
        <v>55366085</v>
      </c>
      <c r="J1377" s="51" t="str">
        <f>IFERROR(__xludf.DUMMYFUNCTION("IFERROR(INDEX(SPLIT(A1377,"":""),1,2),)"),"SUZLON")</f>
        <v>SUZLON</v>
      </c>
      <c r="K1377" s="51" t="str">
        <f t="shared" si="4"/>
        <v/>
      </c>
      <c r="L1377" s="51">
        <f t="shared" si="5"/>
        <v>454</v>
      </c>
      <c r="M1377" s="51">
        <f t="shared" si="6"/>
        <v>7</v>
      </c>
      <c r="N1377" s="53">
        <f>IFERROR(__xludf.DUMMYFUNCTION("IFERROR(GOOGLEFINANCE(A1377,""TRADETIME""),)"),46269.64583333333)</f>
        <v>46269.64583</v>
      </c>
      <c r="O1377" s="44"/>
      <c r="P1377" s="44"/>
      <c r="Q1377" s="44"/>
      <c r="R1377" s="44"/>
      <c r="S1377" s="44"/>
      <c r="T1377" s="44"/>
      <c r="U1377" s="44"/>
      <c r="V1377" s="44"/>
      <c r="W1377" s="44"/>
      <c r="X1377" s="44"/>
      <c r="Y1377" s="44"/>
      <c r="Z1377" s="44"/>
    </row>
    <row r="1378" ht="15.75" customHeight="1">
      <c r="A1378" s="48" t="s">
        <v>1424</v>
      </c>
      <c r="B1378" s="48" t="str">
        <f>IFERROR(__xludf.DUMMYFUNCTION("IFERROR(GOOGLEFINANCE(A1378,""NAME""),)"),"")</f>
        <v/>
      </c>
      <c r="C1378" s="48" t="str">
        <f>IFERROR(__xludf.DUMMYFUNCTION("IFERROR(GOOGLEFINANCE(A1378,""CHANGE""),)"),"")</f>
        <v/>
      </c>
      <c r="D1378" s="48" t="str">
        <f>IFERROR(__xludf.DUMMYFUNCTION("IFERROR(GOOGLEFINANCE(A1378,""CHANGEPCT""),)"),"")</f>
        <v/>
      </c>
      <c r="E1378" s="48" t="str">
        <f t="shared" si="1"/>
        <v>%</v>
      </c>
      <c r="F1378" s="48" t="str">
        <f t="shared" si="2"/>
        <v/>
      </c>
      <c r="G1378" s="48" t="str">
        <f t="shared" si="3"/>
        <v/>
      </c>
      <c r="H1378" s="48" t="str">
        <f>IFERROR(__xludf.DUMMYFUNCTION("IFERROR(GOOGLEFINANCE(A1378,""PRICE""),)"),"")</f>
        <v/>
      </c>
      <c r="I1378" s="49" t="str">
        <f>IFERROR(__xludf.DUMMYFUNCTION("IFERROR(GOOGLEFINANCE(A1378,""VOLUME""),)"),"")</f>
        <v/>
      </c>
      <c r="J1378" s="48" t="str">
        <f>IFERROR(__xludf.DUMMYFUNCTION("IFERROR(INDEX(SPLIT(A1378,"":""),1,2),)"),"SWANENERGY")</f>
        <v>SWANENERGY</v>
      </c>
      <c r="K1378" s="48" t="str">
        <f t="shared" si="4"/>
        <v/>
      </c>
      <c r="L1378" s="48" t="str">
        <f t="shared" si="5"/>
        <v/>
      </c>
      <c r="M1378" s="48">
        <f t="shared" si="6"/>
        <v>1456</v>
      </c>
      <c r="N1378" s="50" t="str">
        <f>IFERROR(__xludf.DUMMYFUNCTION("IFERROR(GOOGLEFINANCE(A1378,""TRADETIME""),)"),"")</f>
        <v/>
      </c>
      <c r="O1378" s="44"/>
      <c r="P1378" s="44"/>
      <c r="Q1378" s="44"/>
      <c r="R1378" s="44"/>
      <c r="S1378" s="44"/>
      <c r="T1378" s="44"/>
      <c r="U1378" s="44"/>
      <c r="V1378" s="44"/>
      <c r="W1378" s="44"/>
      <c r="X1378" s="44"/>
      <c r="Y1378" s="44"/>
      <c r="Z1378" s="44"/>
    </row>
    <row r="1379" ht="15.75" customHeight="1">
      <c r="A1379" s="51" t="s">
        <v>1425</v>
      </c>
      <c r="B1379" s="51" t="str">
        <f>IFERROR(__xludf.DUMMYFUNCTION("IFERROR(GOOGLEFINANCE(A1379,""NAME""),)"),"Swaraj Engines Ltd")</f>
        <v>Swaraj Engines Ltd</v>
      </c>
      <c r="C1379" s="51">
        <f>IFERROR(__xludf.DUMMYFUNCTION("IFERROR(GOOGLEFINANCE(A1379,""CHANGE""),)"),-4.7)</f>
        <v>-4.7</v>
      </c>
      <c r="D1379" s="51">
        <f>IFERROR(__xludf.DUMMYFUNCTION("IFERROR(GOOGLEFINANCE(A1379,""CHANGEPCT""),)"),-0.13)</f>
        <v>-0.13</v>
      </c>
      <c r="E1379" s="51" t="str">
        <f t="shared" si="1"/>
        <v>-0.13%</v>
      </c>
      <c r="F1379" s="51" t="str">
        <f t="shared" si="2"/>
        <v/>
      </c>
      <c r="G1379" s="51">
        <f t="shared" si="3"/>
        <v>-0.13</v>
      </c>
      <c r="H1379" s="51">
        <f>IFERROR(__xludf.DUMMYFUNCTION("IFERROR(GOOGLEFINANCE(A1379,""PRICE""),)"),3550.0)</f>
        <v>3550</v>
      </c>
      <c r="I1379" s="52">
        <f>IFERROR(__xludf.DUMMYFUNCTION("IFERROR(GOOGLEFINANCE(A1379,""VOLUME""),)"),6552.0)</f>
        <v>6552</v>
      </c>
      <c r="J1379" s="51" t="str">
        <f>IFERROR(__xludf.DUMMYFUNCTION("IFERROR(INDEX(SPLIT(A1379,"":""),1,2),)"),"SWARAJENG")</f>
        <v>SWARAJENG</v>
      </c>
      <c r="K1379" s="51" t="str">
        <f t="shared" si="4"/>
        <v/>
      </c>
      <c r="L1379" s="51">
        <f t="shared" si="5"/>
        <v>46</v>
      </c>
      <c r="M1379" s="51">
        <f t="shared" si="6"/>
        <v>1298</v>
      </c>
      <c r="N1379" s="53">
        <f>IFERROR(__xludf.DUMMYFUNCTION("IFERROR(GOOGLEFINANCE(A1379,""TRADETIME""),)"),46269.64583333333)</f>
        <v>46269.64583</v>
      </c>
      <c r="O1379" s="44"/>
      <c r="P1379" s="44"/>
      <c r="Q1379" s="44"/>
      <c r="R1379" s="44"/>
      <c r="S1379" s="44"/>
      <c r="T1379" s="44"/>
      <c r="U1379" s="44"/>
      <c r="V1379" s="44"/>
      <c r="W1379" s="44"/>
      <c r="X1379" s="44"/>
      <c r="Y1379" s="44"/>
      <c r="Z1379" s="44"/>
    </row>
    <row r="1380" ht="15.75" customHeight="1">
      <c r="A1380" s="48" t="s">
        <v>1426</v>
      </c>
      <c r="B1380" s="48" t="str">
        <f>IFERROR(__xludf.DUMMYFUNCTION("IFERROR(GOOGLEFINANCE(A1380,""NAME""),)"),"Swelect Energy Systems Ltd")</f>
        <v>Swelect Energy Systems Ltd</v>
      </c>
      <c r="C1380" s="48">
        <f>IFERROR(__xludf.DUMMYFUNCTION("IFERROR(GOOGLEFINANCE(A1380,""CHANGE""),)"),-6.35)</f>
        <v>-6.35</v>
      </c>
      <c r="D1380" s="48">
        <f>IFERROR(__xludf.DUMMYFUNCTION("IFERROR(GOOGLEFINANCE(A1380,""CHANGEPCT""),)"),-1.1)</f>
        <v>-1.1</v>
      </c>
      <c r="E1380" s="48" t="str">
        <f t="shared" si="1"/>
        <v>-1.1%</v>
      </c>
      <c r="F1380" s="48" t="str">
        <f t="shared" si="2"/>
        <v/>
      </c>
      <c r="G1380" s="48">
        <f t="shared" si="3"/>
        <v>-1.1</v>
      </c>
      <c r="H1380" s="48">
        <f>IFERROR(__xludf.DUMMYFUNCTION("IFERROR(GOOGLEFINANCE(A1380,""PRICE""),)"),570.55)</f>
        <v>570.55</v>
      </c>
      <c r="I1380" s="49">
        <f>IFERROR(__xludf.DUMMYFUNCTION("IFERROR(GOOGLEFINANCE(A1380,""VOLUME""),)"),17212.0)</f>
        <v>17212</v>
      </c>
      <c r="J1380" s="48" t="str">
        <f>IFERROR(__xludf.DUMMYFUNCTION("IFERROR(INDEX(SPLIT(A1380,"":""),1,2),)"),"SWELECTES")</f>
        <v>SWELECTES</v>
      </c>
      <c r="K1380" s="48" t="str">
        <f t="shared" si="4"/>
        <v/>
      </c>
      <c r="L1380" s="48">
        <f t="shared" si="5"/>
        <v>361</v>
      </c>
      <c r="M1380" s="48">
        <f t="shared" si="6"/>
        <v>1154</v>
      </c>
      <c r="N1380" s="50">
        <f>IFERROR(__xludf.DUMMYFUNCTION("IFERROR(GOOGLEFINANCE(A1380,""TRADETIME""),)"),46269.64583333333)</f>
        <v>46269.64583</v>
      </c>
      <c r="O1380" s="44"/>
      <c r="P1380" s="44"/>
      <c r="Q1380" s="44"/>
      <c r="R1380" s="44"/>
      <c r="S1380" s="44"/>
      <c r="T1380" s="44"/>
      <c r="U1380" s="44"/>
      <c r="V1380" s="44"/>
      <c r="W1380" s="44"/>
      <c r="X1380" s="44"/>
      <c r="Y1380" s="44"/>
      <c r="Z1380" s="44"/>
    </row>
    <row r="1381" ht="15.75" customHeight="1">
      <c r="A1381" s="51" t="s">
        <v>1427</v>
      </c>
      <c r="B1381" s="51" t="str">
        <f>IFERROR(__xludf.DUMMYFUNCTION("IFERROR(GOOGLEFINANCE(A1381,""NAME""),)"),"Sterling and Wilson Renewable Energy Ltd")</f>
        <v>Sterling and Wilson Renewable Energy Ltd</v>
      </c>
      <c r="C1381" s="51">
        <f>IFERROR(__xludf.DUMMYFUNCTION("IFERROR(GOOGLEFINANCE(A1381,""CHANGE""),)"),-0.59)</f>
        <v>-0.59</v>
      </c>
      <c r="D1381" s="51">
        <f>IFERROR(__xludf.DUMMYFUNCTION("IFERROR(GOOGLEFINANCE(A1381,""CHANGEPCT""),)"),-0.31)</f>
        <v>-0.31</v>
      </c>
      <c r="E1381" s="51" t="str">
        <f t="shared" si="1"/>
        <v>-0.31%</v>
      </c>
      <c r="F1381" s="51" t="str">
        <f t="shared" si="2"/>
        <v/>
      </c>
      <c r="G1381" s="51">
        <f t="shared" si="3"/>
        <v>-0.31</v>
      </c>
      <c r="H1381" s="51">
        <f>IFERROR(__xludf.DUMMYFUNCTION("IFERROR(GOOGLEFINANCE(A1381,""PRICE""),)"),187.2)</f>
        <v>187.2</v>
      </c>
      <c r="I1381" s="52">
        <f>IFERROR(__xludf.DUMMYFUNCTION("IFERROR(GOOGLEFINANCE(A1381,""VOLUME""),)"),580711.0)</f>
        <v>580711</v>
      </c>
      <c r="J1381" s="51" t="str">
        <f>IFERROR(__xludf.DUMMYFUNCTION("IFERROR(INDEX(SPLIT(A1381,"":""),1,2),)"),"SWSOLAR")</f>
        <v>SWSOLAR</v>
      </c>
      <c r="K1381" s="51" t="str">
        <f t="shared" si="4"/>
        <v/>
      </c>
      <c r="L1381" s="51">
        <f t="shared" si="5"/>
        <v>120</v>
      </c>
      <c r="M1381" s="51">
        <f t="shared" si="6"/>
        <v>366</v>
      </c>
      <c r="N1381" s="53">
        <f>IFERROR(__xludf.DUMMYFUNCTION("IFERROR(GOOGLEFINANCE(A1381,""TRADETIME""),)"),46269.64584490741)</f>
        <v>46269.64584</v>
      </c>
      <c r="O1381" s="44"/>
      <c r="P1381" s="44"/>
      <c r="Q1381" s="44"/>
      <c r="R1381" s="44"/>
      <c r="S1381" s="44"/>
      <c r="T1381" s="44"/>
      <c r="U1381" s="44"/>
      <c r="V1381" s="44"/>
      <c r="W1381" s="44"/>
      <c r="X1381" s="44"/>
      <c r="Y1381" s="44"/>
      <c r="Z1381" s="44"/>
    </row>
    <row r="1382" ht="15.75" customHeight="1">
      <c r="A1382" s="48" t="s">
        <v>1428</v>
      </c>
      <c r="B1382" s="48" t="str">
        <f>IFERROR(__xludf.DUMMYFUNCTION("IFERROR(GOOGLEFINANCE(A1382,""NAME""),)"),"Symphony Ltd")</f>
        <v>Symphony Ltd</v>
      </c>
      <c r="C1382" s="48">
        <f>IFERROR(__xludf.DUMMYFUNCTION("IFERROR(GOOGLEFINANCE(A1382,""CHANGE""),)"),7.6)</f>
        <v>7.6</v>
      </c>
      <c r="D1382" s="48">
        <f>IFERROR(__xludf.DUMMYFUNCTION("IFERROR(GOOGLEFINANCE(A1382,""CHANGEPCT""),)"),1.33)</f>
        <v>1.33</v>
      </c>
      <c r="E1382" s="48" t="str">
        <f t="shared" si="1"/>
        <v>1.33%</v>
      </c>
      <c r="F1382" s="48">
        <f t="shared" si="2"/>
        <v>1.33</v>
      </c>
      <c r="G1382" s="48" t="str">
        <f t="shared" si="3"/>
        <v/>
      </c>
      <c r="H1382" s="48">
        <f>IFERROR(__xludf.DUMMYFUNCTION("IFERROR(GOOGLEFINANCE(A1382,""PRICE""),)"),580.4)</f>
        <v>580.4</v>
      </c>
      <c r="I1382" s="49">
        <f>IFERROR(__xludf.DUMMYFUNCTION("IFERROR(GOOGLEFINANCE(A1382,""VOLUME""),)"),32564.0)</f>
        <v>32564</v>
      </c>
      <c r="J1382" s="48" t="str">
        <f>IFERROR(__xludf.DUMMYFUNCTION("IFERROR(INDEX(SPLIT(A1382,"":""),1,2),)"),"SYMPHONY")</f>
        <v>SYMPHONY</v>
      </c>
      <c r="K1382" s="48">
        <f t="shared" si="4"/>
        <v>375</v>
      </c>
      <c r="L1382" s="48" t="str">
        <f t="shared" si="5"/>
        <v/>
      </c>
      <c r="M1382" s="48">
        <f t="shared" si="6"/>
        <v>1039</v>
      </c>
      <c r="N1382" s="50">
        <f>IFERROR(__xludf.DUMMYFUNCTION("IFERROR(GOOGLEFINANCE(A1382,""TRADETIME""),)"),46269.64585648148)</f>
        <v>46269.64586</v>
      </c>
      <c r="O1382" s="44"/>
      <c r="P1382" s="44"/>
      <c r="Q1382" s="44"/>
      <c r="R1382" s="44"/>
      <c r="S1382" s="44"/>
      <c r="T1382" s="44"/>
      <c r="U1382" s="44"/>
      <c r="V1382" s="44"/>
      <c r="W1382" s="44"/>
      <c r="X1382" s="44"/>
      <c r="Y1382" s="44"/>
      <c r="Z1382" s="44"/>
    </row>
    <row r="1383" ht="15.75" customHeight="1">
      <c r="A1383" s="51" t="s">
        <v>1429</v>
      </c>
      <c r="B1383" s="51" t="str">
        <f>IFERROR(__xludf.DUMMYFUNCTION("IFERROR(GOOGLEFINANCE(A1383,""NAME""),)"),"Syngene International Ltd")</f>
        <v>Syngene International Ltd</v>
      </c>
      <c r="C1383" s="51">
        <f>IFERROR(__xludf.DUMMYFUNCTION("IFERROR(GOOGLEFINANCE(A1383,""CHANGE""),)"),-5.65)</f>
        <v>-5.65</v>
      </c>
      <c r="D1383" s="51">
        <f>IFERROR(__xludf.DUMMYFUNCTION("IFERROR(GOOGLEFINANCE(A1383,""CHANGEPCT""),)"),-1.41)</f>
        <v>-1.41</v>
      </c>
      <c r="E1383" s="51" t="str">
        <f t="shared" si="1"/>
        <v>-1.41%</v>
      </c>
      <c r="F1383" s="51" t="str">
        <f t="shared" si="2"/>
        <v/>
      </c>
      <c r="G1383" s="51">
        <f t="shared" si="3"/>
        <v>-1.41</v>
      </c>
      <c r="H1383" s="51">
        <f>IFERROR(__xludf.DUMMYFUNCTION("IFERROR(GOOGLEFINANCE(A1383,""PRICE""),)"),395.15)</f>
        <v>395.15</v>
      </c>
      <c r="I1383" s="52">
        <f>IFERROR(__xludf.DUMMYFUNCTION("IFERROR(GOOGLEFINANCE(A1383,""VOLUME""),)"),522372.0)</f>
        <v>522372</v>
      </c>
      <c r="J1383" s="51" t="str">
        <f>IFERROR(__xludf.DUMMYFUNCTION("IFERROR(INDEX(SPLIT(A1383,"":""),1,2),)"),"SYNGENE")</f>
        <v>SYNGENE</v>
      </c>
      <c r="K1383" s="51" t="str">
        <f t="shared" si="4"/>
        <v/>
      </c>
      <c r="L1383" s="51">
        <f t="shared" si="5"/>
        <v>431</v>
      </c>
      <c r="M1383" s="51">
        <f t="shared" si="6"/>
        <v>384</v>
      </c>
      <c r="N1383" s="53">
        <f>IFERROR(__xludf.DUMMYFUNCTION("IFERROR(GOOGLEFINANCE(A1383,""TRADETIME""),)"),46269.64583333333)</f>
        <v>46269.64583</v>
      </c>
      <c r="O1383" s="44"/>
      <c r="P1383" s="44"/>
      <c r="Q1383" s="44"/>
      <c r="R1383" s="44"/>
      <c r="S1383" s="44"/>
      <c r="T1383" s="44"/>
      <c r="U1383" s="44"/>
      <c r="V1383" s="44"/>
      <c r="W1383" s="44"/>
      <c r="X1383" s="44"/>
      <c r="Y1383" s="44"/>
      <c r="Z1383" s="44"/>
    </row>
    <row r="1384" ht="15.75" customHeight="1">
      <c r="A1384" s="48" t="s">
        <v>1430</v>
      </c>
      <c r="B1384" s="48" t="str">
        <f>IFERROR(__xludf.DUMMYFUNCTION("IFERROR(GOOGLEFINANCE(A1384,""NAME""),)"),"Thomas Scott (India) Ltd")</f>
        <v>Thomas Scott (India) Ltd</v>
      </c>
      <c r="C1384" s="48">
        <f>IFERROR(__xludf.DUMMYFUNCTION("IFERROR(GOOGLEFINANCE(A1384,""CHANGE""),)"),4.05)</f>
        <v>4.05</v>
      </c>
      <c r="D1384" s="48">
        <f>IFERROR(__xludf.DUMMYFUNCTION("IFERROR(GOOGLEFINANCE(A1384,""CHANGEPCT""),)"),1.55)</f>
        <v>1.55</v>
      </c>
      <c r="E1384" s="48" t="str">
        <f t="shared" si="1"/>
        <v>1.55%</v>
      </c>
      <c r="F1384" s="48">
        <f t="shared" si="2"/>
        <v>1.55</v>
      </c>
      <c r="G1384" s="48" t="str">
        <f t="shared" si="3"/>
        <v/>
      </c>
      <c r="H1384" s="48">
        <f>IFERROR(__xludf.DUMMYFUNCTION("IFERROR(GOOGLEFINANCE(A1384,""PRICE""),)"),265.0)</f>
        <v>265</v>
      </c>
      <c r="I1384" s="49">
        <f>IFERROR(__xludf.DUMMYFUNCTION("IFERROR(GOOGLEFINANCE(A1384,""VOLUME""),)"),44350.0)</f>
        <v>44350</v>
      </c>
      <c r="J1384" s="48" t="str">
        <f>IFERROR(__xludf.DUMMYFUNCTION("IFERROR(INDEX(SPLIT(A1384,"":""),1,2),)"),"THOMASCOTT")</f>
        <v>THOMASCOTT</v>
      </c>
      <c r="K1384" s="48">
        <f t="shared" si="4"/>
        <v>334</v>
      </c>
      <c r="L1384" s="48" t="str">
        <f t="shared" si="5"/>
        <v/>
      </c>
      <c r="M1384" s="48">
        <f t="shared" si="6"/>
        <v>974</v>
      </c>
      <c r="N1384" s="50">
        <f>IFERROR(__xludf.DUMMYFUNCTION("IFERROR(GOOGLEFINANCE(A1384,""TRADETIME""),)"),46269.64583333333)</f>
        <v>46269.64583</v>
      </c>
      <c r="O1384" s="44"/>
      <c r="P1384" s="44"/>
      <c r="Q1384" s="44"/>
      <c r="R1384" s="44"/>
      <c r="S1384" s="44"/>
      <c r="T1384" s="44"/>
      <c r="U1384" s="44"/>
      <c r="V1384" s="44"/>
      <c r="W1384" s="44"/>
      <c r="X1384" s="44"/>
      <c r="Y1384" s="44"/>
      <c r="Z1384" s="44"/>
    </row>
    <row r="1385" ht="15.75" customHeight="1">
      <c r="A1385" s="51" t="s">
        <v>1431</v>
      </c>
      <c r="B1385" s="51" t="str">
        <f>IFERROR(__xludf.DUMMYFUNCTION("IFERROR(GOOGLEFINANCE(A1385,""NAME""),)"),"TAJGVK Hotels &amp; Resorts Limited")</f>
        <v>TAJGVK Hotels &amp; Resorts Limited</v>
      </c>
      <c r="C1385" s="51">
        <f>IFERROR(__xludf.DUMMYFUNCTION("IFERROR(GOOGLEFINANCE(A1385,""CHANGE""),)"),2.0)</f>
        <v>2</v>
      </c>
      <c r="D1385" s="51">
        <f>IFERROR(__xludf.DUMMYFUNCTION("IFERROR(GOOGLEFINANCE(A1385,""CHANGEPCT""),)"),0.6)</f>
        <v>0.6</v>
      </c>
      <c r="E1385" s="51" t="str">
        <f t="shared" si="1"/>
        <v>0.6%</v>
      </c>
      <c r="F1385" s="51">
        <f t="shared" si="2"/>
        <v>0.6</v>
      </c>
      <c r="G1385" s="51" t="str">
        <f t="shared" si="3"/>
        <v/>
      </c>
      <c r="H1385" s="51">
        <f>IFERROR(__xludf.DUMMYFUNCTION("IFERROR(GOOGLEFINANCE(A1385,""PRICE""),)"),335.8)</f>
        <v>335.8</v>
      </c>
      <c r="I1385" s="52">
        <f>IFERROR(__xludf.DUMMYFUNCTION("IFERROR(GOOGLEFINANCE(A1385,""VOLUME""),)"),150325.0)</f>
        <v>150325</v>
      </c>
      <c r="J1385" s="51" t="str">
        <f>IFERROR(__xludf.DUMMYFUNCTION("IFERROR(INDEX(SPLIT(A1385,"":""),1,2),)"),"TAJGVK")</f>
        <v>TAJGVK</v>
      </c>
      <c r="K1385" s="51">
        <f t="shared" si="4"/>
        <v>561</v>
      </c>
      <c r="L1385" s="51" t="str">
        <f t="shared" si="5"/>
        <v/>
      </c>
      <c r="M1385" s="51">
        <f t="shared" si="6"/>
        <v>689</v>
      </c>
      <c r="N1385" s="53">
        <f>IFERROR(__xludf.DUMMYFUNCTION("IFERROR(GOOGLEFINANCE(A1385,""TRADETIME""),)"),46269.64583333333)</f>
        <v>46269.64583</v>
      </c>
      <c r="O1385" s="44"/>
      <c r="P1385" s="44"/>
      <c r="Q1385" s="44"/>
      <c r="R1385" s="44"/>
      <c r="S1385" s="44"/>
      <c r="T1385" s="44"/>
      <c r="U1385" s="44"/>
      <c r="V1385" s="44"/>
      <c r="W1385" s="44"/>
      <c r="X1385" s="44"/>
      <c r="Y1385" s="44"/>
      <c r="Z1385" s="44"/>
    </row>
    <row r="1386" ht="15.75" customHeight="1">
      <c r="A1386" s="48" t="s">
        <v>1432</v>
      </c>
      <c r="B1386" s="48" t="str">
        <f>IFERROR(__xludf.DUMMYFUNCTION("IFERROR(GOOGLEFINANCE(A1386,""NAME""),)"),"Take Ltd")</f>
        <v>Take Ltd</v>
      </c>
      <c r="C1386" s="48">
        <f>IFERROR(__xludf.DUMMYFUNCTION("IFERROR(GOOGLEFINANCE(A1386,""CHANGE""),)"),0.65)</f>
        <v>0.65</v>
      </c>
      <c r="D1386" s="48">
        <f>IFERROR(__xludf.DUMMYFUNCTION("IFERROR(GOOGLEFINANCE(A1386,""CHANGEPCT""),)"),4.94)</f>
        <v>4.94</v>
      </c>
      <c r="E1386" s="48" t="str">
        <f t="shared" si="1"/>
        <v>4.94%</v>
      </c>
      <c r="F1386" s="48">
        <f t="shared" si="2"/>
        <v>4.94</v>
      </c>
      <c r="G1386" s="48" t="str">
        <f t="shared" si="3"/>
        <v/>
      </c>
      <c r="H1386" s="48">
        <f>IFERROR(__xludf.DUMMYFUNCTION("IFERROR(GOOGLEFINANCE(A1386,""PRICE""),)"),13.82)</f>
        <v>13.82</v>
      </c>
      <c r="I1386" s="49">
        <f>IFERROR(__xludf.DUMMYFUNCTION("IFERROR(GOOGLEFINANCE(A1386,""VOLUME""),)"),918186.0)</f>
        <v>918186</v>
      </c>
      <c r="J1386" s="48" t="str">
        <f>IFERROR(__xludf.DUMMYFUNCTION("IFERROR(INDEX(SPLIT(A1386,"":""),1,2),)"),"TAKE")</f>
        <v>TAKE</v>
      </c>
      <c r="K1386" s="48">
        <f t="shared" si="4"/>
        <v>78</v>
      </c>
      <c r="L1386" s="48" t="str">
        <f t="shared" si="5"/>
        <v/>
      </c>
      <c r="M1386" s="48">
        <f t="shared" si="6"/>
        <v>291</v>
      </c>
      <c r="N1386" s="50">
        <f>IFERROR(__xludf.DUMMYFUNCTION("IFERROR(GOOGLEFINANCE(A1386,""TRADETIME""),)"),46269.64583333333)</f>
        <v>46269.64583</v>
      </c>
      <c r="O1386" s="44"/>
      <c r="P1386" s="44"/>
      <c r="Q1386" s="44"/>
      <c r="R1386" s="44"/>
      <c r="S1386" s="44"/>
      <c r="T1386" s="44"/>
      <c r="U1386" s="44"/>
      <c r="V1386" s="44"/>
      <c r="W1386" s="44"/>
      <c r="X1386" s="44"/>
      <c r="Y1386" s="44"/>
      <c r="Z1386" s="44"/>
    </row>
    <row r="1387" ht="15.75" customHeight="1">
      <c r="A1387" s="51" t="s">
        <v>1433</v>
      </c>
      <c r="B1387" s="51" t="str">
        <f>IFERROR(__xludf.DUMMYFUNCTION("IFERROR(GOOGLEFINANCE(A1387,""NAME""),)"),"Talbros Automotive Components Ltd")</f>
        <v>Talbros Automotive Components Ltd</v>
      </c>
      <c r="C1387" s="51">
        <f>IFERROR(__xludf.DUMMYFUNCTION("IFERROR(GOOGLEFINANCE(A1387,""CHANGE""),)"),-4.15)</f>
        <v>-4.15</v>
      </c>
      <c r="D1387" s="51">
        <f>IFERROR(__xludf.DUMMYFUNCTION("IFERROR(GOOGLEFINANCE(A1387,""CHANGEPCT""),)"),-1.01)</f>
        <v>-1.01</v>
      </c>
      <c r="E1387" s="51" t="str">
        <f t="shared" si="1"/>
        <v>-1.01%</v>
      </c>
      <c r="F1387" s="51" t="str">
        <f t="shared" si="2"/>
        <v/>
      </c>
      <c r="G1387" s="51">
        <f t="shared" si="3"/>
        <v>-1.01</v>
      </c>
      <c r="H1387" s="51">
        <f>IFERROR(__xludf.DUMMYFUNCTION("IFERROR(GOOGLEFINANCE(A1387,""PRICE""),)"),408.0)</f>
        <v>408</v>
      </c>
      <c r="I1387" s="52">
        <f>IFERROR(__xludf.DUMMYFUNCTION("IFERROR(GOOGLEFINANCE(A1387,""VOLUME""),)"),76183.0)</f>
        <v>76183</v>
      </c>
      <c r="J1387" s="51" t="str">
        <f>IFERROR(__xludf.DUMMYFUNCTION("IFERROR(INDEX(SPLIT(A1387,"":""),1,2),)"),"TALBROAUTO")</f>
        <v>TALBROAUTO</v>
      </c>
      <c r="K1387" s="51" t="str">
        <f t="shared" si="4"/>
        <v/>
      </c>
      <c r="L1387" s="51">
        <f t="shared" si="5"/>
        <v>343</v>
      </c>
      <c r="M1387" s="51">
        <f t="shared" si="6"/>
        <v>839</v>
      </c>
      <c r="N1387" s="53">
        <f>IFERROR(__xludf.DUMMYFUNCTION("IFERROR(GOOGLEFINANCE(A1387,""TRADETIME""),)"),46269.64583333333)</f>
        <v>46269.64583</v>
      </c>
      <c r="O1387" s="44"/>
      <c r="P1387" s="44"/>
      <c r="Q1387" s="44"/>
      <c r="R1387" s="44"/>
      <c r="S1387" s="44"/>
      <c r="T1387" s="44"/>
      <c r="U1387" s="44"/>
      <c r="V1387" s="44"/>
      <c r="W1387" s="44"/>
      <c r="X1387" s="44"/>
      <c r="Y1387" s="44"/>
      <c r="Z1387" s="44"/>
    </row>
    <row r="1388" ht="15.75" customHeight="1">
      <c r="A1388" s="48" t="s">
        <v>1434</v>
      </c>
      <c r="B1388" s="48" t="str">
        <f>IFERROR(__xludf.DUMMYFUNCTION("IFERROR(GOOGLEFINANCE(A1388,""NAME""),)"),"Tanla Platforms Ltd")</f>
        <v>Tanla Platforms Ltd</v>
      </c>
      <c r="C1388" s="48">
        <f>IFERROR(__xludf.DUMMYFUNCTION("IFERROR(GOOGLEFINANCE(A1388,""CHANGE""),)"),6.5)</f>
        <v>6.5</v>
      </c>
      <c r="D1388" s="48">
        <f>IFERROR(__xludf.DUMMYFUNCTION("IFERROR(GOOGLEFINANCE(A1388,""CHANGEPCT""),)"),1.26)</f>
        <v>1.26</v>
      </c>
      <c r="E1388" s="48" t="str">
        <f t="shared" si="1"/>
        <v>1.26%</v>
      </c>
      <c r="F1388" s="48">
        <f t="shared" si="2"/>
        <v>1.26</v>
      </c>
      <c r="G1388" s="48" t="str">
        <f t="shared" si="3"/>
        <v/>
      </c>
      <c r="H1388" s="48">
        <f>IFERROR(__xludf.DUMMYFUNCTION("IFERROR(GOOGLEFINANCE(A1388,""PRICE""),)"),521.3)</f>
        <v>521.3</v>
      </c>
      <c r="I1388" s="49">
        <f>IFERROR(__xludf.DUMMYFUNCTION("IFERROR(GOOGLEFINANCE(A1388,""VOLUME""),)"),368770.0)</f>
        <v>368770</v>
      </c>
      <c r="J1388" s="48" t="str">
        <f>IFERROR(__xludf.DUMMYFUNCTION("IFERROR(INDEX(SPLIT(A1388,"":""),1,2),)"),"TANLA")</f>
        <v>TANLA</v>
      </c>
      <c r="K1388" s="48">
        <f t="shared" si="4"/>
        <v>391</v>
      </c>
      <c r="L1388" s="48" t="str">
        <f t="shared" si="5"/>
        <v/>
      </c>
      <c r="M1388" s="48">
        <f t="shared" si="6"/>
        <v>459</v>
      </c>
      <c r="N1388" s="50">
        <f>IFERROR(__xludf.DUMMYFUNCTION("IFERROR(GOOGLEFINANCE(A1388,""TRADETIME""),)"),46269.64583333333)</f>
        <v>46269.64583</v>
      </c>
      <c r="O1388" s="44"/>
      <c r="P1388" s="44"/>
      <c r="Q1388" s="44"/>
      <c r="R1388" s="44"/>
      <c r="S1388" s="44"/>
      <c r="T1388" s="44"/>
      <c r="U1388" s="44"/>
      <c r="V1388" s="44"/>
      <c r="W1388" s="44"/>
      <c r="X1388" s="44"/>
      <c r="Y1388" s="44"/>
      <c r="Z1388" s="44"/>
    </row>
    <row r="1389" ht="15.75" customHeight="1">
      <c r="A1389" s="51" t="s">
        <v>1435</v>
      </c>
      <c r="B1389" s="51" t="str">
        <f>IFERROR(__xludf.DUMMYFUNCTION("IFERROR(GOOGLEFINANCE(A1389,""NAME""),)"),"")</f>
        <v/>
      </c>
      <c r="C1389" s="51" t="str">
        <f>IFERROR(__xludf.DUMMYFUNCTION("IFERROR(GOOGLEFINANCE(A1389,""CHANGE""),)"),"")</f>
        <v/>
      </c>
      <c r="D1389" s="51" t="str">
        <f>IFERROR(__xludf.DUMMYFUNCTION("IFERROR(GOOGLEFINANCE(A1389,""CHANGEPCT""),)"),"")</f>
        <v/>
      </c>
      <c r="E1389" s="51" t="str">
        <f t="shared" si="1"/>
        <v>%</v>
      </c>
      <c r="F1389" s="51" t="str">
        <f t="shared" si="2"/>
        <v/>
      </c>
      <c r="G1389" s="51" t="str">
        <f t="shared" si="3"/>
        <v/>
      </c>
      <c r="H1389" s="51" t="str">
        <f>IFERROR(__xludf.DUMMYFUNCTION("IFERROR(GOOGLEFINANCE(A1389,""PRICE""),)"),"")</f>
        <v/>
      </c>
      <c r="I1389" s="52" t="str">
        <f>IFERROR(__xludf.DUMMYFUNCTION("IFERROR(GOOGLEFINANCE(A1389,""VOLUME""),)"),"")</f>
        <v/>
      </c>
      <c r="J1389" s="51" t="str">
        <f>IFERROR(__xludf.DUMMYFUNCTION("IFERROR(INDEX(SPLIT(A1389,"":""),1,2),)"),"TANTIACONS")</f>
        <v>TANTIACONS</v>
      </c>
      <c r="K1389" s="51" t="str">
        <f t="shared" si="4"/>
        <v/>
      </c>
      <c r="L1389" s="51" t="str">
        <f t="shared" si="5"/>
        <v/>
      </c>
      <c r="M1389" s="51">
        <f t="shared" si="6"/>
        <v>1456</v>
      </c>
      <c r="N1389" s="53" t="str">
        <f>IFERROR(__xludf.DUMMYFUNCTION("IFERROR(GOOGLEFINANCE(A1389,""TRADETIME""),)"),"")</f>
        <v/>
      </c>
      <c r="O1389" s="44"/>
      <c r="P1389" s="44"/>
      <c r="Q1389" s="44"/>
      <c r="R1389" s="44"/>
      <c r="S1389" s="44"/>
      <c r="T1389" s="44"/>
      <c r="U1389" s="44"/>
      <c r="V1389" s="44"/>
      <c r="W1389" s="44"/>
      <c r="X1389" s="44"/>
      <c r="Y1389" s="44"/>
      <c r="Z1389" s="44"/>
    </row>
    <row r="1390" ht="15.75" customHeight="1">
      <c r="A1390" s="48" t="s">
        <v>1436</v>
      </c>
      <c r="B1390" s="48" t="str">
        <f>IFERROR(__xludf.DUMMYFUNCTION("IFERROR(GOOGLEFINANCE(A1390,""NAME""),)"),"Tarc Ltd")</f>
        <v>Tarc Ltd</v>
      </c>
      <c r="C1390" s="48">
        <f>IFERROR(__xludf.DUMMYFUNCTION("IFERROR(GOOGLEFINANCE(A1390,""CHANGE""),)"),2.81)</f>
        <v>2.81</v>
      </c>
      <c r="D1390" s="48">
        <f>IFERROR(__xludf.DUMMYFUNCTION("IFERROR(GOOGLEFINANCE(A1390,""CHANGEPCT""),)"),2.26)</f>
        <v>2.26</v>
      </c>
      <c r="E1390" s="48" t="str">
        <f t="shared" si="1"/>
        <v>2.26%</v>
      </c>
      <c r="F1390" s="48">
        <f t="shared" si="2"/>
        <v>2.26</v>
      </c>
      <c r="G1390" s="48" t="str">
        <f t="shared" si="3"/>
        <v/>
      </c>
      <c r="H1390" s="48">
        <f>IFERROR(__xludf.DUMMYFUNCTION("IFERROR(GOOGLEFINANCE(A1390,""PRICE""),)"),127.0)</f>
        <v>127</v>
      </c>
      <c r="I1390" s="49">
        <f>IFERROR(__xludf.DUMMYFUNCTION("IFERROR(GOOGLEFINANCE(A1390,""VOLUME""),)"),355398.0)</f>
        <v>355398</v>
      </c>
      <c r="J1390" s="48" t="str">
        <f>IFERROR(__xludf.DUMMYFUNCTION("IFERROR(INDEX(SPLIT(A1390,"":""),1,2),)"),"TARC")</f>
        <v>TARC</v>
      </c>
      <c r="K1390" s="48">
        <f t="shared" si="4"/>
        <v>229</v>
      </c>
      <c r="L1390" s="48" t="str">
        <f t="shared" si="5"/>
        <v/>
      </c>
      <c r="M1390" s="48">
        <f t="shared" si="6"/>
        <v>466</v>
      </c>
      <c r="N1390" s="50">
        <f>IFERROR(__xludf.DUMMYFUNCTION("IFERROR(GOOGLEFINANCE(A1390,""TRADETIME""),)"),46269.64583333333)</f>
        <v>46269.64583</v>
      </c>
      <c r="O1390" s="44"/>
      <c r="P1390" s="44"/>
      <c r="Q1390" s="44"/>
      <c r="R1390" s="44"/>
      <c r="S1390" s="44"/>
      <c r="T1390" s="44"/>
      <c r="U1390" s="44"/>
      <c r="V1390" s="44"/>
      <c r="W1390" s="44"/>
      <c r="X1390" s="44"/>
      <c r="Y1390" s="44"/>
      <c r="Z1390" s="44"/>
    </row>
    <row r="1391" ht="15.75" customHeight="1">
      <c r="A1391" s="51" t="s">
        <v>1437</v>
      </c>
      <c r="B1391" s="51" t="str">
        <f>IFERROR(__xludf.DUMMYFUNCTION("IFERROR(GOOGLEFINANCE(A1391,""NAME""),)"),"Tarmat Ltd")</f>
        <v>Tarmat Ltd</v>
      </c>
      <c r="C1391" s="51">
        <f>IFERROR(__xludf.DUMMYFUNCTION("IFERROR(GOOGLEFINANCE(A1391,""CHANGE""),)"),-3.94)</f>
        <v>-3.94</v>
      </c>
      <c r="D1391" s="51">
        <f>IFERROR(__xludf.DUMMYFUNCTION("IFERROR(GOOGLEFINANCE(A1391,""CHANGEPCT""),)"),-6.11)</f>
        <v>-6.11</v>
      </c>
      <c r="E1391" s="51" t="str">
        <f t="shared" si="1"/>
        <v>-6.11%</v>
      </c>
      <c r="F1391" s="51" t="str">
        <f t="shared" si="2"/>
        <v/>
      </c>
      <c r="G1391" s="51">
        <f t="shared" si="3"/>
        <v>-6.11</v>
      </c>
      <c r="H1391" s="51">
        <f>IFERROR(__xludf.DUMMYFUNCTION("IFERROR(GOOGLEFINANCE(A1391,""PRICE""),)"),60.55)</f>
        <v>60.55</v>
      </c>
      <c r="I1391" s="52">
        <f>IFERROR(__xludf.DUMMYFUNCTION("IFERROR(GOOGLEFINANCE(A1391,""VOLUME""),)"),36316.0)</f>
        <v>36316</v>
      </c>
      <c r="J1391" s="51" t="str">
        <f>IFERROR(__xludf.DUMMYFUNCTION("IFERROR(INDEX(SPLIT(A1391,"":""),1,2),)"),"TARMAT")</f>
        <v>TARMAT</v>
      </c>
      <c r="K1391" s="51" t="str">
        <f t="shared" si="4"/>
        <v/>
      </c>
      <c r="L1391" s="51">
        <f t="shared" si="5"/>
        <v>648</v>
      </c>
      <c r="M1391" s="51">
        <f t="shared" si="6"/>
        <v>1024</v>
      </c>
      <c r="N1391" s="53">
        <f>IFERROR(__xludf.DUMMYFUNCTION("IFERROR(GOOGLEFINANCE(A1391,""TRADETIME""),)"),46269.64583333333)</f>
        <v>46269.64583</v>
      </c>
      <c r="O1391" s="44"/>
      <c r="P1391" s="44"/>
      <c r="Q1391" s="44"/>
      <c r="R1391" s="44"/>
      <c r="S1391" s="44"/>
      <c r="T1391" s="44"/>
      <c r="U1391" s="44"/>
      <c r="V1391" s="44"/>
      <c r="W1391" s="44"/>
      <c r="X1391" s="44"/>
      <c r="Y1391" s="44"/>
      <c r="Z1391" s="44"/>
    </row>
    <row r="1392" ht="15.75" customHeight="1">
      <c r="A1392" s="48" t="s">
        <v>1438</v>
      </c>
      <c r="B1392" s="48" t="str">
        <f>IFERROR(__xludf.DUMMYFUNCTION("IFERROR(GOOGLEFINANCE(A1392,""NAME""),)"),"Tasty Bite Eatables Ltd")</f>
        <v>Tasty Bite Eatables Ltd</v>
      </c>
      <c r="C1392" s="48">
        <f>IFERROR(__xludf.DUMMYFUNCTION("IFERROR(GOOGLEFINANCE(A1392,""CHANGE""),)"),-42.0)</f>
        <v>-42</v>
      </c>
      <c r="D1392" s="48">
        <f>IFERROR(__xludf.DUMMYFUNCTION("IFERROR(GOOGLEFINANCE(A1392,""CHANGEPCT""),)"),-0.42)</f>
        <v>-0.42</v>
      </c>
      <c r="E1392" s="48" t="str">
        <f t="shared" si="1"/>
        <v>-0.42%</v>
      </c>
      <c r="F1392" s="48" t="str">
        <f t="shared" si="2"/>
        <v/>
      </c>
      <c r="G1392" s="48">
        <f t="shared" si="3"/>
        <v>-0.42</v>
      </c>
      <c r="H1392" s="48">
        <f>IFERROR(__xludf.DUMMYFUNCTION("IFERROR(GOOGLEFINANCE(A1392,""PRICE""),)"),10010.0)</f>
        <v>10010</v>
      </c>
      <c r="I1392" s="49">
        <f>IFERROR(__xludf.DUMMYFUNCTION("IFERROR(GOOGLEFINANCE(A1392,""VOLUME""),)"),1301.0)</f>
        <v>1301</v>
      </c>
      <c r="J1392" s="48" t="str">
        <f>IFERROR(__xludf.DUMMYFUNCTION("IFERROR(INDEX(SPLIT(A1392,"":""),1,2),)"),"TASTYBITE")</f>
        <v>TASTYBITE</v>
      </c>
      <c r="K1392" s="48" t="str">
        <f t="shared" si="4"/>
        <v/>
      </c>
      <c r="L1392" s="48">
        <f t="shared" si="5"/>
        <v>161</v>
      </c>
      <c r="M1392" s="48">
        <f t="shared" si="6"/>
        <v>1412</v>
      </c>
      <c r="N1392" s="50">
        <f>IFERROR(__xludf.DUMMYFUNCTION("IFERROR(GOOGLEFINANCE(A1392,""TRADETIME""),)"),46269.64583333333)</f>
        <v>46269.64583</v>
      </c>
      <c r="O1392" s="44"/>
      <c r="P1392" s="44"/>
      <c r="Q1392" s="44"/>
      <c r="R1392" s="44"/>
      <c r="S1392" s="44"/>
      <c r="T1392" s="44"/>
      <c r="U1392" s="44"/>
      <c r="V1392" s="44"/>
      <c r="W1392" s="44"/>
      <c r="X1392" s="44"/>
      <c r="Y1392" s="44"/>
      <c r="Z1392" s="44"/>
    </row>
    <row r="1393" ht="15.75" customHeight="1">
      <c r="A1393" s="51" t="s">
        <v>1439</v>
      </c>
      <c r="B1393" s="51" t="str">
        <f>IFERROR(__xludf.DUMMYFUNCTION("IFERROR(GOOGLEFINANCE(A1393,""NAME""),)"),"Tata Chemicals Ltd")</f>
        <v>Tata Chemicals Ltd</v>
      </c>
      <c r="C1393" s="51">
        <f>IFERROR(__xludf.DUMMYFUNCTION("IFERROR(GOOGLEFINANCE(A1393,""CHANGE""),)"),-16.65)</f>
        <v>-16.65</v>
      </c>
      <c r="D1393" s="51">
        <f>IFERROR(__xludf.DUMMYFUNCTION("IFERROR(GOOGLEFINANCE(A1393,""CHANGEPCT""),)"),-2.6)</f>
        <v>-2.6</v>
      </c>
      <c r="E1393" s="51" t="str">
        <f t="shared" si="1"/>
        <v>-2.6%</v>
      </c>
      <c r="F1393" s="51" t="str">
        <f t="shared" si="2"/>
        <v/>
      </c>
      <c r="G1393" s="51">
        <f t="shared" si="3"/>
        <v>-2.6</v>
      </c>
      <c r="H1393" s="51">
        <f>IFERROR(__xludf.DUMMYFUNCTION("IFERROR(GOOGLEFINANCE(A1393,""PRICE""),)"),624.7)</f>
        <v>624.7</v>
      </c>
      <c r="I1393" s="52">
        <f>IFERROR(__xludf.DUMMYFUNCTION("IFERROR(GOOGLEFINANCE(A1393,""VOLUME""),)"),991042.0)</f>
        <v>991042</v>
      </c>
      <c r="J1393" s="51" t="str">
        <f>IFERROR(__xludf.DUMMYFUNCTION("IFERROR(INDEX(SPLIT(A1393,"":""),1,2),)"),"TATACHEM")</f>
        <v>TATACHEM</v>
      </c>
      <c r="K1393" s="51" t="str">
        <f t="shared" si="4"/>
        <v/>
      </c>
      <c r="L1393" s="51">
        <f t="shared" si="5"/>
        <v>578</v>
      </c>
      <c r="M1393" s="51">
        <f t="shared" si="6"/>
        <v>276</v>
      </c>
      <c r="N1393" s="53">
        <f>IFERROR(__xludf.DUMMYFUNCTION("IFERROR(GOOGLEFINANCE(A1393,""TRADETIME""),)"),46269.64584490741)</f>
        <v>46269.64584</v>
      </c>
      <c r="O1393" s="44"/>
      <c r="P1393" s="44"/>
      <c r="Q1393" s="44"/>
      <c r="R1393" s="44"/>
      <c r="S1393" s="44"/>
      <c r="T1393" s="44"/>
      <c r="U1393" s="44"/>
      <c r="V1393" s="44"/>
      <c r="W1393" s="44"/>
      <c r="X1393" s="44"/>
      <c r="Y1393" s="44"/>
      <c r="Z1393" s="44"/>
    </row>
    <row r="1394" ht="15.75" customHeight="1">
      <c r="A1394" s="48" t="s">
        <v>1440</v>
      </c>
      <c r="B1394" s="48" t="str">
        <f>IFERROR(__xludf.DUMMYFUNCTION("IFERROR(GOOGLEFINANCE(A1394,""NAME""),)"),"")</f>
        <v/>
      </c>
      <c r="C1394" s="48" t="str">
        <f>IFERROR(__xludf.DUMMYFUNCTION("IFERROR(GOOGLEFINANCE(A1394,""CHANGE""),)"),"")</f>
        <v/>
      </c>
      <c r="D1394" s="48" t="str">
        <f>IFERROR(__xludf.DUMMYFUNCTION("IFERROR(GOOGLEFINANCE(A1394,""CHANGEPCT""),)"),"")</f>
        <v/>
      </c>
      <c r="E1394" s="48" t="str">
        <f t="shared" si="1"/>
        <v>%</v>
      </c>
      <c r="F1394" s="48" t="str">
        <f t="shared" si="2"/>
        <v/>
      </c>
      <c r="G1394" s="48" t="str">
        <f t="shared" si="3"/>
        <v/>
      </c>
      <c r="H1394" s="48" t="str">
        <f>IFERROR(__xludf.DUMMYFUNCTION("IFERROR(GOOGLEFINANCE(A1394,""PRICE""),)"),"")</f>
        <v/>
      </c>
      <c r="I1394" s="49" t="str">
        <f>IFERROR(__xludf.DUMMYFUNCTION("IFERROR(GOOGLEFINANCE(A1394,""VOLUME""),)"),"")</f>
        <v/>
      </c>
      <c r="J1394" s="48" t="str">
        <f>IFERROR(__xludf.DUMMYFUNCTION("IFERROR(INDEX(SPLIT(A1394,"":""),1,2),)"),"TATACOFFEE")</f>
        <v>TATACOFFEE</v>
      </c>
      <c r="K1394" s="48" t="str">
        <f t="shared" si="4"/>
        <v/>
      </c>
      <c r="L1394" s="48" t="str">
        <f t="shared" si="5"/>
        <v/>
      </c>
      <c r="M1394" s="48">
        <f t="shared" si="6"/>
        <v>1456</v>
      </c>
      <c r="N1394" s="50" t="str">
        <f>IFERROR(__xludf.DUMMYFUNCTION("IFERROR(GOOGLEFINANCE(A1394,""TRADETIME""),)"),"")</f>
        <v/>
      </c>
      <c r="O1394" s="44"/>
      <c r="P1394" s="44"/>
      <c r="Q1394" s="44"/>
      <c r="R1394" s="44"/>
      <c r="S1394" s="44"/>
      <c r="T1394" s="44"/>
      <c r="U1394" s="44"/>
      <c r="V1394" s="44"/>
      <c r="W1394" s="44"/>
      <c r="X1394" s="44"/>
      <c r="Y1394" s="44"/>
      <c r="Z1394" s="44"/>
    </row>
    <row r="1395" ht="15.75" customHeight="1">
      <c r="A1395" s="51" t="s">
        <v>1441</v>
      </c>
      <c r="B1395" s="51" t="str">
        <f>IFERROR(__xludf.DUMMYFUNCTION("IFERROR(GOOGLEFINANCE(A1395,""NAME""),)"),"Tata Communications Ltd")</f>
        <v>Tata Communications Ltd</v>
      </c>
      <c r="C1395" s="51">
        <f>IFERROR(__xludf.DUMMYFUNCTION("IFERROR(GOOGLEFINANCE(A1395,""CHANGE""),)"),55.2)</f>
        <v>55.2</v>
      </c>
      <c r="D1395" s="51">
        <f>IFERROR(__xludf.DUMMYFUNCTION("IFERROR(GOOGLEFINANCE(A1395,""CHANGEPCT""),)"),3.25)</f>
        <v>3.25</v>
      </c>
      <c r="E1395" s="51" t="str">
        <f t="shared" si="1"/>
        <v>3.25%</v>
      </c>
      <c r="F1395" s="51">
        <f t="shared" si="2"/>
        <v>3.25</v>
      </c>
      <c r="G1395" s="51" t="str">
        <f t="shared" si="3"/>
        <v/>
      </c>
      <c r="H1395" s="51">
        <f>IFERROR(__xludf.DUMMYFUNCTION("IFERROR(GOOGLEFINANCE(A1395,""PRICE""),)"),1751.6)</f>
        <v>1751.6</v>
      </c>
      <c r="I1395" s="52">
        <f>IFERROR(__xludf.DUMMYFUNCTION("IFERROR(GOOGLEFINANCE(A1395,""VOLUME""),)"),276930.0)</f>
        <v>276930</v>
      </c>
      <c r="J1395" s="51" t="str">
        <f>IFERROR(__xludf.DUMMYFUNCTION("IFERROR(INDEX(SPLIT(A1395,"":""),1,2),)"),"TATACOMM")</f>
        <v>TATACOMM</v>
      </c>
      <c r="K1395" s="51">
        <f t="shared" si="4"/>
        <v>147</v>
      </c>
      <c r="L1395" s="51" t="str">
        <f t="shared" si="5"/>
        <v/>
      </c>
      <c r="M1395" s="51">
        <f t="shared" si="6"/>
        <v>541</v>
      </c>
      <c r="N1395" s="53">
        <f>IFERROR(__xludf.DUMMYFUNCTION("IFERROR(GOOGLEFINANCE(A1395,""TRADETIME""),)"),46269.64583333333)</f>
        <v>46269.64583</v>
      </c>
      <c r="O1395" s="44"/>
      <c r="P1395" s="44"/>
      <c r="Q1395" s="44"/>
      <c r="R1395" s="44"/>
      <c r="S1395" s="44"/>
      <c r="T1395" s="44"/>
      <c r="U1395" s="44"/>
      <c r="V1395" s="44"/>
      <c r="W1395" s="44"/>
      <c r="X1395" s="44"/>
      <c r="Y1395" s="44"/>
      <c r="Z1395" s="44"/>
    </row>
    <row r="1396" ht="15.75" customHeight="1">
      <c r="A1396" s="48" t="s">
        <v>1442</v>
      </c>
      <c r="B1396" s="48" t="str">
        <f>IFERROR(__xludf.DUMMYFUNCTION("IFERROR(GOOGLEFINANCE(A1396,""NAME""),)"),"Tata Consumer Products Ltd")</f>
        <v>Tata Consumer Products Ltd</v>
      </c>
      <c r="C1396" s="48">
        <f>IFERROR(__xludf.DUMMYFUNCTION("IFERROR(GOOGLEFINANCE(A1396,""CHANGE""),)"),-7.6)</f>
        <v>-7.6</v>
      </c>
      <c r="D1396" s="48">
        <f>IFERROR(__xludf.DUMMYFUNCTION("IFERROR(GOOGLEFINANCE(A1396,""CHANGEPCT""),)"),-0.75)</f>
        <v>-0.75</v>
      </c>
      <c r="E1396" s="48" t="str">
        <f t="shared" si="1"/>
        <v>-0.75%</v>
      </c>
      <c r="F1396" s="48" t="str">
        <f t="shared" si="2"/>
        <v/>
      </c>
      <c r="G1396" s="48">
        <f t="shared" si="3"/>
        <v>-0.75</v>
      </c>
      <c r="H1396" s="48">
        <f>IFERROR(__xludf.DUMMYFUNCTION("IFERROR(GOOGLEFINANCE(A1396,""PRICE""),)"),1011.6)</f>
        <v>1011.6</v>
      </c>
      <c r="I1396" s="49">
        <f>IFERROR(__xludf.DUMMYFUNCTION("IFERROR(GOOGLEFINANCE(A1396,""VOLUME""),)"),1030689.0)</f>
        <v>1030689</v>
      </c>
      <c r="J1396" s="48" t="str">
        <f>IFERROR(__xludf.DUMMYFUNCTION("IFERROR(INDEX(SPLIT(A1396,"":""),1,2),)"),"TATACONSUM")</f>
        <v>TATACONSUM</v>
      </c>
      <c r="K1396" s="48" t="str">
        <f t="shared" si="4"/>
        <v/>
      </c>
      <c r="L1396" s="48">
        <f t="shared" si="5"/>
        <v>285</v>
      </c>
      <c r="M1396" s="48">
        <f t="shared" si="6"/>
        <v>270</v>
      </c>
      <c r="N1396" s="50">
        <f>IFERROR(__xludf.DUMMYFUNCTION("IFERROR(GOOGLEFINANCE(A1396,""TRADETIME""),)"),46269.64583333333)</f>
        <v>46269.64583</v>
      </c>
      <c r="O1396" s="44"/>
      <c r="P1396" s="44"/>
      <c r="Q1396" s="44"/>
      <c r="R1396" s="44"/>
      <c r="S1396" s="44"/>
      <c r="T1396" s="44"/>
      <c r="U1396" s="44"/>
      <c r="V1396" s="44"/>
      <c r="W1396" s="44"/>
      <c r="X1396" s="44"/>
      <c r="Y1396" s="44"/>
      <c r="Z1396" s="44"/>
    </row>
    <row r="1397" ht="15.75" customHeight="1">
      <c r="A1397" s="51" t="s">
        <v>1443</v>
      </c>
      <c r="B1397" s="51" t="str">
        <f>IFERROR(__xludf.DUMMYFUNCTION("IFERROR(GOOGLEFINANCE(A1397,""NAME""),)"),"Tata Elxsi Ltd")</f>
        <v>Tata Elxsi Ltd</v>
      </c>
      <c r="C1397" s="51">
        <f>IFERROR(__xludf.DUMMYFUNCTION("IFERROR(GOOGLEFINANCE(A1397,""CHANGE""),)"),-23.8)</f>
        <v>-23.8</v>
      </c>
      <c r="D1397" s="51">
        <f>IFERROR(__xludf.DUMMYFUNCTION("IFERROR(GOOGLEFINANCE(A1397,""CHANGEPCT""),)"),-0.66)</f>
        <v>-0.66</v>
      </c>
      <c r="E1397" s="51" t="str">
        <f t="shared" si="1"/>
        <v>-0.66%</v>
      </c>
      <c r="F1397" s="51" t="str">
        <f t="shared" si="2"/>
        <v/>
      </c>
      <c r="G1397" s="51">
        <f t="shared" si="3"/>
        <v>-0.66</v>
      </c>
      <c r="H1397" s="51">
        <f>IFERROR(__xludf.DUMMYFUNCTION("IFERROR(GOOGLEFINANCE(A1397,""PRICE""),)"),3556.2)</f>
        <v>3556.2</v>
      </c>
      <c r="I1397" s="52">
        <f>IFERROR(__xludf.DUMMYFUNCTION("IFERROR(GOOGLEFINANCE(A1397,""VOLUME""),)"),203529.0)</f>
        <v>203529</v>
      </c>
      <c r="J1397" s="51" t="str">
        <f>IFERROR(__xludf.DUMMYFUNCTION("IFERROR(INDEX(SPLIT(A1397,"":""),1,2),)"),"TATAELXSI")</f>
        <v>TATAELXSI</v>
      </c>
      <c r="K1397" s="51" t="str">
        <f t="shared" si="4"/>
        <v/>
      </c>
      <c r="L1397" s="51">
        <f t="shared" si="5"/>
        <v>247</v>
      </c>
      <c r="M1397" s="51">
        <f t="shared" si="6"/>
        <v>623</v>
      </c>
      <c r="N1397" s="53">
        <f>IFERROR(__xludf.DUMMYFUNCTION("IFERROR(GOOGLEFINANCE(A1397,""TRADETIME""),)"),46269.64583333333)</f>
        <v>46269.64583</v>
      </c>
      <c r="O1397" s="44"/>
      <c r="P1397" s="44"/>
      <c r="Q1397" s="44"/>
      <c r="R1397" s="44"/>
      <c r="S1397" s="44"/>
      <c r="T1397" s="44"/>
      <c r="U1397" s="44"/>
      <c r="V1397" s="44"/>
      <c r="W1397" s="44"/>
      <c r="X1397" s="44"/>
      <c r="Y1397" s="44"/>
      <c r="Z1397" s="44"/>
    </row>
    <row r="1398" ht="15.75" customHeight="1">
      <c r="A1398" s="48" t="s">
        <v>1444</v>
      </c>
      <c r="B1398" s="48" t="str">
        <f>IFERROR(__xludf.DUMMYFUNCTION("IFERROR(GOOGLEFINANCE(A1398,""NAME""),)"),"Tata Investment Corporation Ltd")</f>
        <v>Tata Investment Corporation Ltd</v>
      </c>
      <c r="C1398" s="48">
        <f>IFERROR(__xludf.DUMMYFUNCTION("IFERROR(GOOGLEFINANCE(A1398,""CHANGE""),)"),-1.15)</f>
        <v>-1.15</v>
      </c>
      <c r="D1398" s="48">
        <f>IFERROR(__xludf.DUMMYFUNCTION("IFERROR(GOOGLEFINANCE(A1398,""CHANGEPCT""),)"),-0.18)</f>
        <v>-0.18</v>
      </c>
      <c r="E1398" s="48" t="str">
        <f t="shared" si="1"/>
        <v>-0.18%</v>
      </c>
      <c r="F1398" s="48" t="str">
        <f t="shared" si="2"/>
        <v/>
      </c>
      <c r="G1398" s="48">
        <f t="shared" si="3"/>
        <v>-0.18</v>
      </c>
      <c r="H1398" s="48">
        <f>IFERROR(__xludf.DUMMYFUNCTION("IFERROR(GOOGLEFINANCE(A1398,""PRICE""),)"),636.8)</f>
        <v>636.8</v>
      </c>
      <c r="I1398" s="49">
        <f>IFERROR(__xludf.DUMMYFUNCTION("IFERROR(GOOGLEFINANCE(A1398,""VOLUME""),)"),130701.0)</f>
        <v>130701</v>
      </c>
      <c r="J1398" s="48" t="str">
        <f>IFERROR(__xludf.DUMMYFUNCTION("IFERROR(INDEX(SPLIT(A1398,"":""),1,2),)"),"TATAINVEST")</f>
        <v>TATAINVEST</v>
      </c>
      <c r="K1398" s="48" t="str">
        <f t="shared" si="4"/>
        <v/>
      </c>
      <c r="L1398" s="48">
        <f t="shared" si="5"/>
        <v>69</v>
      </c>
      <c r="M1398" s="48">
        <f t="shared" si="6"/>
        <v>719</v>
      </c>
      <c r="N1398" s="50">
        <f>IFERROR(__xludf.DUMMYFUNCTION("IFERROR(GOOGLEFINANCE(A1398,""TRADETIME""),)"),46269.64583333333)</f>
        <v>46269.64583</v>
      </c>
      <c r="O1398" s="44"/>
      <c r="P1398" s="44"/>
      <c r="Q1398" s="44"/>
      <c r="R1398" s="44"/>
      <c r="S1398" s="44"/>
      <c r="T1398" s="44"/>
      <c r="U1398" s="44"/>
      <c r="V1398" s="44"/>
      <c r="W1398" s="44"/>
      <c r="X1398" s="44"/>
      <c r="Y1398" s="44"/>
      <c r="Z1398" s="44"/>
    </row>
    <row r="1399" ht="15.75" customHeight="1">
      <c r="A1399" s="51" t="s">
        <v>1445</v>
      </c>
      <c r="B1399" s="51" t="str">
        <f>IFERROR(__xludf.DUMMYFUNCTION("IFERROR(GOOGLEFINANCE(A1399,""NAME""),)"),"")</f>
        <v/>
      </c>
      <c r="C1399" s="51" t="str">
        <f>IFERROR(__xludf.DUMMYFUNCTION("IFERROR(GOOGLEFINANCE(A1399,""CHANGE""),)"),"")</f>
        <v/>
      </c>
      <c r="D1399" s="51" t="str">
        <f>IFERROR(__xludf.DUMMYFUNCTION("IFERROR(GOOGLEFINANCE(A1399,""CHANGEPCT""),)"),"")</f>
        <v/>
      </c>
      <c r="E1399" s="51" t="str">
        <f t="shared" si="1"/>
        <v>%</v>
      </c>
      <c r="F1399" s="51" t="str">
        <f t="shared" si="2"/>
        <v/>
      </c>
      <c r="G1399" s="51" t="str">
        <f t="shared" si="3"/>
        <v/>
      </c>
      <c r="H1399" s="51" t="str">
        <f>IFERROR(__xludf.DUMMYFUNCTION("IFERROR(GOOGLEFINANCE(A1399,""PRICE""),)"),"")</f>
        <v/>
      </c>
      <c r="I1399" s="52" t="str">
        <f>IFERROR(__xludf.DUMMYFUNCTION("IFERROR(GOOGLEFINANCE(A1399,""VOLUME""),)"),"")</f>
        <v/>
      </c>
      <c r="J1399" s="51" t="str">
        <f>IFERROR(__xludf.DUMMYFUNCTION("IFERROR(INDEX(SPLIT(A1399,"":""),1,2),)"),"TATAMETALI")</f>
        <v>TATAMETALI</v>
      </c>
      <c r="K1399" s="51" t="str">
        <f t="shared" si="4"/>
        <v/>
      </c>
      <c r="L1399" s="51" t="str">
        <f t="shared" si="5"/>
        <v/>
      </c>
      <c r="M1399" s="51">
        <f t="shared" si="6"/>
        <v>1456</v>
      </c>
      <c r="N1399" s="53" t="str">
        <f>IFERROR(__xludf.DUMMYFUNCTION("IFERROR(GOOGLEFINANCE(A1399,""TRADETIME""),)"),"")</f>
        <v/>
      </c>
      <c r="O1399" s="44"/>
      <c r="P1399" s="44"/>
      <c r="Q1399" s="44"/>
      <c r="R1399" s="44"/>
      <c r="S1399" s="44"/>
      <c r="T1399" s="44"/>
      <c r="U1399" s="44"/>
      <c r="V1399" s="44"/>
      <c r="W1399" s="44"/>
      <c r="X1399" s="44"/>
      <c r="Y1399" s="44"/>
      <c r="Z1399" s="44"/>
    </row>
    <row r="1400" ht="15.75" customHeight="1">
      <c r="A1400" s="48" t="s">
        <v>1446</v>
      </c>
      <c r="B1400" s="48" t="str">
        <f>IFERROR(__xludf.DUMMYFUNCTION("IFERROR(GOOGLEFINANCE(A1400,""NAME""),)"),"")</f>
        <v/>
      </c>
      <c r="C1400" s="48" t="str">
        <f>IFERROR(__xludf.DUMMYFUNCTION("IFERROR(GOOGLEFINANCE(A1400,""CHANGE""),)"),"")</f>
        <v/>
      </c>
      <c r="D1400" s="48" t="str">
        <f>IFERROR(__xludf.DUMMYFUNCTION("IFERROR(GOOGLEFINANCE(A1400,""CHANGEPCT""),)"),"")</f>
        <v/>
      </c>
      <c r="E1400" s="48" t="str">
        <f t="shared" si="1"/>
        <v>%</v>
      </c>
      <c r="F1400" s="48" t="str">
        <f t="shared" si="2"/>
        <v/>
      </c>
      <c r="G1400" s="48" t="str">
        <f t="shared" si="3"/>
        <v/>
      </c>
      <c r="H1400" s="48" t="str">
        <f>IFERROR(__xludf.DUMMYFUNCTION("IFERROR(GOOGLEFINANCE(A1400,""PRICE""),)"),"")</f>
        <v/>
      </c>
      <c r="I1400" s="49" t="str">
        <f>IFERROR(__xludf.DUMMYFUNCTION("IFERROR(GOOGLEFINANCE(A1400,""VOLUME""),)"),"")</f>
        <v/>
      </c>
      <c r="J1400" s="48" t="str">
        <f>IFERROR(__xludf.DUMMYFUNCTION("IFERROR(INDEX(SPLIT(A1400,"":""),1,2),)"),"TATAMOTORS")</f>
        <v>TATAMOTORS</v>
      </c>
      <c r="K1400" s="48" t="str">
        <f t="shared" si="4"/>
        <v/>
      </c>
      <c r="L1400" s="48" t="str">
        <f t="shared" si="5"/>
        <v/>
      </c>
      <c r="M1400" s="48">
        <f t="shared" si="6"/>
        <v>1456</v>
      </c>
      <c r="N1400" s="50" t="str">
        <f>IFERROR(__xludf.DUMMYFUNCTION("IFERROR(GOOGLEFINANCE(A1400,""TRADETIME""),)"),"")</f>
        <v/>
      </c>
      <c r="O1400" s="44"/>
      <c r="P1400" s="44"/>
      <c r="Q1400" s="44"/>
      <c r="R1400" s="44"/>
      <c r="S1400" s="44"/>
      <c r="T1400" s="44"/>
      <c r="U1400" s="44"/>
      <c r="V1400" s="44"/>
      <c r="W1400" s="44"/>
      <c r="X1400" s="44"/>
      <c r="Y1400" s="44"/>
      <c r="Z1400" s="44"/>
    </row>
    <row r="1401" ht="15.75" customHeight="1">
      <c r="A1401" s="51" t="s">
        <v>1447</v>
      </c>
      <c r="B1401" s="51" t="str">
        <f>IFERROR(__xludf.DUMMYFUNCTION("IFERROR(GOOGLEFINANCE(A1401,""NAME""),)"),"")</f>
        <v/>
      </c>
      <c r="C1401" s="51" t="str">
        <f>IFERROR(__xludf.DUMMYFUNCTION("IFERROR(GOOGLEFINANCE(A1401,""CHANGE""),)"),"")</f>
        <v/>
      </c>
      <c r="D1401" s="51" t="str">
        <f>IFERROR(__xludf.DUMMYFUNCTION("IFERROR(GOOGLEFINANCE(A1401,""CHANGEPCT""),)"),"")</f>
        <v/>
      </c>
      <c r="E1401" s="51" t="str">
        <f t="shared" si="1"/>
        <v>%</v>
      </c>
      <c r="F1401" s="51" t="str">
        <f t="shared" si="2"/>
        <v/>
      </c>
      <c r="G1401" s="51" t="str">
        <f t="shared" si="3"/>
        <v/>
      </c>
      <c r="H1401" s="51" t="str">
        <f>IFERROR(__xludf.DUMMYFUNCTION("IFERROR(GOOGLEFINANCE(A1401,""PRICE""),)"),"")</f>
        <v/>
      </c>
      <c r="I1401" s="52" t="str">
        <f>IFERROR(__xludf.DUMMYFUNCTION("IFERROR(GOOGLEFINANCE(A1401,""VOLUME""),)"),"")</f>
        <v/>
      </c>
      <c r="J1401" s="51" t="str">
        <f>IFERROR(__xludf.DUMMYFUNCTION("IFERROR(INDEX(SPLIT(A1401,"":""),1,2),)"),"TATAMTRDVR")</f>
        <v>TATAMTRDVR</v>
      </c>
      <c r="K1401" s="51" t="str">
        <f t="shared" si="4"/>
        <v/>
      </c>
      <c r="L1401" s="51" t="str">
        <f t="shared" si="5"/>
        <v/>
      </c>
      <c r="M1401" s="51">
        <f t="shared" si="6"/>
        <v>1456</v>
      </c>
      <c r="N1401" s="53" t="str">
        <f>IFERROR(__xludf.DUMMYFUNCTION("IFERROR(GOOGLEFINANCE(A1401,""TRADETIME""),)"),"")</f>
        <v/>
      </c>
      <c r="O1401" s="44"/>
      <c r="P1401" s="44"/>
      <c r="Q1401" s="44"/>
      <c r="R1401" s="44"/>
      <c r="S1401" s="44"/>
      <c r="T1401" s="44"/>
      <c r="U1401" s="44"/>
      <c r="V1401" s="44"/>
      <c r="W1401" s="44"/>
      <c r="X1401" s="44"/>
      <c r="Y1401" s="44"/>
      <c r="Z1401" s="44"/>
    </row>
    <row r="1402" ht="15.75" customHeight="1">
      <c r="A1402" s="48" t="s">
        <v>1448</v>
      </c>
      <c r="B1402" s="48" t="str">
        <f>IFERROR(__xludf.DUMMYFUNCTION("IFERROR(GOOGLEFINANCE(A1402,""NAME""),)"),"Tata Power Company Ltd")</f>
        <v>Tata Power Company Ltd</v>
      </c>
      <c r="C1402" s="48">
        <f>IFERROR(__xludf.DUMMYFUNCTION("IFERROR(GOOGLEFINANCE(A1402,""CHANGE""),)"),0.75)</f>
        <v>0.75</v>
      </c>
      <c r="D1402" s="48">
        <f>IFERROR(__xludf.DUMMYFUNCTION("IFERROR(GOOGLEFINANCE(A1402,""CHANGEPCT""),)"),0.21)</f>
        <v>0.21</v>
      </c>
      <c r="E1402" s="48" t="str">
        <f t="shared" si="1"/>
        <v>0.21%</v>
      </c>
      <c r="F1402" s="48">
        <f t="shared" si="2"/>
        <v>0.21</v>
      </c>
      <c r="G1402" s="48" t="str">
        <f t="shared" si="3"/>
        <v/>
      </c>
      <c r="H1402" s="48">
        <f>IFERROR(__xludf.DUMMYFUNCTION("IFERROR(GOOGLEFINANCE(A1402,""PRICE""),)"),366.45)</f>
        <v>366.45</v>
      </c>
      <c r="I1402" s="49">
        <f>IFERROR(__xludf.DUMMYFUNCTION("IFERROR(GOOGLEFINANCE(A1402,""VOLUME""),)"),3826383.0)</f>
        <v>3826383</v>
      </c>
      <c r="J1402" s="48" t="str">
        <f>IFERROR(__xludf.DUMMYFUNCTION("IFERROR(INDEX(SPLIT(A1402,"":""),1,2),)"),"TATAPOWER")</f>
        <v>TATAPOWER</v>
      </c>
      <c r="K1402" s="48">
        <f t="shared" si="4"/>
        <v>693</v>
      </c>
      <c r="L1402" s="48" t="str">
        <f t="shared" si="5"/>
        <v/>
      </c>
      <c r="M1402" s="48">
        <f t="shared" si="6"/>
        <v>106</v>
      </c>
      <c r="N1402" s="50">
        <f>IFERROR(__xludf.DUMMYFUNCTION("IFERROR(GOOGLEFINANCE(A1402,""TRADETIME""),)"),46269.64583333333)</f>
        <v>46269.64583</v>
      </c>
      <c r="O1402" s="44"/>
      <c r="P1402" s="44"/>
      <c r="Q1402" s="44"/>
      <c r="R1402" s="44"/>
      <c r="S1402" s="44"/>
      <c r="T1402" s="44"/>
      <c r="U1402" s="44"/>
      <c r="V1402" s="44"/>
      <c r="W1402" s="44"/>
      <c r="X1402" s="44"/>
      <c r="Y1402" s="44"/>
      <c r="Z1402" s="44"/>
    </row>
    <row r="1403" ht="15.75" customHeight="1">
      <c r="A1403" s="51" t="s">
        <v>1449</v>
      </c>
      <c r="B1403" s="51" t="str">
        <f>IFERROR(__xludf.DUMMYFUNCTION("IFERROR(GOOGLEFINANCE(A1403,""NAME""),)"),"Tata Steel Ltd")</f>
        <v>Tata Steel Ltd</v>
      </c>
      <c r="C1403" s="51">
        <f>IFERROR(__xludf.DUMMYFUNCTION("IFERROR(GOOGLEFINANCE(A1403,""CHANGE""),)"),5.02)</f>
        <v>5.02</v>
      </c>
      <c r="D1403" s="51">
        <f>IFERROR(__xludf.DUMMYFUNCTION("IFERROR(GOOGLEFINANCE(A1403,""CHANGEPCT""),)"),2.73)</f>
        <v>2.73</v>
      </c>
      <c r="E1403" s="51" t="str">
        <f t="shared" si="1"/>
        <v>2.73%</v>
      </c>
      <c r="F1403" s="51">
        <f t="shared" si="2"/>
        <v>2.73</v>
      </c>
      <c r="G1403" s="51" t="str">
        <f t="shared" si="3"/>
        <v/>
      </c>
      <c r="H1403" s="51">
        <f>IFERROR(__xludf.DUMMYFUNCTION("IFERROR(GOOGLEFINANCE(A1403,""PRICE""),)"),189.22)</f>
        <v>189.22</v>
      </c>
      <c r="I1403" s="52">
        <f>IFERROR(__xludf.DUMMYFUNCTION("IFERROR(GOOGLEFINANCE(A1403,""VOLUME""),)"),3.6500951E7)</f>
        <v>36500951</v>
      </c>
      <c r="J1403" s="51" t="str">
        <f>IFERROR(__xludf.DUMMYFUNCTION("IFERROR(INDEX(SPLIT(A1403,"":""),1,2),)"),"TATASTEEL")</f>
        <v>TATASTEEL</v>
      </c>
      <c r="K1403" s="51">
        <f t="shared" si="4"/>
        <v>181</v>
      </c>
      <c r="L1403" s="51" t="str">
        <f t="shared" si="5"/>
        <v/>
      </c>
      <c r="M1403" s="51">
        <f t="shared" si="6"/>
        <v>10</v>
      </c>
      <c r="N1403" s="53">
        <f>IFERROR(__xludf.DUMMYFUNCTION("IFERROR(GOOGLEFINANCE(A1403,""TRADETIME""),)"),46269.64583333333)</f>
        <v>46269.64583</v>
      </c>
      <c r="O1403" s="44"/>
      <c r="P1403" s="44"/>
      <c r="Q1403" s="44"/>
      <c r="R1403" s="44"/>
      <c r="S1403" s="44"/>
      <c r="T1403" s="44"/>
      <c r="U1403" s="44"/>
      <c r="V1403" s="44"/>
      <c r="W1403" s="44"/>
      <c r="X1403" s="44"/>
      <c r="Y1403" s="44"/>
      <c r="Z1403" s="44"/>
    </row>
    <row r="1404" ht="15.75" customHeight="1">
      <c r="A1404" s="48" t="s">
        <v>1450</v>
      </c>
      <c r="B1404" s="48" t="str">
        <f>IFERROR(__xludf.DUMMYFUNCTION("IFERROR(GOOGLEFINANCE(A1404,""NAME""),)"),"")</f>
        <v/>
      </c>
      <c r="C1404" s="48" t="str">
        <f>IFERROR(__xludf.DUMMYFUNCTION("IFERROR(GOOGLEFINANCE(A1404,""CHANGE""),)"),"")</f>
        <v/>
      </c>
      <c r="D1404" s="48" t="str">
        <f>IFERROR(__xludf.DUMMYFUNCTION("IFERROR(GOOGLEFINANCE(A1404,""CHANGEPCT""),)"),"")</f>
        <v/>
      </c>
      <c r="E1404" s="48" t="str">
        <f t="shared" si="1"/>
        <v>%</v>
      </c>
      <c r="F1404" s="48" t="str">
        <f t="shared" si="2"/>
        <v/>
      </c>
      <c r="G1404" s="48" t="str">
        <f t="shared" si="3"/>
        <v/>
      </c>
      <c r="H1404" s="48" t="str">
        <f>IFERROR(__xludf.DUMMYFUNCTION("IFERROR(GOOGLEFINANCE(A1404,""PRICE""),)"),"")</f>
        <v/>
      </c>
      <c r="I1404" s="49" t="str">
        <f>IFERROR(__xludf.DUMMYFUNCTION("IFERROR(GOOGLEFINANCE(A1404,""VOLUME""),)"),"")</f>
        <v/>
      </c>
      <c r="J1404" s="48" t="str">
        <f>IFERROR(__xludf.DUMMYFUNCTION("IFERROR(INDEX(SPLIT(A1404,"":""),1,2),)"),"TATASTLLP")</f>
        <v>TATASTLLP</v>
      </c>
      <c r="K1404" s="48" t="str">
        <f t="shared" si="4"/>
        <v/>
      </c>
      <c r="L1404" s="48" t="str">
        <f t="shared" si="5"/>
        <v/>
      </c>
      <c r="M1404" s="48">
        <f t="shared" si="6"/>
        <v>1456</v>
      </c>
      <c r="N1404" s="50" t="str">
        <f>IFERROR(__xludf.DUMMYFUNCTION("IFERROR(GOOGLEFINANCE(A1404,""TRADETIME""),)"),"")</f>
        <v/>
      </c>
      <c r="O1404" s="44"/>
      <c r="P1404" s="44"/>
      <c r="Q1404" s="44"/>
      <c r="R1404" s="44"/>
      <c r="S1404" s="44"/>
      <c r="T1404" s="44"/>
      <c r="U1404" s="44"/>
      <c r="V1404" s="44"/>
      <c r="W1404" s="44"/>
      <c r="X1404" s="44"/>
      <c r="Y1404" s="44"/>
      <c r="Z1404" s="44"/>
    </row>
    <row r="1405" ht="15.75" customHeight="1">
      <c r="A1405" s="51" t="s">
        <v>1451</v>
      </c>
      <c r="B1405" s="51" t="str">
        <f>IFERROR(__xludf.DUMMYFUNCTION("IFERROR(GOOGLEFINANCE(A1405,""NAME""),)"),"Tribhovandas Bhimji Zaveri Ltd")</f>
        <v>Tribhovandas Bhimji Zaveri Ltd</v>
      </c>
      <c r="C1405" s="51">
        <f>IFERROR(__xludf.DUMMYFUNCTION("IFERROR(GOOGLEFINANCE(A1405,""CHANGE""),)"),43.7)</f>
        <v>43.7</v>
      </c>
      <c r="D1405" s="51">
        <f>IFERROR(__xludf.DUMMYFUNCTION("IFERROR(GOOGLEFINANCE(A1405,""CHANGEPCT""),)"),10.0)</f>
        <v>10</v>
      </c>
      <c r="E1405" s="51" t="str">
        <f t="shared" si="1"/>
        <v>10%</v>
      </c>
      <c r="F1405" s="51">
        <f t="shared" si="2"/>
        <v>10</v>
      </c>
      <c r="G1405" s="51" t="str">
        <f t="shared" si="3"/>
        <v/>
      </c>
      <c r="H1405" s="51">
        <f>IFERROR(__xludf.DUMMYFUNCTION("IFERROR(GOOGLEFINANCE(A1405,""PRICE""),)"),480.85)</f>
        <v>480.85</v>
      </c>
      <c r="I1405" s="52">
        <f>IFERROR(__xludf.DUMMYFUNCTION("IFERROR(GOOGLEFINANCE(A1405,""VOLUME""),)"),3486401.0)</f>
        <v>3486401</v>
      </c>
      <c r="J1405" s="51" t="str">
        <f>IFERROR(__xludf.DUMMYFUNCTION("IFERROR(INDEX(SPLIT(A1405,"":""),1,2),)"),"TBZ")</f>
        <v>TBZ</v>
      </c>
      <c r="K1405" s="51">
        <f t="shared" si="4"/>
        <v>9</v>
      </c>
      <c r="L1405" s="51" t="str">
        <f t="shared" si="5"/>
        <v/>
      </c>
      <c r="M1405" s="51">
        <f t="shared" si="6"/>
        <v>117</v>
      </c>
      <c r="N1405" s="53">
        <f>IFERROR(__xludf.DUMMYFUNCTION("IFERROR(GOOGLEFINANCE(A1405,""TRADETIME""),)"),46269.64583333333)</f>
        <v>46269.64583</v>
      </c>
      <c r="O1405" s="44"/>
      <c r="P1405" s="44"/>
      <c r="Q1405" s="44"/>
      <c r="R1405" s="44"/>
      <c r="S1405" s="44"/>
      <c r="T1405" s="44"/>
      <c r="U1405" s="44"/>
      <c r="V1405" s="44"/>
      <c r="W1405" s="44"/>
      <c r="X1405" s="44"/>
      <c r="Y1405" s="44"/>
      <c r="Z1405" s="44"/>
    </row>
    <row r="1406" ht="15.75" customHeight="1">
      <c r="A1406" s="48" t="s">
        <v>1452</v>
      </c>
      <c r="B1406" s="48" t="str">
        <f>IFERROR(__xludf.DUMMYFUNCTION("IFERROR(GOOGLEFINANCE(A1406,""NAME""),)"),"Transport Corporation of India Ltd")</f>
        <v>Transport Corporation of India Ltd</v>
      </c>
      <c r="C1406" s="48">
        <f>IFERROR(__xludf.DUMMYFUNCTION("IFERROR(GOOGLEFINANCE(A1406,""CHANGE""),)"),-2.9)</f>
        <v>-2.9</v>
      </c>
      <c r="D1406" s="48">
        <f>IFERROR(__xludf.DUMMYFUNCTION("IFERROR(GOOGLEFINANCE(A1406,""CHANGEPCT""),)"),-0.33)</f>
        <v>-0.33</v>
      </c>
      <c r="E1406" s="48" t="str">
        <f t="shared" si="1"/>
        <v>-0.33%</v>
      </c>
      <c r="F1406" s="48" t="str">
        <f t="shared" si="2"/>
        <v/>
      </c>
      <c r="G1406" s="48">
        <f t="shared" si="3"/>
        <v>-0.33</v>
      </c>
      <c r="H1406" s="48">
        <f>IFERROR(__xludf.DUMMYFUNCTION("IFERROR(GOOGLEFINANCE(A1406,""PRICE""),)"),868.0)</f>
        <v>868</v>
      </c>
      <c r="I1406" s="49">
        <f>IFERROR(__xludf.DUMMYFUNCTION("IFERROR(GOOGLEFINANCE(A1406,""VOLUME""),)"),18074.0)</f>
        <v>18074</v>
      </c>
      <c r="J1406" s="48" t="str">
        <f>IFERROR(__xludf.DUMMYFUNCTION("IFERROR(INDEX(SPLIT(A1406,"":""),1,2),)"),"TCI")</f>
        <v>TCI</v>
      </c>
      <c r="K1406" s="48" t="str">
        <f t="shared" si="4"/>
        <v/>
      </c>
      <c r="L1406" s="48">
        <f t="shared" si="5"/>
        <v>129</v>
      </c>
      <c r="M1406" s="48">
        <f t="shared" si="6"/>
        <v>1145</v>
      </c>
      <c r="N1406" s="50">
        <f>IFERROR(__xludf.DUMMYFUNCTION("IFERROR(GOOGLEFINANCE(A1406,""TRADETIME""),)"),46269.64583333333)</f>
        <v>46269.64583</v>
      </c>
      <c r="O1406" s="44"/>
      <c r="P1406" s="44"/>
      <c r="Q1406" s="44"/>
      <c r="R1406" s="44"/>
      <c r="S1406" s="44"/>
      <c r="T1406" s="44"/>
      <c r="U1406" s="44"/>
      <c r="V1406" s="44"/>
      <c r="W1406" s="44"/>
      <c r="X1406" s="44"/>
      <c r="Y1406" s="44"/>
      <c r="Z1406" s="44"/>
    </row>
    <row r="1407" ht="15.75" customHeight="1">
      <c r="A1407" s="51" t="s">
        <v>1453</v>
      </c>
      <c r="B1407" s="51" t="str">
        <f>IFERROR(__xludf.DUMMYFUNCTION("IFERROR(GOOGLEFINANCE(A1407,""NAME""),)"),"TCI Express Ltd")</f>
        <v>TCI Express Ltd</v>
      </c>
      <c r="C1407" s="51">
        <f>IFERROR(__xludf.DUMMYFUNCTION("IFERROR(GOOGLEFINANCE(A1407,""CHANGE""),)"),12.7)</f>
        <v>12.7</v>
      </c>
      <c r="D1407" s="51">
        <f>IFERROR(__xludf.DUMMYFUNCTION("IFERROR(GOOGLEFINANCE(A1407,""CHANGEPCT""),)"),2.35)</f>
        <v>2.35</v>
      </c>
      <c r="E1407" s="51" t="str">
        <f t="shared" si="1"/>
        <v>2.35%</v>
      </c>
      <c r="F1407" s="51">
        <f t="shared" si="2"/>
        <v>2.35</v>
      </c>
      <c r="G1407" s="51" t="str">
        <f t="shared" si="3"/>
        <v/>
      </c>
      <c r="H1407" s="51">
        <f>IFERROR(__xludf.DUMMYFUNCTION("IFERROR(GOOGLEFINANCE(A1407,""PRICE""),)"),554.0)</f>
        <v>554</v>
      </c>
      <c r="I1407" s="52">
        <f>IFERROR(__xludf.DUMMYFUNCTION("IFERROR(GOOGLEFINANCE(A1407,""VOLUME""),)"),65210.0)</f>
        <v>65210</v>
      </c>
      <c r="J1407" s="51" t="str">
        <f>IFERROR(__xludf.DUMMYFUNCTION("IFERROR(INDEX(SPLIT(A1407,"":""),1,2),)"),"TCIEXP")</f>
        <v>TCIEXP</v>
      </c>
      <c r="K1407" s="51">
        <f t="shared" si="4"/>
        <v>220</v>
      </c>
      <c r="L1407" s="51" t="str">
        <f t="shared" si="5"/>
        <v/>
      </c>
      <c r="M1407" s="51">
        <f t="shared" si="6"/>
        <v>881</v>
      </c>
      <c r="N1407" s="53">
        <f>IFERROR(__xludf.DUMMYFUNCTION("IFERROR(GOOGLEFINANCE(A1407,""TRADETIME""),)"),46269.64584490741)</f>
        <v>46269.64584</v>
      </c>
      <c r="O1407" s="44"/>
      <c r="P1407" s="44"/>
      <c r="Q1407" s="44"/>
      <c r="R1407" s="44"/>
      <c r="S1407" s="44"/>
      <c r="T1407" s="44"/>
      <c r="U1407" s="44"/>
      <c r="V1407" s="44"/>
      <c r="W1407" s="44"/>
      <c r="X1407" s="44"/>
      <c r="Y1407" s="44"/>
      <c r="Z1407" s="44"/>
    </row>
    <row r="1408" ht="15.75" customHeight="1">
      <c r="A1408" s="48" t="s">
        <v>1454</v>
      </c>
      <c r="B1408" s="48" t="str">
        <f>IFERROR(__xludf.DUMMYFUNCTION("IFERROR(GOOGLEFINANCE(A1408,""NAME""),)"),"TCI Finance Ltd")</f>
        <v>TCI Finance Ltd</v>
      </c>
      <c r="C1408" s="48">
        <f>IFERROR(__xludf.DUMMYFUNCTION("IFERROR(GOOGLEFINANCE(A1408,""CHANGE""),)"),0.26)</f>
        <v>0.26</v>
      </c>
      <c r="D1408" s="48">
        <f>IFERROR(__xludf.DUMMYFUNCTION("IFERROR(GOOGLEFINANCE(A1408,""CHANGEPCT""),)"),1.72)</f>
        <v>1.72</v>
      </c>
      <c r="E1408" s="48" t="str">
        <f t="shared" si="1"/>
        <v>1.72%</v>
      </c>
      <c r="F1408" s="48">
        <f t="shared" si="2"/>
        <v>1.72</v>
      </c>
      <c r="G1408" s="48" t="str">
        <f t="shared" si="3"/>
        <v/>
      </c>
      <c r="H1408" s="48">
        <f>IFERROR(__xludf.DUMMYFUNCTION("IFERROR(GOOGLEFINANCE(A1408,""PRICE""),)"),15.34)</f>
        <v>15.34</v>
      </c>
      <c r="I1408" s="49">
        <f>IFERROR(__xludf.DUMMYFUNCTION("IFERROR(GOOGLEFINANCE(A1408,""VOLUME""),)"),19130.0)</f>
        <v>19130</v>
      </c>
      <c r="J1408" s="48" t="str">
        <f>IFERROR(__xludf.DUMMYFUNCTION("IFERROR(INDEX(SPLIT(A1408,"":""),1,2),)"),"TCIFINANCE")</f>
        <v>TCIFINANCE</v>
      </c>
      <c r="K1408" s="48">
        <f t="shared" si="4"/>
        <v>306</v>
      </c>
      <c r="L1408" s="48" t="str">
        <f t="shared" si="5"/>
        <v/>
      </c>
      <c r="M1408" s="48">
        <f t="shared" si="6"/>
        <v>1132</v>
      </c>
      <c r="N1408" s="50">
        <f>IFERROR(__xludf.DUMMYFUNCTION("IFERROR(GOOGLEFINANCE(A1408,""TRADETIME""),)"),46269.64583333333)</f>
        <v>46269.64583</v>
      </c>
      <c r="O1408" s="44"/>
      <c r="P1408" s="44"/>
      <c r="Q1408" s="44"/>
      <c r="R1408" s="44"/>
      <c r="S1408" s="44"/>
      <c r="T1408" s="44"/>
      <c r="U1408" s="44"/>
      <c r="V1408" s="44"/>
      <c r="W1408" s="44"/>
      <c r="X1408" s="44"/>
      <c r="Y1408" s="44"/>
      <c r="Z1408" s="44"/>
    </row>
    <row r="1409" ht="15.75" customHeight="1">
      <c r="A1409" s="51" t="s">
        <v>1455</v>
      </c>
      <c r="B1409" s="51" t="str">
        <f>IFERROR(__xludf.DUMMYFUNCTION("IFERROR(GOOGLEFINANCE(A1409,""NAME""),)"),"")</f>
        <v/>
      </c>
      <c r="C1409" s="51" t="str">
        <f>IFERROR(__xludf.DUMMYFUNCTION("IFERROR(GOOGLEFINANCE(A1409,""CHANGE""),)"),"")</f>
        <v/>
      </c>
      <c r="D1409" s="51" t="str">
        <f>IFERROR(__xludf.DUMMYFUNCTION("IFERROR(GOOGLEFINANCE(A1409,""CHANGEPCT""),)"),"")</f>
        <v/>
      </c>
      <c r="E1409" s="51" t="str">
        <f t="shared" si="1"/>
        <v>%</v>
      </c>
      <c r="F1409" s="51" t="str">
        <f t="shared" si="2"/>
        <v/>
      </c>
      <c r="G1409" s="51" t="str">
        <f t="shared" si="3"/>
        <v/>
      </c>
      <c r="H1409" s="51" t="str">
        <f>IFERROR(__xludf.DUMMYFUNCTION("IFERROR(GOOGLEFINANCE(A1409,""PRICE""),)"),"")</f>
        <v/>
      </c>
      <c r="I1409" s="52" t="str">
        <f>IFERROR(__xludf.DUMMYFUNCTION("IFERROR(GOOGLEFINANCE(A1409,""VOLUME""),)"),"")</f>
        <v/>
      </c>
      <c r="J1409" s="51" t="str">
        <f>IFERROR(__xludf.DUMMYFUNCTION("IFERROR(INDEX(SPLIT(A1409,"":""),1,2),)"),"TCNSBRANDS")</f>
        <v>TCNSBRANDS</v>
      </c>
      <c r="K1409" s="51" t="str">
        <f t="shared" si="4"/>
        <v/>
      </c>
      <c r="L1409" s="51" t="str">
        <f t="shared" si="5"/>
        <v/>
      </c>
      <c r="M1409" s="51">
        <f t="shared" si="6"/>
        <v>1456</v>
      </c>
      <c r="N1409" s="53" t="str">
        <f>IFERROR(__xludf.DUMMYFUNCTION("IFERROR(GOOGLEFINANCE(A1409,""TRADETIME""),)"),"")</f>
        <v/>
      </c>
      <c r="O1409" s="44"/>
      <c r="P1409" s="44"/>
      <c r="Q1409" s="44"/>
      <c r="R1409" s="44"/>
      <c r="S1409" s="44"/>
      <c r="T1409" s="44"/>
      <c r="U1409" s="44"/>
      <c r="V1409" s="44"/>
      <c r="W1409" s="44"/>
      <c r="X1409" s="44"/>
      <c r="Y1409" s="44"/>
      <c r="Z1409" s="44"/>
    </row>
    <row r="1410" ht="15.75" customHeight="1">
      <c r="A1410" s="48" t="s">
        <v>1456</v>
      </c>
      <c r="B1410" s="48" t="str">
        <f>IFERROR(__xludf.DUMMYFUNCTION("IFERROR(GOOGLEFINANCE(A1410,""NAME""),)"),"TCPL Packaging Ltd")</f>
        <v>TCPL Packaging Ltd</v>
      </c>
      <c r="C1410" s="48">
        <f>IFERROR(__xludf.DUMMYFUNCTION("IFERROR(GOOGLEFINANCE(A1410,""CHANGE""),)"),183.4)</f>
        <v>183.4</v>
      </c>
      <c r="D1410" s="48">
        <f>IFERROR(__xludf.DUMMYFUNCTION("IFERROR(GOOGLEFINANCE(A1410,""CHANGEPCT""),)"),4.64)</f>
        <v>4.64</v>
      </c>
      <c r="E1410" s="48" t="str">
        <f t="shared" si="1"/>
        <v>4.64%</v>
      </c>
      <c r="F1410" s="48">
        <f t="shared" si="2"/>
        <v>4.64</v>
      </c>
      <c r="G1410" s="48" t="str">
        <f t="shared" si="3"/>
        <v/>
      </c>
      <c r="H1410" s="48">
        <f>IFERROR(__xludf.DUMMYFUNCTION("IFERROR(GOOGLEFINANCE(A1410,""PRICE""),)"),4140.0)</f>
        <v>4140</v>
      </c>
      <c r="I1410" s="49">
        <f>IFERROR(__xludf.DUMMYFUNCTION("IFERROR(GOOGLEFINANCE(A1410,""VOLUME""),)"),15468.0)</f>
        <v>15468</v>
      </c>
      <c r="J1410" s="48" t="str">
        <f>IFERROR(__xludf.DUMMYFUNCTION("IFERROR(INDEX(SPLIT(A1410,"":""),1,2),)"),"TCPLPACK")</f>
        <v>TCPLPACK</v>
      </c>
      <c r="K1410" s="48">
        <f t="shared" si="4"/>
        <v>91</v>
      </c>
      <c r="L1410" s="48" t="str">
        <f t="shared" si="5"/>
        <v/>
      </c>
      <c r="M1410" s="48">
        <f t="shared" si="6"/>
        <v>1170</v>
      </c>
      <c r="N1410" s="50">
        <f>IFERROR(__xludf.DUMMYFUNCTION("IFERROR(GOOGLEFINANCE(A1410,""TRADETIME""),)"),46269.64583333333)</f>
        <v>46269.64583</v>
      </c>
      <c r="O1410" s="44"/>
      <c r="P1410" s="44"/>
      <c r="Q1410" s="44"/>
      <c r="R1410" s="44"/>
      <c r="S1410" s="44"/>
      <c r="T1410" s="44"/>
      <c r="U1410" s="44"/>
      <c r="V1410" s="44"/>
      <c r="W1410" s="44"/>
      <c r="X1410" s="44"/>
      <c r="Y1410" s="44"/>
      <c r="Z1410" s="44"/>
    </row>
    <row r="1411" ht="15.75" customHeight="1">
      <c r="A1411" s="51" t="s">
        <v>1457</v>
      </c>
      <c r="B1411" s="51" t="str">
        <f>IFERROR(__xludf.DUMMYFUNCTION("IFERROR(GOOGLEFINANCE(A1411,""NAME""),)"),"Tata Consultancy Services Ltd")</f>
        <v>Tata Consultancy Services Ltd</v>
      </c>
      <c r="C1411" s="51">
        <f>IFERROR(__xludf.DUMMYFUNCTION("IFERROR(GOOGLEFINANCE(A1411,""CHANGE""),)"),-11.1)</f>
        <v>-11.1</v>
      </c>
      <c r="D1411" s="51">
        <f>IFERROR(__xludf.DUMMYFUNCTION("IFERROR(GOOGLEFINANCE(A1411,""CHANGEPCT""),)"),-0.48)</f>
        <v>-0.48</v>
      </c>
      <c r="E1411" s="51" t="str">
        <f t="shared" si="1"/>
        <v>-0.48%</v>
      </c>
      <c r="F1411" s="51" t="str">
        <f t="shared" si="2"/>
        <v/>
      </c>
      <c r="G1411" s="51">
        <f t="shared" si="3"/>
        <v>-0.48</v>
      </c>
      <c r="H1411" s="51">
        <f>IFERROR(__xludf.DUMMYFUNCTION("IFERROR(GOOGLEFINANCE(A1411,""PRICE""),)"),2309.0)</f>
        <v>2309</v>
      </c>
      <c r="I1411" s="52">
        <f>IFERROR(__xludf.DUMMYFUNCTION("IFERROR(GOOGLEFINANCE(A1411,""VOLUME""),)"),2564322.0)</f>
        <v>2564322</v>
      </c>
      <c r="J1411" s="51" t="str">
        <f>IFERROR(__xludf.DUMMYFUNCTION("IFERROR(INDEX(SPLIT(A1411,"":""),1,2),)"),"TCS")</f>
        <v>TCS</v>
      </c>
      <c r="K1411" s="51" t="str">
        <f t="shared" si="4"/>
        <v/>
      </c>
      <c r="L1411" s="51">
        <f t="shared" si="5"/>
        <v>189</v>
      </c>
      <c r="M1411" s="51">
        <f t="shared" si="6"/>
        <v>145</v>
      </c>
      <c r="N1411" s="53">
        <f>IFERROR(__xludf.DUMMYFUNCTION("IFERROR(GOOGLEFINANCE(A1411,""TRADETIME""),)"),46269.64583333333)</f>
        <v>46269.64583</v>
      </c>
      <c r="O1411" s="44"/>
      <c r="P1411" s="44"/>
      <c r="Q1411" s="44"/>
      <c r="R1411" s="44"/>
      <c r="S1411" s="44"/>
      <c r="T1411" s="44"/>
      <c r="U1411" s="44"/>
      <c r="V1411" s="44"/>
      <c r="W1411" s="44"/>
      <c r="X1411" s="44"/>
      <c r="Y1411" s="44"/>
      <c r="Z1411" s="44"/>
    </row>
    <row r="1412" ht="15.75" customHeight="1">
      <c r="A1412" s="48" t="s">
        <v>1458</v>
      </c>
      <c r="B1412" s="48" t="str">
        <f>IFERROR(__xludf.DUMMYFUNCTION("IFERROR(GOOGLEFINANCE(A1412,""NAME""),)"),"TD Power Systems Ltd")</f>
        <v>TD Power Systems Ltd</v>
      </c>
      <c r="C1412" s="48">
        <f>IFERROR(__xludf.DUMMYFUNCTION("IFERROR(GOOGLEFINANCE(A1412,""CHANGE""),)"),16.95)</f>
        <v>16.95</v>
      </c>
      <c r="D1412" s="48">
        <f>IFERROR(__xludf.DUMMYFUNCTION("IFERROR(GOOGLEFINANCE(A1412,""CHANGEPCT""),)"),2.35)</f>
        <v>2.35</v>
      </c>
      <c r="E1412" s="48" t="str">
        <f t="shared" si="1"/>
        <v>2.35%</v>
      </c>
      <c r="F1412" s="48">
        <f t="shared" si="2"/>
        <v>2.35</v>
      </c>
      <c r="G1412" s="48" t="str">
        <f t="shared" si="3"/>
        <v/>
      </c>
      <c r="H1412" s="48">
        <f>IFERROR(__xludf.DUMMYFUNCTION("IFERROR(GOOGLEFINANCE(A1412,""PRICE""),)"),739.5)</f>
        <v>739.5</v>
      </c>
      <c r="I1412" s="49">
        <f>IFERROR(__xludf.DUMMYFUNCTION("IFERROR(GOOGLEFINANCE(A1412,""VOLUME""),)"),1283741.0)</f>
        <v>1283741</v>
      </c>
      <c r="J1412" s="48" t="str">
        <f>IFERROR(__xludf.DUMMYFUNCTION("IFERROR(INDEX(SPLIT(A1412,"":""),1,2),)"),"TDPOWERSYS")</f>
        <v>TDPOWERSYS</v>
      </c>
      <c r="K1412" s="48">
        <f t="shared" si="4"/>
        <v>221</v>
      </c>
      <c r="L1412" s="48" t="str">
        <f t="shared" si="5"/>
        <v/>
      </c>
      <c r="M1412" s="48">
        <f t="shared" si="6"/>
        <v>231</v>
      </c>
      <c r="N1412" s="50">
        <f>IFERROR(__xludf.DUMMYFUNCTION("IFERROR(GOOGLEFINANCE(A1412,""TRADETIME""),)"),46269.64585648148)</f>
        <v>46269.64586</v>
      </c>
      <c r="O1412" s="44"/>
      <c r="P1412" s="44"/>
      <c r="Q1412" s="44"/>
      <c r="R1412" s="44"/>
      <c r="S1412" s="44"/>
      <c r="T1412" s="44"/>
      <c r="U1412" s="44"/>
      <c r="V1412" s="44"/>
      <c r="W1412" s="44"/>
      <c r="X1412" s="44"/>
      <c r="Y1412" s="44"/>
      <c r="Z1412" s="44"/>
    </row>
    <row r="1413" ht="15.75" customHeight="1">
      <c r="A1413" s="51" t="s">
        <v>1459</v>
      </c>
      <c r="B1413" s="51" t="str">
        <f>IFERROR(__xludf.DUMMYFUNCTION("IFERROR(GOOGLEFINANCE(A1413,""NAME""),)"),"Teamlease Services Ltd")</f>
        <v>Teamlease Services Ltd</v>
      </c>
      <c r="C1413" s="51">
        <f>IFERROR(__xludf.DUMMYFUNCTION("IFERROR(GOOGLEFINANCE(A1413,""CHANGE""),)"),2.0)</f>
        <v>2</v>
      </c>
      <c r="D1413" s="51">
        <f>IFERROR(__xludf.DUMMYFUNCTION("IFERROR(GOOGLEFINANCE(A1413,""CHANGEPCT""),)"),0.16)</f>
        <v>0.16</v>
      </c>
      <c r="E1413" s="51" t="str">
        <f t="shared" si="1"/>
        <v>0.16%</v>
      </c>
      <c r="F1413" s="51">
        <f t="shared" si="2"/>
        <v>0.16</v>
      </c>
      <c r="G1413" s="51" t="str">
        <f t="shared" si="3"/>
        <v/>
      </c>
      <c r="H1413" s="51">
        <f>IFERROR(__xludf.DUMMYFUNCTION("IFERROR(GOOGLEFINANCE(A1413,""PRICE""),)"),1252.0)</f>
        <v>1252</v>
      </c>
      <c r="I1413" s="52">
        <f>IFERROR(__xludf.DUMMYFUNCTION("IFERROR(GOOGLEFINANCE(A1413,""VOLUME""),)"),29000.0)</f>
        <v>29000</v>
      </c>
      <c r="J1413" s="51" t="str">
        <f>IFERROR(__xludf.DUMMYFUNCTION("IFERROR(INDEX(SPLIT(A1413,"":""),1,2),)"),"TEAMLEASE")</f>
        <v>TEAMLEASE</v>
      </c>
      <c r="K1413" s="51">
        <f t="shared" si="4"/>
        <v>719</v>
      </c>
      <c r="L1413" s="51" t="str">
        <f t="shared" si="5"/>
        <v/>
      </c>
      <c r="M1413" s="51">
        <f t="shared" si="6"/>
        <v>1062</v>
      </c>
      <c r="N1413" s="53">
        <f>IFERROR(__xludf.DUMMYFUNCTION("IFERROR(GOOGLEFINANCE(A1413,""TRADETIME""),)"),46269.64583333333)</f>
        <v>46269.64583</v>
      </c>
      <c r="O1413" s="44"/>
      <c r="P1413" s="44"/>
      <c r="Q1413" s="44"/>
      <c r="R1413" s="44"/>
      <c r="S1413" s="44"/>
      <c r="T1413" s="44"/>
      <c r="U1413" s="44"/>
      <c r="V1413" s="44"/>
      <c r="W1413" s="44"/>
      <c r="X1413" s="44"/>
      <c r="Y1413" s="44"/>
      <c r="Z1413" s="44"/>
    </row>
    <row r="1414" ht="15.75" customHeight="1">
      <c r="A1414" s="48" t="s">
        <v>1460</v>
      </c>
      <c r="B1414" s="48" t="str">
        <f>IFERROR(__xludf.DUMMYFUNCTION("IFERROR(GOOGLEFINANCE(A1414,""NAME""),)"),"")</f>
        <v/>
      </c>
      <c r="C1414" s="48" t="str">
        <f>IFERROR(__xludf.DUMMYFUNCTION("IFERROR(GOOGLEFINANCE(A1414,""CHANGE""),)"),"")</f>
        <v/>
      </c>
      <c r="D1414" s="48" t="str">
        <f>IFERROR(__xludf.DUMMYFUNCTION("IFERROR(GOOGLEFINANCE(A1414,""CHANGEPCT""),)"),"")</f>
        <v/>
      </c>
      <c r="E1414" s="48" t="str">
        <f t="shared" si="1"/>
        <v>%</v>
      </c>
      <c r="F1414" s="48" t="str">
        <f t="shared" si="2"/>
        <v/>
      </c>
      <c r="G1414" s="48" t="str">
        <f t="shared" si="3"/>
        <v/>
      </c>
      <c r="H1414" s="48" t="str">
        <f>IFERROR(__xludf.DUMMYFUNCTION("IFERROR(GOOGLEFINANCE(A1414,""PRICE""),)"),"")</f>
        <v/>
      </c>
      <c r="I1414" s="49" t="str">
        <f>IFERROR(__xludf.DUMMYFUNCTION("IFERROR(GOOGLEFINANCE(A1414,""VOLUME""),)"),"")</f>
        <v/>
      </c>
      <c r="J1414" s="48" t="str">
        <f>IFERROR(__xludf.DUMMYFUNCTION("IFERROR(INDEX(SPLIT(A1414,"":""),1,2),)"),"TECHIN")</f>
        <v>TECHIN</v>
      </c>
      <c r="K1414" s="48" t="str">
        <f t="shared" si="4"/>
        <v/>
      </c>
      <c r="L1414" s="48" t="str">
        <f t="shared" si="5"/>
        <v/>
      </c>
      <c r="M1414" s="48">
        <f t="shared" si="6"/>
        <v>1456</v>
      </c>
      <c r="N1414" s="50" t="str">
        <f>IFERROR(__xludf.DUMMYFUNCTION("IFERROR(GOOGLEFINANCE(A1414,""TRADETIME""),)"),"")</f>
        <v/>
      </c>
      <c r="O1414" s="44"/>
      <c r="P1414" s="44"/>
      <c r="Q1414" s="44"/>
      <c r="R1414" s="44"/>
      <c r="S1414" s="44"/>
      <c r="T1414" s="44"/>
      <c r="U1414" s="44"/>
      <c r="V1414" s="44"/>
      <c r="W1414" s="44"/>
      <c r="X1414" s="44"/>
      <c r="Y1414" s="44"/>
      <c r="Z1414" s="44"/>
    </row>
    <row r="1415" ht="15.75" customHeight="1">
      <c r="A1415" s="51" t="s">
        <v>1461</v>
      </c>
      <c r="B1415" s="51" t="str">
        <f>IFERROR(__xludf.DUMMYFUNCTION("IFERROR(GOOGLEFINANCE(A1415,""NAME""),)"),"Tech Mahindra Ltd")</f>
        <v>Tech Mahindra Ltd</v>
      </c>
      <c r="C1415" s="51">
        <f>IFERROR(__xludf.DUMMYFUNCTION("IFERROR(GOOGLEFINANCE(A1415,""CHANGE""),)"),-10.0)</f>
        <v>-10</v>
      </c>
      <c r="D1415" s="51">
        <f>IFERROR(__xludf.DUMMYFUNCTION("IFERROR(GOOGLEFINANCE(A1415,""CHANGEPCT""),)"),-0.63)</f>
        <v>-0.63</v>
      </c>
      <c r="E1415" s="51" t="str">
        <f t="shared" si="1"/>
        <v>-0.63%</v>
      </c>
      <c r="F1415" s="51" t="str">
        <f t="shared" si="2"/>
        <v/>
      </c>
      <c r="G1415" s="51">
        <f t="shared" si="3"/>
        <v>-0.63</v>
      </c>
      <c r="H1415" s="51">
        <f>IFERROR(__xludf.DUMMYFUNCTION("IFERROR(GOOGLEFINANCE(A1415,""PRICE""),)"),1588.0)</f>
        <v>1588</v>
      </c>
      <c r="I1415" s="52">
        <f>IFERROR(__xludf.DUMMYFUNCTION("IFERROR(GOOGLEFINANCE(A1415,""VOLUME""),)"),1173518.0)</f>
        <v>1173518</v>
      </c>
      <c r="J1415" s="51" t="str">
        <f>IFERROR(__xludf.DUMMYFUNCTION("IFERROR(INDEX(SPLIT(A1415,"":""),1,2),)"),"TECHM")</f>
        <v>TECHM</v>
      </c>
      <c r="K1415" s="51" t="str">
        <f t="shared" si="4"/>
        <v/>
      </c>
      <c r="L1415" s="51">
        <f t="shared" si="5"/>
        <v>236</v>
      </c>
      <c r="M1415" s="51">
        <f t="shared" si="6"/>
        <v>242</v>
      </c>
      <c r="N1415" s="53">
        <f>IFERROR(__xludf.DUMMYFUNCTION("IFERROR(GOOGLEFINANCE(A1415,""TRADETIME""),)"),46269.64583333333)</f>
        <v>46269.64583</v>
      </c>
      <c r="O1415" s="44"/>
      <c r="P1415" s="44"/>
      <c r="Q1415" s="44"/>
      <c r="R1415" s="44"/>
      <c r="S1415" s="44"/>
      <c r="T1415" s="44"/>
      <c r="U1415" s="44"/>
      <c r="V1415" s="44"/>
      <c r="W1415" s="44"/>
      <c r="X1415" s="44"/>
      <c r="Y1415" s="44"/>
      <c r="Z1415" s="44"/>
    </row>
    <row r="1416" ht="15.75" customHeight="1">
      <c r="A1416" s="48" t="s">
        <v>1462</v>
      </c>
      <c r="B1416" s="48" t="str">
        <f>IFERROR(__xludf.DUMMYFUNCTION("IFERROR(GOOGLEFINANCE(A1416,""NAME""),)"),"Techno Electric &amp; Engineering Cmpany Ltd")</f>
        <v>Techno Electric &amp; Engineering Cmpany Ltd</v>
      </c>
      <c r="C1416" s="48">
        <f>IFERROR(__xludf.DUMMYFUNCTION("IFERROR(GOOGLEFINANCE(A1416,""CHANGE""),)"),4.35)</f>
        <v>4.35</v>
      </c>
      <c r="D1416" s="48">
        <f>IFERROR(__xludf.DUMMYFUNCTION("IFERROR(GOOGLEFINANCE(A1416,""CHANGEPCT""),)"),0.45)</f>
        <v>0.45</v>
      </c>
      <c r="E1416" s="48" t="str">
        <f t="shared" si="1"/>
        <v>0.45%</v>
      </c>
      <c r="F1416" s="48">
        <f t="shared" si="2"/>
        <v>0.45</v>
      </c>
      <c r="G1416" s="48" t="str">
        <f t="shared" si="3"/>
        <v/>
      </c>
      <c r="H1416" s="48">
        <f>IFERROR(__xludf.DUMMYFUNCTION("IFERROR(GOOGLEFINANCE(A1416,""PRICE""),)"),978.0)</f>
        <v>978</v>
      </c>
      <c r="I1416" s="49">
        <f>IFERROR(__xludf.DUMMYFUNCTION("IFERROR(GOOGLEFINANCE(A1416,""VOLUME""),)"),82871.0)</f>
        <v>82871</v>
      </c>
      <c r="J1416" s="48" t="str">
        <f>IFERROR(__xludf.DUMMYFUNCTION("IFERROR(INDEX(SPLIT(A1416,"":""),1,2),)"),"TECHNOE")</f>
        <v>TECHNOE</v>
      </c>
      <c r="K1416" s="48">
        <f t="shared" si="4"/>
        <v>610</v>
      </c>
      <c r="L1416" s="48" t="str">
        <f t="shared" si="5"/>
        <v/>
      </c>
      <c r="M1416" s="48">
        <f t="shared" si="6"/>
        <v>817</v>
      </c>
      <c r="N1416" s="50">
        <f>IFERROR(__xludf.DUMMYFUNCTION("IFERROR(GOOGLEFINANCE(A1416,""TRADETIME""),)"),46269.64584490741)</f>
        <v>46269.64584</v>
      </c>
      <c r="O1416" s="44"/>
      <c r="P1416" s="44"/>
      <c r="Q1416" s="44"/>
      <c r="R1416" s="44"/>
      <c r="S1416" s="44"/>
      <c r="T1416" s="44"/>
      <c r="U1416" s="44"/>
      <c r="V1416" s="44"/>
      <c r="W1416" s="44"/>
      <c r="X1416" s="44"/>
      <c r="Y1416" s="44"/>
      <c r="Z1416" s="44"/>
    </row>
    <row r="1417" ht="15.75" customHeight="1">
      <c r="A1417" s="51" t="s">
        <v>1463</v>
      </c>
      <c r="B1417" s="51" t="str">
        <f>IFERROR(__xludf.DUMMYFUNCTION("IFERROR(GOOGLEFINANCE(A1417,""NAME""),)"),"Tejas Networks Ltd")</f>
        <v>Tejas Networks Ltd</v>
      </c>
      <c r="C1417" s="51">
        <f>IFERROR(__xludf.DUMMYFUNCTION("IFERROR(GOOGLEFINANCE(A1417,""CHANGE""),)"),44.55)</f>
        <v>44.55</v>
      </c>
      <c r="D1417" s="51">
        <f>IFERROR(__xludf.DUMMYFUNCTION("IFERROR(GOOGLEFINANCE(A1417,""CHANGEPCT""),)"),7.85)</f>
        <v>7.85</v>
      </c>
      <c r="E1417" s="51" t="str">
        <f t="shared" si="1"/>
        <v>7.85%</v>
      </c>
      <c r="F1417" s="51">
        <f t="shared" si="2"/>
        <v>7.85</v>
      </c>
      <c r="G1417" s="51" t="str">
        <f t="shared" si="3"/>
        <v/>
      </c>
      <c r="H1417" s="51">
        <f>IFERROR(__xludf.DUMMYFUNCTION("IFERROR(GOOGLEFINANCE(A1417,""PRICE""),)"),612.0)</f>
        <v>612</v>
      </c>
      <c r="I1417" s="52">
        <f>IFERROR(__xludf.DUMMYFUNCTION("IFERROR(GOOGLEFINANCE(A1417,""VOLUME""),)"),2.6085952E7)</f>
        <v>26085952</v>
      </c>
      <c r="J1417" s="51" t="str">
        <f>IFERROR(__xludf.DUMMYFUNCTION("IFERROR(INDEX(SPLIT(A1417,"":""),1,2),)"),"TEJASNET")</f>
        <v>TEJASNET</v>
      </c>
      <c r="K1417" s="51">
        <f t="shared" si="4"/>
        <v>17</v>
      </c>
      <c r="L1417" s="51" t="str">
        <f t="shared" si="5"/>
        <v/>
      </c>
      <c r="M1417" s="51">
        <f t="shared" si="6"/>
        <v>18</v>
      </c>
      <c r="N1417" s="53">
        <f>IFERROR(__xludf.DUMMYFUNCTION("IFERROR(GOOGLEFINANCE(A1417,""TRADETIME""),)"),46269.64583333333)</f>
        <v>46269.64583</v>
      </c>
      <c r="O1417" s="44"/>
      <c r="P1417" s="44"/>
      <c r="Q1417" s="44"/>
      <c r="R1417" s="44"/>
      <c r="S1417" s="44"/>
      <c r="T1417" s="44"/>
      <c r="U1417" s="44"/>
      <c r="V1417" s="44"/>
      <c r="W1417" s="44"/>
      <c r="X1417" s="44"/>
      <c r="Y1417" s="44"/>
      <c r="Z1417" s="44"/>
    </row>
    <row r="1418" ht="15.75" customHeight="1">
      <c r="A1418" s="48" t="s">
        <v>1464</v>
      </c>
      <c r="B1418" s="48" t="str">
        <f>IFERROR(__xludf.DUMMYFUNCTION("IFERROR(GOOGLEFINANCE(A1418,""NAME""),)"),"Tera Software Ltd")</f>
        <v>Tera Software Ltd</v>
      </c>
      <c r="C1418" s="48">
        <f>IFERROR(__xludf.DUMMYFUNCTION("IFERROR(GOOGLEFINANCE(A1418,""CHANGE""),)"),0.75)</f>
        <v>0.75</v>
      </c>
      <c r="D1418" s="48">
        <f>IFERROR(__xludf.DUMMYFUNCTION("IFERROR(GOOGLEFINANCE(A1418,""CHANGEPCT""),)"),0.27)</f>
        <v>0.27</v>
      </c>
      <c r="E1418" s="48" t="str">
        <f t="shared" si="1"/>
        <v>0.27%</v>
      </c>
      <c r="F1418" s="48">
        <f t="shared" si="2"/>
        <v>0.27</v>
      </c>
      <c r="G1418" s="48" t="str">
        <f t="shared" si="3"/>
        <v/>
      </c>
      <c r="H1418" s="48">
        <f>IFERROR(__xludf.DUMMYFUNCTION("IFERROR(GOOGLEFINANCE(A1418,""PRICE""),)"),282.05)</f>
        <v>282.05</v>
      </c>
      <c r="I1418" s="49">
        <f>IFERROR(__xludf.DUMMYFUNCTION("IFERROR(GOOGLEFINANCE(A1418,""VOLUME""),)"),41365.0)</f>
        <v>41365</v>
      </c>
      <c r="J1418" s="48" t="str">
        <f>IFERROR(__xludf.DUMMYFUNCTION("IFERROR(INDEX(SPLIT(A1418,"":""),1,2),)"),"TERASOFT")</f>
        <v>TERASOFT</v>
      </c>
      <c r="K1418" s="48">
        <f t="shared" si="4"/>
        <v>672</v>
      </c>
      <c r="L1418" s="48" t="str">
        <f t="shared" si="5"/>
        <v/>
      </c>
      <c r="M1418" s="48">
        <f t="shared" si="6"/>
        <v>996</v>
      </c>
      <c r="N1418" s="50">
        <f>IFERROR(__xludf.DUMMYFUNCTION("IFERROR(GOOGLEFINANCE(A1418,""TRADETIME""),)"),46269.64583333333)</f>
        <v>46269.64583</v>
      </c>
      <c r="O1418" s="44"/>
      <c r="P1418" s="44"/>
      <c r="Q1418" s="44"/>
      <c r="R1418" s="44"/>
      <c r="S1418" s="44"/>
      <c r="T1418" s="44"/>
      <c r="U1418" s="44"/>
      <c r="V1418" s="44"/>
      <c r="W1418" s="44"/>
      <c r="X1418" s="44"/>
      <c r="Y1418" s="44"/>
      <c r="Z1418" s="44"/>
    </row>
    <row r="1419" ht="15.75" customHeight="1">
      <c r="A1419" s="51" t="s">
        <v>1465</v>
      </c>
      <c r="B1419" s="51" t="str">
        <f>IFERROR(__xludf.DUMMYFUNCTION("IFERROR(GOOGLEFINANCE(A1419,""NAME""),)"),"Texmaco Infrastructure &amp; Holdings Ltd")</f>
        <v>Texmaco Infrastructure &amp; Holdings Ltd</v>
      </c>
      <c r="C1419" s="51">
        <f>IFERROR(__xludf.DUMMYFUNCTION("IFERROR(GOOGLEFINANCE(A1419,""CHANGE""),)"),-1.7)</f>
        <v>-1.7</v>
      </c>
      <c r="D1419" s="51">
        <f>IFERROR(__xludf.DUMMYFUNCTION("IFERROR(GOOGLEFINANCE(A1419,""CHANGEPCT""),)"),-1.46)</f>
        <v>-1.46</v>
      </c>
      <c r="E1419" s="51" t="str">
        <f t="shared" si="1"/>
        <v>-1.46%</v>
      </c>
      <c r="F1419" s="51" t="str">
        <f t="shared" si="2"/>
        <v/>
      </c>
      <c r="G1419" s="51">
        <f t="shared" si="3"/>
        <v>-1.46</v>
      </c>
      <c r="H1419" s="51">
        <f>IFERROR(__xludf.DUMMYFUNCTION("IFERROR(GOOGLEFINANCE(A1419,""PRICE""),)"),115.0)</f>
        <v>115</v>
      </c>
      <c r="I1419" s="52">
        <f>IFERROR(__xludf.DUMMYFUNCTION("IFERROR(GOOGLEFINANCE(A1419,""VOLUME""),)"),122665.0)</f>
        <v>122665</v>
      </c>
      <c r="J1419" s="51" t="str">
        <f>IFERROR(__xludf.DUMMYFUNCTION("IFERROR(INDEX(SPLIT(A1419,"":""),1,2),)"),"TEXINFRA")</f>
        <v>TEXINFRA</v>
      </c>
      <c r="K1419" s="51" t="str">
        <f t="shared" si="4"/>
        <v/>
      </c>
      <c r="L1419" s="51">
        <f t="shared" si="5"/>
        <v>442</v>
      </c>
      <c r="M1419" s="51">
        <f t="shared" si="6"/>
        <v>734</v>
      </c>
      <c r="N1419" s="53">
        <f>IFERROR(__xludf.DUMMYFUNCTION("IFERROR(GOOGLEFINANCE(A1419,""TRADETIME""),)"),46269.64585648148)</f>
        <v>46269.64586</v>
      </c>
      <c r="O1419" s="44"/>
      <c r="P1419" s="44"/>
      <c r="Q1419" s="44"/>
      <c r="R1419" s="44"/>
      <c r="S1419" s="44"/>
      <c r="T1419" s="44"/>
      <c r="U1419" s="44"/>
      <c r="V1419" s="44"/>
      <c r="W1419" s="44"/>
      <c r="X1419" s="44"/>
      <c r="Y1419" s="44"/>
      <c r="Z1419" s="44"/>
    </row>
    <row r="1420" ht="15.75" customHeight="1">
      <c r="A1420" s="48" t="s">
        <v>1466</v>
      </c>
      <c r="B1420" s="48" t="str">
        <f>IFERROR(__xludf.DUMMYFUNCTION("IFERROR(GOOGLEFINANCE(A1420,""NAME""),)"),"Texmo Pipes and Products Ltd")</f>
        <v>Texmo Pipes and Products Ltd</v>
      </c>
      <c r="C1420" s="48">
        <f>IFERROR(__xludf.DUMMYFUNCTION("IFERROR(GOOGLEFINANCE(A1420,""CHANGE""),)"),0.96)</f>
        <v>0.96</v>
      </c>
      <c r="D1420" s="48">
        <f>IFERROR(__xludf.DUMMYFUNCTION("IFERROR(GOOGLEFINANCE(A1420,""CHANGEPCT""),)"),2.11)</f>
        <v>2.11</v>
      </c>
      <c r="E1420" s="48" t="str">
        <f t="shared" si="1"/>
        <v>2.11%</v>
      </c>
      <c r="F1420" s="48">
        <f t="shared" si="2"/>
        <v>2.11</v>
      </c>
      <c r="G1420" s="48" t="str">
        <f t="shared" si="3"/>
        <v/>
      </c>
      <c r="H1420" s="48">
        <f>IFERROR(__xludf.DUMMYFUNCTION("IFERROR(GOOGLEFINANCE(A1420,""PRICE""),)"),46.45)</f>
        <v>46.45</v>
      </c>
      <c r="I1420" s="49">
        <f>IFERROR(__xludf.DUMMYFUNCTION("IFERROR(GOOGLEFINANCE(A1420,""VOLUME""),)"),23440.0)</f>
        <v>23440</v>
      </c>
      <c r="J1420" s="48" t="str">
        <f>IFERROR(__xludf.DUMMYFUNCTION("IFERROR(INDEX(SPLIT(A1420,"":""),1,2),)"),"TEXMOPIPES")</f>
        <v>TEXMOPIPES</v>
      </c>
      <c r="K1420" s="48">
        <f t="shared" si="4"/>
        <v>242</v>
      </c>
      <c r="L1420" s="48" t="str">
        <f t="shared" si="5"/>
        <v/>
      </c>
      <c r="M1420" s="48">
        <f t="shared" si="6"/>
        <v>1099</v>
      </c>
      <c r="N1420" s="50">
        <f>IFERROR(__xludf.DUMMYFUNCTION("IFERROR(GOOGLEFINANCE(A1420,""TRADETIME""),)"),46269.64583333333)</f>
        <v>46269.64583</v>
      </c>
      <c r="O1420" s="44"/>
      <c r="P1420" s="44"/>
      <c r="Q1420" s="44"/>
      <c r="R1420" s="44"/>
      <c r="S1420" s="44"/>
      <c r="T1420" s="44"/>
      <c r="U1420" s="44"/>
      <c r="V1420" s="44"/>
      <c r="W1420" s="44"/>
      <c r="X1420" s="44"/>
      <c r="Y1420" s="44"/>
      <c r="Z1420" s="44"/>
    </row>
    <row r="1421" ht="15.75" customHeight="1">
      <c r="A1421" s="51" t="s">
        <v>1467</v>
      </c>
      <c r="B1421" s="51" t="str">
        <f>IFERROR(__xludf.DUMMYFUNCTION("IFERROR(GOOGLEFINANCE(A1421,""NAME""),)"),"Texmaco Rail &amp; Engineering Ltd")</f>
        <v>Texmaco Rail &amp; Engineering Ltd</v>
      </c>
      <c r="C1421" s="51">
        <f>IFERROR(__xludf.DUMMYFUNCTION("IFERROR(GOOGLEFINANCE(A1421,""CHANGE""),)"),2.12)</f>
        <v>2.12</v>
      </c>
      <c r="D1421" s="51">
        <f>IFERROR(__xludf.DUMMYFUNCTION("IFERROR(GOOGLEFINANCE(A1421,""CHANGEPCT""),)"),1.87)</f>
        <v>1.87</v>
      </c>
      <c r="E1421" s="51" t="str">
        <f t="shared" si="1"/>
        <v>1.87%</v>
      </c>
      <c r="F1421" s="51">
        <f t="shared" si="2"/>
        <v>1.87</v>
      </c>
      <c r="G1421" s="51" t="str">
        <f t="shared" si="3"/>
        <v/>
      </c>
      <c r="H1421" s="51">
        <f>IFERROR(__xludf.DUMMYFUNCTION("IFERROR(GOOGLEFINANCE(A1421,""PRICE""),)"),115.75)</f>
        <v>115.75</v>
      </c>
      <c r="I1421" s="52">
        <f>IFERROR(__xludf.DUMMYFUNCTION("IFERROR(GOOGLEFINANCE(A1421,""VOLUME""),)"),3746637.0)</f>
        <v>3746637</v>
      </c>
      <c r="J1421" s="51" t="str">
        <f>IFERROR(__xludf.DUMMYFUNCTION("IFERROR(INDEX(SPLIT(A1421,"":""),1,2),)"),"TEXRAIL")</f>
        <v>TEXRAIL</v>
      </c>
      <c r="K1421" s="51">
        <f t="shared" si="4"/>
        <v>284</v>
      </c>
      <c r="L1421" s="51" t="str">
        <f t="shared" si="5"/>
        <v/>
      </c>
      <c r="M1421" s="51">
        <f t="shared" si="6"/>
        <v>109</v>
      </c>
      <c r="N1421" s="53">
        <f>IFERROR(__xludf.DUMMYFUNCTION("IFERROR(GOOGLEFINANCE(A1421,""TRADETIME""),)"),46269.64585648148)</f>
        <v>46269.64586</v>
      </c>
      <c r="O1421" s="44"/>
      <c r="P1421" s="44"/>
      <c r="Q1421" s="44"/>
      <c r="R1421" s="44"/>
      <c r="S1421" s="44"/>
      <c r="T1421" s="44"/>
      <c r="U1421" s="44"/>
      <c r="V1421" s="44"/>
      <c r="W1421" s="44"/>
      <c r="X1421" s="44"/>
      <c r="Y1421" s="44"/>
      <c r="Z1421" s="44"/>
    </row>
    <row r="1422" ht="15.75" customHeight="1">
      <c r="A1422" s="48" t="s">
        <v>1468</v>
      </c>
      <c r="B1422" s="48" t="str">
        <f>IFERROR(__xludf.DUMMYFUNCTION("IFERROR(GOOGLEFINANCE(A1422,""NAME""),)"),"Tourism Finance Corporation of India Ltd")</f>
        <v>Tourism Finance Corporation of India Ltd</v>
      </c>
      <c r="C1422" s="48">
        <f>IFERROR(__xludf.DUMMYFUNCTION("IFERROR(GOOGLEFINANCE(A1422,""CHANGE""),)"),-3.55)</f>
        <v>-3.55</v>
      </c>
      <c r="D1422" s="48">
        <f>IFERROR(__xludf.DUMMYFUNCTION("IFERROR(GOOGLEFINANCE(A1422,""CHANGEPCT""),)"),-2.42)</f>
        <v>-2.42</v>
      </c>
      <c r="E1422" s="48" t="str">
        <f t="shared" si="1"/>
        <v>-2.42%</v>
      </c>
      <c r="F1422" s="48" t="str">
        <f t="shared" si="2"/>
        <v/>
      </c>
      <c r="G1422" s="48">
        <f t="shared" si="3"/>
        <v>-2.42</v>
      </c>
      <c r="H1422" s="48">
        <f>IFERROR(__xludf.DUMMYFUNCTION("IFERROR(GOOGLEFINANCE(A1422,""PRICE""),)"),143.16)</f>
        <v>143.16</v>
      </c>
      <c r="I1422" s="49">
        <f>IFERROR(__xludf.DUMMYFUNCTION("IFERROR(GOOGLEFINANCE(A1422,""VOLUME""),)"),8211306.0)</f>
        <v>8211306</v>
      </c>
      <c r="J1422" s="48" t="str">
        <f>IFERROR(__xludf.DUMMYFUNCTION("IFERROR(INDEX(SPLIT(A1422,"":""),1,2),)"),"TFCILTD")</f>
        <v>TFCILTD</v>
      </c>
      <c r="K1422" s="48" t="str">
        <f t="shared" si="4"/>
        <v/>
      </c>
      <c r="L1422" s="48">
        <f t="shared" si="5"/>
        <v>568</v>
      </c>
      <c r="M1422" s="48">
        <f t="shared" si="6"/>
        <v>52</v>
      </c>
      <c r="N1422" s="50">
        <f>IFERROR(__xludf.DUMMYFUNCTION("IFERROR(GOOGLEFINANCE(A1422,""TRADETIME""),)"),46269.64585648148)</f>
        <v>46269.64586</v>
      </c>
      <c r="O1422" s="44"/>
      <c r="P1422" s="44"/>
      <c r="Q1422" s="44"/>
      <c r="R1422" s="44"/>
      <c r="S1422" s="44"/>
      <c r="T1422" s="44"/>
      <c r="U1422" s="44"/>
      <c r="V1422" s="44"/>
      <c r="W1422" s="44"/>
      <c r="X1422" s="44"/>
      <c r="Y1422" s="44"/>
      <c r="Z1422" s="44"/>
    </row>
    <row r="1423" ht="15.75" customHeight="1">
      <c r="A1423" s="51" t="s">
        <v>1469</v>
      </c>
      <c r="B1423" s="51" t="str">
        <f>IFERROR(__xludf.DUMMYFUNCTION("IFERROR(GOOGLEFINANCE(A1423,""NAME""),)"),"Transwarranty Finance Ltd")</f>
        <v>Transwarranty Finance Ltd</v>
      </c>
      <c r="C1423" s="51">
        <f>IFERROR(__xludf.DUMMYFUNCTION("IFERROR(GOOGLEFINANCE(A1423,""CHANGE""),)"),-0.16)</f>
        <v>-0.16</v>
      </c>
      <c r="D1423" s="51">
        <f>IFERROR(__xludf.DUMMYFUNCTION("IFERROR(GOOGLEFINANCE(A1423,""CHANGEPCT""),)"),-1.27)</f>
        <v>-1.27</v>
      </c>
      <c r="E1423" s="51" t="str">
        <f t="shared" si="1"/>
        <v>-1.27%</v>
      </c>
      <c r="F1423" s="51" t="str">
        <f t="shared" si="2"/>
        <v/>
      </c>
      <c r="G1423" s="51">
        <f t="shared" si="3"/>
        <v>-1.27</v>
      </c>
      <c r="H1423" s="51">
        <f>IFERROR(__xludf.DUMMYFUNCTION("IFERROR(GOOGLEFINANCE(A1423,""PRICE""),)"),12.4)</f>
        <v>12.4</v>
      </c>
      <c r="I1423" s="52">
        <f>IFERROR(__xludf.DUMMYFUNCTION("IFERROR(GOOGLEFINANCE(A1423,""VOLUME""),)"),23861.0)</f>
        <v>23861</v>
      </c>
      <c r="J1423" s="51" t="str">
        <f>IFERROR(__xludf.DUMMYFUNCTION("IFERROR(INDEX(SPLIT(A1423,"":""),1,2),)"),"TFL")</f>
        <v>TFL</v>
      </c>
      <c r="K1423" s="51" t="str">
        <f t="shared" si="4"/>
        <v/>
      </c>
      <c r="L1423" s="51">
        <f t="shared" si="5"/>
        <v>398</v>
      </c>
      <c r="M1423" s="51">
        <f t="shared" si="6"/>
        <v>1095</v>
      </c>
      <c r="N1423" s="53">
        <f>IFERROR(__xludf.DUMMYFUNCTION("IFERROR(GOOGLEFINANCE(A1423,""TRADETIME""),)"),46269.64583333333)</f>
        <v>46269.64583</v>
      </c>
      <c r="O1423" s="44"/>
      <c r="P1423" s="44"/>
      <c r="Q1423" s="44"/>
      <c r="R1423" s="44"/>
      <c r="S1423" s="44"/>
      <c r="T1423" s="44"/>
      <c r="U1423" s="44"/>
      <c r="V1423" s="44"/>
      <c r="W1423" s="44"/>
      <c r="X1423" s="44"/>
      <c r="Y1423" s="44"/>
      <c r="Z1423" s="44"/>
    </row>
    <row r="1424" ht="15.75" customHeight="1">
      <c r="A1424" s="48" t="s">
        <v>1470</v>
      </c>
      <c r="B1424" s="48" t="str">
        <f>IFERROR(__xludf.DUMMYFUNCTION("IFERROR(GOOGLEFINANCE(A1424,""NAME""),)"),"TGB Banquets and Hotels Ltd")</f>
        <v>TGB Banquets and Hotels Ltd</v>
      </c>
      <c r="C1424" s="48">
        <f>IFERROR(__xludf.DUMMYFUNCTION("IFERROR(GOOGLEFINANCE(A1424,""CHANGE""),)"),-0.19)</f>
        <v>-0.19</v>
      </c>
      <c r="D1424" s="48">
        <f>IFERROR(__xludf.DUMMYFUNCTION("IFERROR(GOOGLEFINANCE(A1424,""CHANGEPCT""),)"),-1.96)</f>
        <v>-1.96</v>
      </c>
      <c r="E1424" s="48" t="str">
        <f t="shared" si="1"/>
        <v>-1.96%</v>
      </c>
      <c r="F1424" s="48" t="str">
        <f t="shared" si="2"/>
        <v/>
      </c>
      <c r="G1424" s="48">
        <f t="shared" si="3"/>
        <v>-1.96</v>
      </c>
      <c r="H1424" s="48">
        <f>IFERROR(__xludf.DUMMYFUNCTION("IFERROR(GOOGLEFINANCE(A1424,""PRICE""),)"),9.5)</f>
        <v>9.5</v>
      </c>
      <c r="I1424" s="49">
        <f>IFERROR(__xludf.DUMMYFUNCTION("IFERROR(GOOGLEFINANCE(A1424,""VOLUME""),)"),24575.0)</f>
        <v>24575</v>
      </c>
      <c r="J1424" s="48" t="str">
        <f>IFERROR(__xludf.DUMMYFUNCTION("IFERROR(INDEX(SPLIT(A1424,"":""),1,2),)"),"TGBHOTELS")</f>
        <v>TGBHOTELS</v>
      </c>
      <c r="K1424" s="48" t="str">
        <f t="shared" si="4"/>
        <v/>
      </c>
      <c r="L1424" s="48">
        <f t="shared" si="5"/>
        <v>522</v>
      </c>
      <c r="M1424" s="48">
        <f t="shared" si="6"/>
        <v>1088</v>
      </c>
      <c r="N1424" s="50">
        <f>IFERROR(__xludf.DUMMYFUNCTION("IFERROR(GOOGLEFINANCE(A1424,""TRADETIME""),)"),46269.64583333333)</f>
        <v>46269.64583</v>
      </c>
      <c r="O1424" s="44"/>
      <c r="P1424" s="44"/>
      <c r="Q1424" s="44"/>
      <c r="R1424" s="44"/>
      <c r="S1424" s="44"/>
      <c r="T1424" s="44"/>
      <c r="U1424" s="44"/>
      <c r="V1424" s="44"/>
      <c r="W1424" s="44"/>
      <c r="X1424" s="44"/>
      <c r="Y1424" s="44"/>
      <c r="Z1424" s="44"/>
    </row>
    <row r="1425" ht="15.75" customHeight="1">
      <c r="A1425" s="51" t="s">
        <v>1471</v>
      </c>
      <c r="B1425" s="51" t="str">
        <f>IFERROR(__xludf.DUMMYFUNCTION("IFERROR(GOOGLEFINANCE(A1425,""NAME""),)"),"Thangamayil Jewellery Ltd")</f>
        <v>Thangamayil Jewellery Ltd</v>
      </c>
      <c r="C1425" s="51">
        <f>IFERROR(__xludf.DUMMYFUNCTION("IFERROR(GOOGLEFINANCE(A1425,""CHANGE""),)"),54.0)</f>
        <v>54</v>
      </c>
      <c r="D1425" s="51">
        <f>IFERROR(__xludf.DUMMYFUNCTION("IFERROR(GOOGLEFINANCE(A1425,""CHANGEPCT""),)"),1.02)</f>
        <v>1.02</v>
      </c>
      <c r="E1425" s="51" t="str">
        <f t="shared" si="1"/>
        <v>1.02%</v>
      </c>
      <c r="F1425" s="51">
        <f t="shared" si="2"/>
        <v>1.02</v>
      </c>
      <c r="G1425" s="51" t="str">
        <f t="shared" si="3"/>
        <v/>
      </c>
      <c r="H1425" s="51">
        <f>IFERROR(__xludf.DUMMYFUNCTION("IFERROR(GOOGLEFINANCE(A1425,""PRICE""),)"),5349.0)</f>
        <v>5349</v>
      </c>
      <c r="I1425" s="52">
        <f>IFERROR(__xludf.DUMMYFUNCTION("IFERROR(GOOGLEFINANCE(A1425,""VOLUME""),)"),65612.0)</f>
        <v>65612</v>
      </c>
      <c r="J1425" s="51" t="str">
        <f>IFERROR(__xludf.DUMMYFUNCTION("IFERROR(INDEX(SPLIT(A1425,"":""),1,2),)"),"THANGAMAYL")</f>
        <v>THANGAMAYL</v>
      </c>
      <c r="K1425" s="51">
        <f t="shared" si="4"/>
        <v>447</v>
      </c>
      <c r="L1425" s="51" t="str">
        <f t="shared" si="5"/>
        <v/>
      </c>
      <c r="M1425" s="51">
        <f t="shared" si="6"/>
        <v>876</v>
      </c>
      <c r="N1425" s="53">
        <f>IFERROR(__xludf.DUMMYFUNCTION("IFERROR(GOOGLEFINANCE(A1425,""TRADETIME""),)"),46269.64584490741)</f>
        <v>46269.64584</v>
      </c>
      <c r="O1425" s="44"/>
      <c r="P1425" s="44"/>
      <c r="Q1425" s="44"/>
      <c r="R1425" s="44"/>
      <c r="S1425" s="44"/>
      <c r="T1425" s="44"/>
      <c r="U1425" s="44"/>
      <c r="V1425" s="44"/>
      <c r="W1425" s="44"/>
      <c r="X1425" s="44"/>
      <c r="Y1425" s="44"/>
      <c r="Z1425" s="44"/>
    </row>
    <row r="1426" ht="15.75" customHeight="1">
      <c r="A1426" s="48" t="s">
        <v>1472</v>
      </c>
      <c r="B1426" s="48" t="str">
        <f>IFERROR(__xludf.DUMMYFUNCTION("IFERROR(GOOGLEFINANCE(A1426,""NAME""),)"),"Investment Trust of India Ltd")</f>
        <v>Investment Trust of India Ltd</v>
      </c>
      <c r="C1426" s="48">
        <f>IFERROR(__xludf.DUMMYFUNCTION("IFERROR(GOOGLEFINANCE(A1426,""CHANGE""),)"),-3.35)</f>
        <v>-3.35</v>
      </c>
      <c r="D1426" s="48">
        <f>IFERROR(__xludf.DUMMYFUNCTION("IFERROR(GOOGLEFINANCE(A1426,""CHANGEPCT""),)"),-3.41)</f>
        <v>-3.41</v>
      </c>
      <c r="E1426" s="48" t="str">
        <f t="shared" si="1"/>
        <v>-3.41%</v>
      </c>
      <c r="F1426" s="48" t="str">
        <f t="shared" si="2"/>
        <v/>
      </c>
      <c r="G1426" s="48">
        <f t="shared" si="3"/>
        <v>-3.41</v>
      </c>
      <c r="H1426" s="48">
        <f>IFERROR(__xludf.DUMMYFUNCTION("IFERROR(GOOGLEFINANCE(A1426,""PRICE""),)"),94.75)</f>
        <v>94.75</v>
      </c>
      <c r="I1426" s="49">
        <f>IFERROR(__xludf.DUMMYFUNCTION("IFERROR(GOOGLEFINANCE(A1426,""VOLUME""),)"),3714.0)</f>
        <v>3714</v>
      </c>
      <c r="J1426" s="48" t="str">
        <f>IFERROR(__xludf.DUMMYFUNCTION("IFERROR(INDEX(SPLIT(A1426,"":""),1,2),)"),"THEINVEST")</f>
        <v>THEINVEST</v>
      </c>
      <c r="K1426" s="48" t="str">
        <f t="shared" si="4"/>
        <v/>
      </c>
      <c r="L1426" s="48">
        <f t="shared" si="5"/>
        <v>604</v>
      </c>
      <c r="M1426" s="48">
        <f t="shared" si="6"/>
        <v>1353</v>
      </c>
      <c r="N1426" s="50">
        <f>IFERROR(__xludf.DUMMYFUNCTION("IFERROR(GOOGLEFINANCE(A1426,""TRADETIME""),)"),46269.64583333333)</f>
        <v>46269.64583</v>
      </c>
      <c r="O1426" s="44"/>
      <c r="P1426" s="44"/>
      <c r="Q1426" s="44"/>
      <c r="R1426" s="44"/>
      <c r="S1426" s="44"/>
      <c r="T1426" s="44"/>
      <c r="U1426" s="44"/>
      <c r="V1426" s="44"/>
      <c r="W1426" s="44"/>
      <c r="X1426" s="44"/>
      <c r="Y1426" s="44"/>
      <c r="Z1426" s="44"/>
    </row>
    <row r="1427" ht="15.75" customHeight="1">
      <c r="A1427" s="51" t="s">
        <v>1473</v>
      </c>
      <c r="B1427" s="51" t="str">
        <f>IFERROR(__xludf.DUMMYFUNCTION("IFERROR(GOOGLEFINANCE(A1427,""NAME""),)"),"Themis Medicare Ltd")</f>
        <v>Themis Medicare Ltd</v>
      </c>
      <c r="C1427" s="51">
        <f>IFERROR(__xludf.DUMMYFUNCTION("IFERROR(GOOGLEFINANCE(A1427,""CHANGE""),)"),-4.62)</f>
        <v>-4.62</v>
      </c>
      <c r="D1427" s="51">
        <f>IFERROR(__xludf.DUMMYFUNCTION("IFERROR(GOOGLEFINANCE(A1427,""CHANGEPCT""),)"),-3.7)</f>
        <v>-3.7</v>
      </c>
      <c r="E1427" s="51" t="str">
        <f t="shared" si="1"/>
        <v>-3.7%</v>
      </c>
      <c r="F1427" s="51" t="str">
        <f t="shared" si="2"/>
        <v/>
      </c>
      <c r="G1427" s="51">
        <f t="shared" si="3"/>
        <v>-3.7</v>
      </c>
      <c r="H1427" s="51">
        <f>IFERROR(__xludf.DUMMYFUNCTION("IFERROR(GOOGLEFINANCE(A1427,""PRICE""),)"),120.25)</f>
        <v>120.25</v>
      </c>
      <c r="I1427" s="52">
        <f>IFERROR(__xludf.DUMMYFUNCTION("IFERROR(GOOGLEFINANCE(A1427,""VOLUME""),)"),159319.0)</f>
        <v>159319</v>
      </c>
      <c r="J1427" s="51" t="str">
        <f>IFERROR(__xludf.DUMMYFUNCTION("IFERROR(INDEX(SPLIT(A1427,"":""),1,2),)"),"THEMISMED")</f>
        <v>THEMISMED</v>
      </c>
      <c r="K1427" s="51" t="str">
        <f t="shared" si="4"/>
        <v/>
      </c>
      <c r="L1427" s="51">
        <f t="shared" si="5"/>
        <v>616</v>
      </c>
      <c r="M1427" s="51">
        <f t="shared" si="6"/>
        <v>675</v>
      </c>
      <c r="N1427" s="53">
        <f>IFERROR(__xludf.DUMMYFUNCTION("IFERROR(GOOGLEFINANCE(A1427,""TRADETIME""),)"),46269.64583333333)</f>
        <v>46269.64583</v>
      </c>
      <c r="O1427" s="44"/>
      <c r="P1427" s="44"/>
      <c r="Q1427" s="44"/>
      <c r="R1427" s="44"/>
      <c r="S1427" s="44"/>
      <c r="T1427" s="44"/>
      <c r="U1427" s="44"/>
      <c r="V1427" s="44"/>
      <c r="W1427" s="44"/>
      <c r="X1427" s="44"/>
      <c r="Y1427" s="44"/>
      <c r="Z1427" s="44"/>
    </row>
    <row r="1428" ht="15.75" customHeight="1">
      <c r="A1428" s="48" t="s">
        <v>1474</v>
      </c>
      <c r="B1428" s="48" t="str">
        <f>IFERROR(__xludf.DUMMYFUNCTION("IFERROR(GOOGLEFINANCE(A1428,""NAME""),)"),"Thermax Limited")</f>
        <v>Thermax Limited</v>
      </c>
      <c r="C1428" s="48">
        <f>IFERROR(__xludf.DUMMYFUNCTION("IFERROR(GOOGLEFINANCE(A1428,""CHANGE""),)"),-83.9)</f>
        <v>-83.9</v>
      </c>
      <c r="D1428" s="48">
        <f>IFERROR(__xludf.DUMMYFUNCTION("IFERROR(GOOGLEFINANCE(A1428,""CHANGEPCT""),)"),-2.25)</f>
        <v>-2.25</v>
      </c>
      <c r="E1428" s="48" t="str">
        <f t="shared" si="1"/>
        <v>-2.25%</v>
      </c>
      <c r="F1428" s="48" t="str">
        <f t="shared" si="2"/>
        <v/>
      </c>
      <c r="G1428" s="48">
        <f t="shared" si="3"/>
        <v>-2.25</v>
      </c>
      <c r="H1428" s="48">
        <f>IFERROR(__xludf.DUMMYFUNCTION("IFERROR(GOOGLEFINANCE(A1428,""PRICE""),)"),3650.0)</f>
        <v>3650</v>
      </c>
      <c r="I1428" s="49">
        <f>IFERROR(__xludf.DUMMYFUNCTION("IFERROR(GOOGLEFINANCE(A1428,""VOLUME""),)"),258180.0)</f>
        <v>258180</v>
      </c>
      <c r="J1428" s="48" t="str">
        <f>IFERROR(__xludf.DUMMYFUNCTION("IFERROR(INDEX(SPLIT(A1428,"":""),1,2),)"),"THERMAX")</f>
        <v>THERMAX</v>
      </c>
      <c r="K1428" s="48" t="str">
        <f t="shared" si="4"/>
        <v/>
      </c>
      <c r="L1428" s="48">
        <f t="shared" si="5"/>
        <v>556</v>
      </c>
      <c r="M1428" s="48">
        <f t="shared" si="6"/>
        <v>557</v>
      </c>
      <c r="N1428" s="50">
        <f>IFERROR(__xludf.DUMMYFUNCTION("IFERROR(GOOGLEFINANCE(A1428,""TRADETIME""),)"),46269.64583333333)</f>
        <v>46269.64583</v>
      </c>
      <c r="O1428" s="44"/>
      <c r="P1428" s="44"/>
      <c r="Q1428" s="44"/>
      <c r="R1428" s="44"/>
      <c r="S1428" s="44"/>
      <c r="T1428" s="44"/>
      <c r="U1428" s="44"/>
      <c r="V1428" s="44"/>
      <c r="W1428" s="44"/>
      <c r="X1428" s="44"/>
      <c r="Y1428" s="44"/>
      <c r="Z1428" s="44"/>
    </row>
    <row r="1429" ht="15.75" customHeight="1">
      <c r="A1429" s="51" t="s">
        <v>1475</v>
      </c>
      <c r="B1429" s="51" t="str">
        <f>IFERROR(__xludf.DUMMYFUNCTION("IFERROR(GOOGLEFINANCE(A1429,""NAME""),)"),"Technocraft Industries (India) Ltd")</f>
        <v>Technocraft Industries (India) Ltd</v>
      </c>
      <c r="C1429" s="51">
        <f>IFERROR(__xludf.DUMMYFUNCTION("IFERROR(GOOGLEFINANCE(A1429,""CHANGE""),)"),-75.2)</f>
        <v>-75.2</v>
      </c>
      <c r="D1429" s="51">
        <f>IFERROR(__xludf.DUMMYFUNCTION("IFERROR(GOOGLEFINANCE(A1429,""CHANGEPCT""),)"),-2.3)</f>
        <v>-2.3</v>
      </c>
      <c r="E1429" s="51" t="str">
        <f t="shared" si="1"/>
        <v>-2.3%</v>
      </c>
      <c r="F1429" s="51" t="str">
        <f t="shared" si="2"/>
        <v/>
      </c>
      <c r="G1429" s="51">
        <f t="shared" si="3"/>
        <v>-2.3</v>
      </c>
      <c r="H1429" s="51">
        <f>IFERROR(__xludf.DUMMYFUNCTION("IFERROR(GOOGLEFINANCE(A1429,""PRICE""),)"),3192.2)</f>
        <v>3192.2</v>
      </c>
      <c r="I1429" s="52">
        <f>IFERROR(__xludf.DUMMYFUNCTION("IFERROR(GOOGLEFINANCE(A1429,""VOLUME""),)"),25085.0)</f>
        <v>25085</v>
      </c>
      <c r="J1429" s="51" t="str">
        <f>IFERROR(__xludf.DUMMYFUNCTION("IFERROR(INDEX(SPLIT(A1429,"":""),1,2),)"),"TIIL")</f>
        <v>TIIL</v>
      </c>
      <c r="K1429" s="51" t="str">
        <f t="shared" si="4"/>
        <v/>
      </c>
      <c r="L1429" s="51">
        <f t="shared" si="5"/>
        <v>560</v>
      </c>
      <c r="M1429" s="51">
        <f t="shared" si="6"/>
        <v>1082</v>
      </c>
      <c r="N1429" s="53">
        <f>IFERROR(__xludf.DUMMYFUNCTION("IFERROR(GOOGLEFINANCE(A1429,""TRADETIME""),)"),46269.64584490741)</f>
        <v>46269.64584</v>
      </c>
      <c r="O1429" s="44"/>
      <c r="P1429" s="44"/>
      <c r="Q1429" s="44"/>
      <c r="R1429" s="44"/>
      <c r="S1429" s="44"/>
      <c r="T1429" s="44"/>
      <c r="U1429" s="44"/>
      <c r="V1429" s="44"/>
      <c r="W1429" s="44"/>
      <c r="X1429" s="44"/>
      <c r="Y1429" s="44"/>
      <c r="Z1429" s="44"/>
    </row>
    <row r="1430" ht="15.75" customHeight="1">
      <c r="A1430" s="48" t="s">
        <v>1476</v>
      </c>
      <c r="B1430" s="48" t="str">
        <f>IFERROR(__xludf.DUMMYFUNCTION("IFERROR(GOOGLEFINANCE(A1430,""NAME""),)"),"")</f>
        <v/>
      </c>
      <c r="C1430" s="48" t="str">
        <f>IFERROR(__xludf.DUMMYFUNCTION("IFERROR(GOOGLEFINANCE(A1430,""CHANGE""),)"),"")</f>
        <v/>
      </c>
      <c r="D1430" s="48" t="str">
        <f>IFERROR(__xludf.DUMMYFUNCTION("IFERROR(GOOGLEFINANCE(A1430,""CHANGEPCT""),)"),"")</f>
        <v/>
      </c>
      <c r="E1430" s="48" t="str">
        <f t="shared" si="1"/>
        <v>%</v>
      </c>
      <c r="F1430" s="48" t="str">
        <f t="shared" si="2"/>
        <v/>
      </c>
      <c r="G1430" s="48" t="str">
        <f t="shared" si="3"/>
        <v/>
      </c>
      <c r="H1430" s="48" t="str">
        <f>IFERROR(__xludf.DUMMYFUNCTION("IFERROR(GOOGLEFINANCE(A1430,""PRICE""),)"),"")</f>
        <v/>
      </c>
      <c r="I1430" s="49" t="str">
        <f>IFERROR(__xludf.DUMMYFUNCTION("IFERROR(GOOGLEFINANCE(A1430,""VOLUME""),)"),"")</f>
        <v/>
      </c>
      <c r="J1430" s="48" t="str">
        <f>IFERROR(__xludf.DUMMYFUNCTION("IFERROR(INDEX(SPLIT(A1430,"":""),1,2),)"),"TRIL")</f>
        <v>TRIL</v>
      </c>
      <c r="K1430" s="48" t="str">
        <f t="shared" si="4"/>
        <v/>
      </c>
      <c r="L1430" s="48" t="str">
        <f t="shared" si="5"/>
        <v/>
      </c>
      <c r="M1430" s="48">
        <f t="shared" si="6"/>
        <v>1456</v>
      </c>
      <c r="N1430" s="50" t="str">
        <f>IFERROR(__xludf.DUMMYFUNCTION("IFERROR(GOOGLEFINANCE(A1430,""TRADETIME""),)"),"")</f>
        <v/>
      </c>
      <c r="O1430" s="44"/>
      <c r="P1430" s="44"/>
      <c r="Q1430" s="44"/>
      <c r="R1430" s="44"/>
      <c r="S1430" s="44"/>
      <c r="T1430" s="44"/>
      <c r="U1430" s="44"/>
      <c r="V1430" s="44"/>
      <c r="W1430" s="44"/>
      <c r="X1430" s="44"/>
      <c r="Y1430" s="44"/>
      <c r="Z1430" s="44"/>
    </row>
    <row r="1431" ht="15.75" customHeight="1">
      <c r="A1431" s="51" t="s">
        <v>1477</v>
      </c>
      <c r="B1431" s="51" t="str">
        <f>IFERROR(__xludf.DUMMYFUNCTION("IFERROR(GOOGLEFINANCE(A1431,""NAME""),)"),"Thyrocare Technologies Ltd")</f>
        <v>Thyrocare Technologies Ltd</v>
      </c>
      <c r="C1431" s="51">
        <f>IFERROR(__xludf.DUMMYFUNCTION("IFERROR(GOOGLEFINANCE(A1431,""CHANGE""),)"),-2.25)</f>
        <v>-2.25</v>
      </c>
      <c r="D1431" s="51">
        <f>IFERROR(__xludf.DUMMYFUNCTION("IFERROR(GOOGLEFINANCE(A1431,""CHANGEPCT""),)"),-0.39)</f>
        <v>-0.39</v>
      </c>
      <c r="E1431" s="51" t="str">
        <f t="shared" si="1"/>
        <v>-0.39%</v>
      </c>
      <c r="F1431" s="51" t="str">
        <f t="shared" si="2"/>
        <v/>
      </c>
      <c r="G1431" s="51">
        <f t="shared" si="3"/>
        <v>-0.39</v>
      </c>
      <c r="H1431" s="51">
        <f>IFERROR(__xludf.DUMMYFUNCTION("IFERROR(GOOGLEFINANCE(A1431,""PRICE""),)"),576.4)</f>
        <v>576.4</v>
      </c>
      <c r="I1431" s="52">
        <f>IFERROR(__xludf.DUMMYFUNCTION("IFERROR(GOOGLEFINANCE(A1431,""VOLUME""),)"),137365.0)</f>
        <v>137365</v>
      </c>
      <c r="J1431" s="51" t="str">
        <f>IFERROR(__xludf.DUMMYFUNCTION("IFERROR(INDEX(SPLIT(A1431,"":""),1,2),)"),"THYROCARE")</f>
        <v>THYROCARE</v>
      </c>
      <c r="K1431" s="51" t="str">
        <f t="shared" si="4"/>
        <v/>
      </c>
      <c r="L1431" s="51">
        <f t="shared" si="5"/>
        <v>153</v>
      </c>
      <c r="M1431" s="51">
        <f t="shared" si="6"/>
        <v>710</v>
      </c>
      <c r="N1431" s="53">
        <f>IFERROR(__xludf.DUMMYFUNCTION("IFERROR(GOOGLEFINANCE(A1431,""TRADETIME""),)"),46269.64584490741)</f>
        <v>46269.64584</v>
      </c>
      <c r="O1431" s="44"/>
      <c r="P1431" s="44"/>
      <c r="Q1431" s="44"/>
      <c r="R1431" s="44"/>
      <c r="S1431" s="44"/>
      <c r="T1431" s="44"/>
      <c r="U1431" s="44"/>
      <c r="V1431" s="44"/>
      <c r="W1431" s="44"/>
      <c r="X1431" s="44"/>
      <c r="Y1431" s="44"/>
      <c r="Z1431" s="44"/>
    </row>
    <row r="1432" ht="15.75" customHeight="1">
      <c r="A1432" s="48" t="s">
        <v>1478</v>
      </c>
      <c r="B1432" s="48" t="str">
        <f>IFERROR(__xludf.DUMMYFUNCTION("IFERROR(GOOGLEFINANCE(A1432,""NAME""),)"),"Tilaknagar Industries Ltd")</f>
        <v>Tilaknagar Industries Ltd</v>
      </c>
      <c r="C1432" s="48">
        <f>IFERROR(__xludf.DUMMYFUNCTION("IFERROR(GOOGLEFINANCE(A1432,""CHANGE""),)"),-9.25)</f>
        <v>-9.25</v>
      </c>
      <c r="D1432" s="48">
        <f>IFERROR(__xludf.DUMMYFUNCTION("IFERROR(GOOGLEFINANCE(A1432,""CHANGEPCT""),)"),-1.7)</f>
        <v>-1.7</v>
      </c>
      <c r="E1432" s="48" t="str">
        <f t="shared" si="1"/>
        <v>-1.7%</v>
      </c>
      <c r="F1432" s="48" t="str">
        <f t="shared" si="2"/>
        <v/>
      </c>
      <c r="G1432" s="48">
        <f t="shared" si="3"/>
        <v>-1.7</v>
      </c>
      <c r="H1432" s="48">
        <f>IFERROR(__xludf.DUMMYFUNCTION("IFERROR(GOOGLEFINANCE(A1432,""PRICE""),)"),535.0)</f>
        <v>535</v>
      </c>
      <c r="I1432" s="49">
        <f>IFERROR(__xludf.DUMMYFUNCTION("IFERROR(GOOGLEFINANCE(A1432,""VOLUME""),)"),540041.0)</f>
        <v>540041</v>
      </c>
      <c r="J1432" s="48" t="str">
        <f>IFERROR(__xludf.DUMMYFUNCTION("IFERROR(INDEX(SPLIT(A1432,"":""),1,2),)"),"TI")</f>
        <v>TI</v>
      </c>
      <c r="K1432" s="48" t="str">
        <f t="shared" si="4"/>
        <v/>
      </c>
      <c r="L1432" s="48">
        <f t="shared" si="5"/>
        <v>482</v>
      </c>
      <c r="M1432" s="48">
        <f t="shared" si="6"/>
        <v>378</v>
      </c>
      <c r="N1432" s="50">
        <f>IFERROR(__xludf.DUMMYFUNCTION("IFERROR(GOOGLEFINANCE(A1432,""TRADETIME""),)"),46269.64585648148)</f>
        <v>46269.64586</v>
      </c>
      <c r="O1432" s="44"/>
      <c r="P1432" s="44"/>
      <c r="Q1432" s="44"/>
      <c r="R1432" s="44"/>
      <c r="S1432" s="44"/>
      <c r="T1432" s="44"/>
      <c r="U1432" s="44"/>
      <c r="V1432" s="44"/>
      <c r="W1432" s="44"/>
      <c r="X1432" s="44"/>
      <c r="Y1432" s="44"/>
      <c r="Z1432" s="44"/>
    </row>
    <row r="1433" ht="15.75" customHeight="1">
      <c r="A1433" s="51" t="s">
        <v>1479</v>
      </c>
      <c r="B1433" s="51" t="str">
        <f>IFERROR(__xludf.DUMMYFUNCTION("IFERROR(GOOGLEFINANCE(A1433,""NAME""),)"),"")</f>
        <v/>
      </c>
      <c r="C1433" s="51" t="str">
        <f>IFERROR(__xludf.DUMMYFUNCTION("IFERROR(GOOGLEFINANCE(A1433,""CHANGE""),)"),"")</f>
        <v/>
      </c>
      <c r="D1433" s="51" t="str">
        <f>IFERROR(__xludf.DUMMYFUNCTION("IFERROR(GOOGLEFINANCE(A1433,""CHANGEPCT""),)"),"")</f>
        <v/>
      </c>
      <c r="E1433" s="51" t="str">
        <f t="shared" si="1"/>
        <v>%</v>
      </c>
      <c r="F1433" s="51" t="str">
        <f t="shared" si="2"/>
        <v/>
      </c>
      <c r="G1433" s="51" t="str">
        <f t="shared" si="3"/>
        <v/>
      </c>
      <c r="H1433" s="51" t="str">
        <f>IFERROR(__xludf.DUMMYFUNCTION("IFERROR(GOOGLEFINANCE(A1433,""PRICE""),)"),"")</f>
        <v/>
      </c>
      <c r="I1433" s="52" t="str">
        <f>IFERROR(__xludf.DUMMYFUNCTION("IFERROR(GOOGLEFINANCE(A1433,""VOLUME""),)"),"")</f>
        <v/>
      </c>
      <c r="J1433" s="51" t="str">
        <f>IFERROR(__xludf.DUMMYFUNCTION("IFERROR(INDEX(SPLIT(A1433,"":""),1,2),)"),"TIDEWATER")</f>
        <v>TIDEWATER</v>
      </c>
      <c r="K1433" s="51" t="str">
        <f t="shared" si="4"/>
        <v/>
      </c>
      <c r="L1433" s="51" t="str">
        <f t="shared" si="5"/>
        <v/>
      </c>
      <c r="M1433" s="51">
        <f t="shared" si="6"/>
        <v>1456</v>
      </c>
      <c r="N1433" s="53" t="str">
        <f>IFERROR(__xludf.DUMMYFUNCTION("IFERROR(GOOGLEFINANCE(A1433,""TRADETIME""),)"),"")</f>
        <v/>
      </c>
      <c r="O1433" s="44"/>
      <c r="P1433" s="44"/>
      <c r="Q1433" s="44"/>
      <c r="R1433" s="44"/>
      <c r="S1433" s="44"/>
      <c r="T1433" s="44"/>
      <c r="U1433" s="44"/>
      <c r="V1433" s="44"/>
      <c r="W1433" s="44"/>
      <c r="X1433" s="44"/>
      <c r="Y1433" s="44"/>
      <c r="Z1433" s="44"/>
    </row>
    <row r="1434" ht="15.75" customHeight="1">
      <c r="A1434" s="48" t="s">
        <v>1480</v>
      </c>
      <c r="B1434" s="48" t="str">
        <f>IFERROR(__xludf.DUMMYFUNCTION("IFERROR(GOOGLEFINANCE(A1434,""NAME""),)"),"")</f>
        <v/>
      </c>
      <c r="C1434" s="48" t="str">
        <f>IFERROR(__xludf.DUMMYFUNCTION("IFERROR(GOOGLEFINANCE(A1434,""CHANGE""),)"),"")</f>
        <v/>
      </c>
      <c r="D1434" s="48" t="str">
        <f>IFERROR(__xludf.DUMMYFUNCTION("IFERROR(GOOGLEFINANCE(A1434,""CHANGEPCT""),)"),"")</f>
        <v/>
      </c>
      <c r="E1434" s="48" t="str">
        <f t="shared" si="1"/>
        <v>%</v>
      </c>
      <c r="F1434" s="48" t="str">
        <f t="shared" si="2"/>
        <v/>
      </c>
      <c r="G1434" s="48" t="str">
        <f t="shared" si="3"/>
        <v/>
      </c>
      <c r="H1434" s="48" t="str">
        <f>IFERROR(__xludf.DUMMYFUNCTION("IFERROR(GOOGLEFINANCE(A1434,""PRICE""),)"),"")</f>
        <v/>
      </c>
      <c r="I1434" s="49" t="str">
        <f>IFERROR(__xludf.DUMMYFUNCTION("IFERROR(GOOGLEFINANCE(A1434,""VOLUME""),)"),"")</f>
        <v/>
      </c>
      <c r="J1434" s="48" t="str">
        <f>IFERROR(__xludf.DUMMYFUNCTION("IFERROR(INDEX(SPLIT(A1434,"":""),1,2),)"),"VENKYS")</f>
        <v>VENKYS</v>
      </c>
      <c r="K1434" s="48" t="str">
        <f t="shared" si="4"/>
        <v/>
      </c>
      <c r="L1434" s="48" t="str">
        <f t="shared" si="5"/>
        <v/>
      </c>
      <c r="M1434" s="48">
        <f t="shared" si="6"/>
        <v>1456</v>
      </c>
      <c r="N1434" s="50" t="str">
        <f>IFERROR(__xludf.DUMMYFUNCTION("IFERROR(GOOGLEFINANCE(A1434,""TRADETIME""),)"),"")</f>
        <v/>
      </c>
      <c r="O1434" s="44"/>
      <c r="P1434" s="44"/>
      <c r="Q1434" s="44"/>
      <c r="R1434" s="44"/>
      <c r="S1434" s="44"/>
      <c r="T1434" s="44"/>
      <c r="U1434" s="44"/>
      <c r="V1434" s="44"/>
      <c r="W1434" s="44"/>
      <c r="X1434" s="44"/>
      <c r="Y1434" s="44"/>
      <c r="Z1434" s="44"/>
    </row>
    <row r="1435" ht="15.75" customHeight="1">
      <c r="A1435" s="51" t="s">
        <v>1481</v>
      </c>
      <c r="B1435" s="51" t="str">
        <f>IFERROR(__xludf.DUMMYFUNCTION("IFERROR(GOOGLEFINANCE(A1435,""NAME""),)"),"Tube Investments of India Ltd")</f>
        <v>Tube Investments of India Ltd</v>
      </c>
      <c r="C1435" s="51">
        <f>IFERROR(__xludf.DUMMYFUNCTION("IFERROR(GOOGLEFINANCE(A1435,""CHANGE""),)"),-36.4)</f>
        <v>-36.4</v>
      </c>
      <c r="D1435" s="51">
        <f>IFERROR(__xludf.DUMMYFUNCTION("IFERROR(GOOGLEFINANCE(A1435,""CHANGEPCT""),)"),-1.33)</f>
        <v>-1.33</v>
      </c>
      <c r="E1435" s="51" t="str">
        <f t="shared" si="1"/>
        <v>-1.33%</v>
      </c>
      <c r="F1435" s="51" t="str">
        <f t="shared" si="2"/>
        <v/>
      </c>
      <c r="G1435" s="51">
        <f t="shared" si="3"/>
        <v>-1.33</v>
      </c>
      <c r="H1435" s="51">
        <f>IFERROR(__xludf.DUMMYFUNCTION("IFERROR(GOOGLEFINANCE(A1435,""PRICE""),)"),2699.0)</f>
        <v>2699</v>
      </c>
      <c r="I1435" s="52">
        <f>IFERROR(__xludf.DUMMYFUNCTION("IFERROR(GOOGLEFINANCE(A1435,""VOLUME""),)"),173117.0)</f>
        <v>173117</v>
      </c>
      <c r="J1435" s="51" t="str">
        <f>IFERROR(__xludf.DUMMYFUNCTION("IFERROR(INDEX(SPLIT(A1435,"":""),1,2),)"),"TIINDIA")</f>
        <v>TIINDIA</v>
      </c>
      <c r="K1435" s="51" t="str">
        <f t="shared" si="4"/>
        <v/>
      </c>
      <c r="L1435" s="51">
        <f t="shared" si="5"/>
        <v>413</v>
      </c>
      <c r="M1435" s="51">
        <f t="shared" si="6"/>
        <v>656</v>
      </c>
      <c r="N1435" s="53">
        <f>IFERROR(__xludf.DUMMYFUNCTION("IFERROR(GOOGLEFINANCE(A1435,""TRADETIME""),)"),46269.64583333333)</f>
        <v>46269.64583</v>
      </c>
      <c r="O1435" s="44"/>
      <c r="P1435" s="44"/>
      <c r="Q1435" s="44"/>
      <c r="R1435" s="44"/>
      <c r="S1435" s="44"/>
      <c r="T1435" s="44"/>
      <c r="U1435" s="44"/>
      <c r="V1435" s="44"/>
      <c r="W1435" s="44"/>
      <c r="X1435" s="44"/>
      <c r="Y1435" s="44"/>
      <c r="Z1435" s="44"/>
    </row>
    <row r="1436" ht="15.75" customHeight="1">
      <c r="A1436" s="48" t="s">
        <v>1482</v>
      </c>
      <c r="B1436" s="48" t="str">
        <f>IFERROR(__xludf.DUMMYFUNCTION("IFERROR(GOOGLEFINANCE(A1436,""NAME""),)"),"Tijaria Polypipes Ltd")</f>
        <v>Tijaria Polypipes Ltd</v>
      </c>
      <c r="C1436" s="48">
        <f>IFERROR(__xludf.DUMMYFUNCTION("IFERROR(GOOGLEFINANCE(A1436,""CHANGE""),)"),0.45)</f>
        <v>0.45</v>
      </c>
      <c r="D1436" s="48">
        <f>IFERROR(__xludf.DUMMYFUNCTION("IFERROR(GOOGLEFINANCE(A1436,""CHANGEPCT""),)"),4.95)</f>
        <v>4.95</v>
      </c>
      <c r="E1436" s="48" t="str">
        <f t="shared" si="1"/>
        <v>4.95%</v>
      </c>
      <c r="F1436" s="48">
        <f t="shared" si="2"/>
        <v>4.95</v>
      </c>
      <c r="G1436" s="48" t="str">
        <f t="shared" si="3"/>
        <v/>
      </c>
      <c r="H1436" s="48">
        <f>IFERROR(__xludf.DUMMYFUNCTION("IFERROR(GOOGLEFINANCE(A1436,""PRICE""),)"),9.54)</f>
        <v>9.54</v>
      </c>
      <c r="I1436" s="49">
        <f>IFERROR(__xludf.DUMMYFUNCTION("IFERROR(GOOGLEFINANCE(A1436,""VOLUME""),)"),250018.0)</f>
        <v>250018</v>
      </c>
      <c r="J1436" s="48" t="str">
        <f>IFERROR(__xludf.DUMMYFUNCTION("IFERROR(INDEX(SPLIT(A1436,"":""),1,2),)"),"TIJARIA")</f>
        <v>TIJARIA</v>
      </c>
      <c r="K1436" s="48">
        <f t="shared" si="4"/>
        <v>76</v>
      </c>
      <c r="L1436" s="48" t="str">
        <f t="shared" si="5"/>
        <v/>
      </c>
      <c r="M1436" s="48">
        <f t="shared" si="6"/>
        <v>568</v>
      </c>
      <c r="N1436" s="50">
        <f>IFERROR(__xludf.DUMMYFUNCTION("IFERROR(GOOGLEFINANCE(A1436,""TRADETIME""),)"),46269.64583333333)</f>
        <v>46269.64583</v>
      </c>
      <c r="O1436" s="44"/>
      <c r="P1436" s="44"/>
      <c r="Q1436" s="44"/>
      <c r="R1436" s="44"/>
      <c r="S1436" s="44"/>
      <c r="T1436" s="44"/>
      <c r="U1436" s="44"/>
      <c r="V1436" s="44"/>
      <c r="W1436" s="44"/>
      <c r="X1436" s="44"/>
      <c r="Y1436" s="44"/>
      <c r="Z1436" s="44"/>
    </row>
    <row r="1437" ht="15.75" customHeight="1">
      <c r="A1437" s="51" t="s">
        <v>1483</v>
      </c>
      <c r="B1437" s="51" t="str">
        <f>IFERROR(__xludf.DUMMYFUNCTION("IFERROR(GOOGLEFINANCE(A1437,""NAME""),)"),"TIL Ltd")</f>
        <v>TIL Ltd</v>
      </c>
      <c r="C1437" s="51">
        <f>IFERROR(__xludf.DUMMYFUNCTION("IFERROR(GOOGLEFINANCE(A1437,""CHANGE""),)"),10.0)</f>
        <v>10</v>
      </c>
      <c r="D1437" s="51">
        <f>IFERROR(__xludf.DUMMYFUNCTION("IFERROR(GOOGLEFINANCE(A1437,""CHANGEPCT""),)"),4.08)</f>
        <v>4.08</v>
      </c>
      <c r="E1437" s="51" t="str">
        <f t="shared" si="1"/>
        <v>4.08%</v>
      </c>
      <c r="F1437" s="51">
        <f t="shared" si="2"/>
        <v>4.08</v>
      </c>
      <c r="G1437" s="51" t="str">
        <f t="shared" si="3"/>
        <v/>
      </c>
      <c r="H1437" s="51">
        <f>IFERROR(__xludf.DUMMYFUNCTION("IFERROR(GOOGLEFINANCE(A1437,""PRICE""),)"),255.0)</f>
        <v>255</v>
      </c>
      <c r="I1437" s="52">
        <f>IFERROR(__xludf.DUMMYFUNCTION("IFERROR(GOOGLEFINANCE(A1437,""VOLUME""),)"),296756.0)</f>
        <v>296756</v>
      </c>
      <c r="J1437" s="51" t="str">
        <f>IFERROR(__xludf.DUMMYFUNCTION("IFERROR(INDEX(SPLIT(A1437,"":""),1,2),)"),"TIL")</f>
        <v>TIL</v>
      </c>
      <c r="K1437" s="51">
        <f t="shared" si="4"/>
        <v>110</v>
      </c>
      <c r="L1437" s="51" t="str">
        <f t="shared" si="5"/>
        <v/>
      </c>
      <c r="M1437" s="51">
        <f t="shared" si="6"/>
        <v>521</v>
      </c>
      <c r="N1437" s="53">
        <f>IFERROR(__xludf.DUMMYFUNCTION("IFERROR(GOOGLEFINANCE(A1437,""TRADETIME""),)"),46269.64583333333)</f>
        <v>46269.64583</v>
      </c>
      <c r="O1437" s="44"/>
      <c r="P1437" s="44"/>
      <c r="Q1437" s="44"/>
      <c r="R1437" s="44"/>
      <c r="S1437" s="44"/>
      <c r="T1437" s="44"/>
      <c r="U1437" s="44"/>
      <c r="V1437" s="44"/>
      <c r="W1437" s="44"/>
      <c r="X1437" s="44"/>
      <c r="Y1437" s="44"/>
      <c r="Z1437" s="44"/>
    </row>
    <row r="1438" ht="15.75" customHeight="1">
      <c r="A1438" s="48" t="s">
        <v>1484</v>
      </c>
      <c r="B1438" s="48" t="str">
        <f>IFERROR(__xludf.DUMMYFUNCTION("IFERROR(GOOGLEFINANCE(A1438,""NAME""),)"),"")</f>
        <v/>
      </c>
      <c r="C1438" s="48" t="str">
        <f>IFERROR(__xludf.DUMMYFUNCTION("IFERROR(GOOGLEFINANCE(A1438,""CHANGE""),)"),"")</f>
        <v/>
      </c>
      <c r="D1438" s="48" t="str">
        <f>IFERROR(__xludf.DUMMYFUNCTION("IFERROR(GOOGLEFINANCE(A1438,""CHANGEPCT""),)"),"")</f>
        <v/>
      </c>
      <c r="E1438" s="48" t="str">
        <f t="shared" si="1"/>
        <v>%</v>
      </c>
      <c r="F1438" s="48" t="str">
        <f t="shared" si="2"/>
        <v/>
      </c>
      <c r="G1438" s="48" t="str">
        <f t="shared" si="3"/>
        <v/>
      </c>
      <c r="H1438" s="48" t="str">
        <f>IFERROR(__xludf.DUMMYFUNCTION("IFERROR(GOOGLEFINANCE(A1438,""PRICE""),)"),"")</f>
        <v/>
      </c>
      <c r="I1438" s="49" t="str">
        <f>IFERROR(__xludf.DUMMYFUNCTION("IFERROR(GOOGLEFINANCE(A1438,""VOLUME""),)"),"")</f>
        <v/>
      </c>
      <c r="J1438" s="48" t="str">
        <f>IFERROR(__xludf.DUMMYFUNCTION("IFERROR(INDEX(SPLIT(A1438,"":""),1,2),)"),"TIMESGTY")</f>
        <v>TIMESGTY</v>
      </c>
      <c r="K1438" s="48" t="str">
        <f t="shared" si="4"/>
        <v/>
      </c>
      <c r="L1438" s="48" t="str">
        <f t="shared" si="5"/>
        <v/>
      </c>
      <c r="M1438" s="48">
        <f t="shared" si="6"/>
        <v>1456</v>
      </c>
      <c r="N1438" s="50" t="str">
        <f>IFERROR(__xludf.DUMMYFUNCTION("IFERROR(GOOGLEFINANCE(A1438,""TRADETIME""),)"),"")</f>
        <v/>
      </c>
      <c r="O1438" s="44"/>
      <c r="P1438" s="44"/>
      <c r="Q1438" s="44"/>
      <c r="R1438" s="44"/>
      <c r="S1438" s="44"/>
      <c r="T1438" s="44"/>
      <c r="U1438" s="44"/>
      <c r="V1438" s="44"/>
      <c r="W1438" s="44"/>
      <c r="X1438" s="44"/>
      <c r="Y1438" s="44"/>
      <c r="Z1438" s="44"/>
    </row>
    <row r="1439" ht="15.75" customHeight="1">
      <c r="A1439" s="51" t="s">
        <v>1485</v>
      </c>
      <c r="B1439" s="51" t="str">
        <f>IFERROR(__xludf.DUMMYFUNCTION("IFERROR(GOOGLEFINANCE(A1439,""NAME""),)"),"Time Technoplast Ltd")</f>
        <v>Time Technoplast Ltd</v>
      </c>
      <c r="C1439" s="51">
        <f>IFERROR(__xludf.DUMMYFUNCTION("IFERROR(GOOGLEFINANCE(A1439,""CHANGE""),)"),-0.53)</f>
        <v>-0.53</v>
      </c>
      <c r="D1439" s="51">
        <f>IFERROR(__xludf.DUMMYFUNCTION("IFERROR(GOOGLEFINANCE(A1439,""CHANGEPCT""),)"),-0.28)</f>
        <v>-0.28</v>
      </c>
      <c r="E1439" s="51" t="str">
        <f t="shared" si="1"/>
        <v>-0.28%</v>
      </c>
      <c r="F1439" s="51" t="str">
        <f t="shared" si="2"/>
        <v/>
      </c>
      <c r="G1439" s="51">
        <f t="shared" si="3"/>
        <v>-0.28</v>
      </c>
      <c r="H1439" s="51">
        <f>IFERROR(__xludf.DUMMYFUNCTION("IFERROR(GOOGLEFINANCE(A1439,""PRICE""),)"),188.83)</f>
        <v>188.83</v>
      </c>
      <c r="I1439" s="52">
        <f>IFERROR(__xludf.DUMMYFUNCTION("IFERROR(GOOGLEFINANCE(A1439,""VOLUME""),)"),1385822.0)</f>
        <v>1385822</v>
      </c>
      <c r="J1439" s="51" t="str">
        <f>IFERROR(__xludf.DUMMYFUNCTION("IFERROR(INDEX(SPLIT(A1439,"":""),1,2),)"),"TIMETECHNO")</f>
        <v>TIMETECHNO</v>
      </c>
      <c r="K1439" s="51" t="str">
        <f t="shared" si="4"/>
        <v/>
      </c>
      <c r="L1439" s="51">
        <f t="shared" si="5"/>
        <v>103</v>
      </c>
      <c r="M1439" s="51">
        <f t="shared" si="6"/>
        <v>219</v>
      </c>
      <c r="N1439" s="53">
        <f>IFERROR(__xludf.DUMMYFUNCTION("IFERROR(GOOGLEFINANCE(A1439,""TRADETIME""),)"),46269.64583333333)</f>
        <v>46269.64583</v>
      </c>
      <c r="O1439" s="44"/>
      <c r="P1439" s="44"/>
      <c r="Q1439" s="44"/>
      <c r="R1439" s="44"/>
      <c r="S1439" s="44"/>
      <c r="T1439" s="44"/>
      <c r="U1439" s="44"/>
      <c r="V1439" s="44"/>
      <c r="W1439" s="44"/>
      <c r="X1439" s="44"/>
      <c r="Y1439" s="44"/>
      <c r="Z1439" s="44"/>
    </row>
    <row r="1440" ht="15.75" customHeight="1">
      <c r="A1440" s="48" t="s">
        <v>1486</v>
      </c>
      <c r="B1440" s="48" t="str">
        <f>IFERROR(__xludf.DUMMYFUNCTION("IFERROR(GOOGLEFINANCE(A1440,""NAME""),)"),"Timken India Ltd")</f>
        <v>Timken India Ltd</v>
      </c>
      <c r="C1440" s="48">
        <f>IFERROR(__xludf.DUMMYFUNCTION("IFERROR(GOOGLEFINANCE(A1440,""CHANGE""),)"),0.4)</f>
        <v>0.4</v>
      </c>
      <c r="D1440" s="48">
        <f>IFERROR(__xludf.DUMMYFUNCTION("IFERROR(GOOGLEFINANCE(A1440,""CHANGEPCT""),)"),0.01)</f>
        <v>0.01</v>
      </c>
      <c r="E1440" s="48" t="str">
        <f t="shared" si="1"/>
        <v>0.01%</v>
      </c>
      <c r="F1440" s="48">
        <f t="shared" si="2"/>
        <v>0.01</v>
      </c>
      <c r="G1440" s="48" t="str">
        <f t="shared" si="3"/>
        <v/>
      </c>
      <c r="H1440" s="48">
        <f>IFERROR(__xludf.DUMMYFUNCTION("IFERROR(GOOGLEFINANCE(A1440,""PRICE""),)"),3125.2)</f>
        <v>3125.2</v>
      </c>
      <c r="I1440" s="49">
        <f>IFERROR(__xludf.DUMMYFUNCTION("IFERROR(GOOGLEFINANCE(A1440,""VOLUME""),)"),15156.0)</f>
        <v>15156</v>
      </c>
      <c r="J1440" s="48" t="str">
        <f>IFERROR(__xludf.DUMMYFUNCTION("IFERROR(INDEX(SPLIT(A1440,"":""),1,2),)"),"TIMKEN")</f>
        <v>TIMKEN</v>
      </c>
      <c r="K1440" s="48">
        <f t="shared" si="4"/>
        <v>781</v>
      </c>
      <c r="L1440" s="48" t="str">
        <f t="shared" si="5"/>
        <v/>
      </c>
      <c r="M1440" s="48">
        <f t="shared" si="6"/>
        <v>1176</v>
      </c>
      <c r="N1440" s="50">
        <f>IFERROR(__xludf.DUMMYFUNCTION("IFERROR(GOOGLEFINANCE(A1440,""TRADETIME""),)"),46269.64583333333)</f>
        <v>46269.64583</v>
      </c>
      <c r="O1440" s="44"/>
      <c r="P1440" s="44"/>
      <c r="Q1440" s="44"/>
      <c r="R1440" s="44"/>
      <c r="S1440" s="44"/>
      <c r="T1440" s="44"/>
      <c r="U1440" s="44"/>
      <c r="V1440" s="44"/>
      <c r="W1440" s="44"/>
      <c r="X1440" s="44"/>
      <c r="Y1440" s="44"/>
      <c r="Z1440" s="44"/>
    </row>
    <row r="1441" ht="15.75" customHeight="1">
      <c r="A1441" s="51" t="s">
        <v>1487</v>
      </c>
      <c r="B1441" s="51" t="str">
        <f>IFERROR(__xludf.DUMMYFUNCTION("IFERROR(GOOGLEFINANCE(A1441,""NAME""),)"),"")</f>
        <v/>
      </c>
      <c r="C1441" s="51" t="str">
        <f>IFERROR(__xludf.DUMMYFUNCTION("IFERROR(GOOGLEFINANCE(A1441,""CHANGE""),)"),"")</f>
        <v/>
      </c>
      <c r="D1441" s="51" t="str">
        <f>IFERROR(__xludf.DUMMYFUNCTION("IFERROR(GOOGLEFINANCE(A1441,""CHANGEPCT""),)"),"")</f>
        <v/>
      </c>
      <c r="E1441" s="51" t="str">
        <f t="shared" si="1"/>
        <v>%</v>
      </c>
      <c r="F1441" s="51" t="str">
        <f t="shared" si="2"/>
        <v/>
      </c>
      <c r="G1441" s="51" t="str">
        <f t="shared" si="3"/>
        <v/>
      </c>
      <c r="H1441" s="51" t="str">
        <f>IFERROR(__xludf.DUMMYFUNCTION("IFERROR(GOOGLEFINANCE(A1441,""PRICE""),)"),"")</f>
        <v/>
      </c>
      <c r="I1441" s="52" t="str">
        <f>IFERROR(__xludf.DUMMYFUNCTION("IFERROR(GOOGLEFINANCE(A1441,""VOLUME""),)"),"")</f>
        <v/>
      </c>
      <c r="J1441" s="51" t="str">
        <f>IFERROR(__xludf.DUMMYFUNCTION("IFERROR(INDEX(SPLIT(A1441,"":""),1,2),)"),"TINPLATE")</f>
        <v>TINPLATE</v>
      </c>
      <c r="K1441" s="51" t="str">
        <f t="shared" si="4"/>
        <v/>
      </c>
      <c r="L1441" s="51" t="str">
        <f t="shared" si="5"/>
        <v/>
      </c>
      <c r="M1441" s="51">
        <f t="shared" si="6"/>
        <v>1456</v>
      </c>
      <c r="N1441" s="53" t="str">
        <f>IFERROR(__xludf.DUMMYFUNCTION("IFERROR(GOOGLEFINANCE(A1441,""TRADETIME""),)"),"")</f>
        <v/>
      </c>
      <c r="O1441" s="44"/>
      <c r="P1441" s="44"/>
      <c r="Q1441" s="44"/>
      <c r="R1441" s="44"/>
      <c r="S1441" s="44"/>
      <c r="T1441" s="44"/>
      <c r="U1441" s="44"/>
      <c r="V1441" s="44"/>
      <c r="W1441" s="44"/>
      <c r="X1441" s="44"/>
      <c r="Y1441" s="44"/>
      <c r="Z1441" s="44"/>
    </row>
    <row r="1442" ht="15.75" customHeight="1">
      <c r="A1442" s="48" t="s">
        <v>1488</v>
      </c>
      <c r="B1442" s="48" t="str">
        <f>IFERROR(__xludf.DUMMYFUNCTION("IFERROR(GOOGLEFINANCE(A1442,""NAME""),)"),"")</f>
        <v/>
      </c>
      <c r="C1442" s="48" t="str">
        <f>IFERROR(__xludf.DUMMYFUNCTION("IFERROR(GOOGLEFINANCE(A1442,""CHANGE""),)"),"")</f>
        <v/>
      </c>
      <c r="D1442" s="48" t="str">
        <f>IFERROR(__xludf.DUMMYFUNCTION("IFERROR(GOOGLEFINANCE(A1442,""CHANGEPCT""),)"),"")</f>
        <v/>
      </c>
      <c r="E1442" s="48" t="str">
        <f t="shared" si="1"/>
        <v>%</v>
      </c>
      <c r="F1442" s="48" t="str">
        <f t="shared" si="2"/>
        <v/>
      </c>
      <c r="G1442" s="48" t="str">
        <f t="shared" si="3"/>
        <v/>
      </c>
      <c r="H1442" s="48" t="str">
        <f>IFERROR(__xludf.DUMMYFUNCTION("IFERROR(GOOGLEFINANCE(A1442,""PRICE""),)"),"")</f>
        <v/>
      </c>
      <c r="I1442" s="49" t="str">
        <f>IFERROR(__xludf.DUMMYFUNCTION("IFERROR(GOOGLEFINANCE(A1442,""VOLUME""),)"),"")</f>
        <v/>
      </c>
      <c r="J1442" s="48" t="str">
        <f>IFERROR(__xludf.DUMMYFUNCTION("IFERROR(INDEX(SPLIT(A1442,"":""),1,2),)"),"TIPSINDLTD")</f>
        <v>TIPSINDLTD</v>
      </c>
      <c r="K1442" s="48" t="str">
        <f t="shared" si="4"/>
        <v/>
      </c>
      <c r="L1442" s="48" t="str">
        <f t="shared" si="5"/>
        <v/>
      </c>
      <c r="M1442" s="48">
        <f t="shared" si="6"/>
        <v>1456</v>
      </c>
      <c r="N1442" s="50" t="str">
        <f>IFERROR(__xludf.DUMMYFUNCTION("IFERROR(GOOGLEFINANCE(A1442,""TRADETIME""),)"),"")</f>
        <v/>
      </c>
      <c r="O1442" s="44"/>
      <c r="P1442" s="44"/>
      <c r="Q1442" s="44"/>
      <c r="R1442" s="44"/>
      <c r="S1442" s="44"/>
      <c r="T1442" s="44"/>
      <c r="U1442" s="44"/>
      <c r="V1442" s="44"/>
      <c r="W1442" s="44"/>
      <c r="X1442" s="44"/>
      <c r="Y1442" s="44"/>
      <c r="Z1442" s="44"/>
    </row>
    <row r="1443" ht="15.75" customHeight="1">
      <c r="A1443" s="51" t="s">
        <v>1489</v>
      </c>
      <c r="B1443" s="51" t="str">
        <f>IFERROR(__xludf.DUMMYFUNCTION("IFERROR(GOOGLEFINANCE(A1443,""NAME""),)"),"Thirumalai Chemicals Ltd")</f>
        <v>Thirumalai Chemicals Ltd</v>
      </c>
      <c r="C1443" s="51">
        <f>IFERROR(__xludf.DUMMYFUNCTION("IFERROR(GOOGLEFINANCE(A1443,""CHANGE""),)"),-0.36)</f>
        <v>-0.36</v>
      </c>
      <c r="D1443" s="51">
        <f>IFERROR(__xludf.DUMMYFUNCTION("IFERROR(GOOGLEFINANCE(A1443,""CHANGEPCT""),)"),-0.23)</f>
        <v>-0.23</v>
      </c>
      <c r="E1443" s="51" t="str">
        <f t="shared" si="1"/>
        <v>-0.23%</v>
      </c>
      <c r="F1443" s="51" t="str">
        <f t="shared" si="2"/>
        <v/>
      </c>
      <c r="G1443" s="51">
        <f t="shared" si="3"/>
        <v>-0.23</v>
      </c>
      <c r="H1443" s="51">
        <f>IFERROR(__xludf.DUMMYFUNCTION("IFERROR(GOOGLEFINANCE(A1443,""PRICE""),)"),157.5)</f>
        <v>157.5</v>
      </c>
      <c r="I1443" s="52">
        <f>IFERROR(__xludf.DUMMYFUNCTION("IFERROR(GOOGLEFINANCE(A1443,""VOLUME""),)"),236650.0)</f>
        <v>236650</v>
      </c>
      <c r="J1443" s="51" t="str">
        <f>IFERROR(__xludf.DUMMYFUNCTION("IFERROR(INDEX(SPLIT(A1443,"":""),1,2),)"),"TIRUMALCHM")</f>
        <v>TIRUMALCHM</v>
      </c>
      <c r="K1443" s="51" t="str">
        <f t="shared" si="4"/>
        <v/>
      </c>
      <c r="L1443" s="51">
        <f t="shared" si="5"/>
        <v>85</v>
      </c>
      <c r="M1443" s="51">
        <f t="shared" si="6"/>
        <v>581</v>
      </c>
      <c r="N1443" s="53">
        <f>IFERROR(__xludf.DUMMYFUNCTION("IFERROR(GOOGLEFINANCE(A1443,""TRADETIME""),)"),46269.64584490741)</f>
        <v>46269.64584</v>
      </c>
      <c r="O1443" s="44"/>
      <c r="P1443" s="44"/>
      <c r="Q1443" s="44"/>
      <c r="R1443" s="44"/>
      <c r="S1443" s="44"/>
      <c r="T1443" s="44"/>
      <c r="U1443" s="44"/>
      <c r="V1443" s="44"/>
      <c r="W1443" s="44"/>
      <c r="X1443" s="44"/>
      <c r="Y1443" s="44"/>
      <c r="Z1443" s="44"/>
    </row>
    <row r="1444" ht="15.75" customHeight="1">
      <c r="A1444" s="48" t="s">
        <v>1490</v>
      </c>
      <c r="B1444" s="48" t="str">
        <f>IFERROR(__xludf.DUMMYFUNCTION("IFERROR(GOOGLEFINANCE(A1444,""NAME""),)"),"Tirupati Forge Ltd")</f>
        <v>Tirupati Forge Ltd</v>
      </c>
      <c r="C1444" s="48">
        <f>IFERROR(__xludf.DUMMYFUNCTION("IFERROR(GOOGLEFINANCE(A1444,""CHANGE""),)"),0.58)</f>
        <v>0.58</v>
      </c>
      <c r="D1444" s="48">
        <f>IFERROR(__xludf.DUMMYFUNCTION("IFERROR(GOOGLEFINANCE(A1444,""CHANGEPCT""),)"),0.85)</f>
        <v>0.85</v>
      </c>
      <c r="E1444" s="48" t="str">
        <f t="shared" si="1"/>
        <v>0.85%</v>
      </c>
      <c r="F1444" s="48">
        <f t="shared" si="2"/>
        <v>0.85</v>
      </c>
      <c r="G1444" s="48" t="str">
        <f t="shared" si="3"/>
        <v/>
      </c>
      <c r="H1444" s="48">
        <f>IFERROR(__xludf.DUMMYFUNCTION("IFERROR(GOOGLEFINANCE(A1444,""PRICE""),)"),69.0)</f>
        <v>69</v>
      </c>
      <c r="I1444" s="49">
        <f>IFERROR(__xludf.DUMMYFUNCTION("IFERROR(GOOGLEFINANCE(A1444,""VOLUME""),)"),202133.0)</f>
        <v>202133</v>
      </c>
      <c r="J1444" s="48" t="str">
        <f>IFERROR(__xludf.DUMMYFUNCTION("IFERROR(INDEX(SPLIT(A1444,"":""),1,2),)"),"TIRUPATIFL")</f>
        <v>TIRUPATIFL</v>
      </c>
      <c r="K1444" s="48">
        <f t="shared" si="4"/>
        <v>486</v>
      </c>
      <c r="L1444" s="48" t="str">
        <f t="shared" si="5"/>
        <v/>
      </c>
      <c r="M1444" s="48">
        <f t="shared" si="6"/>
        <v>625</v>
      </c>
      <c r="N1444" s="50">
        <f>IFERROR(__xludf.DUMMYFUNCTION("IFERROR(GOOGLEFINANCE(A1444,""TRADETIME""),)"),46269.64583333333)</f>
        <v>46269.64583</v>
      </c>
      <c r="O1444" s="44"/>
      <c r="P1444" s="44"/>
      <c r="Q1444" s="44"/>
      <c r="R1444" s="44"/>
      <c r="S1444" s="44"/>
      <c r="T1444" s="44"/>
      <c r="U1444" s="44"/>
      <c r="V1444" s="44"/>
      <c r="W1444" s="44"/>
      <c r="X1444" s="44"/>
      <c r="Y1444" s="44"/>
      <c r="Z1444" s="44"/>
    </row>
    <row r="1445" ht="15.75" customHeight="1">
      <c r="A1445" s="51" t="s">
        <v>1491</v>
      </c>
      <c r="B1445" s="51" t="str">
        <f>IFERROR(__xludf.DUMMYFUNCTION("IFERROR(GOOGLEFINANCE(A1445,""NAME""),)"),"Titan Company Ltd")</f>
        <v>Titan Company Ltd</v>
      </c>
      <c r="C1445" s="51">
        <f>IFERROR(__xludf.DUMMYFUNCTION("IFERROR(GOOGLEFINANCE(A1445,""CHANGE""),)"),-8.0)</f>
        <v>-8</v>
      </c>
      <c r="D1445" s="51">
        <f>IFERROR(__xludf.DUMMYFUNCTION("IFERROR(GOOGLEFINANCE(A1445,""CHANGEPCT""),)"),-0.16)</f>
        <v>-0.16</v>
      </c>
      <c r="E1445" s="51" t="str">
        <f t="shared" si="1"/>
        <v>-0.16%</v>
      </c>
      <c r="F1445" s="51" t="str">
        <f t="shared" si="2"/>
        <v/>
      </c>
      <c r="G1445" s="51">
        <f t="shared" si="3"/>
        <v>-0.16</v>
      </c>
      <c r="H1445" s="51">
        <f>IFERROR(__xludf.DUMMYFUNCTION("IFERROR(GOOGLEFINANCE(A1445,""PRICE""),)"),5019.0)</f>
        <v>5019</v>
      </c>
      <c r="I1445" s="52">
        <f>IFERROR(__xludf.DUMMYFUNCTION("IFERROR(GOOGLEFINANCE(A1445,""VOLUME""),)"),310845.0)</f>
        <v>310845</v>
      </c>
      <c r="J1445" s="51" t="str">
        <f>IFERROR(__xludf.DUMMYFUNCTION("IFERROR(INDEX(SPLIT(A1445,"":""),1,2),)"),"TITAN")</f>
        <v>TITAN</v>
      </c>
      <c r="K1445" s="51" t="str">
        <f t="shared" si="4"/>
        <v/>
      </c>
      <c r="L1445" s="51">
        <f t="shared" si="5"/>
        <v>61</v>
      </c>
      <c r="M1445" s="51">
        <f t="shared" si="6"/>
        <v>501</v>
      </c>
      <c r="N1445" s="53">
        <f>IFERROR(__xludf.DUMMYFUNCTION("IFERROR(GOOGLEFINANCE(A1445,""TRADETIME""),)"),46269.64583333333)</f>
        <v>46269.64583</v>
      </c>
      <c r="O1445" s="44"/>
      <c r="P1445" s="44"/>
      <c r="Q1445" s="44"/>
      <c r="R1445" s="44"/>
      <c r="S1445" s="44"/>
      <c r="T1445" s="44"/>
      <c r="U1445" s="44"/>
      <c r="V1445" s="44"/>
      <c r="W1445" s="44"/>
      <c r="X1445" s="44"/>
      <c r="Y1445" s="44"/>
      <c r="Z1445" s="44"/>
    </row>
    <row r="1446" ht="15.75" customHeight="1">
      <c r="A1446" s="48" t="s">
        <v>1492</v>
      </c>
      <c r="B1446" s="48" t="str">
        <f>IFERROR(__xludf.DUMMYFUNCTION("IFERROR(GOOGLEFINANCE(A1446,""NAME""),)"),"Heads UP Ventures Ltd")</f>
        <v>Heads UP Ventures Ltd</v>
      </c>
      <c r="C1446" s="48">
        <f>IFERROR(__xludf.DUMMYFUNCTION("IFERROR(GOOGLEFINANCE(A1446,""CHANGE""),)"),0.41)</f>
        <v>0.41</v>
      </c>
      <c r="D1446" s="48">
        <f>IFERROR(__xludf.DUMMYFUNCTION("IFERROR(GOOGLEFINANCE(A1446,""CHANGEPCT""),)"),6.13)</f>
        <v>6.13</v>
      </c>
      <c r="E1446" s="48" t="str">
        <f t="shared" si="1"/>
        <v>6.13%</v>
      </c>
      <c r="F1446" s="48">
        <f t="shared" si="2"/>
        <v>6.13</v>
      </c>
      <c r="G1446" s="48" t="str">
        <f t="shared" si="3"/>
        <v/>
      </c>
      <c r="H1446" s="48">
        <f>IFERROR(__xludf.DUMMYFUNCTION("IFERROR(GOOGLEFINANCE(A1446,""PRICE""),)"),7.1)</f>
        <v>7.1</v>
      </c>
      <c r="I1446" s="49">
        <f>IFERROR(__xludf.DUMMYFUNCTION("IFERROR(GOOGLEFINANCE(A1446,""VOLUME""),)"),52608.0)</f>
        <v>52608</v>
      </c>
      <c r="J1446" s="48" t="str">
        <f>IFERROR(__xludf.DUMMYFUNCTION("IFERROR(INDEX(SPLIT(A1446,"":""),1,2),)"),"HEADSUP")</f>
        <v>HEADSUP</v>
      </c>
      <c r="K1446" s="48">
        <f t="shared" si="4"/>
        <v>34</v>
      </c>
      <c r="L1446" s="48" t="str">
        <f t="shared" si="5"/>
        <v/>
      </c>
      <c r="M1446" s="48">
        <f t="shared" si="6"/>
        <v>931</v>
      </c>
      <c r="N1446" s="50">
        <f>IFERROR(__xludf.DUMMYFUNCTION("IFERROR(GOOGLEFINANCE(A1446,""TRADETIME""),)"),46269.64583333333)</f>
        <v>46269.64583</v>
      </c>
      <c r="O1446" s="44"/>
      <c r="P1446" s="44"/>
      <c r="Q1446" s="44"/>
      <c r="R1446" s="44"/>
      <c r="S1446" s="44"/>
      <c r="T1446" s="44"/>
      <c r="U1446" s="44"/>
      <c r="V1446" s="44"/>
      <c r="W1446" s="44"/>
      <c r="X1446" s="44"/>
      <c r="Y1446" s="44"/>
      <c r="Z1446" s="44"/>
    </row>
    <row r="1447" ht="15.75" customHeight="1">
      <c r="A1447" s="51" t="s">
        <v>1493</v>
      </c>
      <c r="B1447" s="51" t="str">
        <f>IFERROR(__xludf.DUMMYFUNCTION("IFERROR(GOOGLEFINANCE(A1447,""NAME""),)"),"Tamilnadu Petroproducts Ltd")</f>
        <v>Tamilnadu Petroproducts Ltd</v>
      </c>
      <c r="C1447" s="51">
        <f>IFERROR(__xludf.DUMMYFUNCTION("IFERROR(GOOGLEFINANCE(A1447,""CHANGE""),)"),-4.81)</f>
        <v>-4.81</v>
      </c>
      <c r="D1447" s="51">
        <f>IFERROR(__xludf.DUMMYFUNCTION("IFERROR(GOOGLEFINANCE(A1447,""CHANGEPCT""),)"),-3.49)</f>
        <v>-3.49</v>
      </c>
      <c r="E1447" s="51" t="str">
        <f t="shared" si="1"/>
        <v>-3.49%</v>
      </c>
      <c r="F1447" s="51" t="str">
        <f t="shared" si="2"/>
        <v/>
      </c>
      <c r="G1447" s="51">
        <f t="shared" si="3"/>
        <v>-3.49</v>
      </c>
      <c r="H1447" s="51">
        <f>IFERROR(__xludf.DUMMYFUNCTION("IFERROR(GOOGLEFINANCE(A1447,""PRICE""),)"),133.0)</f>
        <v>133</v>
      </c>
      <c r="I1447" s="52">
        <f>IFERROR(__xludf.DUMMYFUNCTION("IFERROR(GOOGLEFINANCE(A1447,""VOLUME""),)"),1119931.0)</f>
        <v>1119931</v>
      </c>
      <c r="J1447" s="51" t="str">
        <f>IFERROR(__xludf.DUMMYFUNCTION("IFERROR(INDEX(SPLIT(A1447,"":""),1,2),)"),"TNPETRO")</f>
        <v>TNPETRO</v>
      </c>
      <c r="K1447" s="51" t="str">
        <f t="shared" si="4"/>
        <v/>
      </c>
      <c r="L1447" s="51">
        <f t="shared" si="5"/>
        <v>608</v>
      </c>
      <c r="M1447" s="51">
        <f t="shared" si="6"/>
        <v>250</v>
      </c>
      <c r="N1447" s="53">
        <f>IFERROR(__xludf.DUMMYFUNCTION("IFERROR(GOOGLEFINANCE(A1447,""TRADETIME""),)"),46269.64583333333)</f>
        <v>46269.64583</v>
      </c>
      <c r="O1447" s="44"/>
      <c r="P1447" s="44"/>
      <c r="Q1447" s="44"/>
      <c r="R1447" s="44"/>
      <c r="S1447" s="44"/>
      <c r="T1447" s="44"/>
      <c r="U1447" s="44"/>
      <c r="V1447" s="44"/>
      <c r="W1447" s="44"/>
      <c r="X1447" s="44"/>
      <c r="Y1447" s="44"/>
      <c r="Z1447" s="44"/>
    </row>
    <row r="1448" ht="15.75" customHeight="1">
      <c r="A1448" s="48" t="s">
        <v>1494</v>
      </c>
      <c r="B1448" s="48" t="str">
        <f>IFERROR(__xludf.DUMMYFUNCTION("IFERROR(GOOGLEFINANCE(A1448,""NAME""),)"),"Tamilnadu Newsprint &amp; Papers Ltd")</f>
        <v>Tamilnadu Newsprint &amp; Papers Ltd</v>
      </c>
      <c r="C1448" s="48">
        <f>IFERROR(__xludf.DUMMYFUNCTION("IFERROR(GOOGLEFINANCE(A1448,""CHANGE""),)"),2.14)</f>
        <v>2.14</v>
      </c>
      <c r="D1448" s="48">
        <f>IFERROR(__xludf.DUMMYFUNCTION("IFERROR(GOOGLEFINANCE(A1448,""CHANGEPCT""),)"),1.39)</f>
        <v>1.39</v>
      </c>
      <c r="E1448" s="48" t="str">
        <f t="shared" si="1"/>
        <v>1.39%</v>
      </c>
      <c r="F1448" s="48">
        <f t="shared" si="2"/>
        <v>1.39</v>
      </c>
      <c r="G1448" s="48" t="str">
        <f t="shared" si="3"/>
        <v/>
      </c>
      <c r="H1448" s="48">
        <f>IFERROR(__xludf.DUMMYFUNCTION("IFERROR(GOOGLEFINANCE(A1448,""PRICE""),)"),156.5)</f>
        <v>156.5</v>
      </c>
      <c r="I1448" s="49">
        <f>IFERROR(__xludf.DUMMYFUNCTION("IFERROR(GOOGLEFINANCE(A1448,""VOLUME""),)"),382264.0)</f>
        <v>382264</v>
      </c>
      <c r="J1448" s="48" t="str">
        <f>IFERROR(__xludf.DUMMYFUNCTION("IFERROR(INDEX(SPLIT(A1448,"":""),1,2),)"),"TNPL")</f>
        <v>TNPL</v>
      </c>
      <c r="K1448" s="48">
        <f t="shared" si="4"/>
        <v>362</v>
      </c>
      <c r="L1448" s="48" t="str">
        <f t="shared" si="5"/>
        <v/>
      </c>
      <c r="M1448" s="48">
        <f t="shared" si="6"/>
        <v>454</v>
      </c>
      <c r="N1448" s="50">
        <f>IFERROR(__xludf.DUMMYFUNCTION("IFERROR(GOOGLEFINANCE(A1448,""TRADETIME""),)"),46269.64583333333)</f>
        <v>46269.64583</v>
      </c>
      <c r="O1448" s="44"/>
      <c r="P1448" s="44"/>
      <c r="Q1448" s="44"/>
      <c r="R1448" s="44"/>
      <c r="S1448" s="44"/>
      <c r="T1448" s="44"/>
      <c r="U1448" s="44"/>
      <c r="V1448" s="44"/>
      <c r="W1448" s="44"/>
      <c r="X1448" s="44"/>
      <c r="Y1448" s="44"/>
      <c r="Z1448" s="44"/>
    </row>
    <row r="1449" ht="15.75" customHeight="1">
      <c r="A1449" s="51" t="s">
        <v>1495</v>
      </c>
      <c r="B1449" s="51" t="str">
        <f>IFERROR(__xludf.DUMMYFUNCTION("IFERROR(GOOGLEFINANCE(A1449,""NAME""),)"),"Tamilnadu Telecommunication Ltd")</f>
        <v>Tamilnadu Telecommunication Ltd</v>
      </c>
      <c r="C1449" s="51">
        <f>IFERROR(__xludf.DUMMYFUNCTION("IFERROR(GOOGLEFINANCE(A1449,""CHANGE""),)"),0.03)</f>
        <v>0.03</v>
      </c>
      <c r="D1449" s="51">
        <f>IFERROR(__xludf.DUMMYFUNCTION("IFERROR(GOOGLEFINANCE(A1449,""CHANGEPCT""),)"),0.34)</f>
        <v>0.34</v>
      </c>
      <c r="E1449" s="51" t="str">
        <f t="shared" si="1"/>
        <v>0.34%</v>
      </c>
      <c r="F1449" s="51">
        <f t="shared" si="2"/>
        <v>0.34</v>
      </c>
      <c r="G1449" s="51" t="str">
        <f t="shared" si="3"/>
        <v/>
      </c>
      <c r="H1449" s="51">
        <f>IFERROR(__xludf.DUMMYFUNCTION("IFERROR(GOOGLEFINANCE(A1449,""PRICE""),)"),8.89)</f>
        <v>8.89</v>
      </c>
      <c r="I1449" s="52">
        <f>IFERROR(__xludf.DUMMYFUNCTION("IFERROR(GOOGLEFINANCE(A1449,""VOLUME""),)"),22878.0)</f>
        <v>22878</v>
      </c>
      <c r="J1449" s="51" t="str">
        <f>IFERROR(__xludf.DUMMYFUNCTION("IFERROR(INDEX(SPLIT(A1449,"":""),1,2),)"),"TNTELE")</f>
        <v>TNTELE</v>
      </c>
      <c r="K1449" s="51">
        <f t="shared" si="4"/>
        <v>648</v>
      </c>
      <c r="L1449" s="51" t="str">
        <f t="shared" si="5"/>
        <v/>
      </c>
      <c r="M1449" s="51">
        <f t="shared" si="6"/>
        <v>1103</v>
      </c>
      <c r="N1449" s="53">
        <f>IFERROR(__xludf.DUMMYFUNCTION("IFERROR(GOOGLEFINANCE(A1449,""TRADETIME""),)"),46269.64583333333)</f>
        <v>46269.64583</v>
      </c>
      <c r="O1449" s="44"/>
      <c r="P1449" s="44"/>
      <c r="Q1449" s="44"/>
      <c r="R1449" s="44"/>
      <c r="S1449" s="44"/>
      <c r="T1449" s="44"/>
      <c r="U1449" s="44"/>
      <c r="V1449" s="44"/>
      <c r="W1449" s="44"/>
      <c r="X1449" s="44"/>
      <c r="Y1449" s="44"/>
      <c r="Z1449" s="44"/>
    </row>
    <row r="1450" ht="15.75" customHeight="1">
      <c r="A1450" s="48" t="s">
        <v>1496</v>
      </c>
      <c r="B1450" s="48" t="str">
        <f>IFERROR(__xludf.DUMMYFUNCTION("IFERROR(GOOGLEFINANCE(A1450,""NAME""),)"),"Tokyo Plast International Ltd")</f>
        <v>Tokyo Plast International Ltd</v>
      </c>
      <c r="C1450" s="48">
        <f>IFERROR(__xludf.DUMMYFUNCTION("IFERROR(GOOGLEFINANCE(A1450,""CHANGE""),)"),-0.79)</f>
        <v>-0.79</v>
      </c>
      <c r="D1450" s="48">
        <f>IFERROR(__xludf.DUMMYFUNCTION("IFERROR(GOOGLEFINANCE(A1450,""CHANGEPCT""),)"),-1.02)</f>
        <v>-1.02</v>
      </c>
      <c r="E1450" s="48" t="str">
        <f t="shared" si="1"/>
        <v>-1.02%</v>
      </c>
      <c r="F1450" s="48" t="str">
        <f t="shared" si="2"/>
        <v/>
      </c>
      <c r="G1450" s="48">
        <f t="shared" si="3"/>
        <v>-1.02</v>
      </c>
      <c r="H1450" s="48">
        <f>IFERROR(__xludf.DUMMYFUNCTION("IFERROR(GOOGLEFINANCE(A1450,""PRICE""),)"),77.0)</f>
        <v>77</v>
      </c>
      <c r="I1450" s="49">
        <f>IFERROR(__xludf.DUMMYFUNCTION("IFERROR(GOOGLEFINANCE(A1450,""VOLUME""),)"),1924.0)</f>
        <v>1924</v>
      </c>
      <c r="J1450" s="48" t="str">
        <f>IFERROR(__xludf.DUMMYFUNCTION("IFERROR(INDEX(SPLIT(A1450,"":""),1,2),)"),"TOKYOPLAST")</f>
        <v>TOKYOPLAST</v>
      </c>
      <c r="K1450" s="48" t="str">
        <f t="shared" si="4"/>
        <v/>
      </c>
      <c r="L1450" s="48">
        <f t="shared" si="5"/>
        <v>345</v>
      </c>
      <c r="M1450" s="48">
        <f t="shared" si="6"/>
        <v>1396</v>
      </c>
      <c r="N1450" s="50">
        <f>IFERROR(__xludf.DUMMYFUNCTION("IFERROR(GOOGLEFINANCE(A1450,""TRADETIME""),)"),46269.64583333333)</f>
        <v>46269.64583</v>
      </c>
      <c r="O1450" s="44"/>
      <c r="P1450" s="44"/>
      <c r="Q1450" s="44"/>
      <c r="R1450" s="44"/>
      <c r="S1450" s="44"/>
      <c r="T1450" s="44"/>
      <c r="U1450" s="44"/>
      <c r="V1450" s="44"/>
      <c r="W1450" s="44"/>
      <c r="X1450" s="44"/>
      <c r="Y1450" s="44"/>
      <c r="Z1450" s="44"/>
    </row>
    <row r="1451" ht="15.75" customHeight="1">
      <c r="A1451" s="51" t="s">
        <v>1497</v>
      </c>
      <c r="B1451" s="51" t="str">
        <f>IFERROR(__xludf.DUMMYFUNCTION("IFERROR(GOOGLEFINANCE(A1451,""NAME""),)"),"Torrent Pharmaceuticals Ltd")</f>
        <v>Torrent Pharmaceuticals Ltd</v>
      </c>
      <c r="C1451" s="51">
        <f>IFERROR(__xludf.DUMMYFUNCTION("IFERROR(GOOGLEFINANCE(A1451,""CHANGE""),)"),-60.5)</f>
        <v>-60.5</v>
      </c>
      <c r="D1451" s="51">
        <f>IFERROR(__xludf.DUMMYFUNCTION("IFERROR(GOOGLEFINANCE(A1451,""CHANGEPCT""),)"),-1.23)</f>
        <v>-1.23</v>
      </c>
      <c r="E1451" s="51" t="str">
        <f t="shared" si="1"/>
        <v>-1.23%</v>
      </c>
      <c r="F1451" s="51" t="str">
        <f t="shared" si="2"/>
        <v/>
      </c>
      <c r="G1451" s="51">
        <f t="shared" si="3"/>
        <v>-1.23</v>
      </c>
      <c r="H1451" s="51">
        <f>IFERROR(__xludf.DUMMYFUNCTION("IFERROR(GOOGLEFINANCE(A1451,""PRICE""),)"),4845.0)</f>
        <v>4845</v>
      </c>
      <c r="I1451" s="52">
        <f>IFERROR(__xludf.DUMMYFUNCTION("IFERROR(GOOGLEFINANCE(A1451,""VOLUME""),)"),322787.0)</f>
        <v>322787</v>
      </c>
      <c r="J1451" s="51" t="str">
        <f>IFERROR(__xludf.DUMMYFUNCTION("IFERROR(INDEX(SPLIT(A1451,"":""),1,2),)"),"TORNTPHARM")</f>
        <v>TORNTPHARM</v>
      </c>
      <c r="K1451" s="51" t="str">
        <f t="shared" si="4"/>
        <v/>
      </c>
      <c r="L1451" s="51">
        <f t="shared" si="5"/>
        <v>383</v>
      </c>
      <c r="M1451" s="51">
        <f t="shared" si="6"/>
        <v>492</v>
      </c>
      <c r="N1451" s="53">
        <f>IFERROR(__xludf.DUMMYFUNCTION("IFERROR(GOOGLEFINANCE(A1451,""TRADETIME""),)"),46269.64583333333)</f>
        <v>46269.64583</v>
      </c>
      <c r="O1451" s="44"/>
      <c r="P1451" s="44"/>
      <c r="Q1451" s="44"/>
      <c r="R1451" s="44"/>
      <c r="S1451" s="44"/>
      <c r="T1451" s="44"/>
      <c r="U1451" s="44"/>
      <c r="V1451" s="44"/>
      <c r="W1451" s="44"/>
      <c r="X1451" s="44"/>
      <c r="Y1451" s="44"/>
      <c r="Z1451" s="44"/>
    </row>
    <row r="1452" ht="15.75" customHeight="1">
      <c r="A1452" s="48" t="s">
        <v>1498</v>
      </c>
      <c r="B1452" s="48" t="str">
        <f>IFERROR(__xludf.DUMMYFUNCTION("IFERROR(GOOGLEFINANCE(A1452,""NAME""),)"),"Torrent Power Ltd")</f>
        <v>Torrent Power Ltd</v>
      </c>
      <c r="C1452" s="48">
        <f>IFERROR(__xludf.DUMMYFUNCTION("IFERROR(GOOGLEFINANCE(A1452,""CHANGE""),)"),12.7)</f>
        <v>12.7</v>
      </c>
      <c r="D1452" s="48">
        <f>IFERROR(__xludf.DUMMYFUNCTION("IFERROR(GOOGLEFINANCE(A1452,""CHANGEPCT""),)"),0.99)</f>
        <v>0.99</v>
      </c>
      <c r="E1452" s="48" t="str">
        <f t="shared" si="1"/>
        <v>0.99%</v>
      </c>
      <c r="F1452" s="48">
        <f t="shared" si="2"/>
        <v>0.99</v>
      </c>
      <c r="G1452" s="48" t="str">
        <f t="shared" si="3"/>
        <v/>
      </c>
      <c r="H1452" s="48">
        <f>IFERROR(__xludf.DUMMYFUNCTION("IFERROR(GOOGLEFINANCE(A1452,""PRICE""),)"),1302.0)</f>
        <v>1302</v>
      </c>
      <c r="I1452" s="49">
        <f>IFERROR(__xludf.DUMMYFUNCTION("IFERROR(GOOGLEFINANCE(A1452,""VOLUME""),)"),398524.0)</f>
        <v>398524</v>
      </c>
      <c r="J1452" s="48" t="str">
        <f>IFERROR(__xludf.DUMMYFUNCTION("IFERROR(INDEX(SPLIT(A1452,"":""),1,2),)"),"TORNTPOWER")</f>
        <v>TORNTPOWER</v>
      </c>
      <c r="K1452" s="48">
        <f t="shared" si="4"/>
        <v>452</v>
      </c>
      <c r="L1452" s="48" t="str">
        <f t="shared" si="5"/>
        <v/>
      </c>
      <c r="M1452" s="48">
        <f t="shared" si="6"/>
        <v>446</v>
      </c>
      <c r="N1452" s="50">
        <f>IFERROR(__xludf.DUMMYFUNCTION("IFERROR(GOOGLEFINANCE(A1452,""TRADETIME""),)"),46269.64584490741)</f>
        <v>46269.64584</v>
      </c>
      <c r="O1452" s="44"/>
      <c r="P1452" s="44"/>
      <c r="Q1452" s="44"/>
      <c r="R1452" s="44"/>
      <c r="S1452" s="44"/>
      <c r="T1452" s="44"/>
      <c r="U1452" s="44"/>
      <c r="V1452" s="44"/>
      <c r="W1452" s="44"/>
      <c r="X1452" s="44"/>
      <c r="Y1452" s="44"/>
      <c r="Z1452" s="44"/>
    </row>
    <row r="1453" ht="15.75" customHeight="1">
      <c r="A1453" s="51" t="s">
        <v>1499</v>
      </c>
      <c r="B1453" s="51" t="str">
        <f>IFERROR(__xludf.DUMMYFUNCTION("IFERROR(GOOGLEFINANCE(A1453,""NAME""),)"),"Total Transport Systems Ltd")</f>
        <v>Total Transport Systems Ltd</v>
      </c>
      <c r="C1453" s="51">
        <f>IFERROR(__xludf.DUMMYFUNCTION("IFERROR(GOOGLEFINANCE(A1453,""CHANGE""),)"),1.14)</f>
        <v>1.14</v>
      </c>
      <c r="D1453" s="51">
        <f>IFERROR(__xludf.DUMMYFUNCTION("IFERROR(GOOGLEFINANCE(A1453,""CHANGEPCT""),)"),1.62)</f>
        <v>1.62</v>
      </c>
      <c r="E1453" s="51" t="str">
        <f t="shared" si="1"/>
        <v>1.62%</v>
      </c>
      <c r="F1453" s="51">
        <f t="shared" si="2"/>
        <v>1.62</v>
      </c>
      <c r="G1453" s="51" t="str">
        <f t="shared" si="3"/>
        <v/>
      </c>
      <c r="H1453" s="51">
        <f>IFERROR(__xludf.DUMMYFUNCTION("IFERROR(GOOGLEFINANCE(A1453,""PRICE""),)"),71.45)</f>
        <v>71.45</v>
      </c>
      <c r="I1453" s="52">
        <f>IFERROR(__xludf.DUMMYFUNCTION("IFERROR(GOOGLEFINANCE(A1453,""VOLUME""),)"),4743.0)</f>
        <v>4743</v>
      </c>
      <c r="J1453" s="51" t="str">
        <f>IFERROR(__xludf.DUMMYFUNCTION("IFERROR(INDEX(SPLIT(A1453,"":""),1,2),)"),"TOTAL")</f>
        <v>TOTAL</v>
      </c>
      <c r="K1453" s="51">
        <f t="shared" si="4"/>
        <v>324</v>
      </c>
      <c r="L1453" s="51" t="str">
        <f t="shared" si="5"/>
        <v/>
      </c>
      <c r="M1453" s="51">
        <f t="shared" si="6"/>
        <v>1330</v>
      </c>
      <c r="N1453" s="53">
        <f>IFERROR(__xludf.DUMMYFUNCTION("IFERROR(GOOGLEFINANCE(A1453,""TRADETIME""),)"),46269.64583333333)</f>
        <v>46269.64583</v>
      </c>
      <c r="O1453" s="44"/>
      <c r="P1453" s="44"/>
      <c r="Q1453" s="44"/>
      <c r="R1453" s="44"/>
      <c r="S1453" s="44"/>
      <c r="T1453" s="44"/>
      <c r="U1453" s="44"/>
      <c r="V1453" s="44"/>
      <c r="W1453" s="44"/>
      <c r="X1453" s="44"/>
      <c r="Y1453" s="44"/>
      <c r="Z1453" s="44"/>
    </row>
    <row r="1454" ht="15.75" customHeight="1">
      <c r="A1454" s="48" t="s">
        <v>1500</v>
      </c>
      <c r="B1454" s="48" t="str">
        <f>IFERROR(__xludf.DUMMYFUNCTION("IFERROR(GOOGLEFINANCE(A1454,""NAME""),)"),"Touchwood Entertainment Ltd")</f>
        <v>Touchwood Entertainment Ltd</v>
      </c>
      <c r="C1454" s="48">
        <f>IFERROR(__xludf.DUMMYFUNCTION("IFERROR(GOOGLEFINANCE(A1454,""CHANGE""),)"),3.66)</f>
        <v>3.66</v>
      </c>
      <c r="D1454" s="48">
        <f>IFERROR(__xludf.DUMMYFUNCTION("IFERROR(GOOGLEFINANCE(A1454,""CHANGEPCT""),)"),6.18)</f>
        <v>6.18</v>
      </c>
      <c r="E1454" s="48" t="str">
        <f t="shared" si="1"/>
        <v>6.18%</v>
      </c>
      <c r="F1454" s="48">
        <f t="shared" si="2"/>
        <v>6.18</v>
      </c>
      <c r="G1454" s="48" t="str">
        <f t="shared" si="3"/>
        <v/>
      </c>
      <c r="H1454" s="48">
        <f>IFERROR(__xludf.DUMMYFUNCTION("IFERROR(GOOGLEFINANCE(A1454,""PRICE""),)"),62.86)</f>
        <v>62.86</v>
      </c>
      <c r="I1454" s="49">
        <f>IFERROR(__xludf.DUMMYFUNCTION("IFERROR(GOOGLEFINANCE(A1454,""VOLUME""),)"),1237.0)</f>
        <v>1237</v>
      </c>
      <c r="J1454" s="48" t="str">
        <f>IFERROR(__xludf.DUMMYFUNCTION("IFERROR(INDEX(SPLIT(A1454,"":""),1,2),)"),"TOUCHWOOD")</f>
        <v>TOUCHWOOD</v>
      </c>
      <c r="K1454" s="48">
        <f t="shared" si="4"/>
        <v>31</v>
      </c>
      <c r="L1454" s="48" t="str">
        <f t="shared" si="5"/>
        <v/>
      </c>
      <c r="M1454" s="48">
        <f t="shared" si="6"/>
        <v>1415</v>
      </c>
      <c r="N1454" s="50">
        <f>IFERROR(__xludf.DUMMYFUNCTION("IFERROR(GOOGLEFINANCE(A1454,""TRADETIME""),)"),46269.64583333333)</f>
        <v>46269.64583</v>
      </c>
      <c r="O1454" s="44"/>
      <c r="P1454" s="44"/>
      <c r="Q1454" s="44"/>
      <c r="R1454" s="44"/>
      <c r="S1454" s="44"/>
      <c r="T1454" s="44"/>
      <c r="U1454" s="44"/>
      <c r="V1454" s="44"/>
      <c r="W1454" s="44"/>
      <c r="X1454" s="44"/>
      <c r="Y1454" s="44"/>
      <c r="Z1454" s="44"/>
    </row>
    <row r="1455" ht="15.75" customHeight="1">
      <c r="A1455" s="51" t="s">
        <v>1501</v>
      </c>
      <c r="B1455" s="51" t="str">
        <f>IFERROR(__xludf.DUMMYFUNCTION("IFERROR(GOOGLEFINANCE(A1455,""NAME""),)"),"TPL Plastech Ltd")</f>
        <v>TPL Plastech Ltd</v>
      </c>
      <c r="C1455" s="51">
        <f>IFERROR(__xludf.DUMMYFUNCTION("IFERROR(GOOGLEFINANCE(A1455,""CHANGE""),)"),-0.53)</f>
        <v>-0.53</v>
      </c>
      <c r="D1455" s="51">
        <f>IFERROR(__xludf.DUMMYFUNCTION("IFERROR(GOOGLEFINANCE(A1455,""CHANGEPCT""),)"),-0.73)</f>
        <v>-0.73</v>
      </c>
      <c r="E1455" s="51" t="str">
        <f t="shared" si="1"/>
        <v>-0.73%</v>
      </c>
      <c r="F1455" s="51" t="str">
        <f t="shared" si="2"/>
        <v/>
      </c>
      <c r="G1455" s="51">
        <f t="shared" si="3"/>
        <v>-0.73</v>
      </c>
      <c r="H1455" s="51">
        <f>IFERROR(__xludf.DUMMYFUNCTION("IFERROR(GOOGLEFINANCE(A1455,""PRICE""),)"),72.0)</f>
        <v>72</v>
      </c>
      <c r="I1455" s="52">
        <f>IFERROR(__xludf.DUMMYFUNCTION("IFERROR(GOOGLEFINANCE(A1455,""VOLUME""),)"),117553.0)</f>
        <v>117553</v>
      </c>
      <c r="J1455" s="51" t="str">
        <f>IFERROR(__xludf.DUMMYFUNCTION("IFERROR(INDEX(SPLIT(A1455,"":""),1,2),)"),"TPLPLASTEH")</f>
        <v>TPLPLASTEH</v>
      </c>
      <c r="K1455" s="51" t="str">
        <f t="shared" si="4"/>
        <v/>
      </c>
      <c r="L1455" s="51">
        <f t="shared" si="5"/>
        <v>278</v>
      </c>
      <c r="M1455" s="51">
        <f t="shared" si="6"/>
        <v>743</v>
      </c>
      <c r="N1455" s="53">
        <f>IFERROR(__xludf.DUMMYFUNCTION("IFERROR(GOOGLEFINANCE(A1455,""TRADETIME""),)"),46269.64583333333)</f>
        <v>46269.64583</v>
      </c>
      <c r="O1455" s="44"/>
      <c r="P1455" s="44"/>
      <c r="Q1455" s="44"/>
      <c r="R1455" s="44"/>
      <c r="S1455" s="44"/>
      <c r="T1455" s="44"/>
      <c r="U1455" s="44"/>
      <c r="V1455" s="44"/>
      <c r="W1455" s="44"/>
      <c r="X1455" s="44"/>
      <c r="Y1455" s="44"/>
      <c r="Z1455" s="44"/>
    </row>
    <row r="1456" ht="15.75" customHeight="1">
      <c r="A1456" s="48" t="s">
        <v>1502</v>
      </c>
      <c r="B1456" s="48" t="str">
        <f>IFERROR(__xludf.DUMMYFUNCTION("IFERROR(GOOGLEFINANCE(A1456,""NAME""),)"),"Tree House Education and Accessories Ltd")</f>
        <v>Tree House Education and Accessories Ltd</v>
      </c>
      <c r="C1456" s="48">
        <f>IFERROR(__xludf.DUMMYFUNCTION("IFERROR(GOOGLEFINANCE(A1456,""CHANGE""),)"),0.13)</f>
        <v>0.13</v>
      </c>
      <c r="D1456" s="48">
        <f>IFERROR(__xludf.DUMMYFUNCTION("IFERROR(GOOGLEFINANCE(A1456,""CHANGEPCT""),)"),2.09)</f>
        <v>2.09</v>
      </c>
      <c r="E1456" s="48" t="str">
        <f t="shared" si="1"/>
        <v>2.09%</v>
      </c>
      <c r="F1456" s="48">
        <f t="shared" si="2"/>
        <v>2.09</v>
      </c>
      <c r="G1456" s="48" t="str">
        <f t="shared" si="3"/>
        <v/>
      </c>
      <c r="H1456" s="48">
        <f>IFERROR(__xludf.DUMMYFUNCTION("IFERROR(GOOGLEFINANCE(A1456,""PRICE""),)"),6.35)</f>
        <v>6.35</v>
      </c>
      <c r="I1456" s="49">
        <f>IFERROR(__xludf.DUMMYFUNCTION("IFERROR(GOOGLEFINANCE(A1456,""VOLUME""),)"),26470.0)</f>
        <v>26470</v>
      </c>
      <c r="J1456" s="48" t="str">
        <f>IFERROR(__xludf.DUMMYFUNCTION("IFERROR(INDEX(SPLIT(A1456,"":""),1,2),)"),"TREEHOUSE")</f>
        <v>TREEHOUSE</v>
      </c>
      <c r="K1456" s="48">
        <f t="shared" si="4"/>
        <v>245</v>
      </c>
      <c r="L1456" s="48" t="str">
        <f t="shared" si="5"/>
        <v/>
      </c>
      <c r="M1456" s="48">
        <f t="shared" si="6"/>
        <v>1076</v>
      </c>
      <c r="N1456" s="50">
        <f>IFERROR(__xludf.DUMMYFUNCTION("IFERROR(GOOGLEFINANCE(A1456,""TRADETIME""),)"),46269.64583333333)</f>
        <v>46269.64583</v>
      </c>
      <c r="O1456" s="44"/>
      <c r="P1456" s="44"/>
      <c r="Q1456" s="44"/>
      <c r="R1456" s="44"/>
      <c r="S1456" s="44"/>
      <c r="T1456" s="44"/>
      <c r="U1456" s="44"/>
      <c r="V1456" s="44"/>
      <c r="W1456" s="44"/>
      <c r="X1456" s="44"/>
      <c r="Y1456" s="44"/>
      <c r="Z1456" s="44"/>
    </row>
    <row r="1457" ht="15.75" customHeight="1">
      <c r="A1457" s="51" t="s">
        <v>1503</v>
      </c>
      <c r="B1457" s="51" t="str">
        <f>IFERROR(__xludf.DUMMYFUNCTION("IFERROR(GOOGLEFINANCE(A1457,""NAME""),)"),"Trejhara Solutions Ltd")</f>
        <v>Trejhara Solutions Ltd</v>
      </c>
      <c r="C1457" s="51">
        <f>IFERROR(__xludf.DUMMYFUNCTION("IFERROR(GOOGLEFINANCE(A1457,""CHANGE""),)"),7.46)</f>
        <v>7.46</v>
      </c>
      <c r="D1457" s="51">
        <f>IFERROR(__xludf.DUMMYFUNCTION("IFERROR(GOOGLEFINANCE(A1457,""CHANGEPCT""),)"),5.11)</f>
        <v>5.11</v>
      </c>
      <c r="E1457" s="51" t="str">
        <f t="shared" si="1"/>
        <v>5.11%</v>
      </c>
      <c r="F1457" s="51">
        <f t="shared" si="2"/>
        <v>5.11</v>
      </c>
      <c r="G1457" s="51" t="str">
        <f t="shared" si="3"/>
        <v/>
      </c>
      <c r="H1457" s="51">
        <f>IFERROR(__xludf.DUMMYFUNCTION("IFERROR(GOOGLEFINANCE(A1457,""PRICE""),)"),153.45)</f>
        <v>153.45</v>
      </c>
      <c r="I1457" s="52">
        <f>IFERROR(__xludf.DUMMYFUNCTION("IFERROR(GOOGLEFINANCE(A1457,""VOLUME""),)"),18766.0)</f>
        <v>18766</v>
      </c>
      <c r="J1457" s="51" t="str">
        <f>IFERROR(__xludf.DUMMYFUNCTION("IFERROR(INDEX(SPLIT(A1457,"":""),1,2),)"),"TREJHARA")</f>
        <v>TREJHARA</v>
      </c>
      <c r="K1457" s="51">
        <f t="shared" si="4"/>
        <v>51</v>
      </c>
      <c r="L1457" s="51" t="str">
        <f t="shared" si="5"/>
        <v/>
      </c>
      <c r="M1457" s="51">
        <f t="shared" si="6"/>
        <v>1136</v>
      </c>
      <c r="N1457" s="53">
        <f>IFERROR(__xludf.DUMMYFUNCTION("IFERROR(GOOGLEFINANCE(A1457,""TRADETIME""),)"),46269.64583333333)</f>
        <v>46269.64583</v>
      </c>
      <c r="O1457" s="44"/>
      <c r="P1457" s="44"/>
      <c r="Q1457" s="44"/>
      <c r="R1457" s="44"/>
      <c r="S1457" s="44"/>
      <c r="T1457" s="44"/>
      <c r="U1457" s="44"/>
      <c r="V1457" s="44"/>
      <c r="W1457" s="44"/>
      <c r="X1457" s="44"/>
      <c r="Y1457" s="44"/>
      <c r="Z1457" s="44"/>
    </row>
    <row r="1458" ht="15.75" customHeight="1">
      <c r="A1458" s="48" t="s">
        <v>1504</v>
      </c>
      <c r="B1458" s="48" t="str">
        <f>IFERROR(__xludf.DUMMYFUNCTION("IFERROR(GOOGLEFINANCE(A1458,""NAME""),)"),"Trent Ltd")</f>
        <v>Trent Ltd</v>
      </c>
      <c r="C1458" s="48">
        <f>IFERROR(__xludf.DUMMYFUNCTION("IFERROR(GOOGLEFINANCE(A1458,""CHANGE""),)"),43.6)</f>
        <v>43.6</v>
      </c>
      <c r="D1458" s="48">
        <f>IFERROR(__xludf.DUMMYFUNCTION("IFERROR(GOOGLEFINANCE(A1458,""CHANGEPCT""),)"),1.55)</f>
        <v>1.55</v>
      </c>
      <c r="E1458" s="48" t="str">
        <f t="shared" si="1"/>
        <v>1.55%</v>
      </c>
      <c r="F1458" s="48">
        <f t="shared" si="2"/>
        <v>1.55</v>
      </c>
      <c r="G1458" s="48" t="str">
        <f t="shared" si="3"/>
        <v/>
      </c>
      <c r="H1458" s="48">
        <f>IFERROR(__xludf.DUMMYFUNCTION("IFERROR(GOOGLEFINANCE(A1458,""PRICE""),)"),2859.2)</f>
        <v>2859.2</v>
      </c>
      <c r="I1458" s="49">
        <f>IFERROR(__xludf.DUMMYFUNCTION("IFERROR(GOOGLEFINANCE(A1458,""VOLUME""),)"),577393.0)</f>
        <v>577393</v>
      </c>
      <c r="J1458" s="48" t="str">
        <f>IFERROR(__xludf.DUMMYFUNCTION("IFERROR(INDEX(SPLIT(A1458,"":""),1,2),)"),"TRENT")</f>
        <v>TRENT</v>
      </c>
      <c r="K1458" s="48">
        <f t="shared" si="4"/>
        <v>335</v>
      </c>
      <c r="L1458" s="48" t="str">
        <f t="shared" si="5"/>
        <v/>
      </c>
      <c r="M1458" s="48">
        <f t="shared" si="6"/>
        <v>368</v>
      </c>
      <c r="N1458" s="50">
        <f>IFERROR(__xludf.DUMMYFUNCTION("IFERROR(GOOGLEFINANCE(A1458,""TRADETIME""),)"),46269.64583333333)</f>
        <v>46269.64583</v>
      </c>
      <c r="O1458" s="44"/>
      <c r="P1458" s="44"/>
      <c r="Q1458" s="44"/>
      <c r="R1458" s="44"/>
      <c r="S1458" s="44"/>
      <c r="T1458" s="44"/>
      <c r="U1458" s="44"/>
      <c r="V1458" s="44"/>
      <c r="W1458" s="44"/>
      <c r="X1458" s="44"/>
      <c r="Y1458" s="44"/>
      <c r="Z1458" s="44"/>
    </row>
    <row r="1459" ht="15.75" customHeight="1">
      <c r="A1459" s="51" t="s">
        <v>1505</v>
      </c>
      <c r="B1459" s="51" t="str">
        <f>IFERROR(__xludf.DUMMYFUNCTION("IFERROR(GOOGLEFINANCE(A1459,""NAME""),)"),"TRF Ltd")</f>
        <v>TRF Ltd</v>
      </c>
      <c r="C1459" s="51">
        <f>IFERROR(__xludf.DUMMYFUNCTION("IFERROR(GOOGLEFINANCE(A1459,""CHANGE""),)"),1.61)</f>
        <v>1.61</v>
      </c>
      <c r="D1459" s="51">
        <f>IFERROR(__xludf.DUMMYFUNCTION("IFERROR(GOOGLEFINANCE(A1459,""CHANGEPCT""),)"),0.7)</f>
        <v>0.7</v>
      </c>
      <c r="E1459" s="51" t="str">
        <f t="shared" si="1"/>
        <v>0.7%</v>
      </c>
      <c r="F1459" s="51">
        <f t="shared" si="2"/>
        <v>0.7</v>
      </c>
      <c r="G1459" s="51" t="str">
        <f t="shared" si="3"/>
        <v/>
      </c>
      <c r="H1459" s="51">
        <f>IFERROR(__xludf.DUMMYFUNCTION("IFERROR(GOOGLEFINANCE(A1459,""PRICE""),)"),231.64)</f>
        <v>231.64</v>
      </c>
      <c r="I1459" s="52">
        <f>IFERROR(__xludf.DUMMYFUNCTION("IFERROR(GOOGLEFINANCE(A1459,""VOLUME""),)"),4712.0)</f>
        <v>4712</v>
      </c>
      <c r="J1459" s="51" t="str">
        <f>IFERROR(__xludf.DUMMYFUNCTION("IFERROR(INDEX(SPLIT(A1459,"":""),1,2),)"),"TRF")</f>
        <v>TRF</v>
      </c>
      <c r="K1459" s="51">
        <f t="shared" si="4"/>
        <v>531</v>
      </c>
      <c r="L1459" s="51" t="str">
        <f t="shared" si="5"/>
        <v/>
      </c>
      <c r="M1459" s="51">
        <f t="shared" si="6"/>
        <v>1331</v>
      </c>
      <c r="N1459" s="53">
        <f>IFERROR(__xludf.DUMMYFUNCTION("IFERROR(GOOGLEFINANCE(A1459,""TRADETIME""),)"),46269.64583333333)</f>
        <v>46269.64583</v>
      </c>
      <c r="O1459" s="44"/>
      <c r="P1459" s="44"/>
      <c r="Q1459" s="44"/>
      <c r="R1459" s="44"/>
      <c r="S1459" s="44"/>
      <c r="T1459" s="44"/>
      <c r="U1459" s="44"/>
      <c r="V1459" s="44"/>
      <c r="W1459" s="44"/>
      <c r="X1459" s="44"/>
      <c r="Y1459" s="44"/>
      <c r="Z1459" s="44"/>
    </row>
    <row r="1460" ht="15.75" customHeight="1">
      <c r="A1460" s="48" t="s">
        <v>1506</v>
      </c>
      <c r="B1460" s="48" t="str">
        <f>IFERROR(__xludf.DUMMYFUNCTION("IFERROR(GOOGLEFINANCE(A1460,""NAME""),)"),"Trident Ltd")</f>
        <v>Trident Ltd</v>
      </c>
      <c r="C1460" s="48">
        <f>IFERROR(__xludf.DUMMYFUNCTION("IFERROR(GOOGLEFINANCE(A1460,""CHANGE""),)"),0.21)</f>
        <v>0.21</v>
      </c>
      <c r="D1460" s="48">
        <f>IFERROR(__xludf.DUMMYFUNCTION("IFERROR(GOOGLEFINANCE(A1460,""CHANGEPCT""),)"),0.88)</f>
        <v>0.88</v>
      </c>
      <c r="E1460" s="48" t="str">
        <f t="shared" si="1"/>
        <v>0.88%</v>
      </c>
      <c r="F1460" s="48">
        <f t="shared" si="2"/>
        <v>0.88</v>
      </c>
      <c r="G1460" s="48" t="str">
        <f t="shared" si="3"/>
        <v/>
      </c>
      <c r="H1460" s="48">
        <f>IFERROR(__xludf.DUMMYFUNCTION("IFERROR(GOOGLEFINANCE(A1460,""PRICE""),)"),24.2)</f>
        <v>24.2</v>
      </c>
      <c r="I1460" s="49">
        <f>IFERROR(__xludf.DUMMYFUNCTION("IFERROR(GOOGLEFINANCE(A1460,""VOLUME""),)"),3292066.0)</f>
        <v>3292066</v>
      </c>
      <c r="J1460" s="48" t="str">
        <f>IFERROR(__xludf.DUMMYFUNCTION("IFERROR(INDEX(SPLIT(A1460,"":""),1,2),)"),"TRIDENT")</f>
        <v>TRIDENT</v>
      </c>
      <c r="K1460" s="48">
        <f t="shared" si="4"/>
        <v>477</v>
      </c>
      <c r="L1460" s="48" t="str">
        <f t="shared" si="5"/>
        <v/>
      </c>
      <c r="M1460" s="48">
        <f t="shared" si="6"/>
        <v>119</v>
      </c>
      <c r="N1460" s="50">
        <f>IFERROR(__xludf.DUMMYFUNCTION("IFERROR(GOOGLEFINANCE(A1460,""TRADETIME""),)"),46269.64584490741)</f>
        <v>46269.64584</v>
      </c>
      <c r="O1460" s="44"/>
      <c r="P1460" s="44"/>
      <c r="Q1460" s="44"/>
      <c r="R1460" s="44"/>
      <c r="S1460" s="44"/>
      <c r="T1460" s="44"/>
      <c r="U1460" s="44"/>
      <c r="V1460" s="44"/>
      <c r="W1460" s="44"/>
      <c r="X1460" s="44"/>
      <c r="Y1460" s="44"/>
      <c r="Z1460" s="44"/>
    </row>
    <row r="1461" ht="15.75" customHeight="1">
      <c r="A1461" s="51" t="s">
        <v>1507</v>
      </c>
      <c r="B1461" s="51" t="str">
        <f>IFERROR(__xludf.DUMMYFUNCTION("IFERROR(GOOGLEFINANCE(A1461,""NAME""),)"),"Trigyn Technologies Ltd")</f>
        <v>Trigyn Technologies Ltd</v>
      </c>
      <c r="C1461" s="51">
        <f>IFERROR(__xludf.DUMMYFUNCTION("IFERROR(GOOGLEFINANCE(A1461,""CHANGE""),)"),-0.13)</f>
        <v>-0.13</v>
      </c>
      <c r="D1461" s="51">
        <f>IFERROR(__xludf.DUMMYFUNCTION("IFERROR(GOOGLEFINANCE(A1461,""CHANGEPCT""),)"),-0.22)</f>
        <v>-0.22</v>
      </c>
      <c r="E1461" s="51" t="str">
        <f t="shared" si="1"/>
        <v>-0.22%</v>
      </c>
      <c r="F1461" s="51" t="str">
        <f t="shared" si="2"/>
        <v/>
      </c>
      <c r="G1461" s="51">
        <f t="shared" si="3"/>
        <v>-0.22</v>
      </c>
      <c r="H1461" s="51">
        <f>IFERROR(__xludf.DUMMYFUNCTION("IFERROR(GOOGLEFINANCE(A1461,""PRICE""),)"),59.47)</f>
        <v>59.47</v>
      </c>
      <c r="I1461" s="52">
        <f>IFERROR(__xludf.DUMMYFUNCTION("IFERROR(GOOGLEFINANCE(A1461,""VOLUME""),)"),99874.0)</f>
        <v>99874</v>
      </c>
      <c r="J1461" s="51" t="str">
        <f>IFERROR(__xludf.DUMMYFUNCTION("IFERROR(INDEX(SPLIT(A1461,"":""),1,2),)"),"TRIGYN")</f>
        <v>TRIGYN</v>
      </c>
      <c r="K1461" s="51" t="str">
        <f t="shared" si="4"/>
        <v/>
      </c>
      <c r="L1461" s="51">
        <f t="shared" si="5"/>
        <v>82</v>
      </c>
      <c r="M1461" s="51">
        <f t="shared" si="6"/>
        <v>769</v>
      </c>
      <c r="N1461" s="53">
        <f>IFERROR(__xludf.DUMMYFUNCTION("IFERROR(GOOGLEFINANCE(A1461,""TRADETIME""),)"),46269.64583333333)</f>
        <v>46269.64583</v>
      </c>
      <c r="O1461" s="44"/>
      <c r="P1461" s="44"/>
      <c r="Q1461" s="44"/>
      <c r="R1461" s="44"/>
      <c r="S1461" s="44"/>
      <c r="T1461" s="44"/>
      <c r="U1461" s="44"/>
      <c r="V1461" s="44"/>
      <c r="W1461" s="44"/>
      <c r="X1461" s="44"/>
      <c r="Y1461" s="44"/>
      <c r="Z1461" s="44"/>
    </row>
    <row r="1462" ht="15.75" customHeight="1">
      <c r="A1462" s="48" t="s">
        <v>1508</v>
      </c>
      <c r="B1462" s="48" t="str">
        <f>IFERROR(__xludf.DUMMYFUNCTION("IFERROR(GOOGLEFINANCE(A1462,""NAME""),)"),"Vinyl Chemicals (India) Ltd")</f>
        <v>Vinyl Chemicals (India) Ltd</v>
      </c>
      <c r="C1462" s="48">
        <f>IFERROR(__xludf.DUMMYFUNCTION("IFERROR(GOOGLEFINANCE(A1462,""CHANGE""),)"),5.66)</f>
        <v>5.66</v>
      </c>
      <c r="D1462" s="48">
        <f>IFERROR(__xludf.DUMMYFUNCTION("IFERROR(GOOGLEFINANCE(A1462,""CHANGEPCT""),)"),2.48)</f>
        <v>2.48</v>
      </c>
      <c r="E1462" s="48" t="str">
        <f t="shared" si="1"/>
        <v>2.48%</v>
      </c>
      <c r="F1462" s="48">
        <f t="shared" si="2"/>
        <v>2.48</v>
      </c>
      <c r="G1462" s="48" t="str">
        <f t="shared" si="3"/>
        <v/>
      </c>
      <c r="H1462" s="48">
        <f>IFERROR(__xludf.DUMMYFUNCTION("IFERROR(GOOGLEFINANCE(A1462,""PRICE""),)"),233.6)</f>
        <v>233.6</v>
      </c>
      <c r="I1462" s="49">
        <f>IFERROR(__xludf.DUMMYFUNCTION("IFERROR(GOOGLEFINANCE(A1462,""VOLUME""),)"),10241.0)</f>
        <v>10241</v>
      </c>
      <c r="J1462" s="48" t="str">
        <f>IFERROR(__xludf.DUMMYFUNCTION("IFERROR(INDEX(SPLIT(A1462,"":""),1,2),)"),"VINYLINDIA")</f>
        <v>VINYLINDIA</v>
      </c>
      <c r="K1462" s="48">
        <f t="shared" si="4"/>
        <v>207</v>
      </c>
      <c r="L1462" s="48" t="str">
        <f t="shared" si="5"/>
        <v/>
      </c>
      <c r="M1462" s="48">
        <f t="shared" si="6"/>
        <v>1233</v>
      </c>
      <c r="N1462" s="50">
        <f>IFERROR(__xludf.DUMMYFUNCTION("IFERROR(GOOGLEFINANCE(A1462,""TRADETIME""),)"),46269.64583333333)</f>
        <v>46269.64583</v>
      </c>
      <c r="O1462" s="44"/>
      <c r="P1462" s="44"/>
      <c r="Q1462" s="44"/>
      <c r="R1462" s="44"/>
      <c r="S1462" s="44"/>
      <c r="T1462" s="44"/>
      <c r="U1462" s="44"/>
      <c r="V1462" s="44"/>
      <c r="W1462" s="44"/>
      <c r="X1462" s="44"/>
      <c r="Y1462" s="44"/>
      <c r="Z1462" s="44"/>
    </row>
    <row r="1463" ht="15.75" customHeight="1">
      <c r="A1463" s="51" t="s">
        <v>1509</v>
      </c>
      <c r="B1463" s="51" t="str">
        <f>IFERROR(__xludf.DUMMYFUNCTION("IFERROR(GOOGLEFINANCE(A1463,""NAME""),)"),"Triveni Turbine Ltd")</f>
        <v>Triveni Turbine Ltd</v>
      </c>
      <c r="C1463" s="51">
        <f>IFERROR(__xludf.DUMMYFUNCTION("IFERROR(GOOGLEFINANCE(A1463,""CHANGE""),)"),6.3)</f>
        <v>6.3</v>
      </c>
      <c r="D1463" s="51">
        <f>IFERROR(__xludf.DUMMYFUNCTION("IFERROR(GOOGLEFINANCE(A1463,""CHANGEPCT""),)"),1.1)</f>
        <v>1.1</v>
      </c>
      <c r="E1463" s="51" t="str">
        <f t="shared" si="1"/>
        <v>1.1%</v>
      </c>
      <c r="F1463" s="51">
        <f t="shared" si="2"/>
        <v>1.1</v>
      </c>
      <c r="G1463" s="51" t="str">
        <f t="shared" si="3"/>
        <v/>
      </c>
      <c r="H1463" s="51">
        <f>IFERROR(__xludf.DUMMYFUNCTION("IFERROR(GOOGLEFINANCE(A1463,""PRICE""),)"),578.0)</f>
        <v>578</v>
      </c>
      <c r="I1463" s="52">
        <f>IFERROR(__xludf.DUMMYFUNCTION("IFERROR(GOOGLEFINANCE(A1463,""VOLUME""),)"),254725.0)</f>
        <v>254725</v>
      </c>
      <c r="J1463" s="51" t="str">
        <f>IFERROR(__xludf.DUMMYFUNCTION("IFERROR(INDEX(SPLIT(A1463,"":""),1,2),)"),"TRITURBINE")</f>
        <v>TRITURBINE</v>
      </c>
      <c r="K1463" s="51">
        <f t="shared" si="4"/>
        <v>437</v>
      </c>
      <c r="L1463" s="51" t="str">
        <f t="shared" si="5"/>
        <v/>
      </c>
      <c r="M1463" s="51">
        <f t="shared" si="6"/>
        <v>563</v>
      </c>
      <c r="N1463" s="53">
        <f>IFERROR(__xludf.DUMMYFUNCTION("IFERROR(GOOGLEFINANCE(A1463,""TRADETIME""),)"),46269.64585648148)</f>
        <v>46269.64586</v>
      </c>
      <c r="O1463" s="44"/>
      <c r="P1463" s="44"/>
      <c r="Q1463" s="44"/>
      <c r="R1463" s="44"/>
      <c r="S1463" s="44"/>
      <c r="T1463" s="44"/>
      <c r="U1463" s="44"/>
      <c r="V1463" s="44"/>
      <c r="W1463" s="44"/>
      <c r="X1463" s="44"/>
      <c r="Y1463" s="44"/>
      <c r="Z1463" s="44"/>
    </row>
    <row r="1464" ht="15.75" customHeight="1">
      <c r="A1464" s="48" t="s">
        <v>1510</v>
      </c>
      <c r="B1464" s="48" t="str">
        <f>IFERROR(__xludf.DUMMYFUNCTION("IFERROR(GOOGLEFINANCE(A1464,""NAME""),)"),"Triveni Engineering and Industries Ltd")</f>
        <v>Triveni Engineering and Industries Ltd</v>
      </c>
      <c r="C1464" s="48">
        <f>IFERROR(__xludf.DUMMYFUNCTION("IFERROR(GOOGLEFINANCE(A1464,""CHANGE""),)"),-4.5)</f>
        <v>-4.5</v>
      </c>
      <c r="D1464" s="48">
        <f>IFERROR(__xludf.DUMMYFUNCTION("IFERROR(GOOGLEFINANCE(A1464,""CHANGEPCT""),)"),-1.6)</f>
        <v>-1.6</v>
      </c>
      <c r="E1464" s="48" t="str">
        <f t="shared" si="1"/>
        <v>-1.6%</v>
      </c>
      <c r="F1464" s="48" t="str">
        <f t="shared" si="2"/>
        <v/>
      </c>
      <c r="G1464" s="48">
        <f t="shared" si="3"/>
        <v>-1.6</v>
      </c>
      <c r="H1464" s="48">
        <f>IFERROR(__xludf.DUMMYFUNCTION("IFERROR(GOOGLEFINANCE(A1464,""PRICE""),)"),276.0)</f>
        <v>276</v>
      </c>
      <c r="I1464" s="49">
        <f>IFERROR(__xludf.DUMMYFUNCTION("IFERROR(GOOGLEFINANCE(A1464,""VOLUME""),)"),472150.0)</f>
        <v>472150</v>
      </c>
      <c r="J1464" s="48" t="str">
        <f>IFERROR(__xludf.DUMMYFUNCTION("IFERROR(INDEX(SPLIT(A1464,"":""),1,2),)"),"TRIVENI")</f>
        <v>TRIVENI</v>
      </c>
      <c r="K1464" s="48" t="str">
        <f t="shared" si="4"/>
        <v/>
      </c>
      <c r="L1464" s="48">
        <f t="shared" si="5"/>
        <v>470</v>
      </c>
      <c r="M1464" s="48">
        <f t="shared" si="6"/>
        <v>410</v>
      </c>
      <c r="N1464" s="50">
        <f>IFERROR(__xludf.DUMMYFUNCTION("IFERROR(GOOGLEFINANCE(A1464,""TRADETIME""),)"),46269.64583333333)</f>
        <v>46269.64583</v>
      </c>
      <c r="O1464" s="44"/>
      <c r="P1464" s="44"/>
      <c r="Q1464" s="44"/>
      <c r="R1464" s="44"/>
      <c r="S1464" s="44"/>
      <c r="T1464" s="44"/>
      <c r="U1464" s="44"/>
      <c r="V1464" s="44"/>
      <c r="W1464" s="44"/>
      <c r="X1464" s="44"/>
      <c r="Y1464" s="44"/>
      <c r="Z1464" s="44"/>
    </row>
    <row r="1465" ht="15.75" customHeight="1">
      <c r="A1465" s="51" t="s">
        <v>1511</v>
      </c>
      <c r="B1465" s="51" t="str">
        <f>IFERROR(__xludf.DUMMYFUNCTION("IFERROR(GOOGLEFINANCE(A1465,""NAME""),)"),"TTK Healthcare Ltd")</f>
        <v>TTK Healthcare Ltd</v>
      </c>
      <c r="C1465" s="51">
        <f>IFERROR(__xludf.DUMMYFUNCTION("IFERROR(GOOGLEFINANCE(A1465,""CHANGE""),)"),-3.2)</f>
        <v>-3.2</v>
      </c>
      <c r="D1465" s="51">
        <f>IFERROR(__xludf.DUMMYFUNCTION("IFERROR(GOOGLEFINANCE(A1465,""CHANGEPCT""),)"),-0.29)</f>
        <v>-0.29</v>
      </c>
      <c r="E1465" s="51" t="str">
        <f t="shared" si="1"/>
        <v>-0.29%</v>
      </c>
      <c r="F1465" s="51" t="str">
        <f t="shared" si="2"/>
        <v/>
      </c>
      <c r="G1465" s="51">
        <f t="shared" si="3"/>
        <v>-0.29</v>
      </c>
      <c r="H1465" s="51">
        <f>IFERROR(__xludf.DUMMYFUNCTION("IFERROR(GOOGLEFINANCE(A1465,""PRICE""),)"),1100.0)</f>
        <v>1100</v>
      </c>
      <c r="I1465" s="52">
        <f>IFERROR(__xludf.DUMMYFUNCTION("IFERROR(GOOGLEFINANCE(A1465,""VOLUME""),)"),19761.0)</f>
        <v>19761</v>
      </c>
      <c r="J1465" s="51" t="str">
        <f>IFERROR(__xludf.DUMMYFUNCTION("IFERROR(INDEX(SPLIT(A1465,"":""),1,2),)"),"TTKHLTCARE")</f>
        <v>TTKHLTCARE</v>
      </c>
      <c r="K1465" s="51" t="str">
        <f t="shared" si="4"/>
        <v/>
      </c>
      <c r="L1465" s="51">
        <f t="shared" si="5"/>
        <v>110</v>
      </c>
      <c r="M1465" s="51">
        <f t="shared" si="6"/>
        <v>1124</v>
      </c>
      <c r="N1465" s="53">
        <f>IFERROR(__xludf.DUMMYFUNCTION("IFERROR(GOOGLEFINANCE(A1465,""TRADETIME""),)"),46269.64583333333)</f>
        <v>46269.64583</v>
      </c>
      <c r="O1465" s="44"/>
      <c r="P1465" s="44"/>
      <c r="Q1465" s="44"/>
      <c r="R1465" s="44"/>
      <c r="S1465" s="44"/>
      <c r="T1465" s="44"/>
      <c r="U1465" s="44"/>
      <c r="V1465" s="44"/>
      <c r="W1465" s="44"/>
      <c r="X1465" s="44"/>
      <c r="Y1465" s="44"/>
      <c r="Z1465" s="44"/>
    </row>
    <row r="1466" ht="15.75" customHeight="1">
      <c r="A1466" s="48" t="s">
        <v>1512</v>
      </c>
      <c r="B1466" s="48" t="str">
        <f>IFERROR(__xludf.DUMMYFUNCTION("IFERROR(GOOGLEFINANCE(A1466,""NAME""),)"),"TTK Prestige Ltd")</f>
        <v>TTK Prestige Ltd</v>
      </c>
      <c r="C1466" s="48">
        <f>IFERROR(__xludf.DUMMYFUNCTION("IFERROR(GOOGLEFINANCE(A1466,""CHANGE""),)"),-20.45)</f>
        <v>-20.45</v>
      </c>
      <c r="D1466" s="48">
        <f>IFERROR(__xludf.DUMMYFUNCTION("IFERROR(GOOGLEFINANCE(A1466,""CHANGEPCT""),)"),-3.5)</f>
        <v>-3.5</v>
      </c>
      <c r="E1466" s="48" t="str">
        <f t="shared" si="1"/>
        <v>-3.5%</v>
      </c>
      <c r="F1466" s="48" t="str">
        <f t="shared" si="2"/>
        <v/>
      </c>
      <c r="G1466" s="48">
        <f t="shared" si="3"/>
        <v>-3.5</v>
      </c>
      <c r="H1466" s="48">
        <f>IFERROR(__xludf.DUMMYFUNCTION("IFERROR(GOOGLEFINANCE(A1466,""PRICE""),)"),563.5)</f>
        <v>563.5</v>
      </c>
      <c r="I1466" s="49">
        <f>IFERROR(__xludf.DUMMYFUNCTION("IFERROR(GOOGLEFINANCE(A1466,""VOLUME""),)"),90200.0)</f>
        <v>90200</v>
      </c>
      <c r="J1466" s="48" t="str">
        <f>IFERROR(__xludf.DUMMYFUNCTION("IFERROR(INDEX(SPLIT(A1466,"":""),1,2),)"),"TTKPRESTIG")</f>
        <v>TTKPRESTIG</v>
      </c>
      <c r="K1466" s="48" t="str">
        <f t="shared" si="4"/>
        <v/>
      </c>
      <c r="L1466" s="48">
        <f t="shared" si="5"/>
        <v>609</v>
      </c>
      <c r="M1466" s="48">
        <f t="shared" si="6"/>
        <v>798</v>
      </c>
      <c r="N1466" s="50">
        <f>IFERROR(__xludf.DUMMYFUNCTION("IFERROR(GOOGLEFINANCE(A1466,""TRADETIME""),)"),46269.64585648148)</f>
        <v>46269.64586</v>
      </c>
      <c r="O1466" s="44"/>
      <c r="P1466" s="44"/>
      <c r="Q1466" s="44"/>
      <c r="R1466" s="44"/>
      <c r="S1466" s="44"/>
      <c r="T1466" s="44"/>
      <c r="U1466" s="44"/>
      <c r="V1466" s="44"/>
      <c r="W1466" s="44"/>
      <c r="X1466" s="44"/>
      <c r="Y1466" s="44"/>
      <c r="Z1466" s="44"/>
    </row>
    <row r="1467" ht="15.75" customHeight="1">
      <c r="A1467" s="51" t="s">
        <v>1513</v>
      </c>
      <c r="B1467" s="51" t="str">
        <f>IFERROR(__xludf.DUMMYFUNCTION("IFERROR(GOOGLEFINANCE(A1467,""NAME""),)"),"T T Ltd")</f>
        <v>T T Ltd</v>
      </c>
      <c r="C1467" s="51">
        <f>IFERROR(__xludf.DUMMYFUNCTION("IFERROR(GOOGLEFINANCE(A1467,""CHANGE""),)"),0.01)</f>
        <v>0.01</v>
      </c>
      <c r="D1467" s="51">
        <f>IFERROR(__xludf.DUMMYFUNCTION("IFERROR(GOOGLEFINANCE(A1467,""CHANGEPCT""),)"),0.15)</f>
        <v>0.15</v>
      </c>
      <c r="E1467" s="51" t="str">
        <f t="shared" si="1"/>
        <v>0.15%</v>
      </c>
      <c r="F1467" s="51">
        <f t="shared" si="2"/>
        <v>0.15</v>
      </c>
      <c r="G1467" s="51" t="str">
        <f t="shared" si="3"/>
        <v/>
      </c>
      <c r="H1467" s="51">
        <f>IFERROR(__xludf.DUMMYFUNCTION("IFERROR(GOOGLEFINANCE(A1467,""PRICE""),)"),6.87)</f>
        <v>6.87</v>
      </c>
      <c r="I1467" s="52">
        <f>IFERROR(__xludf.DUMMYFUNCTION("IFERROR(GOOGLEFINANCE(A1467,""VOLUME""),)"),210015.0)</f>
        <v>210015</v>
      </c>
      <c r="J1467" s="51" t="str">
        <f>IFERROR(__xludf.DUMMYFUNCTION("IFERROR(INDEX(SPLIT(A1467,"":""),1,2),)"),"TTL")</f>
        <v>TTL</v>
      </c>
      <c r="K1467" s="51">
        <f t="shared" si="4"/>
        <v>722</v>
      </c>
      <c r="L1467" s="51" t="str">
        <f t="shared" si="5"/>
        <v/>
      </c>
      <c r="M1467" s="51">
        <f t="shared" si="6"/>
        <v>610</v>
      </c>
      <c r="N1467" s="53">
        <f>IFERROR(__xludf.DUMMYFUNCTION("IFERROR(GOOGLEFINANCE(A1467,""TRADETIME""),)"),46269.64584490741)</f>
        <v>46269.64584</v>
      </c>
      <c r="O1467" s="44"/>
      <c r="P1467" s="44"/>
      <c r="Q1467" s="44"/>
      <c r="R1467" s="44"/>
      <c r="S1467" s="44"/>
      <c r="T1467" s="44"/>
      <c r="U1467" s="44"/>
      <c r="V1467" s="44"/>
      <c r="W1467" s="44"/>
      <c r="X1467" s="44"/>
      <c r="Y1467" s="44"/>
      <c r="Z1467" s="44"/>
    </row>
    <row r="1468" ht="15.75" customHeight="1">
      <c r="A1468" s="48" t="s">
        <v>1514</v>
      </c>
      <c r="B1468" s="48" t="str">
        <f>IFERROR(__xludf.DUMMYFUNCTION("IFERROR(GOOGLEFINANCE(A1468,""NAME""),)"),"Tata Teleservices (Maharashtra) Ltd")</f>
        <v>Tata Teleservices (Maharashtra) Ltd</v>
      </c>
      <c r="C1468" s="48">
        <f>IFERROR(__xludf.DUMMYFUNCTION("IFERROR(GOOGLEFINANCE(A1468,""CHANGE""),)"),-0.31)</f>
        <v>-0.31</v>
      </c>
      <c r="D1468" s="48">
        <f>IFERROR(__xludf.DUMMYFUNCTION("IFERROR(GOOGLEFINANCE(A1468,""CHANGEPCT""),)"),-0.82)</f>
        <v>-0.82</v>
      </c>
      <c r="E1468" s="48" t="str">
        <f t="shared" si="1"/>
        <v>-0.82%</v>
      </c>
      <c r="F1468" s="48" t="str">
        <f t="shared" si="2"/>
        <v/>
      </c>
      <c r="G1468" s="48">
        <f t="shared" si="3"/>
        <v>-0.82</v>
      </c>
      <c r="H1468" s="48">
        <f>IFERROR(__xludf.DUMMYFUNCTION("IFERROR(GOOGLEFINANCE(A1468,""PRICE""),)"),37.7)</f>
        <v>37.7</v>
      </c>
      <c r="I1468" s="49">
        <f>IFERROR(__xludf.DUMMYFUNCTION("IFERROR(GOOGLEFINANCE(A1468,""VOLUME""),)"),1380442.0)</f>
        <v>1380442</v>
      </c>
      <c r="J1468" s="48" t="str">
        <f>IFERROR(__xludf.DUMMYFUNCTION("IFERROR(INDEX(SPLIT(A1468,"":""),1,2),)"),"TTML")</f>
        <v>TTML</v>
      </c>
      <c r="K1468" s="48" t="str">
        <f t="shared" si="4"/>
        <v/>
      </c>
      <c r="L1468" s="48">
        <f t="shared" si="5"/>
        <v>303</v>
      </c>
      <c r="M1468" s="48">
        <f t="shared" si="6"/>
        <v>220</v>
      </c>
      <c r="N1468" s="50">
        <f>IFERROR(__xludf.DUMMYFUNCTION("IFERROR(GOOGLEFINANCE(A1468,""TRADETIME""),)"),46269.64584490741)</f>
        <v>46269.64584</v>
      </c>
      <c r="O1468" s="44"/>
      <c r="P1468" s="44"/>
      <c r="Q1468" s="44"/>
      <c r="R1468" s="44"/>
      <c r="S1468" s="44"/>
      <c r="T1468" s="44"/>
      <c r="U1468" s="44"/>
      <c r="V1468" s="44"/>
      <c r="W1468" s="44"/>
      <c r="X1468" s="44"/>
      <c r="Y1468" s="44"/>
      <c r="Z1468" s="44"/>
    </row>
    <row r="1469" ht="15.75" customHeight="1">
      <c r="A1469" s="51" t="s">
        <v>1515</v>
      </c>
      <c r="B1469" s="51" t="str">
        <f>IFERROR(__xludf.DUMMYFUNCTION("IFERROR(GOOGLEFINANCE(A1469,""NAME""),)"),"")</f>
        <v/>
      </c>
      <c r="C1469" s="51" t="str">
        <f>IFERROR(__xludf.DUMMYFUNCTION("IFERROR(GOOGLEFINANCE(A1469,""CHANGE""),)"),"")</f>
        <v/>
      </c>
      <c r="D1469" s="51" t="str">
        <f>IFERROR(__xludf.DUMMYFUNCTION("IFERROR(GOOGLEFINANCE(A1469,""CHANGEPCT""),)"),"")</f>
        <v/>
      </c>
      <c r="E1469" s="51" t="str">
        <f t="shared" si="1"/>
        <v>%</v>
      </c>
      <c r="F1469" s="51" t="str">
        <f t="shared" si="2"/>
        <v/>
      </c>
      <c r="G1469" s="51" t="str">
        <f t="shared" si="3"/>
        <v/>
      </c>
      <c r="H1469" s="51" t="str">
        <f>IFERROR(__xludf.DUMMYFUNCTION("IFERROR(GOOGLEFINANCE(A1469,""PRICE""),)"),"")</f>
        <v/>
      </c>
      <c r="I1469" s="52" t="str">
        <f>IFERROR(__xludf.DUMMYFUNCTION("IFERROR(GOOGLEFINANCE(A1469,""VOLUME""),)"),"")</f>
        <v/>
      </c>
      <c r="J1469" s="51" t="str">
        <f>IFERROR(__xludf.DUMMYFUNCTION("IFERROR(INDEX(SPLIT(A1469,"":""),1,2),)"),"TV18BRDCST")</f>
        <v>TV18BRDCST</v>
      </c>
      <c r="K1469" s="51" t="str">
        <f t="shared" si="4"/>
        <v/>
      </c>
      <c r="L1469" s="51" t="str">
        <f t="shared" si="5"/>
        <v/>
      </c>
      <c r="M1469" s="51">
        <f t="shared" si="6"/>
        <v>1456</v>
      </c>
      <c r="N1469" s="53" t="str">
        <f>IFERROR(__xludf.DUMMYFUNCTION("IFERROR(GOOGLEFINANCE(A1469,""TRADETIME""),)"),"")</f>
        <v/>
      </c>
      <c r="O1469" s="44"/>
      <c r="P1469" s="44"/>
      <c r="Q1469" s="44"/>
      <c r="R1469" s="44"/>
      <c r="S1469" s="44"/>
      <c r="T1469" s="44"/>
      <c r="U1469" s="44"/>
      <c r="V1469" s="44"/>
      <c r="W1469" s="44"/>
      <c r="X1469" s="44"/>
      <c r="Y1469" s="44"/>
      <c r="Z1469" s="44"/>
    </row>
    <row r="1470" ht="15.75" customHeight="1">
      <c r="A1470" s="48" t="s">
        <v>1516</v>
      </c>
      <c r="B1470" s="48" t="str">
        <f>IFERROR(__xludf.DUMMYFUNCTION("IFERROR(GOOGLEFINANCE(A1470,""NAME""),)"),"TVS Electronics Ltd")</f>
        <v>TVS Electronics Ltd</v>
      </c>
      <c r="C1470" s="48">
        <f>IFERROR(__xludf.DUMMYFUNCTION("IFERROR(GOOGLEFINANCE(A1470,""CHANGE""),)"),1.7)</f>
        <v>1.7</v>
      </c>
      <c r="D1470" s="48">
        <f>IFERROR(__xludf.DUMMYFUNCTION("IFERROR(GOOGLEFINANCE(A1470,""CHANGEPCT""),)"),0.4)</f>
        <v>0.4</v>
      </c>
      <c r="E1470" s="48" t="str">
        <f t="shared" si="1"/>
        <v>0.4%</v>
      </c>
      <c r="F1470" s="48">
        <f t="shared" si="2"/>
        <v>0.4</v>
      </c>
      <c r="G1470" s="48" t="str">
        <f t="shared" si="3"/>
        <v/>
      </c>
      <c r="H1470" s="48">
        <f>IFERROR(__xludf.DUMMYFUNCTION("IFERROR(GOOGLEFINANCE(A1470,""PRICE""),)"),423.0)</f>
        <v>423</v>
      </c>
      <c r="I1470" s="49">
        <f>IFERROR(__xludf.DUMMYFUNCTION("IFERROR(GOOGLEFINANCE(A1470,""VOLUME""),)"),16780.0)</f>
        <v>16780</v>
      </c>
      <c r="J1470" s="48" t="str">
        <f>IFERROR(__xludf.DUMMYFUNCTION("IFERROR(INDEX(SPLIT(A1470,"":""),1,2),)"),"TVSELECT")</f>
        <v>TVSELECT</v>
      </c>
      <c r="K1470" s="48">
        <f t="shared" si="4"/>
        <v>624</v>
      </c>
      <c r="L1470" s="48" t="str">
        <f t="shared" si="5"/>
        <v/>
      </c>
      <c r="M1470" s="48">
        <f t="shared" si="6"/>
        <v>1158</v>
      </c>
      <c r="N1470" s="50">
        <f>IFERROR(__xludf.DUMMYFUNCTION("IFERROR(GOOGLEFINANCE(A1470,""TRADETIME""),)"),46269.64583333333)</f>
        <v>46269.64583</v>
      </c>
      <c r="O1470" s="44"/>
      <c r="P1470" s="44"/>
      <c r="Q1470" s="44"/>
      <c r="R1470" s="44"/>
      <c r="S1470" s="44"/>
      <c r="T1470" s="44"/>
      <c r="U1470" s="44"/>
      <c r="V1470" s="44"/>
      <c r="W1470" s="44"/>
      <c r="X1470" s="44"/>
      <c r="Y1470" s="44"/>
      <c r="Z1470" s="44"/>
    </row>
    <row r="1471" ht="15.75" customHeight="1">
      <c r="A1471" s="51" t="s">
        <v>1517</v>
      </c>
      <c r="B1471" s="51" t="str">
        <f>IFERROR(__xludf.DUMMYFUNCTION("IFERROR(GOOGLEFINANCE(A1471,""NAME""),)"),"TVS Motor Company Limited")</f>
        <v>TVS Motor Company Limited</v>
      </c>
      <c r="C1471" s="51">
        <f>IFERROR(__xludf.DUMMYFUNCTION("IFERROR(GOOGLEFINANCE(A1471,""CHANGE""),)"),-57.8)</f>
        <v>-57.8</v>
      </c>
      <c r="D1471" s="51">
        <f>IFERROR(__xludf.DUMMYFUNCTION("IFERROR(GOOGLEFINANCE(A1471,""CHANGEPCT""),)"),-1.38)</f>
        <v>-1.38</v>
      </c>
      <c r="E1471" s="51" t="str">
        <f t="shared" si="1"/>
        <v>-1.38%</v>
      </c>
      <c r="F1471" s="51" t="str">
        <f t="shared" si="2"/>
        <v/>
      </c>
      <c r="G1471" s="51">
        <f t="shared" si="3"/>
        <v>-1.38</v>
      </c>
      <c r="H1471" s="51">
        <f>IFERROR(__xludf.DUMMYFUNCTION("IFERROR(GOOGLEFINANCE(A1471,""PRICE""),)"),4142.2)</f>
        <v>4142.2</v>
      </c>
      <c r="I1471" s="52">
        <f>IFERROR(__xludf.DUMMYFUNCTION("IFERROR(GOOGLEFINANCE(A1471,""VOLUME""),)"),424571.0)</f>
        <v>424571</v>
      </c>
      <c r="J1471" s="51" t="str">
        <f>IFERROR(__xludf.DUMMYFUNCTION("IFERROR(INDEX(SPLIT(A1471,"":""),1,2),)"),"TVSMOTOR")</f>
        <v>TVSMOTOR</v>
      </c>
      <c r="K1471" s="51" t="str">
        <f t="shared" si="4"/>
        <v/>
      </c>
      <c r="L1471" s="51">
        <f t="shared" si="5"/>
        <v>423</v>
      </c>
      <c r="M1471" s="51">
        <f t="shared" si="6"/>
        <v>432</v>
      </c>
      <c r="N1471" s="53">
        <f>IFERROR(__xludf.DUMMYFUNCTION("IFERROR(GOOGLEFINANCE(A1471,""TRADETIME""),)"),46269.64583333333)</f>
        <v>46269.64583</v>
      </c>
      <c r="O1471" s="44"/>
      <c r="P1471" s="44"/>
      <c r="Q1471" s="44"/>
      <c r="R1471" s="44"/>
      <c r="S1471" s="44"/>
      <c r="T1471" s="44"/>
      <c r="U1471" s="44"/>
      <c r="V1471" s="44"/>
      <c r="W1471" s="44"/>
      <c r="X1471" s="44"/>
      <c r="Y1471" s="44"/>
      <c r="Z1471" s="44"/>
    </row>
    <row r="1472" ht="15.75" customHeight="1">
      <c r="A1472" s="48" t="s">
        <v>1518</v>
      </c>
      <c r="B1472" s="48" t="str">
        <f>IFERROR(__xludf.DUMMYFUNCTION("IFERROR(GOOGLEFINANCE(A1472,""NAME""),)"),"TVS Srichakra Ltd")</f>
        <v>TVS Srichakra Ltd</v>
      </c>
      <c r="C1472" s="48">
        <f>IFERROR(__xludf.DUMMYFUNCTION("IFERROR(GOOGLEFINANCE(A1472,""CHANGE""),)"),-29.0)</f>
        <v>-29</v>
      </c>
      <c r="D1472" s="48">
        <f>IFERROR(__xludf.DUMMYFUNCTION("IFERROR(GOOGLEFINANCE(A1472,""CHANGEPCT""),)"),-0.55)</f>
        <v>-0.55</v>
      </c>
      <c r="E1472" s="48" t="str">
        <f t="shared" si="1"/>
        <v>-0.55%</v>
      </c>
      <c r="F1472" s="48" t="str">
        <f t="shared" si="2"/>
        <v/>
      </c>
      <c r="G1472" s="48">
        <f t="shared" si="3"/>
        <v>-0.55</v>
      </c>
      <c r="H1472" s="48">
        <f>IFERROR(__xludf.DUMMYFUNCTION("IFERROR(GOOGLEFINANCE(A1472,""PRICE""),)"),5220.0)</f>
        <v>5220</v>
      </c>
      <c r="I1472" s="49">
        <f>IFERROR(__xludf.DUMMYFUNCTION("IFERROR(GOOGLEFINANCE(A1472,""VOLUME""),)"),12133.0)</f>
        <v>12133</v>
      </c>
      <c r="J1472" s="48" t="str">
        <f>IFERROR(__xludf.DUMMYFUNCTION("IFERROR(INDEX(SPLIT(A1472,"":""),1,2),)"),"TVSSRICHAK")</f>
        <v>TVSSRICHAK</v>
      </c>
      <c r="K1472" s="48" t="str">
        <f t="shared" si="4"/>
        <v/>
      </c>
      <c r="L1472" s="48">
        <f t="shared" si="5"/>
        <v>214</v>
      </c>
      <c r="M1472" s="48">
        <f t="shared" si="6"/>
        <v>1205</v>
      </c>
      <c r="N1472" s="50">
        <f>IFERROR(__xludf.DUMMYFUNCTION("IFERROR(GOOGLEFINANCE(A1472,""TRADETIME""),)"),46269.64583333333)</f>
        <v>46269.64583</v>
      </c>
      <c r="O1472" s="44"/>
      <c r="P1472" s="44"/>
      <c r="Q1472" s="44"/>
      <c r="R1472" s="44"/>
      <c r="S1472" s="44"/>
      <c r="T1472" s="44"/>
      <c r="U1472" s="44"/>
      <c r="V1472" s="44"/>
      <c r="W1472" s="44"/>
      <c r="X1472" s="44"/>
      <c r="Y1472" s="44"/>
      <c r="Z1472" s="44"/>
    </row>
    <row r="1473" ht="15.75" customHeight="1">
      <c r="A1473" s="51" t="s">
        <v>1519</v>
      </c>
      <c r="B1473" s="51" t="str">
        <f>IFERROR(__xludf.DUMMYFUNCTION("IFERROR(GOOGLEFINANCE(A1473,""NAME""),)"),"TV Today Network Limited")</f>
        <v>TV Today Network Limited</v>
      </c>
      <c r="C1473" s="51">
        <f>IFERROR(__xludf.DUMMYFUNCTION("IFERROR(GOOGLEFINANCE(A1473,""CHANGE""),)"),-0.39)</f>
        <v>-0.39</v>
      </c>
      <c r="D1473" s="51">
        <f>IFERROR(__xludf.DUMMYFUNCTION("IFERROR(GOOGLEFINANCE(A1473,""CHANGEPCT""),)"),-0.35)</f>
        <v>-0.35</v>
      </c>
      <c r="E1473" s="51" t="str">
        <f t="shared" si="1"/>
        <v>-0.35%</v>
      </c>
      <c r="F1473" s="51" t="str">
        <f t="shared" si="2"/>
        <v/>
      </c>
      <c r="G1473" s="51">
        <f t="shared" si="3"/>
        <v>-0.35</v>
      </c>
      <c r="H1473" s="51">
        <f>IFERROR(__xludf.DUMMYFUNCTION("IFERROR(GOOGLEFINANCE(A1473,""PRICE""),)"),110.75)</f>
        <v>110.75</v>
      </c>
      <c r="I1473" s="52">
        <f>IFERROR(__xludf.DUMMYFUNCTION("IFERROR(GOOGLEFINANCE(A1473,""VOLUME""),)"),34674.0)</f>
        <v>34674</v>
      </c>
      <c r="J1473" s="51" t="str">
        <f>IFERROR(__xludf.DUMMYFUNCTION("IFERROR(INDEX(SPLIT(A1473,"":""),1,2),)"),"TVTODAY")</f>
        <v>TVTODAY</v>
      </c>
      <c r="K1473" s="51" t="str">
        <f t="shared" si="4"/>
        <v/>
      </c>
      <c r="L1473" s="51">
        <f t="shared" si="5"/>
        <v>137</v>
      </c>
      <c r="M1473" s="51">
        <f t="shared" si="6"/>
        <v>1028</v>
      </c>
      <c r="N1473" s="53">
        <f>IFERROR(__xludf.DUMMYFUNCTION("IFERROR(GOOGLEFINANCE(A1473,""TRADETIME""),)"),46269.64583333333)</f>
        <v>46269.64583</v>
      </c>
      <c r="O1473" s="44"/>
      <c r="P1473" s="44"/>
      <c r="Q1473" s="44"/>
      <c r="R1473" s="44"/>
      <c r="S1473" s="44"/>
      <c r="T1473" s="44"/>
      <c r="U1473" s="44"/>
      <c r="V1473" s="44"/>
      <c r="W1473" s="44"/>
      <c r="X1473" s="44"/>
      <c r="Y1473" s="44"/>
      <c r="Z1473" s="44"/>
    </row>
    <row r="1474" ht="15.75" customHeight="1">
      <c r="A1474" s="48" t="s">
        <v>1520</v>
      </c>
      <c r="B1474" s="48" t="str">
        <f>IFERROR(__xludf.DUMMYFUNCTION("IFERROR(GOOGLEFINANCE(A1474,""NAME""),)"),"TV Vision Ltd")</f>
        <v>TV Vision Ltd</v>
      </c>
      <c r="C1474" s="48">
        <f>IFERROR(__xludf.DUMMYFUNCTION("IFERROR(GOOGLEFINANCE(A1474,""CHANGE""),)"),-0.02)</f>
        <v>-0.02</v>
      </c>
      <c r="D1474" s="48">
        <f>IFERROR(__xludf.DUMMYFUNCTION("IFERROR(GOOGLEFINANCE(A1474,""CHANGEPCT""),)"),-0.59)</f>
        <v>-0.59</v>
      </c>
      <c r="E1474" s="48" t="str">
        <f t="shared" si="1"/>
        <v>-0.59%</v>
      </c>
      <c r="F1474" s="48" t="str">
        <f t="shared" si="2"/>
        <v/>
      </c>
      <c r="G1474" s="48">
        <f t="shared" si="3"/>
        <v>-0.59</v>
      </c>
      <c r="H1474" s="48">
        <f>IFERROR(__xludf.DUMMYFUNCTION("IFERROR(GOOGLEFINANCE(A1474,""PRICE""),)"),3.38)</f>
        <v>3.38</v>
      </c>
      <c r="I1474" s="49">
        <f>IFERROR(__xludf.DUMMYFUNCTION("IFERROR(GOOGLEFINANCE(A1474,""VOLUME""),)"),52947.0)</f>
        <v>52947</v>
      </c>
      <c r="J1474" s="48" t="str">
        <f>IFERROR(__xludf.DUMMYFUNCTION("IFERROR(INDEX(SPLIT(A1474,"":""),1,2),)"),"TVVISION")</f>
        <v>TVVISION</v>
      </c>
      <c r="K1474" s="48" t="str">
        <f t="shared" si="4"/>
        <v/>
      </c>
      <c r="L1474" s="48">
        <f t="shared" si="5"/>
        <v>224</v>
      </c>
      <c r="M1474" s="48">
        <f t="shared" si="6"/>
        <v>930</v>
      </c>
      <c r="N1474" s="50">
        <f>IFERROR(__xludf.DUMMYFUNCTION("IFERROR(GOOGLEFINANCE(A1474,""TRADETIME""),)"),46269.64583333333)</f>
        <v>46269.64583</v>
      </c>
      <c r="O1474" s="44"/>
      <c r="P1474" s="44"/>
      <c r="Q1474" s="44"/>
      <c r="R1474" s="44"/>
      <c r="S1474" s="44"/>
      <c r="T1474" s="44"/>
      <c r="U1474" s="44"/>
      <c r="V1474" s="44"/>
      <c r="W1474" s="44"/>
      <c r="X1474" s="44"/>
      <c r="Y1474" s="44"/>
      <c r="Z1474" s="44"/>
    </row>
    <row r="1475" ht="15.75" customHeight="1">
      <c r="A1475" s="51" t="s">
        <v>1521</v>
      </c>
      <c r="B1475" s="51" t="str">
        <f>IFERROR(__xludf.DUMMYFUNCTION("IFERROR(GOOGLEFINANCE(A1475,""NAME""),)"),"")</f>
        <v/>
      </c>
      <c r="C1475" s="51" t="str">
        <f>IFERROR(__xludf.DUMMYFUNCTION("IFERROR(GOOGLEFINANCE(A1475,""CHANGE""),)"),"")</f>
        <v/>
      </c>
      <c r="D1475" s="51" t="str">
        <f>IFERROR(__xludf.DUMMYFUNCTION("IFERROR(GOOGLEFINANCE(A1475,""CHANGEPCT""),)"),"")</f>
        <v/>
      </c>
      <c r="E1475" s="51" t="str">
        <f t="shared" si="1"/>
        <v>%</v>
      </c>
      <c r="F1475" s="51" t="str">
        <f t="shared" si="2"/>
        <v/>
      </c>
      <c r="G1475" s="51" t="str">
        <f t="shared" si="3"/>
        <v/>
      </c>
      <c r="H1475" s="51" t="str">
        <f>IFERROR(__xludf.DUMMYFUNCTION("IFERROR(GOOGLEFINANCE(A1475,""PRICE""),)"),"")</f>
        <v/>
      </c>
      <c r="I1475" s="52" t="str">
        <f>IFERROR(__xludf.DUMMYFUNCTION("IFERROR(GOOGLEFINANCE(A1475,""VOLUME""),)"),"")</f>
        <v/>
      </c>
      <c r="J1475" s="51" t="str">
        <f>IFERROR(__xludf.DUMMYFUNCTION("IFERROR(INDEX(SPLIT(A1475,"":""),1,2),)"),"TWL")</f>
        <v>TWL</v>
      </c>
      <c r="K1475" s="51" t="str">
        <f t="shared" si="4"/>
        <v/>
      </c>
      <c r="L1475" s="51" t="str">
        <f t="shared" si="5"/>
        <v/>
      </c>
      <c r="M1475" s="51">
        <f t="shared" si="6"/>
        <v>1456</v>
      </c>
      <c r="N1475" s="53" t="str">
        <f>IFERROR(__xludf.DUMMYFUNCTION("IFERROR(GOOGLEFINANCE(A1475,""TRADETIME""),)"),"")</f>
        <v/>
      </c>
      <c r="O1475" s="44"/>
      <c r="P1475" s="44"/>
      <c r="Q1475" s="44"/>
      <c r="R1475" s="44"/>
      <c r="S1475" s="44"/>
      <c r="T1475" s="44"/>
      <c r="U1475" s="44"/>
      <c r="V1475" s="44"/>
      <c r="W1475" s="44"/>
      <c r="X1475" s="44"/>
      <c r="Y1475" s="44"/>
      <c r="Z1475" s="44"/>
    </row>
    <row r="1476" ht="15.75" customHeight="1">
      <c r="A1476" s="48" t="s">
        <v>1522</v>
      </c>
      <c r="B1476" s="48" t="str">
        <f>IFERROR(__xludf.DUMMYFUNCTION("IFERROR(GOOGLEFINANCE(A1476,""NAME""),)"),"United Breweries Ltd")</f>
        <v>United Breweries Ltd</v>
      </c>
      <c r="C1476" s="48">
        <f>IFERROR(__xludf.DUMMYFUNCTION("IFERROR(GOOGLEFINANCE(A1476,""CHANGE""),)"),-5.2)</f>
        <v>-5.2</v>
      </c>
      <c r="D1476" s="48">
        <f>IFERROR(__xludf.DUMMYFUNCTION("IFERROR(GOOGLEFINANCE(A1476,""CHANGEPCT""),)"),-0.4)</f>
        <v>-0.4</v>
      </c>
      <c r="E1476" s="48" t="str">
        <f t="shared" si="1"/>
        <v>-0.4%</v>
      </c>
      <c r="F1476" s="48" t="str">
        <f t="shared" si="2"/>
        <v/>
      </c>
      <c r="G1476" s="48">
        <f t="shared" si="3"/>
        <v>-0.4</v>
      </c>
      <c r="H1476" s="48">
        <f>IFERROR(__xludf.DUMMYFUNCTION("IFERROR(GOOGLEFINANCE(A1476,""PRICE""),)"),1279.0)</f>
        <v>1279</v>
      </c>
      <c r="I1476" s="49">
        <f>IFERROR(__xludf.DUMMYFUNCTION("IFERROR(GOOGLEFINANCE(A1476,""VOLUME""),)"),352868.0)</f>
        <v>352868</v>
      </c>
      <c r="J1476" s="48" t="str">
        <f>IFERROR(__xludf.DUMMYFUNCTION("IFERROR(INDEX(SPLIT(A1476,"":""),1,2),)"),"UBL")</f>
        <v>UBL</v>
      </c>
      <c r="K1476" s="48" t="str">
        <f t="shared" si="4"/>
        <v/>
      </c>
      <c r="L1476" s="48">
        <f t="shared" si="5"/>
        <v>156</v>
      </c>
      <c r="M1476" s="48">
        <f t="shared" si="6"/>
        <v>469</v>
      </c>
      <c r="N1476" s="50">
        <f>IFERROR(__xludf.DUMMYFUNCTION("IFERROR(GOOGLEFINANCE(A1476,""TRADETIME""),)"),46269.64584490741)</f>
        <v>46269.64584</v>
      </c>
      <c r="O1476" s="44"/>
      <c r="P1476" s="44"/>
      <c r="Q1476" s="44"/>
      <c r="R1476" s="44"/>
      <c r="S1476" s="44"/>
      <c r="T1476" s="44"/>
      <c r="U1476" s="44"/>
      <c r="V1476" s="44"/>
      <c r="W1476" s="44"/>
      <c r="X1476" s="44"/>
      <c r="Y1476" s="44"/>
      <c r="Z1476" s="44"/>
    </row>
    <row r="1477" ht="15.75" customHeight="1">
      <c r="A1477" s="51" t="s">
        <v>1523</v>
      </c>
      <c r="B1477" s="51" t="str">
        <f>IFERROR(__xludf.DUMMYFUNCTION("IFERROR(GOOGLEFINANCE(A1477,""NAME""),)"),"")</f>
        <v/>
      </c>
      <c r="C1477" s="51" t="str">
        <f>IFERROR(__xludf.DUMMYFUNCTION("IFERROR(GOOGLEFINANCE(A1477,""CHANGE""),)"),"")</f>
        <v/>
      </c>
      <c r="D1477" s="51" t="str">
        <f>IFERROR(__xludf.DUMMYFUNCTION("IFERROR(GOOGLEFINANCE(A1477,""CHANGEPCT""),)"),"")</f>
        <v/>
      </c>
      <c r="E1477" s="51" t="str">
        <f t="shared" si="1"/>
        <v>%</v>
      </c>
      <c r="F1477" s="51" t="str">
        <f t="shared" si="2"/>
        <v/>
      </c>
      <c r="G1477" s="51" t="str">
        <f t="shared" si="3"/>
        <v/>
      </c>
      <c r="H1477" s="51" t="str">
        <f>IFERROR(__xludf.DUMMYFUNCTION("IFERROR(GOOGLEFINANCE(A1477,""PRICE""),)"),"")</f>
        <v/>
      </c>
      <c r="I1477" s="52" t="str">
        <f>IFERROR(__xludf.DUMMYFUNCTION("IFERROR(GOOGLEFINANCE(A1477,""VOLUME""),)"),"")</f>
        <v/>
      </c>
      <c r="J1477" s="51" t="str">
        <f>IFERROR(__xludf.DUMMYFUNCTION("IFERROR(INDEX(SPLIT(A1477,"":""),1,2),)"),"UCALFUEL")</f>
        <v>UCALFUEL</v>
      </c>
      <c r="K1477" s="51" t="str">
        <f t="shared" si="4"/>
        <v/>
      </c>
      <c r="L1477" s="51" t="str">
        <f t="shared" si="5"/>
        <v/>
      </c>
      <c r="M1477" s="51">
        <f t="shared" si="6"/>
        <v>1456</v>
      </c>
      <c r="N1477" s="53" t="str">
        <f>IFERROR(__xludf.DUMMYFUNCTION("IFERROR(GOOGLEFINANCE(A1477,""TRADETIME""),)"),"")</f>
        <v/>
      </c>
      <c r="O1477" s="44"/>
      <c r="P1477" s="44"/>
      <c r="Q1477" s="44"/>
      <c r="R1477" s="44"/>
      <c r="S1477" s="44"/>
      <c r="T1477" s="44"/>
      <c r="U1477" s="44"/>
      <c r="V1477" s="44"/>
      <c r="W1477" s="44"/>
      <c r="X1477" s="44"/>
      <c r="Y1477" s="44"/>
      <c r="Z1477" s="44"/>
    </row>
    <row r="1478" ht="15.75" customHeight="1">
      <c r="A1478" s="48" t="s">
        <v>1524</v>
      </c>
      <c r="B1478" s="48" t="str">
        <f>IFERROR(__xludf.DUMMYFUNCTION("IFERROR(GOOGLEFINANCE(A1478,""NAME""),)"),"UCO Bank")</f>
        <v>UCO Bank</v>
      </c>
      <c r="C1478" s="48">
        <f>IFERROR(__xludf.DUMMYFUNCTION("IFERROR(GOOGLEFINANCE(A1478,""CHANGE""),)"),0.16)</f>
        <v>0.16</v>
      </c>
      <c r="D1478" s="48">
        <f>IFERROR(__xludf.DUMMYFUNCTION("IFERROR(GOOGLEFINANCE(A1478,""CHANGEPCT""),)"),0.65)</f>
        <v>0.65</v>
      </c>
      <c r="E1478" s="48" t="str">
        <f t="shared" si="1"/>
        <v>0.65%</v>
      </c>
      <c r="F1478" s="48">
        <f t="shared" si="2"/>
        <v>0.65</v>
      </c>
      <c r="G1478" s="48" t="str">
        <f t="shared" si="3"/>
        <v/>
      </c>
      <c r="H1478" s="48">
        <f>IFERROR(__xludf.DUMMYFUNCTION("IFERROR(GOOGLEFINANCE(A1478,""PRICE""),)"),24.8)</f>
        <v>24.8</v>
      </c>
      <c r="I1478" s="49">
        <f>IFERROR(__xludf.DUMMYFUNCTION("IFERROR(GOOGLEFINANCE(A1478,""VOLUME""),)"),5993994.0)</f>
        <v>5993994</v>
      </c>
      <c r="J1478" s="48" t="str">
        <f>IFERROR(__xludf.DUMMYFUNCTION("IFERROR(INDEX(SPLIT(A1478,"":""),1,2),)"),"UCOBANK")</f>
        <v>UCOBANK</v>
      </c>
      <c r="K1478" s="48">
        <f t="shared" si="4"/>
        <v>545</v>
      </c>
      <c r="L1478" s="48" t="str">
        <f t="shared" si="5"/>
        <v/>
      </c>
      <c r="M1478" s="48">
        <f t="shared" si="6"/>
        <v>73</v>
      </c>
      <c r="N1478" s="50">
        <f>IFERROR(__xludf.DUMMYFUNCTION("IFERROR(GOOGLEFINANCE(A1478,""TRADETIME""),)"),46269.64584490741)</f>
        <v>46269.64584</v>
      </c>
      <c r="O1478" s="44"/>
      <c r="P1478" s="44"/>
      <c r="Q1478" s="44"/>
      <c r="R1478" s="44"/>
      <c r="S1478" s="44"/>
      <c r="T1478" s="44"/>
      <c r="U1478" s="44"/>
      <c r="V1478" s="44"/>
      <c r="W1478" s="44"/>
      <c r="X1478" s="44"/>
      <c r="Y1478" s="44"/>
      <c r="Z1478" s="44"/>
    </row>
    <row r="1479" ht="15.75" customHeight="1">
      <c r="A1479" s="51" t="s">
        <v>1525</v>
      </c>
      <c r="B1479" s="51" t="str">
        <f>IFERROR(__xludf.DUMMYFUNCTION("IFERROR(GOOGLEFINANCE(A1479,""NAME""),)"),"Uflex Ltd")</f>
        <v>Uflex Ltd</v>
      </c>
      <c r="C1479" s="51">
        <f>IFERROR(__xludf.DUMMYFUNCTION("IFERROR(GOOGLEFINANCE(A1479,""CHANGE""),)"),-9.7)</f>
        <v>-9.7</v>
      </c>
      <c r="D1479" s="51">
        <f>IFERROR(__xludf.DUMMYFUNCTION("IFERROR(GOOGLEFINANCE(A1479,""CHANGEPCT""),)"),-1.41)</f>
        <v>-1.41</v>
      </c>
      <c r="E1479" s="51" t="str">
        <f t="shared" si="1"/>
        <v>-1.41%</v>
      </c>
      <c r="F1479" s="51" t="str">
        <f t="shared" si="2"/>
        <v/>
      </c>
      <c r="G1479" s="51">
        <f t="shared" si="3"/>
        <v>-1.41</v>
      </c>
      <c r="H1479" s="51">
        <f>IFERROR(__xludf.DUMMYFUNCTION("IFERROR(GOOGLEFINANCE(A1479,""PRICE""),)"),677.0)</f>
        <v>677</v>
      </c>
      <c r="I1479" s="52">
        <f>IFERROR(__xludf.DUMMYFUNCTION("IFERROR(GOOGLEFINANCE(A1479,""VOLUME""),)"),168967.0)</f>
        <v>168967</v>
      </c>
      <c r="J1479" s="51" t="str">
        <f>IFERROR(__xludf.DUMMYFUNCTION("IFERROR(INDEX(SPLIT(A1479,"":""),1,2),)"),"UFLEX")</f>
        <v>UFLEX</v>
      </c>
      <c r="K1479" s="51" t="str">
        <f t="shared" si="4"/>
        <v/>
      </c>
      <c r="L1479" s="51">
        <f t="shared" si="5"/>
        <v>432</v>
      </c>
      <c r="M1479" s="51">
        <f t="shared" si="6"/>
        <v>663</v>
      </c>
      <c r="N1479" s="53">
        <f>IFERROR(__xludf.DUMMYFUNCTION("IFERROR(GOOGLEFINANCE(A1479,""TRADETIME""),)"),46269.64583333333)</f>
        <v>46269.64583</v>
      </c>
      <c r="O1479" s="44"/>
      <c r="P1479" s="44"/>
      <c r="Q1479" s="44"/>
      <c r="R1479" s="44"/>
      <c r="S1479" s="44"/>
      <c r="T1479" s="44"/>
      <c r="U1479" s="44"/>
      <c r="V1479" s="44"/>
      <c r="W1479" s="44"/>
      <c r="X1479" s="44"/>
      <c r="Y1479" s="44"/>
      <c r="Z1479" s="44"/>
    </row>
    <row r="1480" ht="15.75" customHeight="1">
      <c r="A1480" s="48" t="s">
        <v>1526</v>
      </c>
      <c r="B1480" s="48" t="str">
        <f>IFERROR(__xludf.DUMMYFUNCTION("IFERROR(GOOGLEFINANCE(A1480,""NAME""),)"),"UFO Moviez India Ltd")</f>
        <v>UFO Moviez India Ltd</v>
      </c>
      <c r="C1480" s="48">
        <f>IFERROR(__xludf.DUMMYFUNCTION("IFERROR(GOOGLEFINANCE(A1480,""CHANGE""),)"),-0.42)</f>
        <v>-0.42</v>
      </c>
      <c r="D1480" s="48">
        <f>IFERROR(__xludf.DUMMYFUNCTION("IFERROR(GOOGLEFINANCE(A1480,""CHANGEPCT""),)"),-0.64)</f>
        <v>-0.64</v>
      </c>
      <c r="E1480" s="48" t="str">
        <f t="shared" si="1"/>
        <v>-0.64%</v>
      </c>
      <c r="F1480" s="48" t="str">
        <f t="shared" si="2"/>
        <v/>
      </c>
      <c r="G1480" s="48">
        <f t="shared" si="3"/>
        <v>-0.64</v>
      </c>
      <c r="H1480" s="48">
        <f>IFERROR(__xludf.DUMMYFUNCTION("IFERROR(GOOGLEFINANCE(A1480,""PRICE""),)"),65.02)</f>
        <v>65.02</v>
      </c>
      <c r="I1480" s="49">
        <f>IFERROR(__xludf.DUMMYFUNCTION("IFERROR(GOOGLEFINANCE(A1480,""VOLUME""),)"),42873.0)</f>
        <v>42873</v>
      </c>
      <c r="J1480" s="48" t="str">
        <f>IFERROR(__xludf.DUMMYFUNCTION("IFERROR(INDEX(SPLIT(A1480,"":""),1,2),)"),"UFO")</f>
        <v>UFO</v>
      </c>
      <c r="K1480" s="48" t="str">
        <f t="shared" si="4"/>
        <v/>
      </c>
      <c r="L1480" s="48">
        <f t="shared" si="5"/>
        <v>241</v>
      </c>
      <c r="M1480" s="48">
        <f t="shared" si="6"/>
        <v>986</v>
      </c>
      <c r="N1480" s="50">
        <f>IFERROR(__xludf.DUMMYFUNCTION("IFERROR(GOOGLEFINANCE(A1480,""TRADETIME""),)"),46269.64583333333)</f>
        <v>46269.64583</v>
      </c>
      <c r="O1480" s="44"/>
      <c r="P1480" s="44"/>
      <c r="Q1480" s="44"/>
      <c r="R1480" s="44"/>
      <c r="S1480" s="44"/>
      <c r="T1480" s="44"/>
      <c r="U1480" s="44"/>
      <c r="V1480" s="44"/>
      <c r="W1480" s="44"/>
      <c r="X1480" s="44"/>
      <c r="Y1480" s="44"/>
      <c r="Z1480" s="44"/>
    </row>
    <row r="1481" ht="15.75" customHeight="1">
      <c r="A1481" s="51" t="s">
        <v>1527</v>
      </c>
      <c r="B1481" s="51" t="str">
        <f>IFERROR(__xludf.DUMMYFUNCTION("IFERROR(GOOGLEFINANCE(A1481,""NAME""),)"),"Ugar Sugar Works Ltd")</f>
        <v>Ugar Sugar Works Ltd</v>
      </c>
      <c r="C1481" s="51">
        <f>IFERROR(__xludf.DUMMYFUNCTION("IFERROR(GOOGLEFINANCE(A1481,""CHANGE""),)"),-5.27)</f>
        <v>-5.27</v>
      </c>
      <c r="D1481" s="51">
        <f>IFERROR(__xludf.DUMMYFUNCTION("IFERROR(GOOGLEFINANCE(A1481,""CHANGEPCT""),)"),-9.0)</f>
        <v>-9</v>
      </c>
      <c r="E1481" s="51" t="str">
        <f t="shared" si="1"/>
        <v>-9%</v>
      </c>
      <c r="F1481" s="51" t="str">
        <f t="shared" si="2"/>
        <v/>
      </c>
      <c r="G1481" s="51">
        <f t="shared" si="3"/>
        <v>-9</v>
      </c>
      <c r="H1481" s="51">
        <f>IFERROR(__xludf.DUMMYFUNCTION("IFERROR(GOOGLEFINANCE(A1481,""PRICE""),)"),53.29)</f>
        <v>53.29</v>
      </c>
      <c r="I1481" s="52">
        <f>IFERROR(__xludf.DUMMYFUNCTION("IFERROR(GOOGLEFINANCE(A1481,""VOLUME""),)"),1348315.0)</f>
        <v>1348315</v>
      </c>
      <c r="J1481" s="51" t="str">
        <f>IFERROR(__xludf.DUMMYFUNCTION("IFERROR(INDEX(SPLIT(A1481,"":""),1,2),)"),"UGARSUGAR")</f>
        <v>UGARSUGAR</v>
      </c>
      <c r="K1481" s="51" t="str">
        <f t="shared" si="4"/>
        <v/>
      </c>
      <c r="L1481" s="51">
        <f t="shared" si="5"/>
        <v>652</v>
      </c>
      <c r="M1481" s="51">
        <f t="shared" si="6"/>
        <v>222</v>
      </c>
      <c r="N1481" s="53">
        <f>IFERROR(__xludf.DUMMYFUNCTION("IFERROR(GOOGLEFINANCE(A1481,""TRADETIME""),)"),46269.64585648148)</f>
        <v>46269.64586</v>
      </c>
      <c r="O1481" s="44"/>
      <c r="P1481" s="44"/>
      <c r="Q1481" s="44"/>
      <c r="R1481" s="44"/>
      <c r="S1481" s="44"/>
      <c r="T1481" s="44"/>
      <c r="U1481" s="44"/>
      <c r="V1481" s="44"/>
      <c r="W1481" s="44"/>
      <c r="X1481" s="44"/>
      <c r="Y1481" s="44"/>
      <c r="Z1481" s="44"/>
    </row>
    <row r="1482" ht="15.75" customHeight="1">
      <c r="A1482" s="48" t="s">
        <v>1528</v>
      </c>
      <c r="B1482" s="48" t="str">
        <f>IFERROR(__xludf.DUMMYFUNCTION("IFERROR(GOOGLEFINANCE(A1482,""NAME""),)"),"")</f>
        <v/>
      </c>
      <c r="C1482" s="48" t="str">
        <f>IFERROR(__xludf.DUMMYFUNCTION("IFERROR(GOOGLEFINANCE(A1482,""CHANGE""),)"),"")</f>
        <v/>
      </c>
      <c r="D1482" s="48" t="str">
        <f>IFERROR(__xludf.DUMMYFUNCTION("IFERROR(GOOGLEFINANCE(A1482,""CHANGEPCT""),)"),"")</f>
        <v/>
      </c>
      <c r="E1482" s="48" t="str">
        <f t="shared" si="1"/>
        <v>%</v>
      </c>
      <c r="F1482" s="48" t="str">
        <f t="shared" si="2"/>
        <v/>
      </c>
      <c r="G1482" s="48" t="str">
        <f t="shared" si="3"/>
        <v/>
      </c>
      <c r="H1482" s="48" t="str">
        <f>IFERROR(__xludf.DUMMYFUNCTION("IFERROR(GOOGLEFINANCE(A1482,""PRICE""),)"),"")</f>
        <v/>
      </c>
      <c r="I1482" s="49" t="str">
        <f>IFERROR(__xludf.DUMMYFUNCTION("IFERROR(GOOGLEFINANCE(A1482,""VOLUME""),)"),"")</f>
        <v/>
      </c>
      <c r="J1482" s="48" t="str">
        <f>IFERROR(__xludf.DUMMYFUNCTION("IFERROR(INDEX(SPLIT(A1482,"":""),1,2),)"),"UJAAS")</f>
        <v>UJAAS</v>
      </c>
      <c r="K1482" s="48" t="str">
        <f t="shared" si="4"/>
        <v/>
      </c>
      <c r="L1482" s="48" t="str">
        <f t="shared" si="5"/>
        <v/>
      </c>
      <c r="M1482" s="48">
        <f t="shared" si="6"/>
        <v>1456</v>
      </c>
      <c r="N1482" s="50" t="str">
        <f>IFERROR(__xludf.DUMMYFUNCTION("IFERROR(GOOGLEFINANCE(A1482,""TRADETIME""),)"),"")</f>
        <v/>
      </c>
      <c r="O1482" s="44"/>
      <c r="P1482" s="44"/>
      <c r="Q1482" s="44"/>
      <c r="R1482" s="44"/>
      <c r="S1482" s="44"/>
      <c r="T1482" s="44"/>
      <c r="U1482" s="44"/>
      <c r="V1482" s="44"/>
      <c r="W1482" s="44"/>
      <c r="X1482" s="44"/>
      <c r="Y1482" s="44"/>
      <c r="Z1482" s="44"/>
    </row>
    <row r="1483" ht="15.75" customHeight="1">
      <c r="A1483" s="51" t="s">
        <v>1529</v>
      </c>
      <c r="B1483" s="51" t="str">
        <f>IFERROR(__xludf.DUMMYFUNCTION("IFERROR(GOOGLEFINANCE(A1483,""NAME""),)"),"")</f>
        <v/>
      </c>
      <c r="C1483" s="51" t="str">
        <f>IFERROR(__xludf.DUMMYFUNCTION("IFERROR(GOOGLEFINANCE(A1483,""CHANGE""),)"),"")</f>
        <v/>
      </c>
      <c r="D1483" s="51" t="str">
        <f>IFERROR(__xludf.DUMMYFUNCTION("IFERROR(GOOGLEFINANCE(A1483,""CHANGEPCT""),)"),"")</f>
        <v/>
      </c>
      <c r="E1483" s="51" t="str">
        <f t="shared" si="1"/>
        <v>%</v>
      </c>
      <c r="F1483" s="51" t="str">
        <f t="shared" si="2"/>
        <v/>
      </c>
      <c r="G1483" s="51" t="str">
        <f t="shared" si="3"/>
        <v/>
      </c>
      <c r="H1483" s="51" t="str">
        <f>IFERROR(__xludf.DUMMYFUNCTION("IFERROR(GOOGLEFINANCE(A1483,""PRICE""),)"),"")</f>
        <v/>
      </c>
      <c r="I1483" s="52" t="str">
        <f>IFERROR(__xludf.DUMMYFUNCTION("IFERROR(GOOGLEFINANCE(A1483,""VOLUME""),)"),"")</f>
        <v/>
      </c>
      <c r="J1483" s="51" t="str">
        <f>IFERROR(__xludf.DUMMYFUNCTION("IFERROR(INDEX(SPLIT(A1483,"":""),1,2),)"),"UJJIVAN")</f>
        <v>UJJIVAN</v>
      </c>
      <c r="K1483" s="51" t="str">
        <f t="shared" si="4"/>
        <v/>
      </c>
      <c r="L1483" s="51" t="str">
        <f t="shared" si="5"/>
        <v/>
      </c>
      <c r="M1483" s="51">
        <f t="shared" si="6"/>
        <v>1456</v>
      </c>
      <c r="N1483" s="53" t="str">
        <f>IFERROR(__xludf.DUMMYFUNCTION("IFERROR(GOOGLEFINANCE(A1483,""TRADETIME""),)"),"")</f>
        <v/>
      </c>
      <c r="O1483" s="44"/>
      <c r="P1483" s="44"/>
      <c r="Q1483" s="44"/>
      <c r="R1483" s="44"/>
      <c r="S1483" s="44"/>
      <c r="T1483" s="44"/>
      <c r="U1483" s="44"/>
      <c r="V1483" s="44"/>
      <c r="W1483" s="44"/>
      <c r="X1483" s="44"/>
      <c r="Y1483" s="44"/>
      <c r="Z1483" s="44"/>
    </row>
    <row r="1484" ht="15.75" customHeight="1">
      <c r="A1484" s="48" t="s">
        <v>1530</v>
      </c>
      <c r="B1484" s="48" t="str">
        <f>IFERROR(__xludf.DUMMYFUNCTION("IFERROR(GOOGLEFINANCE(A1484,""NAME""),)"),"Ujjivan Small Finance Bank Ltd")</f>
        <v>Ujjivan Small Finance Bank Ltd</v>
      </c>
      <c r="C1484" s="48">
        <f>IFERROR(__xludf.DUMMYFUNCTION("IFERROR(GOOGLEFINANCE(A1484,""CHANGE""),)"),1.52)</f>
        <v>1.52</v>
      </c>
      <c r="D1484" s="48">
        <f>IFERROR(__xludf.DUMMYFUNCTION("IFERROR(GOOGLEFINANCE(A1484,""CHANGEPCT""),)"),2.41)</f>
        <v>2.41</v>
      </c>
      <c r="E1484" s="48" t="str">
        <f t="shared" si="1"/>
        <v>2.41%</v>
      </c>
      <c r="F1484" s="48">
        <f t="shared" si="2"/>
        <v>2.41</v>
      </c>
      <c r="G1484" s="48" t="str">
        <f t="shared" si="3"/>
        <v/>
      </c>
      <c r="H1484" s="48">
        <f>IFERROR(__xludf.DUMMYFUNCTION("IFERROR(GOOGLEFINANCE(A1484,""PRICE""),)"),64.51)</f>
        <v>64.51</v>
      </c>
      <c r="I1484" s="49">
        <f>IFERROR(__xludf.DUMMYFUNCTION("IFERROR(GOOGLEFINANCE(A1484,""VOLUME""),)"),1.2168369E7)</f>
        <v>12168369</v>
      </c>
      <c r="J1484" s="48" t="str">
        <f>IFERROR(__xludf.DUMMYFUNCTION("IFERROR(INDEX(SPLIT(A1484,"":""),1,2),)"),"UJJIVANSFB")</f>
        <v>UJJIVANSFB</v>
      </c>
      <c r="K1484" s="48">
        <f t="shared" si="4"/>
        <v>216</v>
      </c>
      <c r="L1484" s="48" t="str">
        <f t="shared" si="5"/>
        <v/>
      </c>
      <c r="M1484" s="48">
        <f t="shared" si="6"/>
        <v>39</v>
      </c>
      <c r="N1484" s="50">
        <f>IFERROR(__xludf.DUMMYFUNCTION("IFERROR(GOOGLEFINANCE(A1484,""TRADETIME""),)"),46269.64585648148)</f>
        <v>46269.64586</v>
      </c>
      <c r="O1484" s="44"/>
      <c r="P1484" s="44"/>
      <c r="Q1484" s="44"/>
      <c r="R1484" s="44"/>
      <c r="S1484" s="44"/>
      <c r="T1484" s="44"/>
      <c r="U1484" s="44"/>
      <c r="V1484" s="44"/>
      <c r="W1484" s="44"/>
      <c r="X1484" s="44"/>
      <c r="Y1484" s="44"/>
      <c r="Z1484" s="44"/>
    </row>
    <row r="1485" ht="15.75" customHeight="1">
      <c r="A1485" s="51" t="s">
        <v>1531</v>
      </c>
      <c r="B1485" s="51" t="str">
        <f>IFERROR(__xludf.DUMMYFUNCTION("IFERROR(GOOGLEFINANCE(A1485,""NAME""),)"),"UltraTech Cement Ltd")</f>
        <v>UltraTech Cement Ltd</v>
      </c>
      <c r="C1485" s="51">
        <f>IFERROR(__xludf.DUMMYFUNCTION("IFERROR(GOOGLEFINANCE(A1485,""CHANGE""),)"),52.0)</f>
        <v>52</v>
      </c>
      <c r="D1485" s="51">
        <f>IFERROR(__xludf.DUMMYFUNCTION("IFERROR(GOOGLEFINANCE(A1485,""CHANGEPCT""),)"),0.46)</f>
        <v>0.46</v>
      </c>
      <c r="E1485" s="51" t="str">
        <f t="shared" si="1"/>
        <v>0.46%</v>
      </c>
      <c r="F1485" s="51">
        <f t="shared" si="2"/>
        <v>0.46</v>
      </c>
      <c r="G1485" s="51" t="str">
        <f t="shared" si="3"/>
        <v/>
      </c>
      <c r="H1485" s="51">
        <f>IFERROR(__xludf.DUMMYFUNCTION("IFERROR(GOOGLEFINANCE(A1485,""PRICE""),)"),11327.0)</f>
        <v>11327</v>
      </c>
      <c r="I1485" s="52">
        <f>IFERROR(__xludf.DUMMYFUNCTION("IFERROR(GOOGLEFINANCE(A1485,""VOLUME""),)"),280870.0)</f>
        <v>280870</v>
      </c>
      <c r="J1485" s="51" t="str">
        <f>IFERROR(__xludf.DUMMYFUNCTION("IFERROR(INDEX(SPLIT(A1485,"":""),1,2),)"),"ULTRACEMCO")</f>
        <v>ULTRACEMCO</v>
      </c>
      <c r="K1485" s="51">
        <f t="shared" si="4"/>
        <v>608</v>
      </c>
      <c r="L1485" s="51" t="str">
        <f t="shared" si="5"/>
        <v/>
      </c>
      <c r="M1485" s="51">
        <f t="shared" si="6"/>
        <v>536</v>
      </c>
      <c r="N1485" s="53">
        <f>IFERROR(__xludf.DUMMYFUNCTION("IFERROR(GOOGLEFINANCE(A1485,""TRADETIME""),)"),46269.64583333333)</f>
        <v>46269.64583</v>
      </c>
      <c r="O1485" s="44"/>
      <c r="P1485" s="44"/>
      <c r="Q1485" s="44"/>
      <c r="R1485" s="44"/>
      <c r="S1485" s="44"/>
      <c r="T1485" s="44"/>
      <c r="U1485" s="44"/>
      <c r="V1485" s="44"/>
      <c r="W1485" s="44"/>
      <c r="X1485" s="44"/>
      <c r="Y1485" s="44"/>
      <c r="Z1485" s="44"/>
    </row>
    <row r="1486" ht="15.75" customHeight="1">
      <c r="A1486" s="48" t="s">
        <v>1532</v>
      </c>
      <c r="B1486" s="48" t="str">
        <f>IFERROR(__xludf.DUMMYFUNCTION("IFERROR(GOOGLEFINANCE(A1486,""NAME""),)"),"")</f>
        <v/>
      </c>
      <c r="C1486" s="48" t="str">
        <f>IFERROR(__xludf.DUMMYFUNCTION("IFERROR(GOOGLEFINANCE(A1486,""CHANGE""),)"),"")</f>
        <v/>
      </c>
      <c r="D1486" s="48" t="str">
        <f>IFERROR(__xludf.DUMMYFUNCTION("IFERROR(GOOGLEFINANCE(A1486,""CHANGEPCT""),)"),"")</f>
        <v/>
      </c>
      <c r="E1486" s="48" t="str">
        <f t="shared" si="1"/>
        <v>%</v>
      </c>
      <c r="F1486" s="48" t="str">
        <f t="shared" si="2"/>
        <v/>
      </c>
      <c r="G1486" s="48" t="str">
        <f t="shared" si="3"/>
        <v/>
      </c>
      <c r="H1486" s="48" t="str">
        <f>IFERROR(__xludf.DUMMYFUNCTION("IFERROR(GOOGLEFINANCE(A1486,""PRICE""),)"),"")</f>
        <v/>
      </c>
      <c r="I1486" s="49" t="str">
        <f>IFERROR(__xludf.DUMMYFUNCTION("IFERROR(GOOGLEFINANCE(A1486,""VOLUME""),)"),"")</f>
        <v/>
      </c>
      <c r="J1486" s="48" t="str">
        <f>IFERROR(__xludf.DUMMYFUNCTION("IFERROR(INDEX(SPLIT(A1486,"":""),1,2),)"),"UMANGDAIRY")</f>
        <v>UMANGDAIRY</v>
      </c>
      <c r="K1486" s="48" t="str">
        <f t="shared" si="4"/>
        <v/>
      </c>
      <c r="L1486" s="48" t="str">
        <f t="shared" si="5"/>
        <v/>
      </c>
      <c r="M1486" s="48">
        <f t="shared" si="6"/>
        <v>1456</v>
      </c>
      <c r="N1486" s="50" t="str">
        <f>IFERROR(__xludf.DUMMYFUNCTION("IFERROR(GOOGLEFINANCE(A1486,""TRADETIME""),)"),"")</f>
        <v/>
      </c>
      <c r="O1486" s="44"/>
      <c r="P1486" s="44"/>
      <c r="Q1486" s="44"/>
      <c r="R1486" s="44"/>
      <c r="S1486" s="44"/>
      <c r="T1486" s="44"/>
      <c r="U1486" s="44"/>
      <c r="V1486" s="44"/>
      <c r="W1486" s="44"/>
      <c r="X1486" s="44"/>
      <c r="Y1486" s="44"/>
      <c r="Z1486" s="44"/>
    </row>
    <row r="1487" ht="15.75" customHeight="1">
      <c r="A1487" s="51" t="s">
        <v>1533</v>
      </c>
      <c r="B1487" s="51" t="str">
        <f>IFERROR(__xludf.DUMMYFUNCTION("IFERROR(GOOGLEFINANCE(A1487,""NAME""),)"),"Usha Martin Education And Solutions Ltd")</f>
        <v>Usha Martin Education And Solutions Ltd</v>
      </c>
      <c r="C1487" s="51">
        <f>IFERROR(__xludf.DUMMYFUNCTION("IFERROR(GOOGLEFINANCE(A1487,""CHANGE""),)"),0.1)</f>
        <v>0.1</v>
      </c>
      <c r="D1487" s="51">
        <f>IFERROR(__xludf.DUMMYFUNCTION("IFERROR(GOOGLEFINANCE(A1487,""CHANGEPCT""),)"),2.0)</f>
        <v>2</v>
      </c>
      <c r="E1487" s="51" t="str">
        <f t="shared" si="1"/>
        <v>2%</v>
      </c>
      <c r="F1487" s="51">
        <f t="shared" si="2"/>
        <v>2</v>
      </c>
      <c r="G1487" s="51" t="str">
        <f t="shared" si="3"/>
        <v/>
      </c>
      <c r="H1487" s="51">
        <f>IFERROR(__xludf.DUMMYFUNCTION("IFERROR(GOOGLEFINANCE(A1487,""PRICE""),)"),5.1)</f>
        <v>5.1</v>
      </c>
      <c r="I1487" s="52">
        <f>IFERROR(__xludf.DUMMYFUNCTION("IFERROR(GOOGLEFINANCE(A1487,""VOLUME""),)"),12835.0)</f>
        <v>12835</v>
      </c>
      <c r="J1487" s="51" t="str">
        <f>IFERROR(__xludf.DUMMYFUNCTION("IFERROR(INDEX(SPLIT(A1487,"":""),1,2),)"),"UMESLTD")</f>
        <v>UMESLTD</v>
      </c>
      <c r="K1487" s="51">
        <f t="shared" si="4"/>
        <v>258</v>
      </c>
      <c r="L1487" s="51" t="str">
        <f t="shared" si="5"/>
        <v/>
      </c>
      <c r="M1487" s="51">
        <f t="shared" si="6"/>
        <v>1199</v>
      </c>
      <c r="N1487" s="53">
        <f>IFERROR(__xludf.DUMMYFUNCTION("IFERROR(GOOGLEFINANCE(A1487,""TRADETIME""),)"),46269.64583333333)</f>
        <v>46269.64583</v>
      </c>
      <c r="O1487" s="44"/>
      <c r="P1487" s="44"/>
      <c r="Q1487" s="44"/>
      <c r="R1487" s="44"/>
      <c r="S1487" s="44"/>
      <c r="T1487" s="44"/>
      <c r="U1487" s="44"/>
      <c r="V1487" s="44"/>
      <c r="W1487" s="44"/>
      <c r="X1487" s="44"/>
      <c r="Y1487" s="44"/>
      <c r="Z1487" s="44"/>
    </row>
    <row r="1488" ht="15.75" customHeight="1">
      <c r="A1488" s="48" t="s">
        <v>1534</v>
      </c>
      <c r="B1488" s="48" t="str">
        <f>IFERROR(__xludf.DUMMYFUNCTION("IFERROR(GOOGLEFINANCE(A1488,""NAME""),)"),"Unichem Laboratories Ltd")</f>
        <v>Unichem Laboratories Ltd</v>
      </c>
      <c r="C1488" s="48">
        <f>IFERROR(__xludf.DUMMYFUNCTION("IFERROR(GOOGLEFINANCE(A1488,""CHANGE""),)"),1.05)</f>
        <v>1.05</v>
      </c>
      <c r="D1488" s="48">
        <f>IFERROR(__xludf.DUMMYFUNCTION("IFERROR(GOOGLEFINANCE(A1488,""CHANGEPCT""),)"),0.19)</f>
        <v>0.19</v>
      </c>
      <c r="E1488" s="48" t="str">
        <f t="shared" si="1"/>
        <v>0.19%</v>
      </c>
      <c r="F1488" s="48">
        <f t="shared" si="2"/>
        <v>0.19</v>
      </c>
      <c r="G1488" s="48" t="str">
        <f t="shared" si="3"/>
        <v/>
      </c>
      <c r="H1488" s="48">
        <f>IFERROR(__xludf.DUMMYFUNCTION("IFERROR(GOOGLEFINANCE(A1488,""PRICE""),)"),549.0)</f>
        <v>549</v>
      </c>
      <c r="I1488" s="49">
        <f>IFERROR(__xludf.DUMMYFUNCTION("IFERROR(GOOGLEFINANCE(A1488,""VOLUME""),)"),56415.0)</f>
        <v>56415</v>
      </c>
      <c r="J1488" s="48" t="str">
        <f>IFERROR(__xludf.DUMMYFUNCTION("IFERROR(INDEX(SPLIT(A1488,"":""),1,2),)"),"UNICHEMLAB")</f>
        <v>UNICHEMLAB</v>
      </c>
      <c r="K1488" s="48">
        <f t="shared" si="4"/>
        <v>705</v>
      </c>
      <c r="L1488" s="48" t="str">
        <f t="shared" si="5"/>
        <v/>
      </c>
      <c r="M1488" s="48">
        <f t="shared" si="6"/>
        <v>917</v>
      </c>
      <c r="N1488" s="50">
        <f>IFERROR(__xludf.DUMMYFUNCTION("IFERROR(GOOGLEFINANCE(A1488,""TRADETIME""),)"),46269.64585648148)</f>
        <v>46269.64586</v>
      </c>
      <c r="O1488" s="44"/>
      <c r="P1488" s="44"/>
      <c r="Q1488" s="44"/>
      <c r="R1488" s="44"/>
      <c r="S1488" s="44"/>
      <c r="T1488" s="44"/>
      <c r="U1488" s="44"/>
      <c r="V1488" s="44"/>
      <c r="W1488" s="44"/>
      <c r="X1488" s="44"/>
      <c r="Y1488" s="44"/>
      <c r="Z1488" s="44"/>
    </row>
    <row r="1489" ht="15.75" customHeight="1">
      <c r="A1489" s="51" t="s">
        <v>1535</v>
      </c>
      <c r="B1489" s="51" t="str">
        <f>IFERROR(__xludf.DUMMYFUNCTION("IFERROR(GOOGLEFINANCE(A1489,""NAME""),)"),"United Drilling Tools Ltd")</f>
        <v>United Drilling Tools Ltd</v>
      </c>
      <c r="C1489" s="51">
        <f>IFERROR(__xludf.DUMMYFUNCTION("IFERROR(GOOGLEFINANCE(A1489,""CHANGE""),)"),6.04)</f>
        <v>6.04</v>
      </c>
      <c r="D1489" s="51">
        <f>IFERROR(__xludf.DUMMYFUNCTION("IFERROR(GOOGLEFINANCE(A1489,""CHANGEPCT""),)"),2.72)</f>
        <v>2.72</v>
      </c>
      <c r="E1489" s="51" t="str">
        <f t="shared" si="1"/>
        <v>2.72%</v>
      </c>
      <c r="F1489" s="51">
        <f t="shared" si="2"/>
        <v>2.72</v>
      </c>
      <c r="G1489" s="51" t="str">
        <f t="shared" si="3"/>
        <v/>
      </c>
      <c r="H1489" s="51">
        <f>IFERROR(__xludf.DUMMYFUNCTION("IFERROR(GOOGLEFINANCE(A1489,""PRICE""),)"),228.0)</f>
        <v>228</v>
      </c>
      <c r="I1489" s="52">
        <f>IFERROR(__xludf.DUMMYFUNCTION("IFERROR(GOOGLEFINANCE(A1489,""VOLUME""),)"),31227.0)</f>
        <v>31227</v>
      </c>
      <c r="J1489" s="51" t="str">
        <f>IFERROR(__xludf.DUMMYFUNCTION("IFERROR(INDEX(SPLIT(A1489,"":""),1,2),)"),"UNIDT")</f>
        <v>UNIDT</v>
      </c>
      <c r="K1489" s="51">
        <f t="shared" si="4"/>
        <v>182</v>
      </c>
      <c r="L1489" s="51" t="str">
        <f t="shared" si="5"/>
        <v/>
      </c>
      <c r="M1489" s="51">
        <f t="shared" si="6"/>
        <v>1047</v>
      </c>
      <c r="N1489" s="53">
        <f>IFERROR(__xludf.DUMMYFUNCTION("IFERROR(GOOGLEFINANCE(A1489,""TRADETIME""),)"),46269.64585648148)</f>
        <v>46269.64586</v>
      </c>
      <c r="O1489" s="44"/>
      <c r="P1489" s="44"/>
      <c r="Q1489" s="44"/>
      <c r="R1489" s="44"/>
      <c r="S1489" s="44"/>
      <c r="T1489" s="44"/>
      <c r="U1489" s="44"/>
      <c r="V1489" s="44"/>
      <c r="W1489" s="44"/>
      <c r="X1489" s="44"/>
      <c r="Y1489" s="44"/>
      <c r="Z1489" s="44"/>
    </row>
    <row r="1490" ht="15.75" customHeight="1">
      <c r="A1490" s="48" t="s">
        <v>1536</v>
      </c>
      <c r="B1490" s="48" t="str">
        <f>IFERROR(__xludf.DUMMYFUNCTION("IFERROR(GOOGLEFINANCE(A1490,""NAME""),)"),"Uniphos Enterprises Ltd")</f>
        <v>Uniphos Enterprises Ltd</v>
      </c>
      <c r="C1490" s="48">
        <f>IFERROR(__xludf.DUMMYFUNCTION("IFERROR(GOOGLEFINANCE(A1490,""CHANGE""),)"),-0.99)</f>
        <v>-0.99</v>
      </c>
      <c r="D1490" s="48">
        <f>IFERROR(__xludf.DUMMYFUNCTION("IFERROR(GOOGLEFINANCE(A1490,""CHANGEPCT""),)"),-1.05)</f>
        <v>-1.05</v>
      </c>
      <c r="E1490" s="48" t="str">
        <f t="shared" si="1"/>
        <v>-1.05%</v>
      </c>
      <c r="F1490" s="48" t="str">
        <f t="shared" si="2"/>
        <v/>
      </c>
      <c r="G1490" s="48">
        <f t="shared" si="3"/>
        <v>-1.05</v>
      </c>
      <c r="H1490" s="48">
        <f>IFERROR(__xludf.DUMMYFUNCTION("IFERROR(GOOGLEFINANCE(A1490,""PRICE""),)"),93.07)</f>
        <v>93.07</v>
      </c>
      <c r="I1490" s="49">
        <f>IFERROR(__xludf.DUMMYFUNCTION("IFERROR(GOOGLEFINANCE(A1490,""VOLUME""),)"),6732.0)</f>
        <v>6732</v>
      </c>
      <c r="J1490" s="48" t="str">
        <f>IFERROR(__xludf.DUMMYFUNCTION("IFERROR(INDEX(SPLIT(A1490,"":""),1,2),)"),"UNIENTER")</f>
        <v>UNIENTER</v>
      </c>
      <c r="K1490" s="48" t="str">
        <f t="shared" si="4"/>
        <v/>
      </c>
      <c r="L1490" s="48">
        <f t="shared" si="5"/>
        <v>351</v>
      </c>
      <c r="M1490" s="48">
        <f t="shared" si="6"/>
        <v>1293</v>
      </c>
      <c r="N1490" s="50">
        <f>IFERROR(__xludf.DUMMYFUNCTION("IFERROR(GOOGLEFINANCE(A1490,""TRADETIME""),)"),46269.64583333333)</f>
        <v>46269.64583</v>
      </c>
      <c r="O1490" s="44"/>
      <c r="P1490" s="44"/>
      <c r="Q1490" s="44"/>
      <c r="R1490" s="44"/>
      <c r="S1490" s="44"/>
      <c r="T1490" s="44"/>
      <c r="U1490" s="44"/>
      <c r="V1490" s="44"/>
      <c r="W1490" s="44"/>
      <c r="X1490" s="44"/>
      <c r="Y1490" s="44"/>
      <c r="Z1490" s="44"/>
    </row>
    <row r="1491" ht="15.75" customHeight="1">
      <c r="A1491" s="51" t="s">
        <v>1537</v>
      </c>
      <c r="B1491" s="51" t="str">
        <f>IFERROR(__xludf.DUMMYFUNCTION("IFERROR(GOOGLEFINANCE(A1491,""NAME""),)"),"Union Bank of India Ltd")</f>
        <v>Union Bank of India Ltd</v>
      </c>
      <c r="C1491" s="51">
        <f>IFERROR(__xludf.DUMMYFUNCTION("IFERROR(GOOGLEFINANCE(A1491,""CHANGE""),)"),-1.17)</f>
        <v>-1.17</v>
      </c>
      <c r="D1491" s="51">
        <f>IFERROR(__xludf.DUMMYFUNCTION("IFERROR(GOOGLEFINANCE(A1491,""CHANGEPCT""),)"),-0.62)</f>
        <v>-0.62</v>
      </c>
      <c r="E1491" s="51" t="str">
        <f t="shared" si="1"/>
        <v>-0.62%</v>
      </c>
      <c r="F1491" s="51" t="str">
        <f t="shared" si="2"/>
        <v/>
      </c>
      <c r="G1491" s="51">
        <f t="shared" si="3"/>
        <v>-0.62</v>
      </c>
      <c r="H1491" s="51">
        <f>IFERROR(__xludf.DUMMYFUNCTION("IFERROR(GOOGLEFINANCE(A1491,""PRICE""),)"),187.83)</f>
        <v>187.83</v>
      </c>
      <c r="I1491" s="52">
        <f>IFERROR(__xludf.DUMMYFUNCTION("IFERROR(GOOGLEFINANCE(A1491,""VOLUME""),)"),7910433.0)</f>
        <v>7910433</v>
      </c>
      <c r="J1491" s="51" t="str">
        <f>IFERROR(__xludf.DUMMYFUNCTION("IFERROR(INDEX(SPLIT(A1491,"":""),1,2),)"),"UNIONBANK")</f>
        <v>UNIONBANK</v>
      </c>
      <c r="K1491" s="51" t="str">
        <f t="shared" si="4"/>
        <v/>
      </c>
      <c r="L1491" s="51">
        <f t="shared" si="5"/>
        <v>232</v>
      </c>
      <c r="M1491" s="51">
        <f t="shared" si="6"/>
        <v>57</v>
      </c>
      <c r="N1491" s="53">
        <f>IFERROR(__xludf.DUMMYFUNCTION("IFERROR(GOOGLEFINANCE(A1491,""TRADETIME""),)"),46269.64583333333)</f>
        <v>46269.64583</v>
      </c>
      <c r="O1491" s="44"/>
      <c r="P1491" s="44"/>
      <c r="Q1491" s="44"/>
      <c r="R1491" s="44"/>
      <c r="S1491" s="44"/>
      <c r="T1491" s="44"/>
      <c r="U1491" s="44"/>
      <c r="V1491" s="44"/>
      <c r="W1491" s="44"/>
      <c r="X1491" s="44"/>
      <c r="Y1491" s="44"/>
      <c r="Z1491" s="44"/>
    </row>
    <row r="1492" ht="15.75" customHeight="1">
      <c r="A1492" s="48" t="s">
        <v>1538</v>
      </c>
      <c r="B1492" s="48" t="str">
        <f>IFERROR(__xludf.DUMMYFUNCTION("IFERROR(GOOGLEFINANCE(A1492,""NAME""),)"),"Unitech Ltd")</f>
        <v>Unitech Ltd</v>
      </c>
      <c r="C1492" s="48">
        <f>IFERROR(__xludf.DUMMYFUNCTION("IFERROR(GOOGLEFINANCE(A1492,""CHANGE""),)"),0.37)</f>
        <v>0.37</v>
      </c>
      <c r="D1492" s="48">
        <f>IFERROR(__xludf.DUMMYFUNCTION("IFERROR(GOOGLEFINANCE(A1492,""CHANGEPCT""),)"),9.97)</f>
        <v>9.97</v>
      </c>
      <c r="E1492" s="48" t="str">
        <f t="shared" si="1"/>
        <v>9.97%</v>
      </c>
      <c r="F1492" s="48">
        <f t="shared" si="2"/>
        <v>9.97</v>
      </c>
      <c r="G1492" s="48" t="str">
        <f t="shared" si="3"/>
        <v/>
      </c>
      <c r="H1492" s="48">
        <f>IFERROR(__xludf.DUMMYFUNCTION("IFERROR(GOOGLEFINANCE(A1492,""PRICE""),)"),4.08)</f>
        <v>4.08</v>
      </c>
      <c r="I1492" s="49">
        <f>IFERROR(__xludf.DUMMYFUNCTION("IFERROR(GOOGLEFINANCE(A1492,""VOLUME""),)"),1.4406516E7)</f>
        <v>14406516</v>
      </c>
      <c r="J1492" s="48" t="str">
        <f>IFERROR(__xludf.DUMMYFUNCTION("IFERROR(INDEX(SPLIT(A1492,"":""),1,2),)"),"UNITECH")</f>
        <v>UNITECH</v>
      </c>
      <c r="K1492" s="48">
        <f t="shared" si="4"/>
        <v>10</v>
      </c>
      <c r="L1492" s="48" t="str">
        <f t="shared" si="5"/>
        <v/>
      </c>
      <c r="M1492" s="48">
        <f t="shared" si="6"/>
        <v>29</v>
      </c>
      <c r="N1492" s="50">
        <f>IFERROR(__xludf.DUMMYFUNCTION("IFERROR(GOOGLEFINANCE(A1492,""TRADETIME""),)"),46269.64583333333)</f>
        <v>46269.64583</v>
      </c>
      <c r="O1492" s="44"/>
      <c r="P1492" s="44"/>
      <c r="Q1492" s="44"/>
      <c r="R1492" s="44"/>
      <c r="S1492" s="44"/>
      <c r="T1492" s="44"/>
      <c r="U1492" s="44"/>
      <c r="V1492" s="44"/>
      <c r="W1492" s="44"/>
      <c r="X1492" s="44"/>
      <c r="Y1492" s="44"/>
      <c r="Z1492" s="44"/>
    </row>
    <row r="1493" ht="15.75" customHeight="1">
      <c r="A1493" s="51" t="s">
        <v>1539</v>
      </c>
      <c r="B1493" s="51" t="str">
        <f>IFERROR(__xludf.DUMMYFUNCTION("IFERROR(GOOGLEFINANCE(A1493,""NAME""),)"),"United Nilgiri Tea Estates Company Ltd")</f>
        <v>United Nilgiri Tea Estates Company Ltd</v>
      </c>
      <c r="C1493" s="51">
        <f>IFERROR(__xludf.DUMMYFUNCTION("IFERROR(GOOGLEFINANCE(A1493,""CHANGE""),)"),-3.05)</f>
        <v>-3.05</v>
      </c>
      <c r="D1493" s="51">
        <f>IFERROR(__xludf.DUMMYFUNCTION("IFERROR(GOOGLEFINANCE(A1493,""CHANGEPCT""),)"),-0.68)</f>
        <v>-0.68</v>
      </c>
      <c r="E1493" s="51" t="str">
        <f t="shared" si="1"/>
        <v>-0.68%</v>
      </c>
      <c r="F1493" s="51" t="str">
        <f t="shared" si="2"/>
        <v/>
      </c>
      <c r="G1493" s="51">
        <f t="shared" si="3"/>
        <v>-0.68</v>
      </c>
      <c r="H1493" s="51">
        <f>IFERROR(__xludf.DUMMYFUNCTION("IFERROR(GOOGLEFINANCE(A1493,""PRICE""),)"),444.0)</f>
        <v>444</v>
      </c>
      <c r="I1493" s="52">
        <f>IFERROR(__xludf.DUMMYFUNCTION("IFERROR(GOOGLEFINANCE(A1493,""VOLUME""),)"),7393.0)</f>
        <v>7393</v>
      </c>
      <c r="J1493" s="51" t="str">
        <f>IFERROR(__xludf.DUMMYFUNCTION("IFERROR(INDEX(SPLIT(A1493,"":""),1,2),)"),"UNITEDTEA")</f>
        <v>UNITEDTEA</v>
      </c>
      <c r="K1493" s="51" t="str">
        <f t="shared" si="4"/>
        <v/>
      </c>
      <c r="L1493" s="51">
        <f t="shared" si="5"/>
        <v>255</v>
      </c>
      <c r="M1493" s="51">
        <f t="shared" si="6"/>
        <v>1277</v>
      </c>
      <c r="N1493" s="53">
        <f>IFERROR(__xludf.DUMMYFUNCTION("IFERROR(GOOGLEFINANCE(A1493,""TRADETIME""),)"),46269.64583333333)</f>
        <v>46269.64583</v>
      </c>
      <c r="O1493" s="44"/>
      <c r="P1493" s="44"/>
      <c r="Q1493" s="44"/>
      <c r="R1493" s="44"/>
      <c r="S1493" s="44"/>
      <c r="T1493" s="44"/>
      <c r="U1493" s="44"/>
      <c r="V1493" s="44"/>
      <c r="W1493" s="44"/>
      <c r="X1493" s="44"/>
      <c r="Y1493" s="44"/>
      <c r="Z1493" s="44"/>
    </row>
    <row r="1494" ht="15.75" customHeight="1">
      <c r="A1494" s="48" t="s">
        <v>1540</v>
      </c>
      <c r="B1494" s="48" t="str">
        <f>IFERROR(__xludf.DUMMYFUNCTION("IFERROR(GOOGLEFINANCE(A1494,""NAME""),)"),"Univastu India Ltd")</f>
        <v>Univastu India Ltd</v>
      </c>
      <c r="C1494" s="48">
        <f>IFERROR(__xludf.DUMMYFUNCTION("IFERROR(GOOGLEFINANCE(A1494,""CHANGE""),)"),-1.4)</f>
        <v>-1.4</v>
      </c>
      <c r="D1494" s="48">
        <f>IFERROR(__xludf.DUMMYFUNCTION("IFERROR(GOOGLEFINANCE(A1494,""CHANGEPCT""),)"),-0.83)</f>
        <v>-0.83</v>
      </c>
      <c r="E1494" s="48" t="str">
        <f t="shared" si="1"/>
        <v>-0.83%</v>
      </c>
      <c r="F1494" s="48" t="str">
        <f t="shared" si="2"/>
        <v/>
      </c>
      <c r="G1494" s="48">
        <f t="shared" si="3"/>
        <v>-0.83</v>
      </c>
      <c r="H1494" s="48">
        <f>IFERROR(__xludf.DUMMYFUNCTION("IFERROR(GOOGLEFINANCE(A1494,""PRICE""),)"),167.0)</f>
        <v>167</v>
      </c>
      <c r="I1494" s="49">
        <f>IFERROR(__xludf.DUMMYFUNCTION("IFERROR(GOOGLEFINANCE(A1494,""VOLUME""),)"),70087.0)</f>
        <v>70087</v>
      </c>
      <c r="J1494" s="48" t="str">
        <f>IFERROR(__xludf.DUMMYFUNCTION("IFERROR(INDEX(SPLIT(A1494,"":""),1,2),)"),"UNIVASTU")</f>
        <v>UNIVASTU</v>
      </c>
      <c r="K1494" s="48" t="str">
        <f t="shared" si="4"/>
        <v/>
      </c>
      <c r="L1494" s="48">
        <f t="shared" si="5"/>
        <v>306</v>
      </c>
      <c r="M1494" s="48">
        <f t="shared" si="6"/>
        <v>861</v>
      </c>
      <c r="N1494" s="50">
        <f>IFERROR(__xludf.DUMMYFUNCTION("IFERROR(GOOGLEFINANCE(A1494,""TRADETIME""),)"),46269.64583333333)</f>
        <v>46269.64583</v>
      </c>
      <c r="O1494" s="44"/>
      <c r="P1494" s="44"/>
      <c r="Q1494" s="44"/>
      <c r="R1494" s="44"/>
      <c r="S1494" s="44"/>
      <c r="T1494" s="44"/>
      <c r="U1494" s="44"/>
      <c r="V1494" s="44"/>
      <c r="W1494" s="44"/>
      <c r="X1494" s="44"/>
      <c r="Y1494" s="44"/>
      <c r="Z1494" s="44"/>
    </row>
    <row r="1495" ht="15.75" customHeight="1">
      <c r="A1495" s="51" t="s">
        <v>1541</v>
      </c>
      <c r="B1495" s="51" t="str">
        <f>IFERROR(__xludf.DUMMYFUNCTION("IFERROR(GOOGLEFINANCE(A1495,""NAME""),)"),"Universal Cables Ltd")</f>
        <v>Universal Cables Ltd</v>
      </c>
      <c r="C1495" s="51">
        <f>IFERROR(__xludf.DUMMYFUNCTION("IFERROR(GOOGLEFINANCE(A1495,""CHANGE""),)"),-50.8)</f>
        <v>-50.8</v>
      </c>
      <c r="D1495" s="51">
        <f>IFERROR(__xludf.DUMMYFUNCTION("IFERROR(GOOGLEFINANCE(A1495,""CHANGEPCT""),)"),-3.12)</f>
        <v>-3.12</v>
      </c>
      <c r="E1495" s="51" t="str">
        <f t="shared" si="1"/>
        <v>-3.12%</v>
      </c>
      <c r="F1495" s="51" t="str">
        <f t="shared" si="2"/>
        <v/>
      </c>
      <c r="G1495" s="51">
        <f t="shared" si="3"/>
        <v>-3.12</v>
      </c>
      <c r="H1495" s="51">
        <f>IFERROR(__xludf.DUMMYFUNCTION("IFERROR(GOOGLEFINANCE(A1495,""PRICE""),)"),1576.0)</f>
        <v>1576</v>
      </c>
      <c r="I1495" s="52">
        <f>IFERROR(__xludf.DUMMYFUNCTION("IFERROR(GOOGLEFINANCE(A1495,""VOLUME""),)"),278353.0)</f>
        <v>278353</v>
      </c>
      <c r="J1495" s="51" t="str">
        <f>IFERROR(__xludf.DUMMYFUNCTION("IFERROR(INDEX(SPLIT(A1495,"":""),1,2),)"),"UNIVCABLES")</f>
        <v>UNIVCABLES</v>
      </c>
      <c r="K1495" s="51" t="str">
        <f t="shared" si="4"/>
        <v/>
      </c>
      <c r="L1495" s="51">
        <f t="shared" si="5"/>
        <v>594</v>
      </c>
      <c r="M1495" s="51">
        <f t="shared" si="6"/>
        <v>538</v>
      </c>
      <c r="N1495" s="53">
        <f>IFERROR(__xludf.DUMMYFUNCTION("IFERROR(GOOGLEFINANCE(A1495,""TRADETIME""),)"),46269.64583333333)</f>
        <v>46269.64583</v>
      </c>
      <c r="O1495" s="44"/>
      <c r="P1495" s="44"/>
      <c r="Q1495" s="44"/>
      <c r="R1495" s="44"/>
      <c r="S1495" s="44"/>
      <c r="T1495" s="44"/>
      <c r="U1495" s="44"/>
      <c r="V1495" s="44"/>
      <c r="W1495" s="44"/>
      <c r="X1495" s="44"/>
      <c r="Y1495" s="44"/>
      <c r="Z1495" s="44"/>
    </row>
    <row r="1496" ht="15.75" customHeight="1">
      <c r="A1496" s="48" t="s">
        <v>1542</v>
      </c>
      <c r="B1496" s="48" t="str">
        <f>IFERROR(__xludf.DUMMYFUNCTION("IFERROR(GOOGLEFINANCE(A1496,""NAME""),)"),"Universus Photo Imagings Ltd")</f>
        <v>Universus Photo Imagings Ltd</v>
      </c>
      <c r="C1496" s="48">
        <f>IFERROR(__xludf.DUMMYFUNCTION("IFERROR(GOOGLEFINANCE(A1496,""CHANGE""),)"),23.35)</f>
        <v>23.35</v>
      </c>
      <c r="D1496" s="48">
        <f>IFERROR(__xludf.DUMMYFUNCTION("IFERROR(GOOGLEFINANCE(A1496,""CHANGEPCT""),)"),5.0)</f>
        <v>5</v>
      </c>
      <c r="E1496" s="48" t="str">
        <f t="shared" si="1"/>
        <v>5%</v>
      </c>
      <c r="F1496" s="48">
        <f t="shared" si="2"/>
        <v>5</v>
      </c>
      <c r="G1496" s="48" t="str">
        <f t="shared" si="3"/>
        <v/>
      </c>
      <c r="H1496" s="48">
        <f>IFERROR(__xludf.DUMMYFUNCTION("IFERROR(GOOGLEFINANCE(A1496,""PRICE""),)"),490.6)</f>
        <v>490.6</v>
      </c>
      <c r="I1496" s="49">
        <f>IFERROR(__xludf.DUMMYFUNCTION("IFERROR(GOOGLEFINANCE(A1496,""VOLUME""),)"),2480.0)</f>
        <v>2480</v>
      </c>
      <c r="J1496" s="48" t="str">
        <f>IFERROR(__xludf.DUMMYFUNCTION("IFERROR(INDEX(SPLIT(A1496,"":""),1,2),)"),"UNIVPHOTO")</f>
        <v>UNIVPHOTO</v>
      </c>
      <c r="K1496" s="48">
        <f t="shared" si="4"/>
        <v>62</v>
      </c>
      <c r="L1496" s="48" t="str">
        <f t="shared" si="5"/>
        <v/>
      </c>
      <c r="M1496" s="48">
        <f t="shared" si="6"/>
        <v>1380</v>
      </c>
      <c r="N1496" s="50">
        <f>IFERROR(__xludf.DUMMYFUNCTION("IFERROR(GOOGLEFINANCE(A1496,""TRADETIME""),)"),46269.64583333333)</f>
        <v>46269.64583</v>
      </c>
      <c r="O1496" s="44"/>
      <c r="P1496" s="44"/>
      <c r="Q1496" s="44"/>
      <c r="R1496" s="44"/>
      <c r="S1496" s="44"/>
      <c r="T1496" s="44"/>
      <c r="U1496" s="44"/>
      <c r="V1496" s="44"/>
      <c r="W1496" s="44"/>
      <c r="X1496" s="44"/>
      <c r="Y1496" s="44"/>
      <c r="Z1496" s="44"/>
    </row>
    <row r="1497" ht="15.75" customHeight="1">
      <c r="A1497" s="51" t="s">
        <v>1543</v>
      </c>
      <c r="B1497" s="51" t="str">
        <f>IFERROR(__xludf.DUMMYFUNCTION("IFERROR(GOOGLEFINANCE(A1497,""NAME""),)"),"UPL Ltd")</f>
        <v>UPL Ltd</v>
      </c>
      <c r="C1497" s="51">
        <f>IFERROR(__xludf.DUMMYFUNCTION("IFERROR(GOOGLEFINANCE(A1497,""CHANGE""),)"),0.65)</f>
        <v>0.65</v>
      </c>
      <c r="D1497" s="51">
        <f>IFERROR(__xludf.DUMMYFUNCTION("IFERROR(GOOGLEFINANCE(A1497,""CHANGEPCT""),)"),0.11)</f>
        <v>0.11</v>
      </c>
      <c r="E1497" s="51" t="str">
        <f t="shared" si="1"/>
        <v>0.11%</v>
      </c>
      <c r="F1497" s="51">
        <f t="shared" si="2"/>
        <v>0.11</v>
      </c>
      <c r="G1497" s="51" t="str">
        <f t="shared" si="3"/>
        <v/>
      </c>
      <c r="H1497" s="51">
        <f>IFERROR(__xludf.DUMMYFUNCTION("IFERROR(GOOGLEFINANCE(A1497,""PRICE""),)"),586.0)</f>
        <v>586</v>
      </c>
      <c r="I1497" s="52">
        <f>IFERROR(__xludf.DUMMYFUNCTION("IFERROR(GOOGLEFINANCE(A1497,""VOLUME""),)"),1730115.0)</f>
        <v>1730115</v>
      </c>
      <c r="J1497" s="51" t="str">
        <f>IFERROR(__xludf.DUMMYFUNCTION("IFERROR(INDEX(SPLIT(A1497,"":""),1,2),)"),"UPL")</f>
        <v>UPL</v>
      </c>
      <c r="K1497" s="51">
        <f t="shared" si="4"/>
        <v>738</v>
      </c>
      <c r="L1497" s="51" t="str">
        <f t="shared" si="5"/>
        <v/>
      </c>
      <c r="M1497" s="51">
        <f t="shared" si="6"/>
        <v>191</v>
      </c>
      <c r="N1497" s="53">
        <f>IFERROR(__xludf.DUMMYFUNCTION("IFERROR(GOOGLEFINANCE(A1497,""TRADETIME""),)"),46269.64583333333)</f>
        <v>46269.64583</v>
      </c>
      <c r="O1497" s="44"/>
      <c r="P1497" s="44"/>
      <c r="Q1497" s="44"/>
      <c r="R1497" s="44"/>
      <c r="S1497" s="44"/>
      <c r="T1497" s="44"/>
      <c r="U1497" s="44"/>
      <c r="V1497" s="44"/>
      <c r="W1497" s="44"/>
      <c r="X1497" s="44"/>
      <c r="Y1497" s="44"/>
      <c r="Z1497" s="44"/>
    </row>
    <row r="1498" ht="15.75" customHeight="1">
      <c r="A1498" s="48" t="s">
        <v>1544</v>
      </c>
      <c r="B1498" s="48" t="str">
        <f>IFERROR(__xludf.DUMMYFUNCTION("IFERROR(GOOGLEFINANCE(A1498,""NAME""),)"),"Urja Global Ltd")</f>
        <v>Urja Global Ltd</v>
      </c>
      <c r="C1498" s="48">
        <f>IFERROR(__xludf.DUMMYFUNCTION("IFERROR(GOOGLEFINANCE(A1498,""CHANGE""),)"),0.04)</f>
        <v>0.04</v>
      </c>
      <c r="D1498" s="48">
        <f>IFERROR(__xludf.DUMMYFUNCTION("IFERROR(GOOGLEFINANCE(A1498,""CHANGEPCT""),)"),0.44)</f>
        <v>0.44</v>
      </c>
      <c r="E1498" s="48" t="str">
        <f t="shared" si="1"/>
        <v>0.44%</v>
      </c>
      <c r="F1498" s="48">
        <f t="shared" si="2"/>
        <v>0.44</v>
      </c>
      <c r="G1498" s="48" t="str">
        <f t="shared" si="3"/>
        <v/>
      </c>
      <c r="H1498" s="48">
        <f>IFERROR(__xludf.DUMMYFUNCTION("IFERROR(GOOGLEFINANCE(A1498,""PRICE""),)"),9.19)</f>
        <v>9.19</v>
      </c>
      <c r="I1498" s="49">
        <f>IFERROR(__xludf.DUMMYFUNCTION("IFERROR(GOOGLEFINANCE(A1498,""VOLUME""),)"),672065.0)</f>
        <v>672065</v>
      </c>
      <c r="J1498" s="48" t="str">
        <f>IFERROR(__xludf.DUMMYFUNCTION("IFERROR(INDEX(SPLIT(A1498,"":""),1,2),)"),"URJA")</f>
        <v>URJA</v>
      </c>
      <c r="K1498" s="48">
        <f t="shared" si="4"/>
        <v>613</v>
      </c>
      <c r="L1498" s="48" t="str">
        <f t="shared" si="5"/>
        <v/>
      </c>
      <c r="M1498" s="48">
        <f t="shared" si="6"/>
        <v>338</v>
      </c>
      <c r="N1498" s="50">
        <f>IFERROR(__xludf.DUMMYFUNCTION("IFERROR(GOOGLEFINANCE(A1498,""TRADETIME""),)"),46269.64583333333)</f>
        <v>46269.64583</v>
      </c>
      <c r="O1498" s="44"/>
      <c r="P1498" s="44"/>
      <c r="Q1498" s="44"/>
      <c r="R1498" s="44"/>
      <c r="S1498" s="44"/>
      <c r="T1498" s="44"/>
      <c r="U1498" s="44"/>
      <c r="V1498" s="44"/>
      <c r="W1498" s="44"/>
      <c r="X1498" s="44"/>
      <c r="Y1498" s="44"/>
      <c r="Z1498" s="44"/>
    </row>
    <row r="1499" ht="15.75" customHeight="1">
      <c r="A1499" s="51" t="s">
        <v>1545</v>
      </c>
      <c r="B1499" s="51" t="str">
        <f>IFERROR(__xludf.DUMMYFUNCTION("IFERROR(GOOGLEFINANCE(A1499,""NAME""),)"),"Usha Martin Ltd")</f>
        <v>Usha Martin Ltd</v>
      </c>
      <c r="C1499" s="51">
        <f>IFERROR(__xludf.DUMMYFUNCTION("IFERROR(GOOGLEFINANCE(A1499,""CHANGE""),)"),-3.65)</f>
        <v>-3.65</v>
      </c>
      <c r="D1499" s="51">
        <f>IFERROR(__xludf.DUMMYFUNCTION("IFERROR(GOOGLEFINANCE(A1499,""CHANGEPCT""),)"),-0.71)</f>
        <v>-0.71</v>
      </c>
      <c r="E1499" s="51" t="str">
        <f t="shared" si="1"/>
        <v>-0.71%</v>
      </c>
      <c r="F1499" s="51" t="str">
        <f t="shared" si="2"/>
        <v/>
      </c>
      <c r="G1499" s="51">
        <f t="shared" si="3"/>
        <v>-0.71</v>
      </c>
      <c r="H1499" s="51">
        <f>IFERROR(__xludf.DUMMYFUNCTION("IFERROR(GOOGLEFINANCE(A1499,""PRICE""),)"),512.0)</f>
        <v>512</v>
      </c>
      <c r="I1499" s="52">
        <f>IFERROR(__xludf.DUMMYFUNCTION("IFERROR(GOOGLEFINANCE(A1499,""VOLUME""),)"),1631592.0)</f>
        <v>1631592</v>
      </c>
      <c r="J1499" s="51" t="str">
        <f>IFERROR(__xludf.DUMMYFUNCTION("IFERROR(INDEX(SPLIT(A1499,"":""),1,2),)"),"USHAMART")</f>
        <v>USHAMART</v>
      </c>
      <c r="K1499" s="51" t="str">
        <f t="shared" si="4"/>
        <v/>
      </c>
      <c r="L1499" s="51">
        <f t="shared" si="5"/>
        <v>273</v>
      </c>
      <c r="M1499" s="51">
        <f t="shared" si="6"/>
        <v>199</v>
      </c>
      <c r="N1499" s="53">
        <f>IFERROR(__xludf.DUMMYFUNCTION("IFERROR(GOOGLEFINANCE(A1499,""TRADETIME""),)"),46269.64585648148)</f>
        <v>46269.64586</v>
      </c>
      <c r="O1499" s="44"/>
      <c r="P1499" s="44"/>
      <c r="Q1499" s="44"/>
      <c r="R1499" s="44"/>
      <c r="S1499" s="44"/>
      <c r="T1499" s="44"/>
      <c r="U1499" s="44"/>
      <c r="V1499" s="44"/>
      <c r="W1499" s="44"/>
      <c r="X1499" s="44"/>
      <c r="Y1499" s="44"/>
      <c r="Z1499" s="44"/>
    </row>
    <row r="1500" ht="15.75" customHeight="1">
      <c r="A1500" s="48" t="s">
        <v>1546</v>
      </c>
      <c r="B1500" s="48" t="str">
        <f>IFERROR(__xludf.DUMMYFUNCTION("IFERROR(GOOGLEFINANCE(A1500,""NAME""),)"),"UTI Asset Management Company Ltd")</f>
        <v>UTI Asset Management Company Ltd</v>
      </c>
      <c r="C1500" s="48">
        <f>IFERROR(__xludf.DUMMYFUNCTION("IFERROR(GOOGLEFINANCE(A1500,""CHANGE""),)"),-0.4)</f>
        <v>-0.4</v>
      </c>
      <c r="D1500" s="48">
        <f>IFERROR(__xludf.DUMMYFUNCTION("IFERROR(GOOGLEFINANCE(A1500,""CHANGEPCT""),)"),-0.05)</f>
        <v>-0.05</v>
      </c>
      <c r="E1500" s="48" t="str">
        <f t="shared" si="1"/>
        <v>-0.05%</v>
      </c>
      <c r="F1500" s="48" t="str">
        <f t="shared" si="2"/>
        <v/>
      </c>
      <c r="G1500" s="48">
        <f t="shared" si="3"/>
        <v>-0.05</v>
      </c>
      <c r="H1500" s="48">
        <f>IFERROR(__xludf.DUMMYFUNCTION("IFERROR(GOOGLEFINANCE(A1500,""PRICE""),)"),880.0)</f>
        <v>880</v>
      </c>
      <c r="I1500" s="49">
        <f>IFERROR(__xludf.DUMMYFUNCTION("IFERROR(GOOGLEFINANCE(A1500,""VOLUME""),)"),48517.0)</f>
        <v>48517</v>
      </c>
      <c r="J1500" s="48" t="str">
        <f>IFERROR(__xludf.DUMMYFUNCTION("IFERROR(INDEX(SPLIT(A1500,"":""),1,2),)"),"UTIAMC")</f>
        <v>UTIAMC</v>
      </c>
      <c r="K1500" s="48" t="str">
        <f t="shared" si="4"/>
        <v/>
      </c>
      <c r="L1500" s="48">
        <f t="shared" si="5"/>
        <v>15</v>
      </c>
      <c r="M1500" s="48">
        <f t="shared" si="6"/>
        <v>956</v>
      </c>
      <c r="N1500" s="50">
        <f>IFERROR(__xludf.DUMMYFUNCTION("IFERROR(GOOGLEFINANCE(A1500,""TRADETIME""),)"),46269.64583333333)</f>
        <v>46269.64583</v>
      </c>
      <c r="O1500" s="44"/>
      <c r="P1500" s="44"/>
      <c r="Q1500" s="44"/>
      <c r="R1500" s="44"/>
      <c r="S1500" s="44"/>
      <c r="T1500" s="44"/>
      <c r="U1500" s="44"/>
      <c r="V1500" s="44"/>
      <c r="W1500" s="44"/>
      <c r="X1500" s="44"/>
      <c r="Y1500" s="44"/>
      <c r="Z1500" s="44"/>
    </row>
    <row r="1501" ht="15.75" customHeight="1">
      <c r="A1501" s="51" t="s">
        <v>1547</v>
      </c>
      <c r="B1501" s="51" t="str">
        <f>IFERROR(__xludf.DUMMYFUNCTION("IFERROR(GOOGLEFINANCE(A1501,""NAME""),)"),"Uttam Sugar Mills Limited")</f>
        <v>Uttam Sugar Mills Limited</v>
      </c>
      <c r="C1501" s="51">
        <f>IFERROR(__xludf.DUMMYFUNCTION("IFERROR(GOOGLEFINANCE(A1501,""CHANGE""),)"),-18.0)</f>
        <v>-18</v>
      </c>
      <c r="D1501" s="51">
        <f>IFERROR(__xludf.DUMMYFUNCTION("IFERROR(GOOGLEFINANCE(A1501,""CHANGEPCT""),)"),-6.02)</f>
        <v>-6.02</v>
      </c>
      <c r="E1501" s="51" t="str">
        <f t="shared" si="1"/>
        <v>-6.02%</v>
      </c>
      <c r="F1501" s="51" t="str">
        <f t="shared" si="2"/>
        <v/>
      </c>
      <c r="G1501" s="51">
        <f t="shared" si="3"/>
        <v>-6.02</v>
      </c>
      <c r="H1501" s="51">
        <f>IFERROR(__xludf.DUMMYFUNCTION("IFERROR(GOOGLEFINANCE(A1501,""PRICE""),)"),281.0)</f>
        <v>281</v>
      </c>
      <c r="I1501" s="52">
        <f>IFERROR(__xludf.DUMMYFUNCTION("IFERROR(GOOGLEFINANCE(A1501,""VOLUME""),)"),383064.0)</f>
        <v>383064</v>
      </c>
      <c r="J1501" s="51" t="str">
        <f>IFERROR(__xludf.DUMMYFUNCTION("IFERROR(INDEX(SPLIT(A1501,"":""),1,2),)"),"UTTAMSUGAR")</f>
        <v>UTTAMSUGAR</v>
      </c>
      <c r="K1501" s="51" t="str">
        <f t="shared" si="4"/>
        <v/>
      </c>
      <c r="L1501" s="51">
        <f t="shared" si="5"/>
        <v>647</v>
      </c>
      <c r="M1501" s="51">
        <f t="shared" si="6"/>
        <v>453</v>
      </c>
      <c r="N1501" s="53">
        <f>IFERROR(__xludf.DUMMYFUNCTION("IFERROR(GOOGLEFINANCE(A1501,""TRADETIME""),)"),46269.64583333333)</f>
        <v>46269.64583</v>
      </c>
      <c r="O1501" s="44"/>
      <c r="P1501" s="44"/>
      <c r="Q1501" s="44"/>
      <c r="R1501" s="44"/>
      <c r="S1501" s="44"/>
      <c r="T1501" s="44"/>
      <c r="U1501" s="44"/>
      <c r="V1501" s="44"/>
      <c r="W1501" s="44"/>
      <c r="X1501" s="44"/>
      <c r="Y1501" s="44"/>
      <c r="Z1501" s="44"/>
    </row>
    <row r="1502" ht="15.75" customHeight="1">
      <c r="A1502" s="48" t="s">
        <v>1548</v>
      </c>
      <c r="B1502" s="48" t="str">
        <f>IFERROR(__xludf.DUMMYFUNCTION("IFERROR(GOOGLEFINANCE(A1502,""NAME""),)"),"V2 Retail Ltd")</f>
        <v>V2 Retail Ltd</v>
      </c>
      <c r="C1502" s="48">
        <f>IFERROR(__xludf.DUMMYFUNCTION("IFERROR(GOOGLEFINANCE(A1502,""CHANGE""),)"),-2.8)</f>
        <v>-2.8</v>
      </c>
      <c r="D1502" s="48">
        <f>IFERROR(__xludf.DUMMYFUNCTION("IFERROR(GOOGLEFINANCE(A1502,""CHANGEPCT""),)"),-1.28)</f>
        <v>-1.28</v>
      </c>
      <c r="E1502" s="48" t="str">
        <f t="shared" si="1"/>
        <v>-1.28%</v>
      </c>
      <c r="F1502" s="48" t="str">
        <f t="shared" si="2"/>
        <v/>
      </c>
      <c r="G1502" s="48">
        <f t="shared" si="3"/>
        <v>-1.28</v>
      </c>
      <c r="H1502" s="48">
        <f>IFERROR(__xludf.DUMMYFUNCTION("IFERROR(GOOGLEFINANCE(A1502,""PRICE""),)"),216.2)</f>
        <v>216.2</v>
      </c>
      <c r="I1502" s="49">
        <f>IFERROR(__xludf.DUMMYFUNCTION("IFERROR(GOOGLEFINANCE(A1502,""VOLUME""),)"),1628077.0)</f>
        <v>1628077</v>
      </c>
      <c r="J1502" s="48" t="str">
        <f>IFERROR(__xludf.DUMMYFUNCTION("IFERROR(INDEX(SPLIT(A1502,"":""),1,2),)"),"V2RETAIL")</f>
        <v>V2RETAIL</v>
      </c>
      <c r="K1502" s="48" t="str">
        <f t="shared" si="4"/>
        <v/>
      </c>
      <c r="L1502" s="48">
        <f t="shared" si="5"/>
        <v>400</v>
      </c>
      <c r="M1502" s="48">
        <f t="shared" si="6"/>
        <v>200</v>
      </c>
      <c r="N1502" s="50">
        <f>IFERROR(__xludf.DUMMYFUNCTION("IFERROR(GOOGLEFINANCE(A1502,""TRADETIME""),)"),46269.64583333333)</f>
        <v>46269.64583</v>
      </c>
      <c r="O1502" s="44"/>
      <c r="P1502" s="44"/>
      <c r="Q1502" s="44"/>
      <c r="R1502" s="44"/>
      <c r="S1502" s="44"/>
      <c r="T1502" s="44"/>
      <c r="U1502" s="44"/>
      <c r="V1502" s="44"/>
      <c r="W1502" s="44"/>
      <c r="X1502" s="44"/>
      <c r="Y1502" s="44"/>
      <c r="Z1502" s="44"/>
    </row>
    <row r="1503" ht="15.75" customHeight="1">
      <c r="A1503" s="51" t="s">
        <v>1549</v>
      </c>
      <c r="B1503" s="51" t="str">
        <f>IFERROR(__xludf.DUMMYFUNCTION("IFERROR(GOOGLEFINANCE(A1503,""NAME""),)"),"Vadilal Industries Ltd")</f>
        <v>Vadilal Industries Ltd</v>
      </c>
      <c r="C1503" s="51">
        <f>IFERROR(__xludf.DUMMYFUNCTION("IFERROR(GOOGLEFINANCE(A1503,""CHANGE""),)"),15.5)</f>
        <v>15.5</v>
      </c>
      <c r="D1503" s="51">
        <f>IFERROR(__xludf.DUMMYFUNCTION("IFERROR(GOOGLEFINANCE(A1503,""CHANGEPCT""),)"),0.2)</f>
        <v>0.2</v>
      </c>
      <c r="E1503" s="51" t="str">
        <f t="shared" si="1"/>
        <v>0.2%</v>
      </c>
      <c r="F1503" s="51">
        <f t="shared" si="2"/>
        <v>0.2</v>
      </c>
      <c r="G1503" s="51" t="str">
        <f t="shared" si="3"/>
        <v/>
      </c>
      <c r="H1503" s="51">
        <f>IFERROR(__xludf.DUMMYFUNCTION("IFERROR(GOOGLEFINANCE(A1503,""PRICE""),)"),7630.5)</f>
        <v>7630.5</v>
      </c>
      <c r="I1503" s="52">
        <f>IFERROR(__xludf.DUMMYFUNCTION("IFERROR(GOOGLEFINANCE(A1503,""VOLUME""),)"),7172.0)</f>
        <v>7172</v>
      </c>
      <c r="J1503" s="51" t="str">
        <f>IFERROR(__xludf.DUMMYFUNCTION("IFERROR(INDEX(SPLIT(A1503,"":""),1,2),)"),"VADILALIND")</f>
        <v>VADILALIND</v>
      </c>
      <c r="K1503" s="51">
        <f t="shared" si="4"/>
        <v>698</v>
      </c>
      <c r="L1503" s="51" t="str">
        <f t="shared" si="5"/>
        <v/>
      </c>
      <c r="M1503" s="51">
        <f t="shared" si="6"/>
        <v>1283</v>
      </c>
      <c r="N1503" s="53">
        <f>IFERROR(__xludf.DUMMYFUNCTION("IFERROR(GOOGLEFINANCE(A1503,""TRADETIME""),)"),46269.64583333333)</f>
        <v>46269.64583</v>
      </c>
      <c r="O1503" s="44"/>
      <c r="P1503" s="44"/>
      <c r="Q1503" s="44"/>
      <c r="R1503" s="44"/>
      <c r="S1503" s="44"/>
      <c r="T1503" s="44"/>
      <c r="U1503" s="44"/>
      <c r="V1503" s="44"/>
      <c r="W1503" s="44"/>
      <c r="X1503" s="44"/>
      <c r="Y1503" s="44"/>
      <c r="Z1503" s="44"/>
    </row>
    <row r="1504" ht="15.75" customHeight="1">
      <c r="A1504" s="48" t="s">
        <v>1550</v>
      </c>
      <c r="B1504" s="48" t="str">
        <f>IFERROR(__xludf.DUMMYFUNCTION("IFERROR(GOOGLEFINANCE(A1504,""NAME""),)"),"Vaibhav Global Ltd")</f>
        <v>Vaibhav Global Ltd</v>
      </c>
      <c r="C1504" s="48">
        <f>IFERROR(__xludf.DUMMYFUNCTION("IFERROR(GOOGLEFINANCE(A1504,""CHANGE""),)"),3.71)</f>
        <v>3.71</v>
      </c>
      <c r="D1504" s="48">
        <f>IFERROR(__xludf.DUMMYFUNCTION("IFERROR(GOOGLEFINANCE(A1504,""CHANGEPCT""),)"),1.72)</f>
        <v>1.72</v>
      </c>
      <c r="E1504" s="48" t="str">
        <f t="shared" si="1"/>
        <v>1.72%</v>
      </c>
      <c r="F1504" s="48">
        <f t="shared" si="2"/>
        <v>1.72</v>
      </c>
      <c r="G1504" s="48" t="str">
        <f t="shared" si="3"/>
        <v/>
      </c>
      <c r="H1504" s="48">
        <f>IFERROR(__xludf.DUMMYFUNCTION("IFERROR(GOOGLEFINANCE(A1504,""PRICE""),)"),219.01)</f>
        <v>219.01</v>
      </c>
      <c r="I1504" s="49">
        <f>IFERROR(__xludf.DUMMYFUNCTION("IFERROR(GOOGLEFINANCE(A1504,""VOLUME""),)"),304029.0)</f>
        <v>304029</v>
      </c>
      <c r="J1504" s="48" t="str">
        <f>IFERROR(__xludf.DUMMYFUNCTION("IFERROR(INDEX(SPLIT(A1504,"":""),1,2),)"),"VAIBHAVGBL")</f>
        <v>VAIBHAVGBL</v>
      </c>
      <c r="K1504" s="48">
        <f t="shared" si="4"/>
        <v>307</v>
      </c>
      <c r="L1504" s="48" t="str">
        <f t="shared" si="5"/>
        <v/>
      </c>
      <c r="M1504" s="48">
        <f t="shared" si="6"/>
        <v>512</v>
      </c>
      <c r="N1504" s="50">
        <f>IFERROR(__xludf.DUMMYFUNCTION("IFERROR(GOOGLEFINANCE(A1504,""TRADETIME""),)"),46269.64584490741)</f>
        <v>46269.64584</v>
      </c>
      <c r="O1504" s="44"/>
      <c r="P1504" s="44"/>
      <c r="Q1504" s="44"/>
      <c r="R1504" s="44"/>
      <c r="S1504" s="44"/>
      <c r="T1504" s="44"/>
      <c r="U1504" s="44"/>
      <c r="V1504" s="44"/>
      <c r="W1504" s="44"/>
      <c r="X1504" s="44"/>
      <c r="Y1504" s="44"/>
      <c r="Z1504" s="44"/>
    </row>
    <row r="1505" ht="15.75" customHeight="1">
      <c r="A1505" s="51" t="s">
        <v>1551</v>
      </c>
      <c r="B1505" s="51" t="str">
        <f>IFERROR(__xludf.DUMMYFUNCTION("IFERROR(GOOGLEFINANCE(A1505,""NAME""),)"),"Vaishali Pharma Ltd")</f>
        <v>Vaishali Pharma Ltd</v>
      </c>
      <c r="C1505" s="51">
        <f>IFERROR(__xludf.DUMMYFUNCTION("IFERROR(GOOGLEFINANCE(A1505,""CHANGE""),)"),0.04)</f>
        <v>0.04</v>
      </c>
      <c r="D1505" s="51">
        <f>IFERROR(__xludf.DUMMYFUNCTION("IFERROR(GOOGLEFINANCE(A1505,""CHANGEPCT""),)"),0.48)</f>
        <v>0.48</v>
      </c>
      <c r="E1505" s="51" t="str">
        <f t="shared" si="1"/>
        <v>0.48%</v>
      </c>
      <c r="F1505" s="51">
        <f t="shared" si="2"/>
        <v>0.48</v>
      </c>
      <c r="G1505" s="51" t="str">
        <f t="shared" si="3"/>
        <v/>
      </c>
      <c r="H1505" s="51">
        <f>IFERROR(__xludf.DUMMYFUNCTION("IFERROR(GOOGLEFINANCE(A1505,""PRICE""),)"),8.4)</f>
        <v>8.4</v>
      </c>
      <c r="I1505" s="52">
        <f>IFERROR(__xludf.DUMMYFUNCTION("IFERROR(GOOGLEFINANCE(A1505,""VOLUME""),)"),68892.0)</f>
        <v>68892</v>
      </c>
      <c r="J1505" s="51" t="str">
        <f>IFERROR(__xludf.DUMMYFUNCTION("IFERROR(INDEX(SPLIT(A1505,"":""),1,2),)"),"VAISHALI")</f>
        <v>VAISHALI</v>
      </c>
      <c r="K1505" s="51">
        <f t="shared" si="4"/>
        <v>601</v>
      </c>
      <c r="L1505" s="51" t="str">
        <f t="shared" si="5"/>
        <v/>
      </c>
      <c r="M1505" s="51">
        <f t="shared" si="6"/>
        <v>865</v>
      </c>
      <c r="N1505" s="53">
        <f>IFERROR(__xludf.DUMMYFUNCTION("IFERROR(GOOGLEFINANCE(A1505,""TRADETIME""),)"),46269.64583333333)</f>
        <v>46269.64583</v>
      </c>
      <c r="O1505" s="44"/>
      <c r="P1505" s="44"/>
      <c r="Q1505" s="44"/>
      <c r="R1505" s="44"/>
      <c r="S1505" s="44"/>
      <c r="T1505" s="44"/>
      <c r="U1505" s="44"/>
      <c r="V1505" s="44"/>
      <c r="W1505" s="44"/>
      <c r="X1505" s="44"/>
      <c r="Y1505" s="44"/>
      <c r="Z1505" s="44"/>
    </row>
    <row r="1506" ht="15.75" customHeight="1">
      <c r="A1506" s="48" t="s">
        <v>1552</v>
      </c>
      <c r="B1506" s="48" t="str">
        <f>IFERROR(__xludf.DUMMYFUNCTION("IFERROR(GOOGLEFINANCE(A1506,""NAME""),)"),"Vakrangee Limited")</f>
        <v>Vakrangee Limited</v>
      </c>
      <c r="C1506" s="48">
        <f>IFERROR(__xludf.DUMMYFUNCTION("IFERROR(GOOGLEFINANCE(A1506,""CHANGE""),)"),0.01)</f>
        <v>0.01</v>
      </c>
      <c r="D1506" s="48">
        <f>IFERROR(__xludf.DUMMYFUNCTION("IFERROR(GOOGLEFINANCE(A1506,""CHANGEPCT""),)"),0.17)</f>
        <v>0.17</v>
      </c>
      <c r="E1506" s="48" t="str">
        <f t="shared" si="1"/>
        <v>0.17%</v>
      </c>
      <c r="F1506" s="48">
        <f t="shared" si="2"/>
        <v>0.17</v>
      </c>
      <c r="G1506" s="48" t="str">
        <f t="shared" si="3"/>
        <v/>
      </c>
      <c r="H1506" s="48">
        <f>IFERROR(__xludf.DUMMYFUNCTION("IFERROR(GOOGLEFINANCE(A1506,""PRICE""),)"),5.81)</f>
        <v>5.81</v>
      </c>
      <c r="I1506" s="49">
        <f>IFERROR(__xludf.DUMMYFUNCTION("IFERROR(GOOGLEFINANCE(A1506,""VOLUME""),)"),1296846.0)</f>
        <v>1296846</v>
      </c>
      <c r="J1506" s="48" t="str">
        <f>IFERROR(__xludf.DUMMYFUNCTION("IFERROR(INDEX(SPLIT(A1506,"":""),1,2),)"),"VAKRANGEE")</f>
        <v>VAKRANGEE</v>
      </c>
      <c r="K1506" s="48">
        <f t="shared" si="4"/>
        <v>715</v>
      </c>
      <c r="L1506" s="48" t="str">
        <f t="shared" si="5"/>
        <v/>
      </c>
      <c r="M1506" s="48">
        <f t="shared" si="6"/>
        <v>228</v>
      </c>
      <c r="N1506" s="50">
        <f>IFERROR(__xludf.DUMMYFUNCTION("IFERROR(GOOGLEFINANCE(A1506,""TRADETIME""),)"),46269.64583333333)</f>
        <v>46269.64583</v>
      </c>
      <c r="O1506" s="44"/>
      <c r="P1506" s="44"/>
      <c r="Q1506" s="44"/>
      <c r="R1506" s="44"/>
      <c r="S1506" s="44"/>
      <c r="T1506" s="44"/>
      <c r="U1506" s="44"/>
      <c r="V1506" s="44"/>
      <c r="W1506" s="44"/>
      <c r="X1506" s="44"/>
      <c r="Y1506" s="44"/>
      <c r="Z1506" s="44"/>
    </row>
    <row r="1507" ht="15.75" customHeight="1">
      <c r="A1507" s="51" t="s">
        <v>1553</v>
      </c>
      <c r="B1507" s="51" t="str">
        <f>IFERROR(__xludf.DUMMYFUNCTION("IFERROR(GOOGLEFINANCE(A1507,""NAME""),)"),"Valiant Organics Ltd")</f>
        <v>Valiant Organics Ltd</v>
      </c>
      <c r="C1507" s="51">
        <f>IFERROR(__xludf.DUMMYFUNCTION("IFERROR(GOOGLEFINANCE(A1507,""CHANGE""),)"),2.95)</f>
        <v>2.95</v>
      </c>
      <c r="D1507" s="51">
        <f>IFERROR(__xludf.DUMMYFUNCTION("IFERROR(GOOGLEFINANCE(A1507,""CHANGEPCT""),)"),0.93)</f>
        <v>0.93</v>
      </c>
      <c r="E1507" s="51" t="str">
        <f t="shared" si="1"/>
        <v>0.93%</v>
      </c>
      <c r="F1507" s="51">
        <f t="shared" si="2"/>
        <v>0.93</v>
      </c>
      <c r="G1507" s="51" t="str">
        <f t="shared" si="3"/>
        <v/>
      </c>
      <c r="H1507" s="51">
        <f>IFERROR(__xludf.DUMMYFUNCTION("IFERROR(GOOGLEFINANCE(A1507,""PRICE""),)"),319.1)</f>
        <v>319.1</v>
      </c>
      <c r="I1507" s="52">
        <f>IFERROR(__xludf.DUMMYFUNCTION("IFERROR(GOOGLEFINANCE(A1507,""VOLUME""),)"),45087.0)</f>
        <v>45087</v>
      </c>
      <c r="J1507" s="51" t="str">
        <f>IFERROR(__xludf.DUMMYFUNCTION("IFERROR(INDEX(SPLIT(A1507,"":""),1,2),)"),"VALIANTORG")</f>
        <v>VALIANTORG</v>
      </c>
      <c r="K1507" s="51">
        <f t="shared" si="4"/>
        <v>465</v>
      </c>
      <c r="L1507" s="51" t="str">
        <f t="shared" si="5"/>
        <v/>
      </c>
      <c r="M1507" s="51">
        <f t="shared" si="6"/>
        <v>970</v>
      </c>
      <c r="N1507" s="53">
        <f>IFERROR(__xludf.DUMMYFUNCTION("IFERROR(GOOGLEFINANCE(A1507,""TRADETIME""),)"),46269.64583333333)</f>
        <v>46269.64583</v>
      </c>
      <c r="O1507" s="44"/>
      <c r="P1507" s="44"/>
      <c r="Q1507" s="44"/>
      <c r="R1507" s="44"/>
      <c r="S1507" s="44"/>
      <c r="T1507" s="44"/>
      <c r="U1507" s="44"/>
      <c r="V1507" s="44"/>
      <c r="W1507" s="44"/>
      <c r="X1507" s="44"/>
      <c r="Y1507" s="44"/>
      <c r="Z1507" s="44"/>
    </row>
    <row r="1508" ht="15.75" customHeight="1">
      <c r="A1508" s="48" t="s">
        <v>1554</v>
      </c>
      <c r="B1508" s="48" t="str">
        <f>IFERROR(__xludf.DUMMYFUNCTION("IFERROR(GOOGLEFINANCE(A1508,""NAME""),)"),"Vardhman Acrylics Limited")</f>
        <v>Vardhman Acrylics Limited</v>
      </c>
      <c r="C1508" s="48">
        <f>IFERROR(__xludf.DUMMYFUNCTION("IFERROR(GOOGLEFINANCE(A1508,""CHANGE""),)"),0.68)</f>
        <v>0.68</v>
      </c>
      <c r="D1508" s="48">
        <f>IFERROR(__xludf.DUMMYFUNCTION("IFERROR(GOOGLEFINANCE(A1508,""CHANGEPCT""),)"),1.57)</f>
        <v>1.57</v>
      </c>
      <c r="E1508" s="48" t="str">
        <f t="shared" si="1"/>
        <v>1.57%</v>
      </c>
      <c r="F1508" s="48">
        <f t="shared" si="2"/>
        <v>1.57</v>
      </c>
      <c r="G1508" s="48" t="str">
        <f t="shared" si="3"/>
        <v/>
      </c>
      <c r="H1508" s="48">
        <f>IFERROR(__xludf.DUMMYFUNCTION("IFERROR(GOOGLEFINANCE(A1508,""PRICE""),)"),43.95)</f>
        <v>43.95</v>
      </c>
      <c r="I1508" s="49">
        <f>IFERROR(__xludf.DUMMYFUNCTION("IFERROR(GOOGLEFINANCE(A1508,""VOLUME""),)"),13445.0)</f>
        <v>13445</v>
      </c>
      <c r="J1508" s="48" t="str">
        <f>IFERROR(__xludf.DUMMYFUNCTION("IFERROR(INDEX(SPLIT(A1508,"":""),1,2),)"),"VARDHACRLC")</f>
        <v>VARDHACRLC</v>
      </c>
      <c r="K1508" s="48">
        <f t="shared" si="4"/>
        <v>333</v>
      </c>
      <c r="L1508" s="48" t="str">
        <f t="shared" si="5"/>
        <v/>
      </c>
      <c r="M1508" s="48">
        <f t="shared" si="6"/>
        <v>1192</v>
      </c>
      <c r="N1508" s="50">
        <f>IFERROR(__xludf.DUMMYFUNCTION("IFERROR(GOOGLEFINANCE(A1508,""TRADETIME""),)"),46269.64583333333)</f>
        <v>46269.64583</v>
      </c>
      <c r="O1508" s="44"/>
      <c r="P1508" s="44"/>
      <c r="Q1508" s="44"/>
      <c r="R1508" s="44"/>
      <c r="S1508" s="44"/>
      <c r="T1508" s="44"/>
      <c r="U1508" s="44"/>
      <c r="V1508" s="44"/>
      <c r="W1508" s="44"/>
      <c r="X1508" s="44"/>
      <c r="Y1508" s="44"/>
      <c r="Z1508" s="44"/>
    </row>
    <row r="1509" ht="15.75" customHeight="1">
      <c r="A1509" s="51" t="s">
        <v>1555</v>
      </c>
      <c r="B1509" s="51" t="str">
        <f>IFERROR(__xludf.DUMMYFUNCTION("IFERROR(GOOGLEFINANCE(A1509,""NAME""),)"),"Vardhman Polytex Ltd")</f>
        <v>Vardhman Polytex Ltd</v>
      </c>
      <c r="C1509" s="51">
        <f>IFERROR(__xludf.DUMMYFUNCTION("IFERROR(GOOGLEFINANCE(A1509,""CHANGE""),)"),-0.09)</f>
        <v>-0.09</v>
      </c>
      <c r="D1509" s="51">
        <f>IFERROR(__xludf.DUMMYFUNCTION("IFERROR(GOOGLEFINANCE(A1509,""CHANGEPCT""),)"),-1.52)</f>
        <v>-1.52</v>
      </c>
      <c r="E1509" s="51" t="str">
        <f t="shared" si="1"/>
        <v>-1.52%</v>
      </c>
      <c r="F1509" s="51" t="str">
        <f t="shared" si="2"/>
        <v/>
      </c>
      <c r="G1509" s="51">
        <f t="shared" si="3"/>
        <v>-1.52</v>
      </c>
      <c r="H1509" s="51">
        <f>IFERROR(__xludf.DUMMYFUNCTION("IFERROR(GOOGLEFINANCE(A1509,""PRICE""),)"),5.85)</f>
        <v>5.85</v>
      </c>
      <c r="I1509" s="52">
        <f>IFERROR(__xludf.DUMMYFUNCTION("IFERROR(GOOGLEFINANCE(A1509,""VOLUME""),)"),118267.0)</f>
        <v>118267</v>
      </c>
      <c r="J1509" s="51" t="str">
        <f>IFERROR(__xludf.DUMMYFUNCTION("IFERROR(INDEX(SPLIT(A1509,"":""),1,2),)"),"VARDMNPOLY")</f>
        <v>VARDMNPOLY</v>
      </c>
      <c r="K1509" s="51" t="str">
        <f t="shared" si="4"/>
        <v/>
      </c>
      <c r="L1509" s="51">
        <f t="shared" si="5"/>
        <v>455</v>
      </c>
      <c r="M1509" s="51">
        <f t="shared" si="6"/>
        <v>739</v>
      </c>
      <c r="N1509" s="53">
        <f>IFERROR(__xludf.DUMMYFUNCTION("IFERROR(GOOGLEFINANCE(A1509,""TRADETIME""),)"),46269.64583333333)</f>
        <v>46269.64583</v>
      </c>
      <c r="O1509" s="44"/>
      <c r="P1509" s="44"/>
      <c r="Q1509" s="44"/>
      <c r="R1509" s="44"/>
      <c r="S1509" s="44"/>
      <c r="T1509" s="44"/>
      <c r="U1509" s="44"/>
      <c r="V1509" s="44"/>
      <c r="W1509" s="44"/>
      <c r="X1509" s="44"/>
      <c r="Y1509" s="44"/>
      <c r="Z1509" s="44"/>
    </row>
    <row r="1510" ht="15.75" customHeight="1">
      <c r="A1510" s="48" t="s">
        <v>1556</v>
      </c>
      <c r="B1510" s="48" t="str">
        <f>IFERROR(__xludf.DUMMYFUNCTION("IFERROR(GOOGLEFINANCE(A1510,""NAME""),)"),"Varroc Engineering Ltd")</f>
        <v>Varroc Engineering Ltd</v>
      </c>
      <c r="C1510" s="48">
        <f>IFERROR(__xludf.DUMMYFUNCTION("IFERROR(GOOGLEFINANCE(A1510,""CHANGE""),)"),-11.65)</f>
        <v>-11.65</v>
      </c>
      <c r="D1510" s="48">
        <f>IFERROR(__xludf.DUMMYFUNCTION("IFERROR(GOOGLEFINANCE(A1510,""CHANGEPCT""),)"),-1.39)</f>
        <v>-1.39</v>
      </c>
      <c r="E1510" s="48" t="str">
        <f t="shared" si="1"/>
        <v>-1.39%</v>
      </c>
      <c r="F1510" s="48" t="str">
        <f t="shared" si="2"/>
        <v/>
      </c>
      <c r="G1510" s="48">
        <f t="shared" si="3"/>
        <v>-1.39</v>
      </c>
      <c r="H1510" s="48">
        <f>IFERROR(__xludf.DUMMYFUNCTION("IFERROR(GOOGLEFINANCE(A1510,""PRICE""),)"),827.5)</f>
        <v>827.5</v>
      </c>
      <c r="I1510" s="49">
        <f>IFERROR(__xludf.DUMMYFUNCTION("IFERROR(GOOGLEFINANCE(A1510,""VOLUME""),)"),282257.0)</f>
        <v>282257</v>
      </c>
      <c r="J1510" s="48" t="str">
        <f>IFERROR(__xludf.DUMMYFUNCTION("IFERROR(INDEX(SPLIT(A1510,"":""),1,2),)"),"VARROC")</f>
        <v>VARROC</v>
      </c>
      <c r="K1510" s="48" t="str">
        <f t="shared" si="4"/>
        <v/>
      </c>
      <c r="L1510" s="48">
        <f t="shared" si="5"/>
        <v>427</v>
      </c>
      <c r="M1510" s="48">
        <f t="shared" si="6"/>
        <v>535</v>
      </c>
      <c r="N1510" s="50">
        <f>IFERROR(__xludf.DUMMYFUNCTION("IFERROR(GOOGLEFINANCE(A1510,""TRADETIME""),)"),46269.64585648148)</f>
        <v>46269.64586</v>
      </c>
      <c r="O1510" s="44"/>
      <c r="P1510" s="44"/>
      <c r="Q1510" s="44"/>
      <c r="R1510" s="44"/>
      <c r="S1510" s="44"/>
      <c r="T1510" s="44"/>
      <c r="U1510" s="44"/>
      <c r="V1510" s="44"/>
      <c r="W1510" s="44"/>
      <c r="X1510" s="44"/>
      <c r="Y1510" s="44"/>
      <c r="Z1510" s="44"/>
    </row>
    <row r="1511" ht="15.75" customHeight="1">
      <c r="A1511" s="51" t="s">
        <v>1557</v>
      </c>
      <c r="B1511" s="51" t="str">
        <f>IFERROR(__xludf.DUMMYFUNCTION("IFERROR(GOOGLEFINANCE(A1511,""NAME""),)"),"VASCON ENGINEERS LIMITED")</f>
        <v>VASCON ENGINEERS LIMITED</v>
      </c>
      <c r="C1511" s="51">
        <f>IFERROR(__xludf.DUMMYFUNCTION("IFERROR(GOOGLEFINANCE(A1511,""CHANGE""),)"),0.58)</f>
        <v>0.58</v>
      </c>
      <c r="D1511" s="51">
        <f>IFERROR(__xludf.DUMMYFUNCTION("IFERROR(GOOGLEFINANCE(A1511,""CHANGEPCT""),)"),1.93)</f>
        <v>1.93</v>
      </c>
      <c r="E1511" s="51" t="str">
        <f t="shared" si="1"/>
        <v>1.93%</v>
      </c>
      <c r="F1511" s="51">
        <f t="shared" si="2"/>
        <v>1.93</v>
      </c>
      <c r="G1511" s="51" t="str">
        <f t="shared" si="3"/>
        <v/>
      </c>
      <c r="H1511" s="51">
        <f>IFERROR(__xludf.DUMMYFUNCTION("IFERROR(GOOGLEFINANCE(A1511,""PRICE""),)"),30.63)</f>
        <v>30.63</v>
      </c>
      <c r="I1511" s="52">
        <f>IFERROR(__xludf.DUMMYFUNCTION("IFERROR(GOOGLEFINANCE(A1511,""VOLUME""),)"),205749.0)</f>
        <v>205749</v>
      </c>
      <c r="J1511" s="51" t="str">
        <f>IFERROR(__xludf.DUMMYFUNCTION("IFERROR(INDEX(SPLIT(A1511,"":""),1,2),)"),"VASCONEQ")</f>
        <v>VASCONEQ</v>
      </c>
      <c r="K1511" s="51">
        <f t="shared" si="4"/>
        <v>275</v>
      </c>
      <c r="L1511" s="51" t="str">
        <f t="shared" si="5"/>
        <v/>
      </c>
      <c r="M1511" s="51">
        <f t="shared" si="6"/>
        <v>619</v>
      </c>
      <c r="N1511" s="53">
        <f>IFERROR(__xludf.DUMMYFUNCTION("IFERROR(GOOGLEFINANCE(A1511,""TRADETIME""),)"),46269.64583333333)</f>
        <v>46269.64583</v>
      </c>
      <c r="O1511" s="44"/>
      <c r="P1511" s="44"/>
      <c r="Q1511" s="44"/>
      <c r="R1511" s="44"/>
      <c r="S1511" s="44"/>
      <c r="T1511" s="44"/>
      <c r="U1511" s="44"/>
      <c r="V1511" s="44"/>
      <c r="W1511" s="44"/>
      <c r="X1511" s="44"/>
      <c r="Y1511" s="44"/>
      <c r="Z1511" s="44"/>
    </row>
    <row r="1512" ht="15.75" customHeight="1">
      <c r="A1512" s="48" t="s">
        <v>1558</v>
      </c>
      <c r="B1512" s="48" t="str">
        <f>IFERROR(__xludf.DUMMYFUNCTION("IFERROR(GOOGLEFINANCE(A1512,""NAME""),)"),"Vaswani Industries Ltd")</f>
        <v>Vaswani Industries Ltd</v>
      </c>
      <c r="C1512" s="48">
        <f>IFERROR(__xludf.DUMMYFUNCTION("IFERROR(GOOGLEFINANCE(A1512,""CHANGE""),)"),-0.26)</f>
        <v>-0.26</v>
      </c>
      <c r="D1512" s="48">
        <f>IFERROR(__xludf.DUMMYFUNCTION("IFERROR(GOOGLEFINANCE(A1512,""CHANGEPCT""),)"),-0.56)</f>
        <v>-0.56</v>
      </c>
      <c r="E1512" s="48" t="str">
        <f t="shared" si="1"/>
        <v>-0.56%</v>
      </c>
      <c r="F1512" s="48" t="str">
        <f t="shared" si="2"/>
        <v/>
      </c>
      <c r="G1512" s="48">
        <f t="shared" si="3"/>
        <v>-0.56</v>
      </c>
      <c r="H1512" s="48">
        <f>IFERROR(__xludf.DUMMYFUNCTION("IFERROR(GOOGLEFINANCE(A1512,""PRICE""),)"),46.26)</f>
        <v>46.26</v>
      </c>
      <c r="I1512" s="49">
        <f>IFERROR(__xludf.DUMMYFUNCTION("IFERROR(GOOGLEFINANCE(A1512,""VOLUME""),)"),17934.0)</f>
        <v>17934</v>
      </c>
      <c r="J1512" s="48" t="str">
        <f>IFERROR(__xludf.DUMMYFUNCTION("IFERROR(INDEX(SPLIT(A1512,"":""),1,2),)"),"VASWANI")</f>
        <v>VASWANI</v>
      </c>
      <c r="K1512" s="48" t="str">
        <f t="shared" si="4"/>
        <v/>
      </c>
      <c r="L1512" s="48">
        <f t="shared" si="5"/>
        <v>216</v>
      </c>
      <c r="M1512" s="48">
        <f t="shared" si="6"/>
        <v>1148</v>
      </c>
      <c r="N1512" s="50">
        <f>IFERROR(__xludf.DUMMYFUNCTION("IFERROR(GOOGLEFINANCE(A1512,""TRADETIME""),)"),46269.64583333333)</f>
        <v>46269.64583</v>
      </c>
      <c r="O1512" s="44"/>
      <c r="P1512" s="44"/>
      <c r="Q1512" s="44"/>
      <c r="R1512" s="44"/>
      <c r="S1512" s="44"/>
      <c r="T1512" s="44"/>
      <c r="U1512" s="44"/>
      <c r="V1512" s="44"/>
      <c r="W1512" s="44"/>
      <c r="X1512" s="44"/>
      <c r="Y1512" s="44"/>
      <c r="Z1512" s="44"/>
    </row>
    <row r="1513" ht="15.75" customHeight="1">
      <c r="A1513" s="51" t="s">
        <v>1559</v>
      </c>
      <c r="B1513" s="51" t="str">
        <f>IFERROR(__xludf.DUMMYFUNCTION("IFERROR(GOOGLEFINANCE(A1513,""NAME""),)"),"Varun Beverages Ltd")</f>
        <v>Varun Beverages Ltd</v>
      </c>
      <c r="C1513" s="51">
        <f>IFERROR(__xludf.DUMMYFUNCTION("IFERROR(GOOGLEFINANCE(A1513,""CHANGE""),)"),0.55)</f>
        <v>0.55</v>
      </c>
      <c r="D1513" s="51">
        <f>IFERROR(__xludf.DUMMYFUNCTION("IFERROR(GOOGLEFINANCE(A1513,""CHANGEPCT""),)"),0.14)</f>
        <v>0.14</v>
      </c>
      <c r="E1513" s="51" t="str">
        <f t="shared" si="1"/>
        <v>0.14%</v>
      </c>
      <c r="F1513" s="51">
        <f t="shared" si="2"/>
        <v>0.14</v>
      </c>
      <c r="G1513" s="51" t="str">
        <f t="shared" si="3"/>
        <v/>
      </c>
      <c r="H1513" s="51">
        <f>IFERROR(__xludf.DUMMYFUNCTION("IFERROR(GOOGLEFINANCE(A1513,""PRICE""),)"),407.7)</f>
        <v>407.7</v>
      </c>
      <c r="I1513" s="52">
        <f>IFERROR(__xludf.DUMMYFUNCTION("IFERROR(GOOGLEFINANCE(A1513,""VOLUME""),)"),4144842.0)</f>
        <v>4144842</v>
      </c>
      <c r="J1513" s="51" t="str">
        <f>IFERROR(__xludf.DUMMYFUNCTION("IFERROR(INDEX(SPLIT(A1513,"":""),1,2),)"),"VBL")</f>
        <v>VBL</v>
      </c>
      <c r="K1513" s="51">
        <f t="shared" si="4"/>
        <v>728</v>
      </c>
      <c r="L1513" s="51" t="str">
        <f t="shared" si="5"/>
        <v/>
      </c>
      <c r="M1513" s="51">
        <f t="shared" si="6"/>
        <v>98</v>
      </c>
      <c r="N1513" s="53">
        <f>IFERROR(__xludf.DUMMYFUNCTION("IFERROR(GOOGLEFINANCE(A1513,""TRADETIME""),)"),46269.64583333333)</f>
        <v>46269.64583</v>
      </c>
      <c r="O1513" s="44"/>
      <c r="P1513" s="44"/>
      <c r="Q1513" s="44"/>
      <c r="R1513" s="44"/>
      <c r="S1513" s="44"/>
      <c r="T1513" s="44"/>
      <c r="U1513" s="44"/>
      <c r="V1513" s="44"/>
      <c r="W1513" s="44"/>
      <c r="X1513" s="44"/>
      <c r="Y1513" s="44"/>
      <c r="Z1513" s="44"/>
    </row>
    <row r="1514" ht="15.75" customHeight="1">
      <c r="A1514" s="48" t="s">
        <v>1560</v>
      </c>
      <c r="B1514" s="48" t="str">
        <f>IFERROR(__xludf.DUMMYFUNCTION("IFERROR(GOOGLEFINANCE(A1514,""NAME""),)"),"Vedanta Ltd")</f>
        <v>Vedanta Ltd</v>
      </c>
      <c r="C1514" s="48">
        <f>IFERROR(__xludf.DUMMYFUNCTION("IFERROR(GOOGLEFINANCE(A1514,""CHANGE""),)"),2.1)</f>
        <v>2.1</v>
      </c>
      <c r="D1514" s="48">
        <f>IFERROR(__xludf.DUMMYFUNCTION("IFERROR(GOOGLEFINANCE(A1514,""CHANGEPCT""),)"),0.78)</f>
        <v>0.78</v>
      </c>
      <c r="E1514" s="48" t="str">
        <f t="shared" si="1"/>
        <v>0.78%</v>
      </c>
      <c r="F1514" s="48">
        <f t="shared" si="2"/>
        <v>0.78</v>
      </c>
      <c r="G1514" s="48" t="str">
        <f t="shared" si="3"/>
        <v/>
      </c>
      <c r="H1514" s="48">
        <f>IFERROR(__xludf.DUMMYFUNCTION("IFERROR(GOOGLEFINANCE(A1514,""PRICE""),)"),272.6)</f>
        <v>272.6</v>
      </c>
      <c r="I1514" s="49">
        <f>IFERROR(__xludf.DUMMYFUNCTION("IFERROR(GOOGLEFINANCE(A1514,""VOLUME""),)"),5992724.0)</f>
        <v>5992724</v>
      </c>
      <c r="J1514" s="48" t="str">
        <f>IFERROR(__xludf.DUMMYFUNCTION("IFERROR(INDEX(SPLIT(A1514,"":""),1,2),)"),"VEDL")</f>
        <v>VEDL</v>
      </c>
      <c r="K1514" s="48">
        <f t="shared" si="4"/>
        <v>508</v>
      </c>
      <c r="L1514" s="48" t="str">
        <f t="shared" si="5"/>
        <v/>
      </c>
      <c r="M1514" s="48">
        <f t="shared" si="6"/>
        <v>74</v>
      </c>
      <c r="N1514" s="50">
        <f>IFERROR(__xludf.DUMMYFUNCTION("IFERROR(GOOGLEFINANCE(A1514,""TRADETIME""),)"),46269.64583333333)</f>
        <v>46269.64583</v>
      </c>
      <c r="O1514" s="44"/>
      <c r="P1514" s="44"/>
      <c r="Q1514" s="44"/>
      <c r="R1514" s="44"/>
      <c r="S1514" s="44"/>
      <c r="T1514" s="44"/>
      <c r="U1514" s="44"/>
      <c r="V1514" s="44"/>
      <c r="W1514" s="44"/>
      <c r="X1514" s="44"/>
      <c r="Y1514" s="44"/>
      <c r="Z1514" s="44"/>
    </row>
    <row r="1515" ht="15.75" customHeight="1">
      <c r="A1515" s="51" t="s">
        <v>1561</v>
      </c>
      <c r="B1515" s="51" t="str">
        <f>IFERROR(__xludf.DUMMYFUNCTION("IFERROR(GOOGLEFINANCE(A1515,""NAME""),)"),"W S Industries (India) Ltd")</f>
        <v>W S Industries (India) Ltd</v>
      </c>
      <c r="C1515" s="51">
        <f>IFERROR(__xludf.DUMMYFUNCTION("IFERROR(GOOGLEFINANCE(A1515,""CHANGE""),)"),1.06)</f>
        <v>1.06</v>
      </c>
      <c r="D1515" s="51">
        <f>IFERROR(__xludf.DUMMYFUNCTION("IFERROR(GOOGLEFINANCE(A1515,""CHANGEPCT""),)"),1.78)</f>
        <v>1.78</v>
      </c>
      <c r="E1515" s="51" t="str">
        <f t="shared" si="1"/>
        <v>1.78%</v>
      </c>
      <c r="F1515" s="51">
        <f t="shared" si="2"/>
        <v>1.78</v>
      </c>
      <c r="G1515" s="51" t="str">
        <f t="shared" si="3"/>
        <v/>
      </c>
      <c r="H1515" s="51">
        <f>IFERROR(__xludf.DUMMYFUNCTION("IFERROR(GOOGLEFINANCE(A1515,""PRICE""),)"),60.5)</f>
        <v>60.5</v>
      </c>
      <c r="I1515" s="52">
        <f>IFERROR(__xludf.DUMMYFUNCTION("IFERROR(GOOGLEFINANCE(A1515,""VOLUME""),)"),64372.0)</f>
        <v>64372</v>
      </c>
      <c r="J1515" s="51" t="str">
        <f>IFERROR(__xludf.DUMMYFUNCTION("IFERROR(INDEX(SPLIT(A1515,"":""),1,2),)"),"WSI")</f>
        <v>WSI</v>
      </c>
      <c r="K1515" s="51">
        <f t="shared" si="4"/>
        <v>300</v>
      </c>
      <c r="L1515" s="51" t="str">
        <f t="shared" si="5"/>
        <v/>
      </c>
      <c r="M1515" s="51">
        <f t="shared" si="6"/>
        <v>886</v>
      </c>
      <c r="N1515" s="53">
        <f>IFERROR(__xludf.DUMMYFUNCTION("IFERROR(GOOGLEFINANCE(A1515,""TRADETIME""),)"),46269.64583333333)</f>
        <v>46269.64583</v>
      </c>
      <c r="O1515" s="44"/>
      <c r="P1515" s="44"/>
      <c r="Q1515" s="44"/>
      <c r="R1515" s="44"/>
      <c r="S1515" s="44"/>
      <c r="T1515" s="44"/>
      <c r="U1515" s="44"/>
      <c r="V1515" s="44"/>
      <c r="W1515" s="44"/>
      <c r="X1515" s="44"/>
      <c r="Y1515" s="44"/>
      <c r="Z1515" s="44"/>
    </row>
    <row r="1516" ht="15.75" customHeight="1">
      <c r="A1516" s="48" t="s">
        <v>1562</v>
      </c>
      <c r="B1516" s="48" t="str">
        <f>IFERROR(__xludf.DUMMYFUNCTION("IFERROR(GOOGLEFINANCE(A1516,""NAME""),)"),"Venus Remedies Ltd")</f>
        <v>Venus Remedies Ltd</v>
      </c>
      <c r="C1516" s="48">
        <f>IFERROR(__xludf.DUMMYFUNCTION("IFERROR(GOOGLEFINANCE(A1516,""CHANGE""),)"),-1.4)</f>
        <v>-1.4</v>
      </c>
      <c r="D1516" s="48">
        <f>IFERROR(__xludf.DUMMYFUNCTION("IFERROR(GOOGLEFINANCE(A1516,""CHANGEPCT""),)"),-0.08)</f>
        <v>-0.08</v>
      </c>
      <c r="E1516" s="48" t="str">
        <f t="shared" si="1"/>
        <v>-0.08%</v>
      </c>
      <c r="F1516" s="48" t="str">
        <f t="shared" si="2"/>
        <v/>
      </c>
      <c r="G1516" s="48">
        <f t="shared" si="3"/>
        <v>-0.08</v>
      </c>
      <c r="H1516" s="48">
        <f>IFERROR(__xludf.DUMMYFUNCTION("IFERROR(GOOGLEFINANCE(A1516,""PRICE""),)"),1700.5)</f>
        <v>1700.5</v>
      </c>
      <c r="I1516" s="49">
        <f>IFERROR(__xludf.DUMMYFUNCTION("IFERROR(GOOGLEFINANCE(A1516,""VOLUME""),)"),30621.0)</f>
        <v>30621</v>
      </c>
      <c r="J1516" s="48" t="str">
        <f>IFERROR(__xludf.DUMMYFUNCTION("IFERROR(INDEX(SPLIT(A1516,"":""),1,2),)"),"VENUSREM")</f>
        <v>VENUSREM</v>
      </c>
      <c r="K1516" s="48" t="str">
        <f t="shared" si="4"/>
        <v/>
      </c>
      <c r="L1516" s="48">
        <f t="shared" si="5"/>
        <v>26</v>
      </c>
      <c r="M1516" s="48">
        <f t="shared" si="6"/>
        <v>1049</v>
      </c>
      <c r="N1516" s="50">
        <f>IFERROR(__xludf.DUMMYFUNCTION("IFERROR(GOOGLEFINANCE(A1516,""TRADETIME""),)"),46269.64583333333)</f>
        <v>46269.64583</v>
      </c>
      <c r="O1516" s="44"/>
      <c r="P1516" s="44"/>
      <c r="Q1516" s="44"/>
      <c r="R1516" s="44"/>
      <c r="S1516" s="44"/>
      <c r="T1516" s="44"/>
      <c r="U1516" s="44"/>
      <c r="V1516" s="44"/>
      <c r="W1516" s="44"/>
      <c r="X1516" s="44"/>
      <c r="Y1516" s="44"/>
      <c r="Z1516" s="44"/>
    </row>
    <row r="1517" ht="15.75" customHeight="1">
      <c r="A1517" s="51" t="s">
        <v>1563</v>
      </c>
      <c r="B1517" s="51" t="str">
        <f>IFERROR(__xludf.DUMMYFUNCTION("IFERROR(GOOGLEFINANCE(A1517,""NAME""),)"),"Vertoz Ltd")</f>
        <v>Vertoz Ltd</v>
      </c>
      <c r="C1517" s="51">
        <f>IFERROR(__xludf.DUMMYFUNCTION("IFERROR(GOOGLEFINANCE(A1517,""CHANGE""),)"),-1.63)</f>
        <v>-1.63</v>
      </c>
      <c r="D1517" s="51">
        <f>IFERROR(__xludf.DUMMYFUNCTION("IFERROR(GOOGLEFINANCE(A1517,""CHANGEPCT""),)"),-4.22)</f>
        <v>-4.22</v>
      </c>
      <c r="E1517" s="51" t="str">
        <f t="shared" si="1"/>
        <v>-4.22%</v>
      </c>
      <c r="F1517" s="51" t="str">
        <f t="shared" si="2"/>
        <v/>
      </c>
      <c r="G1517" s="51">
        <f t="shared" si="3"/>
        <v>-4.22</v>
      </c>
      <c r="H1517" s="51">
        <f>IFERROR(__xludf.DUMMYFUNCTION("IFERROR(GOOGLEFINANCE(A1517,""PRICE""),)"),37.0)</f>
        <v>37</v>
      </c>
      <c r="I1517" s="52">
        <f>IFERROR(__xludf.DUMMYFUNCTION("IFERROR(GOOGLEFINANCE(A1517,""VOLUME""),)"),51344.0)</f>
        <v>51344</v>
      </c>
      <c r="J1517" s="51" t="str">
        <f>IFERROR(__xludf.DUMMYFUNCTION("IFERROR(INDEX(SPLIT(A1517,"":""),1,2),)"),"VERTOZ")</f>
        <v>VERTOZ</v>
      </c>
      <c r="K1517" s="51" t="str">
        <f t="shared" si="4"/>
        <v/>
      </c>
      <c r="L1517" s="51">
        <f t="shared" si="5"/>
        <v>627</v>
      </c>
      <c r="M1517" s="51">
        <f t="shared" si="6"/>
        <v>939</v>
      </c>
      <c r="N1517" s="53">
        <f>IFERROR(__xludf.DUMMYFUNCTION("IFERROR(GOOGLEFINANCE(A1517,""TRADETIME""),)"),46269.64583333333)</f>
        <v>46269.64583</v>
      </c>
      <c r="O1517" s="44"/>
      <c r="P1517" s="44"/>
      <c r="Q1517" s="44"/>
      <c r="R1517" s="44"/>
      <c r="S1517" s="44"/>
      <c r="T1517" s="44"/>
      <c r="U1517" s="44"/>
      <c r="V1517" s="44"/>
      <c r="W1517" s="44"/>
      <c r="X1517" s="44"/>
      <c r="Y1517" s="44"/>
      <c r="Z1517" s="44"/>
    </row>
    <row r="1518" ht="15.75" customHeight="1">
      <c r="A1518" s="48" t="s">
        <v>1564</v>
      </c>
      <c r="B1518" s="48" t="str">
        <f>IFERROR(__xludf.DUMMYFUNCTION("IFERROR(GOOGLEFINANCE(A1518,""NAME""),)"),"Vesuvius India Ltd")</f>
        <v>Vesuvius India Ltd</v>
      </c>
      <c r="C1518" s="48">
        <f>IFERROR(__xludf.DUMMYFUNCTION("IFERROR(GOOGLEFINANCE(A1518,""CHANGE""),)"),-0.5)</f>
        <v>-0.5</v>
      </c>
      <c r="D1518" s="48">
        <f>IFERROR(__xludf.DUMMYFUNCTION("IFERROR(GOOGLEFINANCE(A1518,""CHANGEPCT""),)"),-0.12)</f>
        <v>-0.12</v>
      </c>
      <c r="E1518" s="48" t="str">
        <f t="shared" si="1"/>
        <v>-0.12%</v>
      </c>
      <c r="F1518" s="48" t="str">
        <f t="shared" si="2"/>
        <v/>
      </c>
      <c r="G1518" s="48">
        <f t="shared" si="3"/>
        <v>-0.12</v>
      </c>
      <c r="H1518" s="48">
        <f>IFERROR(__xludf.DUMMYFUNCTION("IFERROR(GOOGLEFINANCE(A1518,""PRICE""),)"),419.5)</f>
        <v>419.5</v>
      </c>
      <c r="I1518" s="49">
        <f>IFERROR(__xludf.DUMMYFUNCTION("IFERROR(GOOGLEFINANCE(A1518,""VOLUME""),)"),40711.0)</f>
        <v>40711</v>
      </c>
      <c r="J1518" s="48" t="str">
        <f>IFERROR(__xludf.DUMMYFUNCTION("IFERROR(INDEX(SPLIT(A1518,"":""),1,2),)"),"VESUVIUS")</f>
        <v>VESUVIUS</v>
      </c>
      <c r="K1518" s="48" t="str">
        <f t="shared" si="4"/>
        <v/>
      </c>
      <c r="L1518" s="48">
        <f t="shared" si="5"/>
        <v>40</v>
      </c>
      <c r="M1518" s="48">
        <f t="shared" si="6"/>
        <v>1002</v>
      </c>
      <c r="N1518" s="50">
        <f>IFERROR(__xludf.DUMMYFUNCTION("IFERROR(GOOGLEFINANCE(A1518,""TRADETIME""),)"),46269.64585648148)</f>
        <v>46269.64586</v>
      </c>
      <c r="O1518" s="44"/>
      <c r="P1518" s="44"/>
      <c r="Q1518" s="44"/>
      <c r="R1518" s="44"/>
      <c r="S1518" s="44"/>
      <c r="T1518" s="44"/>
      <c r="U1518" s="44"/>
      <c r="V1518" s="44"/>
      <c r="W1518" s="44"/>
      <c r="X1518" s="44"/>
      <c r="Y1518" s="44"/>
      <c r="Z1518" s="44"/>
    </row>
    <row r="1519" ht="15.75" customHeight="1">
      <c r="A1519" s="51" t="s">
        <v>1565</v>
      </c>
      <c r="B1519" s="51" t="str">
        <f>IFERROR(__xludf.DUMMYFUNCTION("IFERROR(GOOGLEFINANCE(A1519,""NAME""),)"),"VETO Switch Gears And Cables Ltd")</f>
        <v>VETO Switch Gears And Cables Ltd</v>
      </c>
      <c r="C1519" s="51">
        <f>IFERROR(__xludf.DUMMYFUNCTION("IFERROR(GOOGLEFINANCE(A1519,""CHANGE""),)"),-1.6)</f>
        <v>-1.6</v>
      </c>
      <c r="D1519" s="51">
        <f>IFERROR(__xludf.DUMMYFUNCTION("IFERROR(GOOGLEFINANCE(A1519,""CHANGEPCT""),)"),-1.25)</f>
        <v>-1.25</v>
      </c>
      <c r="E1519" s="51" t="str">
        <f t="shared" si="1"/>
        <v>-1.25%</v>
      </c>
      <c r="F1519" s="51" t="str">
        <f t="shared" si="2"/>
        <v/>
      </c>
      <c r="G1519" s="51">
        <f t="shared" si="3"/>
        <v>-1.25</v>
      </c>
      <c r="H1519" s="51">
        <f>IFERROR(__xludf.DUMMYFUNCTION("IFERROR(GOOGLEFINANCE(A1519,""PRICE""),)"),126.37)</f>
        <v>126.37</v>
      </c>
      <c r="I1519" s="52">
        <f>IFERROR(__xludf.DUMMYFUNCTION("IFERROR(GOOGLEFINANCE(A1519,""VOLUME""),)"),31452.0)</f>
        <v>31452</v>
      </c>
      <c r="J1519" s="51" t="str">
        <f>IFERROR(__xludf.DUMMYFUNCTION("IFERROR(INDEX(SPLIT(A1519,"":""),1,2),)"),"VETO")</f>
        <v>VETO</v>
      </c>
      <c r="K1519" s="51" t="str">
        <f t="shared" si="4"/>
        <v/>
      </c>
      <c r="L1519" s="51">
        <f t="shared" si="5"/>
        <v>392</v>
      </c>
      <c r="M1519" s="51">
        <f t="shared" si="6"/>
        <v>1044</v>
      </c>
      <c r="N1519" s="53">
        <f>IFERROR(__xludf.DUMMYFUNCTION("IFERROR(GOOGLEFINANCE(A1519,""TRADETIME""),)"),46269.64583333333)</f>
        <v>46269.64583</v>
      </c>
      <c r="O1519" s="44"/>
      <c r="P1519" s="44"/>
      <c r="Q1519" s="44"/>
      <c r="R1519" s="44"/>
      <c r="S1519" s="44"/>
      <c r="T1519" s="44"/>
      <c r="U1519" s="44"/>
      <c r="V1519" s="44"/>
      <c r="W1519" s="44"/>
      <c r="X1519" s="44"/>
      <c r="Y1519" s="44"/>
      <c r="Z1519" s="44"/>
    </row>
    <row r="1520" ht="15.75" customHeight="1">
      <c r="A1520" s="48" t="s">
        <v>1566</v>
      </c>
      <c r="B1520" s="48" t="str">
        <f>IFERROR(__xludf.DUMMYFUNCTION("IFERROR(GOOGLEFINANCE(A1520,""NAME""),)"),"V Guard Industries Ltd")</f>
        <v>V Guard Industries Ltd</v>
      </c>
      <c r="C1520" s="48">
        <f>IFERROR(__xludf.DUMMYFUNCTION("IFERROR(GOOGLEFINANCE(A1520,""CHANGE""),)"),-4.25)</f>
        <v>-4.25</v>
      </c>
      <c r="D1520" s="48">
        <f>IFERROR(__xludf.DUMMYFUNCTION("IFERROR(GOOGLEFINANCE(A1520,""CHANGEPCT""),)"),-1.25)</f>
        <v>-1.25</v>
      </c>
      <c r="E1520" s="48" t="str">
        <f t="shared" si="1"/>
        <v>-1.25%</v>
      </c>
      <c r="F1520" s="48" t="str">
        <f t="shared" si="2"/>
        <v/>
      </c>
      <c r="G1520" s="48">
        <f t="shared" si="3"/>
        <v>-1.25</v>
      </c>
      <c r="H1520" s="48">
        <f>IFERROR(__xludf.DUMMYFUNCTION("IFERROR(GOOGLEFINANCE(A1520,""PRICE""),)"),335.0)</f>
        <v>335</v>
      </c>
      <c r="I1520" s="49">
        <f>IFERROR(__xludf.DUMMYFUNCTION("IFERROR(GOOGLEFINANCE(A1520,""VOLUME""),)"),751013.0)</f>
        <v>751013</v>
      </c>
      <c r="J1520" s="48" t="str">
        <f>IFERROR(__xludf.DUMMYFUNCTION("IFERROR(INDEX(SPLIT(A1520,"":""),1,2),)"),"VGUARD")</f>
        <v>VGUARD</v>
      </c>
      <c r="K1520" s="48" t="str">
        <f t="shared" si="4"/>
        <v/>
      </c>
      <c r="L1520" s="48">
        <f t="shared" si="5"/>
        <v>393</v>
      </c>
      <c r="M1520" s="48">
        <f t="shared" si="6"/>
        <v>318</v>
      </c>
      <c r="N1520" s="50">
        <f>IFERROR(__xludf.DUMMYFUNCTION("IFERROR(GOOGLEFINANCE(A1520,""TRADETIME""),)"),46269.64585648148)</f>
        <v>46269.64586</v>
      </c>
      <c r="O1520" s="44"/>
      <c r="P1520" s="44"/>
      <c r="Q1520" s="44"/>
      <c r="R1520" s="44"/>
      <c r="S1520" s="44"/>
      <c r="T1520" s="44"/>
      <c r="U1520" s="44"/>
      <c r="V1520" s="44"/>
      <c r="W1520" s="44"/>
      <c r="X1520" s="44"/>
      <c r="Y1520" s="44"/>
      <c r="Z1520" s="44"/>
    </row>
    <row r="1521" ht="15.75" customHeight="1">
      <c r="A1521" s="51" t="s">
        <v>1567</v>
      </c>
      <c r="B1521" s="51" t="str">
        <f>IFERROR(__xludf.DUMMYFUNCTION("IFERROR(GOOGLEFINANCE(A1521,""NAME""),)"),"Vardhman Holdings Ltd")</f>
        <v>Vardhman Holdings Ltd</v>
      </c>
      <c r="C1521" s="51">
        <f>IFERROR(__xludf.DUMMYFUNCTION("IFERROR(GOOGLEFINANCE(A1521,""CHANGE""),)"),29.9)</f>
        <v>29.9</v>
      </c>
      <c r="D1521" s="51">
        <f>IFERROR(__xludf.DUMMYFUNCTION("IFERROR(GOOGLEFINANCE(A1521,""CHANGEPCT""),)"),0.83)</f>
        <v>0.83</v>
      </c>
      <c r="E1521" s="51" t="str">
        <f t="shared" si="1"/>
        <v>0.83%</v>
      </c>
      <c r="F1521" s="51">
        <f t="shared" si="2"/>
        <v>0.83</v>
      </c>
      <c r="G1521" s="51" t="str">
        <f t="shared" si="3"/>
        <v/>
      </c>
      <c r="H1521" s="51">
        <f>IFERROR(__xludf.DUMMYFUNCTION("IFERROR(GOOGLEFINANCE(A1521,""PRICE""),)"),3637.0)</f>
        <v>3637</v>
      </c>
      <c r="I1521" s="52">
        <f>IFERROR(__xludf.DUMMYFUNCTION("IFERROR(GOOGLEFINANCE(A1521,""VOLUME""),)"),779.0)</f>
        <v>779</v>
      </c>
      <c r="J1521" s="51" t="str">
        <f>IFERROR(__xludf.DUMMYFUNCTION("IFERROR(INDEX(SPLIT(A1521,"":""),1,2),)"),"VHL")</f>
        <v>VHL</v>
      </c>
      <c r="K1521" s="51">
        <f t="shared" si="4"/>
        <v>491</v>
      </c>
      <c r="L1521" s="51" t="str">
        <f t="shared" si="5"/>
        <v/>
      </c>
      <c r="M1521" s="51">
        <f t="shared" si="6"/>
        <v>1431</v>
      </c>
      <c r="N1521" s="53">
        <f>IFERROR(__xludf.DUMMYFUNCTION("IFERROR(GOOGLEFINANCE(A1521,""TRADETIME""),)"),46269.64583333333)</f>
        <v>46269.64583</v>
      </c>
      <c r="O1521" s="44"/>
      <c r="P1521" s="44"/>
      <c r="Q1521" s="44"/>
      <c r="R1521" s="44"/>
      <c r="S1521" s="44"/>
      <c r="T1521" s="44"/>
      <c r="U1521" s="44"/>
      <c r="V1521" s="44"/>
      <c r="W1521" s="44"/>
      <c r="X1521" s="44"/>
      <c r="Y1521" s="44"/>
      <c r="Z1521" s="44"/>
    </row>
    <row r="1522" ht="15.75" customHeight="1">
      <c r="A1522" s="48" t="s">
        <v>1568</v>
      </c>
      <c r="B1522" s="48" t="str">
        <f>IFERROR(__xludf.DUMMYFUNCTION("IFERROR(GOOGLEFINANCE(A1522,""NAME""),)"),"")</f>
        <v/>
      </c>
      <c r="C1522" s="48" t="str">
        <f>IFERROR(__xludf.DUMMYFUNCTION("IFERROR(GOOGLEFINANCE(A1522,""CHANGE""),)"),"")</f>
        <v/>
      </c>
      <c r="D1522" s="48" t="str">
        <f>IFERROR(__xludf.DUMMYFUNCTION("IFERROR(GOOGLEFINANCE(A1522,""CHANGEPCT""),)"),"")</f>
        <v/>
      </c>
      <c r="E1522" s="48" t="str">
        <f t="shared" si="1"/>
        <v>%</v>
      </c>
      <c r="F1522" s="48" t="str">
        <f t="shared" si="2"/>
        <v/>
      </c>
      <c r="G1522" s="48" t="str">
        <f t="shared" si="3"/>
        <v/>
      </c>
      <c r="H1522" s="48" t="str">
        <f>IFERROR(__xludf.DUMMYFUNCTION("IFERROR(GOOGLEFINANCE(A1522,""PRICE""),)"),"")</f>
        <v/>
      </c>
      <c r="I1522" s="49" t="str">
        <f>IFERROR(__xludf.DUMMYFUNCTION("IFERROR(GOOGLEFINANCE(A1522,""VOLUME""),)"),"")</f>
        <v/>
      </c>
      <c r="J1522" s="48" t="str">
        <f>IFERROR(__xludf.DUMMYFUNCTION("IFERROR(INDEX(SPLIT(A1522,"":""),1,2),)"),"VICEROY")</f>
        <v>VICEROY</v>
      </c>
      <c r="K1522" s="48" t="str">
        <f t="shared" si="4"/>
        <v/>
      </c>
      <c r="L1522" s="48" t="str">
        <f t="shared" si="5"/>
        <v/>
      </c>
      <c r="M1522" s="48">
        <f t="shared" si="6"/>
        <v>1456</v>
      </c>
      <c r="N1522" s="50" t="str">
        <f>IFERROR(__xludf.DUMMYFUNCTION("IFERROR(GOOGLEFINANCE(A1522,""TRADETIME""),)"),"")</f>
        <v/>
      </c>
      <c r="O1522" s="44"/>
      <c r="P1522" s="44"/>
      <c r="Q1522" s="44"/>
      <c r="R1522" s="44"/>
      <c r="S1522" s="44"/>
      <c r="T1522" s="44"/>
      <c r="U1522" s="44"/>
      <c r="V1522" s="44"/>
      <c r="W1522" s="44"/>
      <c r="X1522" s="44"/>
      <c r="Y1522" s="44"/>
      <c r="Z1522" s="44"/>
    </row>
    <row r="1523" ht="15.75" customHeight="1">
      <c r="A1523" s="51" t="s">
        <v>1569</v>
      </c>
      <c r="B1523" s="51" t="str">
        <f>IFERROR(__xludf.DUMMYFUNCTION("IFERROR(GOOGLEFINANCE(A1523,""NAME""),)"),"Vidhi Specialty Food Ingredients Ltd")</f>
        <v>Vidhi Specialty Food Ingredients Ltd</v>
      </c>
      <c r="C1523" s="51">
        <f>IFERROR(__xludf.DUMMYFUNCTION("IFERROR(GOOGLEFINANCE(A1523,""CHANGE""),)"),4.35)</f>
        <v>4.35</v>
      </c>
      <c r="D1523" s="51">
        <f>IFERROR(__xludf.DUMMYFUNCTION("IFERROR(GOOGLEFINANCE(A1523,""CHANGEPCT""),)"),1.27)</f>
        <v>1.27</v>
      </c>
      <c r="E1523" s="51" t="str">
        <f t="shared" si="1"/>
        <v>1.27%</v>
      </c>
      <c r="F1523" s="51">
        <f t="shared" si="2"/>
        <v>1.27</v>
      </c>
      <c r="G1523" s="51" t="str">
        <f t="shared" si="3"/>
        <v/>
      </c>
      <c r="H1523" s="51">
        <f>IFERROR(__xludf.DUMMYFUNCTION("IFERROR(GOOGLEFINANCE(A1523,""PRICE""),)"),347.15)</f>
        <v>347.15</v>
      </c>
      <c r="I1523" s="52">
        <f>IFERROR(__xludf.DUMMYFUNCTION("IFERROR(GOOGLEFINANCE(A1523,""VOLUME""),)"),10251.0)</f>
        <v>10251</v>
      </c>
      <c r="J1523" s="51" t="str">
        <f>IFERROR(__xludf.DUMMYFUNCTION("IFERROR(INDEX(SPLIT(A1523,"":""),1,2),)"),"VIDHIING")</f>
        <v>VIDHIING</v>
      </c>
      <c r="K1523" s="51">
        <f t="shared" si="4"/>
        <v>389</v>
      </c>
      <c r="L1523" s="51" t="str">
        <f t="shared" si="5"/>
        <v/>
      </c>
      <c r="M1523" s="51">
        <f t="shared" si="6"/>
        <v>1231</v>
      </c>
      <c r="N1523" s="53">
        <f>IFERROR(__xludf.DUMMYFUNCTION("IFERROR(GOOGLEFINANCE(A1523,""TRADETIME""),)"),46269.64584490741)</f>
        <v>46269.64584</v>
      </c>
      <c r="O1523" s="44"/>
      <c r="P1523" s="44"/>
      <c r="Q1523" s="44"/>
      <c r="R1523" s="44"/>
      <c r="S1523" s="44"/>
      <c r="T1523" s="44"/>
      <c r="U1523" s="44"/>
      <c r="V1523" s="44"/>
      <c r="W1523" s="44"/>
      <c r="X1523" s="44"/>
      <c r="Y1523" s="44"/>
      <c r="Z1523" s="44"/>
    </row>
    <row r="1524" ht="15.75" customHeight="1">
      <c r="A1524" s="48" t="s">
        <v>1570</v>
      </c>
      <c r="B1524" s="48" t="str">
        <f>IFERROR(__xludf.DUMMYFUNCTION("IFERROR(GOOGLEFINANCE(A1524,""NAME""),)"),"Viji Finance Ltd")</f>
        <v>Viji Finance Ltd</v>
      </c>
      <c r="C1524" s="48">
        <f>IFERROR(__xludf.DUMMYFUNCTION("IFERROR(GOOGLEFINANCE(A1524,""CHANGE""),)"),0.32)</f>
        <v>0.32</v>
      </c>
      <c r="D1524" s="48">
        <f>IFERROR(__xludf.DUMMYFUNCTION("IFERROR(GOOGLEFINANCE(A1524,""CHANGEPCT""),)"),1.97)</f>
        <v>1.97</v>
      </c>
      <c r="E1524" s="48" t="str">
        <f t="shared" si="1"/>
        <v>1.97%</v>
      </c>
      <c r="F1524" s="48">
        <f t="shared" si="2"/>
        <v>1.97</v>
      </c>
      <c r="G1524" s="48" t="str">
        <f t="shared" si="3"/>
        <v/>
      </c>
      <c r="H1524" s="48">
        <f>IFERROR(__xludf.DUMMYFUNCTION("IFERROR(GOOGLEFINANCE(A1524,""PRICE""),)"),16.58)</f>
        <v>16.58</v>
      </c>
      <c r="I1524" s="49">
        <f>IFERROR(__xludf.DUMMYFUNCTION("IFERROR(GOOGLEFINANCE(A1524,""VOLUME""),)"),20326.0)</f>
        <v>20326</v>
      </c>
      <c r="J1524" s="48" t="str">
        <f>IFERROR(__xludf.DUMMYFUNCTION("IFERROR(INDEX(SPLIT(A1524,"":""),1,2),)"),"VIJIFIN")</f>
        <v>VIJIFIN</v>
      </c>
      <c r="K1524" s="48">
        <f t="shared" si="4"/>
        <v>267</v>
      </c>
      <c r="L1524" s="48" t="str">
        <f t="shared" si="5"/>
        <v/>
      </c>
      <c r="M1524" s="48">
        <f t="shared" si="6"/>
        <v>1122</v>
      </c>
      <c r="N1524" s="50">
        <f>IFERROR(__xludf.DUMMYFUNCTION("IFERROR(GOOGLEFINANCE(A1524,""TRADETIME""),)"),46269.64583333333)</f>
        <v>46269.64583</v>
      </c>
      <c r="O1524" s="44"/>
      <c r="P1524" s="44"/>
      <c r="Q1524" s="44"/>
      <c r="R1524" s="44"/>
      <c r="S1524" s="44"/>
      <c r="T1524" s="44"/>
      <c r="U1524" s="44"/>
      <c r="V1524" s="44"/>
      <c r="W1524" s="44"/>
      <c r="X1524" s="44"/>
      <c r="Y1524" s="44"/>
      <c r="Z1524" s="44"/>
    </row>
    <row r="1525" ht="15.75" customHeight="1">
      <c r="A1525" s="51" t="s">
        <v>1571</v>
      </c>
      <c r="B1525" s="51" t="str">
        <f>IFERROR(__xludf.DUMMYFUNCTION("IFERROR(GOOGLEFINANCE(A1525,""NAME""),)"),"Vikas Ecotech Ltd")</f>
        <v>Vikas Ecotech Ltd</v>
      </c>
      <c r="C1525" s="51">
        <f>IFERROR(__xludf.DUMMYFUNCTION("IFERROR(GOOGLEFINANCE(A1525,""CHANGE""),)"),-0.01)</f>
        <v>-0.01</v>
      </c>
      <c r="D1525" s="51">
        <f>IFERROR(__xludf.DUMMYFUNCTION("IFERROR(GOOGLEFINANCE(A1525,""CHANGEPCT""),)"),-0.93)</f>
        <v>-0.93</v>
      </c>
      <c r="E1525" s="51" t="str">
        <f t="shared" si="1"/>
        <v>-0.93%</v>
      </c>
      <c r="F1525" s="51" t="str">
        <f t="shared" si="2"/>
        <v/>
      </c>
      <c r="G1525" s="51">
        <f t="shared" si="3"/>
        <v>-0.93</v>
      </c>
      <c r="H1525" s="51">
        <f>IFERROR(__xludf.DUMMYFUNCTION("IFERROR(GOOGLEFINANCE(A1525,""PRICE""),)"),1.07)</f>
        <v>1.07</v>
      </c>
      <c r="I1525" s="52">
        <f>IFERROR(__xludf.DUMMYFUNCTION("IFERROR(GOOGLEFINANCE(A1525,""VOLUME""),)"),1815757.0)</f>
        <v>1815757</v>
      </c>
      <c r="J1525" s="51" t="str">
        <f>IFERROR(__xludf.DUMMYFUNCTION("IFERROR(INDEX(SPLIT(A1525,"":""),1,2),)"),"VIKASECO")</f>
        <v>VIKASECO</v>
      </c>
      <c r="K1525" s="51" t="str">
        <f t="shared" si="4"/>
        <v/>
      </c>
      <c r="L1525" s="51">
        <f t="shared" si="5"/>
        <v>322</v>
      </c>
      <c r="M1525" s="51">
        <f t="shared" si="6"/>
        <v>182</v>
      </c>
      <c r="N1525" s="53">
        <f>IFERROR(__xludf.DUMMYFUNCTION("IFERROR(GOOGLEFINANCE(A1525,""TRADETIME""),)"),46269.64583333333)</f>
        <v>46269.64583</v>
      </c>
      <c r="O1525" s="44"/>
      <c r="P1525" s="44"/>
      <c r="Q1525" s="44"/>
      <c r="R1525" s="44"/>
      <c r="S1525" s="44"/>
      <c r="T1525" s="44"/>
      <c r="U1525" s="44"/>
      <c r="V1525" s="44"/>
      <c r="W1525" s="44"/>
      <c r="X1525" s="44"/>
      <c r="Y1525" s="44"/>
      <c r="Z1525" s="44"/>
    </row>
    <row r="1526" ht="15.75" customHeight="1">
      <c r="A1526" s="48" t="s">
        <v>1572</v>
      </c>
      <c r="B1526" s="48" t="str">
        <f>IFERROR(__xludf.DUMMYFUNCTION("IFERROR(GOOGLEFINANCE(A1526,""NAME""),)"),"Vikas Lifecare Ltd")</f>
        <v>Vikas Lifecare Ltd</v>
      </c>
      <c r="C1526" s="48">
        <f>IFERROR(__xludf.DUMMYFUNCTION("IFERROR(GOOGLEFINANCE(A1526,""CHANGE""),)"),0.0)</f>
        <v>0</v>
      </c>
      <c r="D1526" s="48">
        <f>IFERROR(__xludf.DUMMYFUNCTION("IFERROR(GOOGLEFINANCE(A1526,""CHANGEPCT""),)"),0.0)</f>
        <v>0</v>
      </c>
      <c r="E1526" s="48" t="str">
        <f t="shared" si="1"/>
        <v>0%</v>
      </c>
      <c r="F1526" s="48" t="str">
        <f t="shared" si="2"/>
        <v/>
      </c>
      <c r="G1526" s="48" t="str">
        <f t="shared" si="3"/>
        <v/>
      </c>
      <c r="H1526" s="48">
        <f>IFERROR(__xludf.DUMMYFUNCTION("IFERROR(GOOGLEFINANCE(A1526,""PRICE""),)"),1.3)</f>
        <v>1.3</v>
      </c>
      <c r="I1526" s="49">
        <f>IFERROR(__xludf.DUMMYFUNCTION("IFERROR(GOOGLEFINANCE(A1526,""VOLUME""),)"),1315249.0)</f>
        <v>1315249</v>
      </c>
      <c r="J1526" s="48" t="str">
        <f>IFERROR(__xludf.DUMMYFUNCTION("IFERROR(INDEX(SPLIT(A1526,"":""),1,2),)"),"VIKASLIFE")</f>
        <v>VIKASLIFE</v>
      </c>
      <c r="K1526" s="48" t="str">
        <f t="shared" si="4"/>
        <v/>
      </c>
      <c r="L1526" s="48" t="str">
        <f t="shared" si="5"/>
        <v/>
      </c>
      <c r="M1526" s="48">
        <f t="shared" si="6"/>
        <v>226</v>
      </c>
      <c r="N1526" s="50">
        <f>IFERROR(__xludf.DUMMYFUNCTION("IFERROR(GOOGLEFINANCE(A1526,""TRADETIME""),)"),46269.64583333333)</f>
        <v>46269.64583</v>
      </c>
      <c r="O1526" s="44"/>
      <c r="P1526" s="44"/>
      <c r="Q1526" s="44"/>
      <c r="R1526" s="44"/>
      <c r="S1526" s="44"/>
      <c r="T1526" s="44"/>
      <c r="U1526" s="44"/>
      <c r="V1526" s="44"/>
      <c r="W1526" s="44"/>
      <c r="X1526" s="44"/>
      <c r="Y1526" s="44"/>
      <c r="Z1526" s="44"/>
    </row>
    <row r="1527" ht="15.75" customHeight="1">
      <c r="A1527" s="51" t="s">
        <v>1573</v>
      </c>
      <c r="B1527" s="51" t="str">
        <f>IFERROR(__xludf.DUMMYFUNCTION("IFERROR(GOOGLEFINANCE(A1527,""NAME""),)"),"")</f>
        <v/>
      </c>
      <c r="C1527" s="51" t="str">
        <f>IFERROR(__xludf.DUMMYFUNCTION("IFERROR(GOOGLEFINANCE(A1527,""CHANGE""),)"),"")</f>
        <v/>
      </c>
      <c r="D1527" s="51" t="str">
        <f>IFERROR(__xludf.DUMMYFUNCTION("IFERROR(GOOGLEFINANCE(A1527,""CHANGEPCT""),)"),"")</f>
        <v/>
      </c>
      <c r="E1527" s="51" t="str">
        <f t="shared" si="1"/>
        <v>%</v>
      </c>
      <c r="F1527" s="51" t="str">
        <f t="shared" si="2"/>
        <v/>
      </c>
      <c r="G1527" s="51" t="str">
        <f t="shared" si="3"/>
        <v/>
      </c>
      <c r="H1527" s="51" t="str">
        <f>IFERROR(__xludf.DUMMYFUNCTION("IFERROR(GOOGLEFINANCE(A1527,""PRICE""),)"),"")</f>
        <v/>
      </c>
      <c r="I1527" s="52" t="str">
        <f>IFERROR(__xludf.DUMMYFUNCTION("IFERROR(GOOGLEFINANCE(A1527,""VOLUME""),)"),"")</f>
        <v/>
      </c>
      <c r="J1527" s="51" t="str">
        <f>IFERROR(__xludf.DUMMYFUNCTION("IFERROR(INDEX(SPLIT(A1527,"":""),1,2),)"),"VIKASPROP")</f>
        <v>VIKASPROP</v>
      </c>
      <c r="K1527" s="51" t="str">
        <f t="shared" si="4"/>
        <v/>
      </c>
      <c r="L1527" s="51" t="str">
        <f t="shared" si="5"/>
        <v/>
      </c>
      <c r="M1527" s="51">
        <f t="shared" si="6"/>
        <v>1456</v>
      </c>
      <c r="N1527" s="53" t="str">
        <f>IFERROR(__xludf.DUMMYFUNCTION("IFERROR(GOOGLEFINANCE(A1527,""TRADETIME""),)"),"")</f>
        <v/>
      </c>
      <c r="O1527" s="44"/>
      <c r="P1527" s="44"/>
      <c r="Q1527" s="44"/>
      <c r="R1527" s="44"/>
      <c r="S1527" s="44"/>
      <c r="T1527" s="44"/>
      <c r="U1527" s="44"/>
      <c r="V1527" s="44"/>
      <c r="W1527" s="44"/>
      <c r="X1527" s="44"/>
      <c r="Y1527" s="44"/>
      <c r="Z1527" s="44"/>
    </row>
    <row r="1528" ht="15.75" customHeight="1">
      <c r="A1528" s="48" t="s">
        <v>1574</v>
      </c>
      <c r="B1528" s="48" t="str">
        <f>IFERROR(__xludf.DUMMYFUNCTION("IFERROR(GOOGLEFINANCE(A1528,""NAME""),)"),"")</f>
        <v/>
      </c>
      <c r="C1528" s="48" t="str">
        <f>IFERROR(__xludf.DUMMYFUNCTION("IFERROR(GOOGLEFINANCE(A1528,""CHANGE""),)"),"")</f>
        <v/>
      </c>
      <c r="D1528" s="48" t="str">
        <f>IFERROR(__xludf.DUMMYFUNCTION("IFERROR(GOOGLEFINANCE(A1528,""CHANGEPCT""),)"),"")</f>
        <v/>
      </c>
      <c r="E1528" s="48" t="str">
        <f t="shared" si="1"/>
        <v>%</v>
      </c>
      <c r="F1528" s="48" t="str">
        <f t="shared" si="2"/>
        <v/>
      </c>
      <c r="G1528" s="48" t="str">
        <f t="shared" si="3"/>
        <v/>
      </c>
      <c r="H1528" s="48" t="str">
        <f>IFERROR(__xludf.DUMMYFUNCTION("IFERROR(GOOGLEFINANCE(A1528,""PRICE""),)"),"")</f>
        <v/>
      </c>
      <c r="I1528" s="49" t="str">
        <f>IFERROR(__xludf.DUMMYFUNCTION("IFERROR(GOOGLEFINANCE(A1528,""VOLUME""),)"),"")</f>
        <v/>
      </c>
      <c r="J1528" s="48" t="str">
        <f>IFERROR(__xludf.DUMMYFUNCTION("IFERROR(INDEX(SPLIT(A1528,"":""),1,2),)"),"VIKASWSP")</f>
        <v>VIKASWSP</v>
      </c>
      <c r="K1528" s="48" t="str">
        <f t="shared" si="4"/>
        <v/>
      </c>
      <c r="L1528" s="48" t="str">
        <f t="shared" si="5"/>
        <v/>
      </c>
      <c r="M1528" s="48">
        <f t="shared" si="6"/>
        <v>1456</v>
      </c>
      <c r="N1528" s="50" t="str">
        <f>IFERROR(__xludf.DUMMYFUNCTION("IFERROR(GOOGLEFINANCE(A1528,""TRADETIME""),)"),"")</f>
        <v/>
      </c>
      <c r="O1528" s="44"/>
      <c r="P1528" s="44"/>
      <c r="Q1528" s="44"/>
      <c r="R1528" s="44"/>
      <c r="S1528" s="44"/>
      <c r="T1528" s="44"/>
      <c r="U1528" s="44"/>
      <c r="V1528" s="44"/>
      <c r="W1528" s="44"/>
      <c r="X1528" s="44"/>
      <c r="Y1528" s="44"/>
      <c r="Z1528" s="44"/>
    </row>
    <row r="1529" ht="15.75" customHeight="1">
      <c r="A1529" s="51" t="s">
        <v>1575</v>
      </c>
      <c r="B1529" s="51" t="str">
        <f>IFERROR(__xludf.DUMMYFUNCTION("IFERROR(GOOGLEFINANCE(A1529,""NAME""),)"),"Vimta Labs Ltd")</f>
        <v>Vimta Labs Ltd</v>
      </c>
      <c r="C1529" s="51">
        <f>IFERROR(__xludf.DUMMYFUNCTION("IFERROR(GOOGLEFINANCE(A1529,""CHANGE""),)"),-12.75)</f>
        <v>-12.75</v>
      </c>
      <c r="D1529" s="51">
        <f>IFERROR(__xludf.DUMMYFUNCTION("IFERROR(GOOGLEFINANCE(A1529,""CHANGEPCT""),)"),-1.95)</f>
        <v>-1.95</v>
      </c>
      <c r="E1529" s="51" t="str">
        <f t="shared" si="1"/>
        <v>-1.95%</v>
      </c>
      <c r="F1529" s="51" t="str">
        <f t="shared" si="2"/>
        <v/>
      </c>
      <c r="G1529" s="51">
        <f t="shared" si="3"/>
        <v>-1.95</v>
      </c>
      <c r="H1529" s="51">
        <f>IFERROR(__xludf.DUMMYFUNCTION("IFERROR(GOOGLEFINANCE(A1529,""PRICE""),)"),639.5)</f>
        <v>639.5</v>
      </c>
      <c r="I1529" s="52">
        <f>IFERROR(__xludf.DUMMYFUNCTION("IFERROR(GOOGLEFINANCE(A1529,""VOLUME""),)"),219490.0)</f>
        <v>219490</v>
      </c>
      <c r="J1529" s="51" t="str">
        <f>IFERROR(__xludf.DUMMYFUNCTION("IFERROR(INDEX(SPLIT(A1529,"":""),1,2),)"),"VIMTALABS")</f>
        <v>VIMTALABS</v>
      </c>
      <c r="K1529" s="51" t="str">
        <f t="shared" si="4"/>
        <v/>
      </c>
      <c r="L1529" s="51">
        <f t="shared" si="5"/>
        <v>519</v>
      </c>
      <c r="M1529" s="51">
        <f t="shared" si="6"/>
        <v>599</v>
      </c>
      <c r="N1529" s="53">
        <f>IFERROR(__xludf.DUMMYFUNCTION("IFERROR(GOOGLEFINANCE(A1529,""TRADETIME""),)"),46269.64584490741)</f>
        <v>46269.64584</v>
      </c>
      <c r="O1529" s="44"/>
      <c r="P1529" s="44"/>
      <c r="Q1529" s="44"/>
      <c r="R1529" s="44"/>
      <c r="S1529" s="44"/>
      <c r="T1529" s="44"/>
      <c r="U1529" s="44"/>
      <c r="V1529" s="44"/>
      <c r="W1529" s="44"/>
      <c r="X1529" s="44"/>
      <c r="Y1529" s="44"/>
      <c r="Z1529" s="44"/>
    </row>
    <row r="1530" ht="15.75" customHeight="1">
      <c r="A1530" s="48" t="s">
        <v>1576</v>
      </c>
      <c r="B1530" s="48" t="str">
        <f>IFERROR(__xludf.DUMMYFUNCTION("IFERROR(GOOGLEFINANCE(A1530,""NAME""),)"),"Vinati Organics Ltd")</f>
        <v>Vinati Organics Ltd</v>
      </c>
      <c r="C1530" s="48">
        <f>IFERROR(__xludf.DUMMYFUNCTION("IFERROR(GOOGLEFINANCE(A1530,""CHANGE""),)"),-4.7)</f>
        <v>-4.7</v>
      </c>
      <c r="D1530" s="48">
        <f>IFERROR(__xludf.DUMMYFUNCTION("IFERROR(GOOGLEFINANCE(A1530,""CHANGEPCT""),)"),-0.36)</f>
        <v>-0.36</v>
      </c>
      <c r="E1530" s="48" t="str">
        <f t="shared" si="1"/>
        <v>-0.36%</v>
      </c>
      <c r="F1530" s="48" t="str">
        <f t="shared" si="2"/>
        <v/>
      </c>
      <c r="G1530" s="48">
        <f t="shared" si="3"/>
        <v>-0.36</v>
      </c>
      <c r="H1530" s="48">
        <f>IFERROR(__xludf.DUMMYFUNCTION("IFERROR(GOOGLEFINANCE(A1530,""PRICE""),)"),1309.0)</f>
        <v>1309</v>
      </c>
      <c r="I1530" s="49">
        <f>IFERROR(__xludf.DUMMYFUNCTION("IFERROR(GOOGLEFINANCE(A1530,""VOLUME""),)"),57413.0)</f>
        <v>57413</v>
      </c>
      <c r="J1530" s="48" t="str">
        <f>IFERROR(__xludf.DUMMYFUNCTION("IFERROR(INDEX(SPLIT(A1530,"":""),1,2),)"),"VINATIORGA")</f>
        <v>VINATIORGA</v>
      </c>
      <c r="K1530" s="48" t="str">
        <f t="shared" si="4"/>
        <v/>
      </c>
      <c r="L1530" s="48">
        <f t="shared" si="5"/>
        <v>142</v>
      </c>
      <c r="M1530" s="48">
        <f t="shared" si="6"/>
        <v>909</v>
      </c>
      <c r="N1530" s="50">
        <f>IFERROR(__xludf.DUMMYFUNCTION("IFERROR(GOOGLEFINANCE(A1530,""TRADETIME""),)"),46269.64583333333)</f>
        <v>46269.64583</v>
      </c>
      <c r="O1530" s="44"/>
      <c r="P1530" s="44"/>
      <c r="Q1530" s="44"/>
      <c r="R1530" s="44"/>
      <c r="S1530" s="44"/>
      <c r="T1530" s="44"/>
      <c r="U1530" s="44"/>
      <c r="V1530" s="44"/>
      <c r="W1530" s="44"/>
      <c r="X1530" s="44"/>
      <c r="Y1530" s="44"/>
      <c r="Z1530" s="44"/>
    </row>
    <row r="1531" ht="15.75" customHeight="1">
      <c r="A1531" s="51" t="s">
        <v>1577</v>
      </c>
      <c r="B1531" s="51" t="str">
        <f>IFERROR(__xludf.DUMMYFUNCTION("IFERROR(GOOGLEFINANCE(A1531,""NAME""),)"),"Vindhya Telelinks Ltd")</f>
        <v>Vindhya Telelinks Ltd</v>
      </c>
      <c r="C1531" s="51">
        <f>IFERROR(__xludf.DUMMYFUNCTION("IFERROR(GOOGLEFINANCE(A1531,""CHANGE""),)"),-19.2)</f>
        <v>-19.2</v>
      </c>
      <c r="D1531" s="51">
        <f>IFERROR(__xludf.DUMMYFUNCTION("IFERROR(GOOGLEFINANCE(A1531,""CHANGEPCT""),)"),-0.7)</f>
        <v>-0.7</v>
      </c>
      <c r="E1531" s="51" t="str">
        <f t="shared" si="1"/>
        <v>-0.7%</v>
      </c>
      <c r="F1531" s="51" t="str">
        <f t="shared" si="2"/>
        <v/>
      </c>
      <c r="G1531" s="51">
        <f t="shared" si="3"/>
        <v>-0.7</v>
      </c>
      <c r="H1531" s="51">
        <f>IFERROR(__xludf.DUMMYFUNCTION("IFERROR(GOOGLEFINANCE(A1531,""PRICE""),)"),2717.0)</f>
        <v>2717</v>
      </c>
      <c r="I1531" s="52">
        <f>IFERROR(__xludf.DUMMYFUNCTION("IFERROR(GOOGLEFINANCE(A1531,""VOLUME""),)"),82288.0)</f>
        <v>82288</v>
      </c>
      <c r="J1531" s="51" t="str">
        <f>IFERROR(__xludf.DUMMYFUNCTION("IFERROR(INDEX(SPLIT(A1531,"":""),1,2),)"),"VINDHYATEL")</f>
        <v>VINDHYATEL</v>
      </c>
      <c r="K1531" s="51" t="str">
        <f t="shared" si="4"/>
        <v/>
      </c>
      <c r="L1531" s="51">
        <f t="shared" si="5"/>
        <v>270</v>
      </c>
      <c r="M1531" s="51">
        <f t="shared" si="6"/>
        <v>820</v>
      </c>
      <c r="N1531" s="53">
        <f>IFERROR(__xludf.DUMMYFUNCTION("IFERROR(GOOGLEFINANCE(A1531,""TRADETIME""),)"),46269.64583333333)</f>
        <v>46269.64583</v>
      </c>
      <c r="O1531" s="44"/>
      <c r="P1531" s="44"/>
      <c r="Q1531" s="44"/>
      <c r="R1531" s="44"/>
      <c r="S1531" s="44"/>
      <c r="T1531" s="44"/>
      <c r="U1531" s="44"/>
      <c r="V1531" s="44"/>
      <c r="W1531" s="44"/>
      <c r="X1531" s="44"/>
      <c r="Y1531" s="44"/>
      <c r="Z1531" s="44"/>
    </row>
    <row r="1532" ht="15.75" customHeight="1">
      <c r="A1532" s="48" t="s">
        <v>91</v>
      </c>
      <c r="B1532" s="48" t="str">
        <f>IFERROR(__xludf.DUMMYFUNCTION("IFERROR(GOOGLEFINANCE(A1532,""NAME""),)"),"Affle 3i Ltd")</f>
        <v>Affle 3i Ltd</v>
      </c>
      <c r="C1532" s="48">
        <f>IFERROR(__xludf.DUMMYFUNCTION("IFERROR(GOOGLEFINANCE(A1532,""CHANGE""),)"),106.8)</f>
        <v>106.8</v>
      </c>
      <c r="D1532" s="48">
        <f>IFERROR(__xludf.DUMMYFUNCTION("IFERROR(GOOGLEFINANCE(A1532,""CHANGEPCT""),)"),7.03)</f>
        <v>7.03</v>
      </c>
      <c r="E1532" s="48" t="str">
        <f t="shared" si="1"/>
        <v>7.03%</v>
      </c>
      <c r="F1532" s="48">
        <f t="shared" si="2"/>
        <v>7.03</v>
      </c>
      <c r="G1532" s="48" t="str">
        <f t="shared" si="3"/>
        <v/>
      </c>
      <c r="H1532" s="48">
        <f>IFERROR(__xludf.DUMMYFUNCTION("IFERROR(GOOGLEFINANCE(A1532,""PRICE""),)"),1626.0)</f>
        <v>1626</v>
      </c>
      <c r="I1532" s="49">
        <f>IFERROR(__xludf.DUMMYFUNCTION("IFERROR(GOOGLEFINANCE(A1532,""VOLUME""),)"),3213241.0)</f>
        <v>3213241</v>
      </c>
      <c r="J1532" s="48" t="str">
        <f>IFERROR(__xludf.DUMMYFUNCTION("IFERROR(INDEX(SPLIT(A1532,"":""),1,2),)"),"AFFLE")</f>
        <v>AFFLE</v>
      </c>
      <c r="K1532" s="48">
        <f t="shared" si="4"/>
        <v>22</v>
      </c>
      <c r="L1532" s="48" t="str">
        <f t="shared" si="5"/>
        <v/>
      </c>
      <c r="M1532" s="48">
        <f t="shared" si="6"/>
        <v>121</v>
      </c>
      <c r="N1532" s="50">
        <f>IFERROR(__xludf.DUMMYFUNCTION("IFERROR(GOOGLEFINANCE(A1532,""TRADETIME""),)"),46269.64583333333)</f>
        <v>46269.64583</v>
      </c>
      <c r="O1532" s="44"/>
      <c r="P1532" s="44"/>
      <c r="Q1532" s="44"/>
      <c r="R1532" s="44"/>
      <c r="S1532" s="44"/>
      <c r="T1532" s="44"/>
      <c r="U1532" s="44"/>
      <c r="V1532" s="44"/>
      <c r="W1532" s="44"/>
      <c r="X1532" s="44"/>
      <c r="Y1532" s="44"/>
      <c r="Z1532" s="44"/>
    </row>
    <row r="1533" ht="15.75" customHeight="1">
      <c r="A1533" s="51" t="s">
        <v>1578</v>
      </c>
      <c r="B1533" s="51" t="str">
        <f>IFERROR(__xludf.DUMMYFUNCTION("IFERROR(GOOGLEFINANCE(A1533,""NAME""),)"),"VIP Clothing Ltd")</f>
        <v>VIP Clothing Ltd</v>
      </c>
      <c r="C1533" s="51">
        <f>IFERROR(__xludf.DUMMYFUNCTION("IFERROR(GOOGLEFINANCE(A1533,""CHANGE""),)"),0.02)</f>
        <v>0.02</v>
      </c>
      <c r="D1533" s="51">
        <f>IFERROR(__xludf.DUMMYFUNCTION("IFERROR(GOOGLEFINANCE(A1533,""CHANGEPCT""),)"),0.1)</f>
        <v>0.1</v>
      </c>
      <c r="E1533" s="51" t="str">
        <f t="shared" si="1"/>
        <v>0.1%</v>
      </c>
      <c r="F1533" s="51">
        <f t="shared" si="2"/>
        <v>0.1</v>
      </c>
      <c r="G1533" s="51" t="str">
        <f t="shared" si="3"/>
        <v/>
      </c>
      <c r="H1533" s="51">
        <f>IFERROR(__xludf.DUMMYFUNCTION("IFERROR(GOOGLEFINANCE(A1533,""PRICE""),)"),20.19)</f>
        <v>20.19</v>
      </c>
      <c r="I1533" s="52">
        <f>IFERROR(__xludf.DUMMYFUNCTION("IFERROR(GOOGLEFINANCE(A1533,""VOLUME""),)"),82615.0)</f>
        <v>82615</v>
      </c>
      <c r="J1533" s="51" t="str">
        <f>IFERROR(__xludf.DUMMYFUNCTION("IFERROR(INDEX(SPLIT(A1533,"":""),1,2),)"),"VIPCLOTHNG")</f>
        <v>VIPCLOTHNG</v>
      </c>
      <c r="K1533" s="51">
        <f t="shared" si="4"/>
        <v>743</v>
      </c>
      <c r="L1533" s="51" t="str">
        <f t="shared" si="5"/>
        <v/>
      </c>
      <c r="M1533" s="51">
        <f t="shared" si="6"/>
        <v>818</v>
      </c>
      <c r="N1533" s="53">
        <f>IFERROR(__xludf.DUMMYFUNCTION("IFERROR(GOOGLEFINANCE(A1533,""TRADETIME""),)"),46269.64583333333)</f>
        <v>46269.64583</v>
      </c>
      <c r="O1533" s="44"/>
      <c r="P1533" s="44"/>
      <c r="Q1533" s="44"/>
      <c r="R1533" s="44"/>
      <c r="S1533" s="44"/>
      <c r="T1533" s="44"/>
      <c r="U1533" s="44"/>
      <c r="V1533" s="44"/>
      <c r="W1533" s="44"/>
      <c r="X1533" s="44"/>
      <c r="Y1533" s="44"/>
      <c r="Z1533" s="44"/>
    </row>
    <row r="1534" ht="15.75" customHeight="1">
      <c r="A1534" s="48" t="s">
        <v>1579</v>
      </c>
      <c r="B1534" s="48" t="str">
        <f>IFERROR(__xludf.DUMMYFUNCTION("IFERROR(GOOGLEFINANCE(A1534,""NAME""),)"),"V I P Industries Ltd")</f>
        <v>V I P Industries Ltd</v>
      </c>
      <c r="C1534" s="48">
        <f>IFERROR(__xludf.DUMMYFUNCTION("IFERROR(GOOGLEFINANCE(A1534,""CHANGE""),)"),2.65)</f>
        <v>2.65</v>
      </c>
      <c r="D1534" s="48">
        <f>IFERROR(__xludf.DUMMYFUNCTION("IFERROR(GOOGLEFINANCE(A1534,""CHANGEPCT""),)"),0.85)</f>
        <v>0.85</v>
      </c>
      <c r="E1534" s="48" t="str">
        <f t="shared" si="1"/>
        <v>0.85%</v>
      </c>
      <c r="F1534" s="48">
        <f t="shared" si="2"/>
        <v>0.85</v>
      </c>
      <c r="G1534" s="48" t="str">
        <f t="shared" si="3"/>
        <v/>
      </c>
      <c r="H1534" s="48">
        <f>IFERROR(__xludf.DUMMYFUNCTION("IFERROR(GOOGLEFINANCE(A1534,""PRICE""),)"),313.0)</f>
        <v>313</v>
      </c>
      <c r="I1534" s="49">
        <f>IFERROR(__xludf.DUMMYFUNCTION("IFERROR(GOOGLEFINANCE(A1534,""VOLUME""),)"),440277.0)</f>
        <v>440277</v>
      </c>
      <c r="J1534" s="48" t="str">
        <f>IFERROR(__xludf.DUMMYFUNCTION("IFERROR(INDEX(SPLIT(A1534,"":""),1,2),)"),"VIPIND")</f>
        <v>VIPIND</v>
      </c>
      <c r="K1534" s="48">
        <f t="shared" si="4"/>
        <v>487</v>
      </c>
      <c r="L1534" s="48" t="str">
        <f t="shared" si="5"/>
        <v/>
      </c>
      <c r="M1534" s="48">
        <f t="shared" si="6"/>
        <v>427</v>
      </c>
      <c r="N1534" s="50">
        <f>IFERROR(__xludf.DUMMYFUNCTION("IFERROR(GOOGLEFINANCE(A1534,""TRADETIME""),)"),46269.64583333333)</f>
        <v>46269.64583</v>
      </c>
      <c r="O1534" s="44"/>
      <c r="P1534" s="44"/>
      <c r="Q1534" s="44"/>
      <c r="R1534" s="44"/>
      <c r="S1534" s="44"/>
      <c r="T1534" s="44"/>
      <c r="U1534" s="44"/>
      <c r="V1534" s="44"/>
      <c r="W1534" s="44"/>
      <c r="X1534" s="44"/>
      <c r="Y1534" s="44"/>
      <c r="Z1534" s="44"/>
    </row>
    <row r="1535" ht="15.75" customHeight="1">
      <c r="A1535" s="51" t="s">
        <v>1580</v>
      </c>
      <c r="B1535" s="51" t="str">
        <f>IFERROR(__xludf.DUMMYFUNCTION("IFERROR(GOOGLEFINANCE(A1535,""NAME""),)"),"Vipul Ltd")</f>
        <v>Vipul Ltd</v>
      </c>
      <c r="C1535" s="51">
        <f>IFERROR(__xludf.DUMMYFUNCTION("IFERROR(GOOGLEFINANCE(A1535,""CHANGE""),)"),-0.28)</f>
        <v>-0.28</v>
      </c>
      <c r="D1535" s="51">
        <f>IFERROR(__xludf.DUMMYFUNCTION("IFERROR(GOOGLEFINANCE(A1535,""CHANGEPCT""),)"),-1.96)</f>
        <v>-1.96</v>
      </c>
      <c r="E1535" s="51" t="str">
        <f t="shared" si="1"/>
        <v>-1.96%</v>
      </c>
      <c r="F1535" s="51" t="str">
        <f t="shared" si="2"/>
        <v/>
      </c>
      <c r="G1535" s="51">
        <f t="shared" si="3"/>
        <v>-1.96</v>
      </c>
      <c r="H1535" s="51">
        <f>IFERROR(__xludf.DUMMYFUNCTION("IFERROR(GOOGLEFINANCE(A1535,""PRICE""),)"),13.98)</f>
        <v>13.98</v>
      </c>
      <c r="I1535" s="52">
        <f>IFERROR(__xludf.DUMMYFUNCTION("IFERROR(GOOGLEFINANCE(A1535,""VOLUME""),)"),2455.0)</f>
        <v>2455</v>
      </c>
      <c r="J1535" s="51" t="str">
        <f>IFERROR(__xludf.DUMMYFUNCTION("IFERROR(INDEX(SPLIT(A1535,"":""),1,2),)"),"VIPULLTD")</f>
        <v>VIPULLTD</v>
      </c>
      <c r="K1535" s="51" t="str">
        <f t="shared" si="4"/>
        <v/>
      </c>
      <c r="L1535" s="51">
        <f t="shared" si="5"/>
        <v>523</v>
      </c>
      <c r="M1535" s="51">
        <f t="shared" si="6"/>
        <v>1381</v>
      </c>
      <c r="N1535" s="53">
        <f>IFERROR(__xludf.DUMMYFUNCTION("IFERROR(GOOGLEFINANCE(A1535,""TRADETIME""),)"),46269.64583333333)</f>
        <v>46269.64583</v>
      </c>
      <c r="O1535" s="44"/>
      <c r="P1535" s="44"/>
      <c r="Q1535" s="44"/>
      <c r="R1535" s="44"/>
      <c r="S1535" s="44"/>
      <c r="T1535" s="44"/>
      <c r="U1535" s="44"/>
      <c r="V1535" s="44"/>
      <c r="W1535" s="44"/>
      <c r="X1535" s="44"/>
      <c r="Y1535" s="44"/>
      <c r="Z1535" s="44"/>
    </row>
    <row r="1536" ht="15.75" customHeight="1">
      <c r="A1536" s="48" t="s">
        <v>1581</v>
      </c>
      <c r="B1536" s="48" t="str">
        <f>IFERROR(__xludf.DUMMYFUNCTION("IFERROR(GOOGLEFINANCE(A1536,""NAME""),)"),"Visaka Industries Ltd")</f>
        <v>Visaka Industries Ltd</v>
      </c>
      <c r="C1536" s="48">
        <f>IFERROR(__xludf.DUMMYFUNCTION("IFERROR(GOOGLEFINANCE(A1536,""CHANGE""),)"),4.0)</f>
        <v>4</v>
      </c>
      <c r="D1536" s="48">
        <f>IFERROR(__xludf.DUMMYFUNCTION("IFERROR(GOOGLEFINANCE(A1536,""CHANGEPCT""),)"),4.42)</f>
        <v>4.42</v>
      </c>
      <c r="E1536" s="48" t="str">
        <f t="shared" si="1"/>
        <v>4.42%</v>
      </c>
      <c r="F1536" s="48">
        <f t="shared" si="2"/>
        <v>4.42</v>
      </c>
      <c r="G1536" s="48" t="str">
        <f t="shared" si="3"/>
        <v/>
      </c>
      <c r="H1536" s="48">
        <f>IFERROR(__xludf.DUMMYFUNCTION("IFERROR(GOOGLEFINANCE(A1536,""PRICE""),)"),94.5)</f>
        <v>94.5</v>
      </c>
      <c r="I1536" s="49">
        <f>IFERROR(__xludf.DUMMYFUNCTION("IFERROR(GOOGLEFINANCE(A1536,""VOLUME""),)"),440201.0)</f>
        <v>440201</v>
      </c>
      <c r="J1536" s="48" t="str">
        <f>IFERROR(__xludf.DUMMYFUNCTION("IFERROR(INDEX(SPLIT(A1536,"":""),1,2),)"),"VISAKAIND")</f>
        <v>VISAKAIND</v>
      </c>
      <c r="K1536" s="48">
        <f t="shared" si="4"/>
        <v>95</v>
      </c>
      <c r="L1536" s="48" t="str">
        <f t="shared" si="5"/>
        <v/>
      </c>
      <c r="M1536" s="48">
        <f t="shared" si="6"/>
        <v>428</v>
      </c>
      <c r="N1536" s="50">
        <f>IFERROR(__xludf.DUMMYFUNCTION("IFERROR(GOOGLEFINANCE(A1536,""TRADETIME""),)"),46269.64583333333)</f>
        <v>46269.64583</v>
      </c>
      <c r="O1536" s="44"/>
      <c r="P1536" s="44"/>
      <c r="Q1536" s="44"/>
      <c r="R1536" s="44"/>
      <c r="S1536" s="44"/>
      <c r="T1536" s="44"/>
      <c r="U1536" s="44"/>
      <c r="V1536" s="44"/>
      <c r="W1536" s="44"/>
      <c r="X1536" s="44"/>
      <c r="Y1536" s="44"/>
      <c r="Z1536" s="44"/>
    </row>
    <row r="1537" ht="15.75" customHeight="1">
      <c r="A1537" s="51" t="s">
        <v>1582</v>
      </c>
      <c r="B1537" s="51" t="str">
        <f>IFERROR(__xludf.DUMMYFUNCTION("IFERROR(GOOGLEFINANCE(A1537,""NAME""),)"),"")</f>
        <v/>
      </c>
      <c r="C1537" s="51" t="str">
        <f>IFERROR(__xludf.DUMMYFUNCTION("IFERROR(GOOGLEFINANCE(A1537,""CHANGE""),)"),"")</f>
        <v/>
      </c>
      <c r="D1537" s="51" t="str">
        <f>IFERROR(__xludf.DUMMYFUNCTION("IFERROR(GOOGLEFINANCE(A1537,""CHANGEPCT""),)"),"")</f>
        <v/>
      </c>
      <c r="E1537" s="51" t="str">
        <f t="shared" si="1"/>
        <v>%</v>
      </c>
      <c r="F1537" s="51" t="str">
        <f t="shared" si="2"/>
        <v/>
      </c>
      <c r="G1537" s="51" t="str">
        <f t="shared" si="3"/>
        <v/>
      </c>
      <c r="H1537" s="51" t="str">
        <f>IFERROR(__xludf.DUMMYFUNCTION("IFERROR(GOOGLEFINANCE(A1537,""PRICE""),)"),"")</f>
        <v/>
      </c>
      <c r="I1537" s="52" t="str">
        <f>IFERROR(__xludf.DUMMYFUNCTION("IFERROR(GOOGLEFINANCE(A1537,""VOLUME""),)"),"")</f>
        <v/>
      </c>
      <c r="J1537" s="51" t="str">
        <f>IFERROR(__xludf.DUMMYFUNCTION("IFERROR(INDEX(SPLIT(A1537,"":""),1,2),)"),"VISASTEEL")</f>
        <v>VISASTEEL</v>
      </c>
      <c r="K1537" s="51" t="str">
        <f t="shared" si="4"/>
        <v/>
      </c>
      <c r="L1537" s="51" t="str">
        <f t="shared" si="5"/>
        <v/>
      </c>
      <c r="M1537" s="51">
        <f t="shared" si="6"/>
        <v>1456</v>
      </c>
      <c r="N1537" s="53" t="str">
        <f>IFERROR(__xludf.DUMMYFUNCTION("IFERROR(GOOGLEFINANCE(A1537,""TRADETIME""),)"),"")</f>
        <v/>
      </c>
      <c r="O1537" s="44"/>
      <c r="P1537" s="44"/>
      <c r="Q1537" s="44"/>
      <c r="R1537" s="44"/>
      <c r="S1537" s="44"/>
      <c r="T1537" s="44"/>
      <c r="U1537" s="44"/>
      <c r="V1537" s="44"/>
      <c r="W1537" s="44"/>
      <c r="X1537" s="44"/>
      <c r="Y1537" s="44"/>
      <c r="Z1537" s="44"/>
    </row>
    <row r="1538" ht="15.75" customHeight="1">
      <c r="A1538" s="48" t="s">
        <v>1583</v>
      </c>
      <c r="B1538" s="48" t="str">
        <f>IFERROR(__xludf.DUMMYFUNCTION("IFERROR(GOOGLEFINANCE(A1538,""NAME""),)"),"")</f>
        <v/>
      </c>
      <c r="C1538" s="48" t="str">
        <f>IFERROR(__xludf.DUMMYFUNCTION("IFERROR(GOOGLEFINANCE(A1538,""CHANGE""),)"),"")</f>
        <v/>
      </c>
      <c r="D1538" s="48" t="str">
        <f>IFERROR(__xludf.DUMMYFUNCTION("IFERROR(GOOGLEFINANCE(A1538,""CHANGEPCT""),)"),"")</f>
        <v/>
      </c>
      <c r="E1538" s="48" t="str">
        <f t="shared" si="1"/>
        <v>%</v>
      </c>
      <c r="F1538" s="48" t="str">
        <f t="shared" si="2"/>
        <v/>
      </c>
      <c r="G1538" s="48" t="str">
        <f t="shared" si="3"/>
        <v/>
      </c>
      <c r="H1538" s="48" t="str">
        <f>IFERROR(__xludf.DUMMYFUNCTION("IFERROR(GOOGLEFINANCE(A1538,""PRICE""),)"),"")</f>
        <v/>
      </c>
      <c r="I1538" s="49" t="str">
        <f>IFERROR(__xludf.DUMMYFUNCTION("IFERROR(GOOGLEFINANCE(A1538,""VOLUME""),)"),"")</f>
        <v/>
      </c>
      <c r="J1538" s="48" t="str">
        <f>IFERROR(__xludf.DUMMYFUNCTION("IFERROR(INDEX(SPLIT(A1538,"":""),1,2),)"),"VISHAL")</f>
        <v>VISHAL</v>
      </c>
      <c r="K1538" s="48" t="str">
        <f t="shared" si="4"/>
        <v/>
      </c>
      <c r="L1538" s="48" t="str">
        <f t="shared" si="5"/>
        <v/>
      </c>
      <c r="M1538" s="48">
        <f t="shared" si="6"/>
        <v>1456</v>
      </c>
      <c r="N1538" s="50" t="str">
        <f>IFERROR(__xludf.DUMMYFUNCTION("IFERROR(GOOGLEFINANCE(A1538,""TRADETIME""),)"),"")</f>
        <v/>
      </c>
      <c r="O1538" s="44"/>
      <c r="P1538" s="44"/>
      <c r="Q1538" s="44"/>
      <c r="R1538" s="44"/>
      <c r="S1538" s="44"/>
      <c r="T1538" s="44"/>
      <c r="U1538" s="44"/>
      <c r="V1538" s="44"/>
      <c r="W1538" s="44"/>
      <c r="X1538" s="44"/>
      <c r="Y1538" s="44"/>
      <c r="Z1538" s="44"/>
    </row>
    <row r="1539" ht="15.75" customHeight="1">
      <c r="A1539" s="51" t="s">
        <v>1584</v>
      </c>
      <c r="B1539" s="51" t="str">
        <f>IFERROR(__xludf.DUMMYFUNCTION("IFERROR(GOOGLEFINANCE(A1539,""NAME""),)"),"Vishnu Chemicals Ltd")</f>
        <v>Vishnu Chemicals Ltd</v>
      </c>
      <c r="C1539" s="51">
        <f>IFERROR(__xludf.DUMMYFUNCTION("IFERROR(GOOGLEFINANCE(A1539,""CHANGE""),)"),11.35)</f>
        <v>11.35</v>
      </c>
      <c r="D1539" s="51">
        <f>IFERROR(__xludf.DUMMYFUNCTION("IFERROR(GOOGLEFINANCE(A1539,""CHANGEPCT""),)"),1.65)</f>
        <v>1.65</v>
      </c>
      <c r="E1539" s="51" t="str">
        <f t="shared" si="1"/>
        <v>1.65%</v>
      </c>
      <c r="F1539" s="51">
        <f t="shared" si="2"/>
        <v>1.65</v>
      </c>
      <c r="G1539" s="51" t="str">
        <f t="shared" si="3"/>
        <v/>
      </c>
      <c r="H1539" s="51">
        <f>IFERROR(__xludf.DUMMYFUNCTION("IFERROR(GOOGLEFINANCE(A1539,""PRICE""),)"),699.8)</f>
        <v>699.8</v>
      </c>
      <c r="I1539" s="52">
        <f>IFERROR(__xludf.DUMMYFUNCTION("IFERROR(GOOGLEFINANCE(A1539,""VOLUME""),)"),623372.0)</f>
        <v>623372</v>
      </c>
      <c r="J1539" s="51" t="str">
        <f>IFERROR(__xludf.DUMMYFUNCTION("IFERROR(INDEX(SPLIT(A1539,"":""),1,2),)"),"VISHNU")</f>
        <v>VISHNU</v>
      </c>
      <c r="K1539" s="51">
        <f t="shared" si="4"/>
        <v>318</v>
      </c>
      <c r="L1539" s="51" t="str">
        <f t="shared" si="5"/>
        <v/>
      </c>
      <c r="M1539" s="51">
        <f t="shared" si="6"/>
        <v>349</v>
      </c>
      <c r="N1539" s="53">
        <f>IFERROR(__xludf.DUMMYFUNCTION("IFERROR(GOOGLEFINANCE(A1539,""TRADETIME""),)"),46269.64583333333)</f>
        <v>46269.64583</v>
      </c>
      <c r="O1539" s="44"/>
      <c r="P1539" s="44"/>
      <c r="Q1539" s="44"/>
      <c r="R1539" s="44"/>
      <c r="S1539" s="44"/>
      <c r="T1539" s="44"/>
      <c r="U1539" s="44"/>
      <c r="V1539" s="44"/>
      <c r="W1539" s="44"/>
      <c r="X1539" s="44"/>
      <c r="Y1539" s="44"/>
      <c r="Z1539" s="44"/>
    </row>
    <row r="1540" ht="15.75" customHeight="1">
      <c r="A1540" s="48" t="s">
        <v>1585</v>
      </c>
      <c r="B1540" s="48" t="str">
        <f>IFERROR(__xludf.DUMMYFUNCTION("IFERROR(GOOGLEFINANCE(A1540,""NAME""),)"),"Vishwaraj Sugar Industries Ltd")</f>
        <v>Vishwaraj Sugar Industries Ltd</v>
      </c>
      <c r="C1540" s="48">
        <f>IFERROR(__xludf.DUMMYFUNCTION("IFERROR(GOOGLEFINANCE(A1540,""CHANGE""),)"),-0.03)</f>
        <v>-0.03</v>
      </c>
      <c r="D1540" s="48">
        <f>IFERROR(__xludf.DUMMYFUNCTION("IFERROR(GOOGLEFINANCE(A1540,""CHANGEPCT""),)"),-0.51)</f>
        <v>-0.51</v>
      </c>
      <c r="E1540" s="48" t="str">
        <f t="shared" si="1"/>
        <v>-0.51%</v>
      </c>
      <c r="F1540" s="48" t="str">
        <f t="shared" si="2"/>
        <v/>
      </c>
      <c r="G1540" s="48">
        <f t="shared" si="3"/>
        <v>-0.51</v>
      </c>
      <c r="H1540" s="48">
        <f>IFERROR(__xludf.DUMMYFUNCTION("IFERROR(GOOGLEFINANCE(A1540,""PRICE""),)"),5.9)</f>
        <v>5.9</v>
      </c>
      <c r="I1540" s="49">
        <f>IFERROR(__xludf.DUMMYFUNCTION("IFERROR(GOOGLEFINANCE(A1540,""VOLUME""),)"),290468.0)</f>
        <v>290468</v>
      </c>
      <c r="J1540" s="48" t="str">
        <f>IFERROR(__xludf.DUMMYFUNCTION("IFERROR(INDEX(SPLIT(A1540,"":""),1,2),)"),"VISHWARAJ")</f>
        <v>VISHWARAJ</v>
      </c>
      <c r="K1540" s="48" t="str">
        <f t="shared" si="4"/>
        <v/>
      </c>
      <c r="L1540" s="48">
        <f t="shared" si="5"/>
        <v>200</v>
      </c>
      <c r="M1540" s="48">
        <f t="shared" si="6"/>
        <v>527</v>
      </c>
      <c r="N1540" s="50">
        <f>IFERROR(__xludf.DUMMYFUNCTION("IFERROR(GOOGLEFINANCE(A1540,""TRADETIME""),)"),46269.64583333333)</f>
        <v>46269.64583</v>
      </c>
      <c r="O1540" s="44"/>
      <c r="P1540" s="44"/>
      <c r="Q1540" s="44"/>
      <c r="R1540" s="44"/>
      <c r="S1540" s="44"/>
      <c r="T1540" s="44"/>
      <c r="U1540" s="44"/>
      <c r="V1540" s="44"/>
      <c r="W1540" s="44"/>
      <c r="X1540" s="44"/>
      <c r="Y1540" s="44"/>
      <c r="Z1540" s="44"/>
    </row>
    <row r="1541" ht="15.75" customHeight="1">
      <c r="A1541" s="51" t="s">
        <v>1586</v>
      </c>
      <c r="B1541" s="51" t="str">
        <f>IFERROR(__xludf.DUMMYFUNCTION("IFERROR(GOOGLEFINANCE(A1541,""NAME""),)"),"Visagar Polytex Ltd")</f>
        <v>Visagar Polytex Ltd</v>
      </c>
      <c r="C1541" s="51">
        <f>IFERROR(__xludf.DUMMYFUNCTION("IFERROR(GOOGLEFINANCE(A1541,""CHANGE""),)"),0.03)</f>
        <v>0.03</v>
      </c>
      <c r="D1541" s="51">
        <f>IFERROR(__xludf.DUMMYFUNCTION("IFERROR(GOOGLEFINANCE(A1541,""CHANGEPCT""),)"),6.0)</f>
        <v>6</v>
      </c>
      <c r="E1541" s="51" t="str">
        <f t="shared" si="1"/>
        <v>6%</v>
      </c>
      <c r="F1541" s="51">
        <f t="shared" si="2"/>
        <v>6</v>
      </c>
      <c r="G1541" s="51" t="str">
        <f t="shared" si="3"/>
        <v/>
      </c>
      <c r="H1541" s="51">
        <f>IFERROR(__xludf.DUMMYFUNCTION("IFERROR(GOOGLEFINANCE(A1541,""PRICE""),)"),0.53)</f>
        <v>0.53</v>
      </c>
      <c r="I1541" s="52">
        <f>IFERROR(__xludf.DUMMYFUNCTION("IFERROR(GOOGLEFINANCE(A1541,""VOLUME""),)"),80310.0)</f>
        <v>80310</v>
      </c>
      <c r="J1541" s="51" t="str">
        <f>IFERROR(__xludf.DUMMYFUNCTION("IFERROR(INDEX(SPLIT(A1541,"":""),1,2),)"),"VIVIDHA")</f>
        <v>VIVIDHA</v>
      </c>
      <c r="K1541" s="51">
        <f t="shared" si="4"/>
        <v>35</v>
      </c>
      <c r="L1541" s="51" t="str">
        <f t="shared" si="5"/>
        <v/>
      </c>
      <c r="M1541" s="51">
        <f t="shared" si="6"/>
        <v>825</v>
      </c>
      <c r="N1541" s="53">
        <f>IFERROR(__xludf.DUMMYFUNCTION("IFERROR(GOOGLEFINANCE(A1541,""TRADETIME""),)"),46269.64583333333)</f>
        <v>46269.64583</v>
      </c>
      <c r="O1541" s="44"/>
      <c r="P1541" s="44"/>
      <c r="Q1541" s="44"/>
      <c r="R1541" s="44"/>
      <c r="S1541" s="44"/>
      <c r="T1541" s="44"/>
      <c r="U1541" s="44"/>
      <c r="V1541" s="44"/>
      <c r="W1541" s="44"/>
      <c r="X1541" s="44"/>
      <c r="Y1541" s="44"/>
      <c r="Z1541" s="44"/>
    </row>
    <row r="1542" ht="15.75" customHeight="1">
      <c r="A1542" s="48" t="s">
        <v>1587</v>
      </c>
      <c r="B1542" s="48" t="str">
        <f>IFERROR(__xludf.DUMMYFUNCTION("IFERROR(GOOGLEFINANCE(A1542,""NAME""),)"),"Vivimed Labs Ltd")</f>
        <v>Vivimed Labs Ltd</v>
      </c>
      <c r="C1542" s="48">
        <f>IFERROR(__xludf.DUMMYFUNCTION("IFERROR(GOOGLEFINANCE(A1542,""CHANGE""),)"),0.13)</f>
        <v>0.13</v>
      </c>
      <c r="D1542" s="48">
        <f>IFERROR(__xludf.DUMMYFUNCTION("IFERROR(GOOGLEFINANCE(A1542,""CHANGEPCT""),)"),1.99)</f>
        <v>1.99</v>
      </c>
      <c r="E1542" s="48" t="str">
        <f t="shared" si="1"/>
        <v>1.99%</v>
      </c>
      <c r="F1542" s="48">
        <f t="shared" si="2"/>
        <v>1.99</v>
      </c>
      <c r="G1542" s="48" t="str">
        <f t="shared" si="3"/>
        <v/>
      </c>
      <c r="H1542" s="48">
        <f>IFERROR(__xludf.DUMMYFUNCTION("IFERROR(GOOGLEFINANCE(A1542,""PRICE""),)"),6.67)</f>
        <v>6.67</v>
      </c>
      <c r="I1542" s="49">
        <f>IFERROR(__xludf.DUMMYFUNCTION("IFERROR(GOOGLEFINANCE(A1542,""VOLUME""),)"),211247.0)</f>
        <v>211247</v>
      </c>
      <c r="J1542" s="48" t="str">
        <f>IFERROR(__xludf.DUMMYFUNCTION("IFERROR(INDEX(SPLIT(A1542,"":""),1,2),)"),"VIVIMEDLAB")</f>
        <v>VIVIMEDLAB</v>
      </c>
      <c r="K1542" s="48">
        <f t="shared" si="4"/>
        <v>263</v>
      </c>
      <c r="L1542" s="48" t="str">
        <f t="shared" si="5"/>
        <v/>
      </c>
      <c r="M1542" s="48">
        <f t="shared" si="6"/>
        <v>608</v>
      </c>
      <c r="N1542" s="50">
        <f>IFERROR(__xludf.DUMMYFUNCTION("IFERROR(GOOGLEFINANCE(A1542,""TRADETIME""),)"),46269.64583333333)</f>
        <v>46269.64583</v>
      </c>
      <c r="O1542" s="44"/>
      <c r="P1542" s="44"/>
      <c r="Q1542" s="44"/>
      <c r="R1542" s="44"/>
      <c r="S1542" s="44"/>
      <c r="T1542" s="44"/>
      <c r="U1542" s="44"/>
      <c r="V1542" s="44"/>
      <c r="W1542" s="44"/>
      <c r="X1542" s="44"/>
      <c r="Y1542" s="44"/>
      <c r="Z1542" s="44"/>
    </row>
    <row r="1543" ht="15.75" customHeight="1">
      <c r="A1543" s="51" t="s">
        <v>1588</v>
      </c>
      <c r="B1543" s="51" t="str">
        <f>IFERROR(__xludf.DUMMYFUNCTION("IFERROR(GOOGLEFINANCE(A1543,""NAME""),)"),"VLS Finance Ltd")</f>
        <v>VLS Finance Ltd</v>
      </c>
      <c r="C1543" s="51">
        <f>IFERROR(__xludf.DUMMYFUNCTION("IFERROR(GOOGLEFINANCE(A1543,""CHANGE""),)"),0.48)</f>
        <v>0.48</v>
      </c>
      <c r="D1543" s="51">
        <f>IFERROR(__xludf.DUMMYFUNCTION("IFERROR(GOOGLEFINANCE(A1543,""CHANGEPCT""),)"),0.19)</f>
        <v>0.19</v>
      </c>
      <c r="E1543" s="51" t="str">
        <f t="shared" si="1"/>
        <v>0.19%</v>
      </c>
      <c r="F1543" s="51">
        <f t="shared" si="2"/>
        <v>0.19</v>
      </c>
      <c r="G1543" s="51" t="str">
        <f t="shared" si="3"/>
        <v/>
      </c>
      <c r="H1543" s="51">
        <f>IFERROR(__xludf.DUMMYFUNCTION("IFERROR(GOOGLEFINANCE(A1543,""PRICE""),)"),247.05)</f>
        <v>247.05</v>
      </c>
      <c r="I1543" s="52">
        <f>IFERROR(__xludf.DUMMYFUNCTION("IFERROR(GOOGLEFINANCE(A1543,""VOLUME""),)"),6476.0)</f>
        <v>6476</v>
      </c>
      <c r="J1543" s="51" t="str">
        <f>IFERROR(__xludf.DUMMYFUNCTION("IFERROR(INDEX(SPLIT(A1543,"":""),1,2),)"),"VLSFINANCE")</f>
        <v>VLSFINANCE</v>
      </c>
      <c r="K1543" s="51">
        <f t="shared" si="4"/>
        <v>706</v>
      </c>
      <c r="L1543" s="51" t="str">
        <f t="shared" si="5"/>
        <v/>
      </c>
      <c r="M1543" s="51">
        <f t="shared" si="6"/>
        <v>1300</v>
      </c>
      <c r="N1543" s="53">
        <f>IFERROR(__xludf.DUMMYFUNCTION("IFERROR(GOOGLEFINANCE(A1543,""TRADETIME""),)"),46269.64583333333)</f>
        <v>46269.64583</v>
      </c>
      <c r="O1543" s="44"/>
      <c r="P1543" s="44"/>
      <c r="Q1543" s="44"/>
      <c r="R1543" s="44"/>
      <c r="S1543" s="44"/>
      <c r="T1543" s="44"/>
      <c r="U1543" s="44"/>
      <c r="V1543" s="44"/>
      <c r="W1543" s="44"/>
      <c r="X1543" s="44"/>
      <c r="Y1543" s="44"/>
      <c r="Z1543" s="44"/>
    </row>
    <row r="1544" ht="15.75" customHeight="1">
      <c r="A1544" s="48" t="s">
        <v>1589</v>
      </c>
      <c r="B1544" s="48" t="str">
        <f>IFERROR(__xludf.DUMMYFUNCTION("IFERROR(GOOGLEFINANCE(A1544,""NAME""),)"),"V-Mart Retail Ltd")</f>
        <v>V-Mart Retail Ltd</v>
      </c>
      <c r="C1544" s="48">
        <f>IFERROR(__xludf.DUMMYFUNCTION("IFERROR(GOOGLEFINANCE(A1544,""CHANGE""),)"),-17.0)</f>
        <v>-17</v>
      </c>
      <c r="D1544" s="48">
        <f>IFERROR(__xludf.DUMMYFUNCTION("IFERROR(GOOGLEFINANCE(A1544,""CHANGEPCT""),)"),-2.03)</f>
        <v>-2.03</v>
      </c>
      <c r="E1544" s="48" t="str">
        <f t="shared" si="1"/>
        <v>-2.03%</v>
      </c>
      <c r="F1544" s="48" t="str">
        <f t="shared" si="2"/>
        <v/>
      </c>
      <c r="G1544" s="48">
        <f t="shared" si="3"/>
        <v>-2.03</v>
      </c>
      <c r="H1544" s="48">
        <f>IFERROR(__xludf.DUMMYFUNCTION("IFERROR(GOOGLEFINANCE(A1544,""PRICE""),)"),822.1)</f>
        <v>822.1</v>
      </c>
      <c r="I1544" s="49">
        <f>IFERROR(__xludf.DUMMYFUNCTION("IFERROR(GOOGLEFINANCE(A1544,""VOLUME""),)"),68219.0)</f>
        <v>68219</v>
      </c>
      <c r="J1544" s="48" t="str">
        <f>IFERROR(__xludf.DUMMYFUNCTION("IFERROR(INDEX(SPLIT(A1544,"":""),1,2),)"),"VMART")</f>
        <v>VMART</v>
      </c>
      <c r="K1544" s="48" t="str">
        <f t="shared" si="4"/>
        <v/>
      </c>
      <c r="L1544" s="48">
        <f t="shared" si="5"/>
        <v>537</v>
      </c>
      <c r="M1544" s="48">
        <f t="shared" si="6"/>
        <v>867</v>
      </c>
      <c r="N1544" s="50">
        <f>IFERROR(__xludf.DUMMYFUNCTION("IFERROR(GOOGLEFINANCE(A1544,""TRADETIME""),)"),46269.64583333333)</f>
        <v>46269.64583</v>
      </c>
      <c r="O1544" s="44"/>
      <c r="P1544" s="44"/>
      <c r="Q1544" s="44"/>
      <c r="R1544" s="44"/>
      <c r="S1544" s="44"/>
      <c r="T1544" s="44"/>
      <c r="U1544" s="44"/>
      <c r="V1544" s="44"/>
      <c r="W1544" s="44"/>
      <c r="X1544" s="44"/>
      <c r="Y1544" s="44"/>
      <c r="Z1544" s="44"/>
    </row>
    <row r="1545" ht="15.75" customHeight="1">
      <c r="A1545" s="51" t="s">
        <v>1590</v>
      </c>
      <c r="B1545" s="51" t="str">
        <f>IFERROR(__xludf.DUMMYFUNCTION("IFERROR(GOOGLEFINANCE(A1545,""NAME""),)"),"Voltamp Transformers Limited")</f>
        <v>Voltamp Transformers Limited</v>
      </c>
      <c r="C1545" s="51">
        <f>IFERROR(__xludf.DUMMYFUNCTION("IFERROR(GOOGLEFINANCE(A1545,""CHANGE""),)"),244.0)</f>
        <v>244</v>
      </c>
      <c r="D1545" s="51">
        <f>IFERROR(__xludf.DUMMYFUNCTION("IFERROR(GOOGLEFINANCE(A1545,""CHANGEPCT""),)"),2.18)</f>
        <v>2.18</v>
      </c>
      <c r="E1545" s="51" t="str">
        <f t="shared" si="1"/>
        <v>2.18%</v>
      </c>
      <c r="F1545" s="51">
        <f t="shared" si="2"/>
        <v>2.18</v>
      </c>
      <c r="G1545" s="51" t="str">
        <f t="shared" si="3"/>
        <v/>
      </c>
      <c r="H1545" s="51">
        <f>IFERROR(__xludf.DUMMYFUNCTION("IFERROR(GOOGLEFINANCE(A1545,""PRICE""),)"),11426.0)</f>
        <v>11426</v>
      </c>
      <c r="I1545" s="52">
        <f>IFERROR(__xludf.DUMMYFUNCTION("IFERROR(GOOGLEFINANCE(A1545,""VOLUME""),)"),50836.0)</f>
        <v>50836</v>
      </c>
      <c r="J1545" s="51" t="str">
        <f>IFERROR(__xludf.DUMMYFUNCTION("IFERROR(INDEX(SPLIT(A1545,"":""),1,2),)"),"VOLTAMP")</f>
        <v>VOLTAMP</v>
      </c>
      <c r="K1545" s="51">
        <f t="shared" si="4"/>
        <v>236</v>
      </c>
      <c r="L1545" s="51" t="str">
        <f t="shared" si="5"/>
        <v/>
      </c>
      <c r="M1545" s="51">
        <f t="shared" si="6"/>
        <v>941</v>
      </c>
      <c r="N1545" s="53">
        <f>IFERROR(__xludf.DUMMYFUNCTION("IFERROR(GOOGLEFINANCE(A1545,""TRADETIME""),)"),46269.64585648148)</f>
        <v>46269.64586</v>
      </c>
      <c r="O1545" s="44"/>
      <c r="P1545" s="44"/>
      <c r="Q1545" s="44"/>
      <c r="R1545" s="44"/>
      <c r="S1545" s="44"/>
      <c r="T1545" s="44"/>
      <c r="U1545" s="44"/>
      <c r="V1545" s="44"/>
      <c r="W1545" s="44"/>
      <c r="X1545" s="44"/>
      <c r="Y1545" s="44"/>
      <c r="Z1545" s="44"/>
    </row>
    <row r="1546" ht="15.75" customHeight="1">
      <c r="A1546" s="48" t="s">
        <v>1591</v>
      </c>
      <c r="B1546" s="48" t="str">
        <f>IFERROR(__xludf.DUMMYFUNCTION("IFERROR(GOOGLEFINANCE(A1546,""NAME""),)"),"Voltas Ltd")</f>
        <v>Voltas Ltd</v>
      </c>
      <c r="C1546" s="48">
        <f>IFERROR(__xludf.DUMMYFUNCTION("IFERROR(GOOGLEFINANCE(A1546,""CHANGE""),)"),-3.8)</f>
        <v>-3.8</v>
      </c>
      <c r="D1546" s="48">
        <f>IFERROR(__xludf.DUMMYFUNCTION("IFERROR(GOOGLEFINANCE(A1546,""CHANGEPCT""),)"),-0.32)</f>
        <v>-0.32</v>
      </c>
      <c r="E1546" s="48" t="str">
        <f t="shared" si="1"/>
        <v>-0.32%</v>
      </c>
      <c r="F1546" s="48" t="str">
        <f t="shared" si="2"/>
        <v/>
      </c>
      <c r="G1546" s="48">
        <f t="shared" si="3"/>
        <v>-0.32</v>
      </c>
      <c r="H1546" s="48">
        <f>IFERROR(__xludf.DUMMYFUNCTION("IFERROR(GOOGLEFINANCE(A1546,""PRICE""),)"),1174.2)</f>
        <v>1174.2</v>
      </c>
      <c r="I1546" s="49">
        <f>IFERROR(__xludf.DUMMYFUNCTION("IFERROR(GOOGLEFINANCE(A1546,""VOLUME""),)"),460619.0)</f>
        <v>460619</v>
      </c>
      <c r="J1546" s="48" t="str">
        <f>IFERROR(__xludf.DUMMYFUNCTION("IFERROR(INDEX(SPLIT(A1546,"":""),1,2),)"),"VOLTAS")</f>
        <v>VOLTAS</v>
      </c>
      <c r="K1546" s="48" t="str">
        <f t="shared" si="4"/>
        <v/>
      </c>
      <c r="L1546" s="48">
        <f t="shared" si="5"/>
        <v>125</v>
      </c>
      <c r="M1546" s="48">
        <f t="shared" si="6"/>
        <v>416</v>
      </c>
      <c r="N1546" s="50">
        <f>IFERROR(__xludf.DUMMYFUNCTION("IFERROR(GOOGLEFINANCE(A1546,""TRADETIME""),)"),46269.64583333333)</f>
        <v>46269.64583</v>
      </c>
      <c r="O1546" s="44"/>
      <c r="P1546" s="44"/>
      <c r="Q1546" s="44"/>
      <c r="R1546" s="44"/>
      <c r="S1546" s="44"/>
      <c r="T1546" s="44"/>
      <c r="U1546" s="44"/>
      <c r="V1546" s="44"/>
      <c r="W1546" s="44"/>
      <c r="X1546" s="44"/>
      <c r="Y1546" s="44"/>
      <c r="Z1546" s="44"/>
    </row>
    <row r="1547" ht="15.75" customHeight="1">
      <c r="A1547" s="51" t="s">
        <v>1592</v>
      </c>
      <c r="B1547" s="51" t="str">
        <f>IFERROR(__xludf.DUMMYFUNCTION("IFERROR(GOOGLEFINANCE(A1547,""NAME""),)"),"VRL Logistics Ltd")</f>
        <v>VRL Logistics Ltd</v>
      </c>
      <c r="C1547" s="51">
        <f>IFERROR(__xludf.DUMMYFUNCTION("IFERROR(GOOGLEFINANCE(A1547,""CHANGE""),)"),-1.25)</f>
        <v>-1.25</v>
      </c>
      <c r="D1547" s="51">
        <f>IFERROR(__xludf.DUMMYFUNCTION("IFERROR(GOOGLEFINANCE(A1547,""CHANGEPCT""),)"),-0.42)</f>
        <v>-0.42</v>
      </c>
      <c r="E1547" s="51" t="str">
        <f t="shared" si="1"/>
        <v>-0.42%</v>
      </c>
      <c r="F1547" s="51" t="str">
        <f t="shared" si="2"/>
        <v/>
      </c>
      <c r="G1547" s="51">
        <f t="shared" si="3"/>
        <v>-0.42</v>
      </c>
      <c r="H1547" s="51">
        <f>IFERROR(__xludf.DUMMYFUNCTION("IFERROR(GOOGLEFINANCE(A1547,""PRICE""),)"),296.6)</f>
        <v>296.6</v>
      </c>
      <c r="I1547" s="52">
        <f>IFERROR(__xludf.DUMMYFUNCTION("IFERROR(GOOGLEFINANCE(A1547,""VOLUME""),)"),133531.0)</f>
        <v>133531</v>
      </c>
      <c r="J1547" s="51" t="str">
        <f>IFERROR(__xludf.DUMMYFUNCTION("IFERROR(INDEX(SPLIT(A1547,"":""),1,2),)"),"VRLLOG")</f>
        <v>VRLLOG</v>
      </c>
      <c r="K1547" s="51" t="str">
        <f t="shared" si="4"/>
        <v/>
      </c>
      <c r="L1547" s="51">
        <f t="shared" si="5"/>
        <v>162</v>
      </c>
      <c r="M1547" s="51">
        <f t="shared" si="6"/>
        <v>713</v>
      </c>
      <c r="N1547" s="53">
        <f>IFERROR(__xludf.DUMMYFUNCTION("IFERROR(GOOGLEFINANCE(A1547,""TRADETIME""),)"),46269.64585648148)</f>
        <v>46269.64586</v>
      </c>
      <c r="O1547" s="44"/>
      <c r="P1547" s="44"/>
      <c r="Q1547" s="44"/>
      <c r="R1547" s="44"/>
      <c r="S1547" s="44"/>
      <c r="T1547" s="44"/>
      <c r="U1547" s="44"/>
      <c r="V1547" s="44"/>
      <c r="W1547" s="44"/>
      <c r="X1547" s="44"/>
      <c r="Y1547" s="44"/>
      <c r="Z1547" s="44"/>
    </row>
    <row r="1548" ht="15.75" customHeight="1">
      <c r="A1548" s="48" t="s">
        <v>1593</v>
      </c>
      <c r="B1548" s="48" t="str">
        <f>IFERROR(__xludf.DUMMYFUNCTION("IFERROR(GOOGLEFINANCE(A1548,""NAME""),)"),"Vardhman Special Steels Ltd")</f>
        <v>Vardhman Special Steels Ltd</v>
      </c>
      <c r="C1548" s="48">
        <f>IFERROR(__xludf.DUMMYFUNCTION("IFERROR(GOOGLEFINANCE(A1548,""CHANGE""),)"),-0.05)</f>
        <v>-0.05</v>
      </c>
      <c r="D1548" s="48">
        <f>IFERROR(__xludf.DUMMYFUNCTION("IFERROR(GOOGLEFINANCE(A1548,""CHANGEPCT""),)"),-0.01)</f>
        <v>-0.01</v>
      </c>
      <c r="E1548" s="48" t="str">
        <f t="shared" si="1"/>
        <v>-0.01%</v>
      </c>
      <c r="F1548" s="48" t="str">
        <f t="shared" si="2"/>
        <v/>
      </c>
      <c r="G1548" s="48">
        <f t="shared" si="3"/>
        <v>-0.01</v>
      </c>
      <c r="H1548" s="48">
        <f>IFERROR(__xludf.DUMMYFUNCTION("IFERROR(GOOGLEFINANCE(A1548,""PRICE""),)"),363.9)</f>
        <v>363.9</v>
      </c>
      <c r="I1548" s="49">
        <f>IFERROR(__xludf.DUMMYFUNCTION("IFERROR(GOOGLEFINANCE(A1548,""VOLUME""),)"),140547.0)</f>
        <v>140547</v>
      </c>
      <c r="J1548" s="48" t="str">
        <f>IFERROR(__xludf.DUMMYFUNCTION("IFERROR(INDEX(SPLIT(A1548,"":""),1,2),)"),"VSSL")</f>
        <v>VSSL</v>
      </c>
      <c r="K1548" s="48" t="str">
        <f t="shared" si="4"/>
        <v/>
      </c>
      <c r="L1548" s="48">
        <f t="shared" si="5"/>
        <v>1</v>
      </c>
      <c r="M1548" s="48">
        <f t="shared" si="6"/>
        <v>706</v>
      </c>
      <c r="N1548" s="50">
        <f>IFERROR(__xludf.DUMMYFUNCTION("IFERROR(GOOGLEFINANCE(A1548,""TRADETIME""),)"),46269.64583333333)</f>
        <v>46269.64583</v>
      </c>
      <c r="O1548" s="44"/>
      <c r="P1548" s="44"/>
      <c r="Q1548" s="44"/>
      <c r="R1548" s="44"/>
      <c r="S1548" s="44"/>
      <c r="T1548" s="44"/>
      <c r="U1548" s="44"/>
      <c r="V1548" s="44"/>
      <c r="W1548" s="44"/>
      <c r="X1548" s="44"/>
      <c r="Y1548" s="44"/>
      <c r="Z1548" s="44"/>
    </row>
    <row r="1549" ht="15.75" customHeight="1">
      <c r="A1549" s="51" t="s">
        <v>1594</v>
      </c>
      <c r="B1549" s="51" t="str">
        <f>IFERROR(__xludf.DUMMYFUNCTION("IFERROR(GOOGLEFINANCE(A1549,""NAME""),)"),"VST Industries Ltd")</f>
        <v>VST Industries Ltd</v>
      </c>
      <c r="C1549" s="51">
        <f>IFERROR(__xludf.DUMMYFUNCTION("IFERROR(GOOGLEFINANCE(A1549,""CHANGE""),)"),0.34)</f>
        <v>0.34</v>
      </c>
      <c r="D1549" s="51">
        <f>IFERROR(__xludf.DUMMYFUNCTION("IFERROR(GOOGLEFINANCE(A1549,""CHANGEPCT""),)"),0.16)</f>
        <v>0.16</v>
      </c>
      <c r="E1549" s="51" t="str">
        <f t="shared" si="1"/>
        <v>0.16%</v>
      </c>
      <c r="F1549" s="51">
        <f t="shared" si="2"/>
        <v>0.16</v>
      </c>
      <c r="G1549" s="51" t="str">
        <f t="shared" si="3"/>
        <v/>
      </c>
      <c r="H1549" s="51">
        <f>IFERROR(__xludf.DUMMYFUNCTION("IFERROR(GOOGLEFINANCE(A1549,""PRICE""),)"),208.3)</f>
        <v>208.3</v>
      </c>
      <c r="I1549" s="52">
        <f>IFERROR(__xludf.DUMMYFUNCTION("IFERROR(GOOGLEFINANCE(A1549,""VOLUME""),)"),96626.0)</f>
        <v>96626</v>
      </c>
      <c r="J1549" s="51" t="str">
        <f>IFERROR(__xludf.DUMMYFUNCTION("IFERROR(INDEX(SPLIT(A1549,"":""),1,2),)"),"VSTIND")</f>
        <v>VSTIND</v>
      </c>
      <c r="K1549" s="51">
        <f t="shared" si="4"/>
        <v>720</v>
      </c>
      <c r="L1549" s="51" t="str">
        <f t="shared" si="5"/>
        <v/>
      </c>
      <c r="M1549" s="51">
        <f t="shared" si="6"/>
        <v>783</v>
      </c>
      <c r="N1549" s="53">
        <f>IFERROR(__xludf.DUMMYFUNCTION("IFERROR(GOOGLEFINANCE(A1549,""TRADETIME""),)"),46269.64584490741)</f>
        <v>46269.64584</v>
      </c>
      <c r="O1549" s="44"/>
      <c r="P1549" s="44"/>
      <c r="Q1549" s="44"/>
      <c r="R1549" s="44"/>
      <c r="S1549" s="44"/>
      <c r="T1549" s="44"/>
      <c r="U1549" s="44"/>
      <c r="V1549" s="44"/>
      <c r="W1549" s="44"/>
      <c r="X1549" s="44"/>
      <c r="Y1549" s="44"/>
      <c r="Z1549" s="44"/>
    </row>
    <row r="1550" ht="15.75" customHeight="1">
      <c r="A1550" s="48" t="s">
        <v>1595</v>
      </c>
      <c r="B1550" s="48" t="str">
        <f>IFERROR(__xludf.DUMMYFUNCTION("IFERROR(GOOGLEFINANCE(A1550,""NAME""),)"),"VST Tillers Tractors Limited")</f>
        <v>VST Tillers Tractors Limited</v>
      </c>
      <c r="C1550" s="48">
        <f>IFERROR(__xludf.DUMMYFUNCTION("IFERROR(GOOGLEFINANCE(A1550,""CHANGE""),)"),-22.8)</f>
        <v>-22.8</v>
      </c>
      <c r="D1550" s="48">
        <f>IFERROR(__xludf.DUMMYFUNCTION("IFERROR(GOOGLEFINANCE(A1550,""CHANGEPCT""),)"),-0.55)</f>
        <v>-0.55</v>
      </c>
      <c r="E1550" s="48" t="str">
        <f t="shared" si="1"/>
        <v>-0.55%</v>
      </c>
      <c r="F1550" s="48" t="str">
        <f t="shared" si="2"/>
        <v/>
      </c>
      <c r="G1550" s="48">
        <f t="shared" si="3"/>
        <v>-0.55</v>
      </c>
      <c r="H1550" s="48">
        <f>IFERROR(__xludf.DUMMYFUNCTION("IFERROR(GOOGLEFINANCE(A1550,""PRICE""),)"),4152.5)</f>
        <v>4152.5</v>
      </c>
      <c r="I1550" s="49">
        <f>IFERROR(__xludf.DUMMYFUNCTION("IFERROR(GOOGLEFINANCE(A1550,""VOLUME""),)"),4042.0)</f>
        <v>4042</v>
      </c>
      <c r="J1550" s="48" t="str">
        <f>IFERROR(__xludf.DUMMYFUNCTION("IFERROR(INDEX(SPLIT(A1550,"":""),1,2),)"),"VSTTILLERS")</f>
        <v>VSTTILLERS</v>
      </c>
      <c r="K1550" s="48" t="str">
        <f t="shared" si="4"/>
        <v/>
      </c>
      <c r="L1550" s="48">
        <f t="shared" si="5"/>
        <v>215</v>
      </c>
      <c r="M1550" s="48">
        <f t="shared" si="6"/>
        <v>1349</v>
      </c>
      <c r="N1550" s="50">
        <f>IFERROR(__xludf.DUMMYFUNCTION("IFERROR(GOOGLEFINANCE(A1550,""TRADETIME""),)"),46269.64583333333)</f>
        <v>46269.64583</v>
      </c>
      <c r="O1550" s="44"/>
      <c r="P1550" s="44"/>
      <c r="Q1550" s="44"/>
      <c r="R1550" s="44"/>
      <c r="S1550" s="44"/>
      <c r="T1550" s="44"/>
      <c r="U1550" s="44"/>
      <c r="V1550" s="44"/>
      <c r="W1550" s="44"/>
      <c r="X1550" s="44"/>
      <c r="Y1550" s="44"/>
      <c r="Z1550" s="44"/>
    </row>
    <row r="1551" ht="15.75" customHeight="1">
      <c r="A1551" s="51" t="s">
        <v>1596</v>
      </c>
      <c r="B1551" s="51" t="str">
        <f>IFERROR(__xludf.DUMMYFUNCTION("IFERROR(GOOGLEFINANCE(A1551,""NAME""),)"),"Vardhman Textiles Ltd")</f>
        <v>Vardhman Textiles Ltd</v>
      </c>
      <c r="C1551" s="51">
        <f>IFERROR(__xludf.DUMMYFUNCTION("IFERROR(GOOGLEFINANCE(A1551,""CHANGE""),)"),5.35)</f>
        <v>5.35</v>
      </c>
      <c r="D1551" s="51">
        <f>IFERROR(__xludf.DUMMYFUNCTION("IFERROR(GOOGLEFINANCE(A1551,""CHANGEPCT""),)"),0.91)</f>
        <v>0.91</v>
      </c>
      <c r="E1551" s="51" t="str">
        <f t="shared" si="1"/>
        <v>0.91%</v>
      </c>
      <c r="F1551" s="51">
        <f t="shared" si="2"/>
        <v>0.91</v>
      </c>
      <c r="G1551" s="51" t="str">
        <f t="shared" si="3"/>
        <v/>
      </c>
      <c r="H1551" s="51">
        <f>IFERROR(__xludf.DUMMYFUNCTION("IFERROR(GOOGLEFINANCE(A1551,""PRICE""),)"),594.0)</f>
        <v>594</v>
      </c>
      <c r="I1551" s="52">
        <f>IFERROR(__xludf.DUMMYFUNCTION("IFERROR(GOOGLEFINANCE(A1551,""VOLUME""),)"),284973.0)</f>
        <v>284973</v>
      </c>
      <c r="J1551" s="51" t="str">
        <f>IFERROR(__xludf.DUMMYFUNCTION("IFERROR(INDEX(SPLIT(A1551,"":""),1,2),)"),"VTL")</f>
        <v>VTL</v>
      </c>
      <c r="K1551" s="51">
        <f t="shared" si="4"/>
        <v>470</v>
      </c>
      <c r="L1551" s="51" t="str">
        <f t="shared" si="5"/>
        <v/>
      </c>
      <c r="M1551" s="51">
        <f t="shared" si="6"/>
        <v>533</v>
      </c>
      <c r="N1551" s="53">
        <f>IFERROR(__xludf.DUMMYFUNCTION("IFERROR(GOOGLEFINANCE(A1551,""TRADETIME""),)"),46269.64583333333)</f>
        <v>46269.64583</v>
      </c>
      <c r="O1551" s="44"/>
      <c r="P1551" s="44"/>
      <c r="Q1551" s="44"/>
      <c r="R1551" s="44"/>
      <c r="S1551" s="44"/>
      <c r="T1551" s="44"/>
      <c r="U1551" s="44"/>
      <c r="V1551" s="44"/>
      <c r="W1551" s="44"/>
      <c r="X1551" s="44"/>
      <c r="Y1551" s="44"/>
      <c r="Z1551" s="44"/>
    </row>
    <row r="1552" ht="15.75" customHeight="1">
      <c r="A1552" s="48" t="s">
        <v>1597</v>
      </c>
      <c r="B1552" s="48" t="str">
        <f>IFERROR(__xludf.DUMMYFUNCTION("IFERROR(GOOGLEFINANCE(A1552,""NAME""),)"),"VA Tech Wabag Ltd")</f>
        <v>VA Tech Wabag Ltd</v>
      </c>
      <c r="C1552" s="48">
        <f>IFERROR(__xludf.DUMMYFUNCTION("IFERROR(GOOGLEFINANCE(A1552,""CHANGE""),)"),-3.1)</f>
        <v>-3.1</v>
      </c>
      <c r="D1552" s="48">
        <f>IFERROR(__xludf.DUMMYFUNCTION("IFERROR(GOOGLEFINANCE(A1552,""CHANGEPCT""),)"),-0.15)</f>
        <v>-0.15</v>
      </c>
      <c r="E1552" s="48" t="str">
        <f t="shared" si="1"/>
        <v>-0.15%</v>
      </c>
      <c r="F1552" s="48" t="str">
        <f t="shared" si="2"/>
        <v/>
      </c>
      <c r="G1552" s="48">
        <f t="shared" si="3"/>
        <v>-0.15</v>
      </c>
      <c r="H1552" s="48">
        <f>IFERROR(__xludf.DUMMYFUNCTION("IFERROR(GOOGLEFINANCE(A1552,""PRICE""),)"),2008.0)</f>
        <v>2008</v>
      </c>
      <c r="I1552" s="49">
        <f>IFERROR(__xludf.DUMMYFUNCTION("IFERROR(GOOGLEFINANCE(A1552,""VOLUME""),)"),193647.0)</f>
        <v>193647</v>
      </c>
      <c r="J1552" s="48" t="str">
        <f>IFERROR(__xludf.DUMMYFUNCTION("IFERROR(INDEX(SPLIT(A1552,"":""),1,2),)"),"WABAG")</f>
        <v>WABAG</v>
      </c>
      <c r="K1552" s="48" t="str">
        <f t="shared" si="4"/>
        <v/>
      </c>
      <c r="L1552" s="48">
        <f t="shared" si="5"/>
        <v>56</v>
      </c>
      <c r="M1552" s="48">
        <f t="shared" si="6"/>
        <v>638</v>
      </c>
      <c r="N1552" s="50">
        <f>IFERROR(__xludf.DUMMYFUNCTION("IFERROR(GOOGLEFINANCE(A1552,""TRADETIME""),)"),46269.64584490741)</f>
        <v>46269.64584</v>
      </c>
      <c r="O1552" s="44"/>
      <c r="P1552" s="44"/>
      <c r="Q1552" s="44"/>
      <c r="R1552" s="44"/>
      <c r="S1552" s="44"/>
      <c r="T1552" s="44"/>
      <c r="U1552" s="44"/>
      <c r="V1552" s="44"/>
      <c r="W1552" s="44"/>
      <c r="X1552" s="44"/>
      <c r="Y1552" s="44"/>
      <c r="Z1552" s="44"/>
    </row>
    <row r="1553" ht="15.75" customHeight="1">
      <c r="A1553" s="51" t="s">
        <v>1598</v>
      </c>
      <c r="B1553" s="51" t="str">
        <f>IFERROR(__xludf.DUMMYFUNCTION("IFERROR(GOOGLEFINANCE(A1553,""NAME""),)"),"ZF Commercial Vehl Cntrl Sytm India Ltd")</f>
        <v>ZF Commercial Vehl Cntrl Sytm India Ltd</v>
      </c>
      <c r="C1553" s="51">
        <f>IFERROR(__xludf.DUMMYFUNCTION("IFERROR(GOOGLEFINANCE(A1553,""CHANGE""),)"),25.3)</f>
        <v>25.3</v>
      </c>
      <c r="D1553" s="51">
        <f>IFERROR(__xludf.DUMMYFUNCTION("IFERROR(GOOGLEFINANCE(A1553,""CHANGEPCT""),)"),1.0)</f>
        <v>1</v>
      </c>
      <c r="E1553" s="51" t="str">
        <f t="shared" si="1"/>
        <v>1%</v>
      </c>
      <c r="F1553" s="51">
        <f t="shared" si="2"/>
        <v>1</v>
      </c>
      <c r="G1553" s="51" t="str">
        <f t="shared" si="3"/>
        <v/>
      </c>
      <c r="H1553" s="51">
        <f>IFERROR(__xludf.DUMMYFUNCTION("IFERROR(GOOGLEFINANCE(A1553,""PRICE""),)"),2550.1)</f>
        <v>2550.1</v>
      </c>
      <c r="I1553" s="52">
        <f>IFERROR(__xludf.DUMMYFUNCTION("IFERROR(GOOGLEFINANCE(A1553,""VOLUME""),)"),30385.0)</f>
        <v>30385</v>
      </c>
      <c r="J1553" s="51" t="str">
        <f>IFERROR(__xludf.DUMMYFUNCTION("IFERROR(INDEX(SPLIT(A1553,"":""),1,2),)"),"ZFCVINDIA")</f>
        <v>ZFCVINDIA</v>
      </c>
      <c r="K1553" s="51">
        <f t="shared" si="4"/>
        <v>449</v>
      </c>
      <c r="L1553" s="51" t="str">
        <f t="shared" si="5"/>
        <v/>
      </c>
      <c r="M1553" s="51">
        <f t="shared" si="6"/>
        <v>1052</v>
      </c>
      <c r="N1553" s="53">
        <f>IFERROR(__xludf.DUMMYFUNCTION("IFERROR(GOOGLEFINANCE(A1553,""TRADETIME""),)"),46269.64583333333)</f>
        <v>46269.64583</v>
      </c>
      <c r="O1553" s="44"/>
      <c r="P1553" s="44"/>
      <c r="Q1553" s="44"/>
      <c r="R1553" s="44"/>
      <c r="S1553" s="44"/>
      <c r="T1553" s="44"/>
      <c r="U1553" s="44"/>
      <c r="V1553" s="44"/>
      <c r="W1553" s="44"/>
      <c r="X1553" s="44"/>
      <c r="Y1553" s="44"/>
      <c r="Z1553" s="44"/>
    </row>
    <row r="1554" ht="15.75" customHeight="1">
      <c r="A1554" s="48" t="s">
        <v>1599</v>
      </c>
      <c r="B1554" s="48" t="str">
        <f>IFERROR(__xludf.DUMMYFUNCTION("IFERROR(GOOGLEFINANCE(A1554,""NAME""),)"),"Walchandnagar Industries Ltd")</f>
        <v>Walchandnagar Industries Ltd</v>
      </c>
      <c r="C1554" s="48">
        <f>IFERROR(__xludf.DUMMYFUNCTION("IFERROR(GOOGLEFINANCE(A1554,""CHANGE""),)"),2.47)</f>
        <v>2.47</v>
      </c>
      <c r="D1554" s="48">
        <f>IFERROR(__xludf.DUMMYFUNCTION("IFERROR(GOOGLEFINANCE(A1554,""CHANGEPCT""),)"),1.2)</f>
        <v>1.2</v>
      </c>
      <c r="E1554" s="48" t="str">
        <f t="shared" si="1"/>
        <v>1.2%</v>
      </c>
      <c r="F1554" s="48">
        <f t="shared" si="2"/>
        <v>1.2</v>
      </c>
      <c r="G1554" s="48" t="str">
        <f t="shared" si="3"/>
        <v/>
      </c>
      <c r="H1554" s="48">
        <f>IFERROR(__xludf.DUMMYFUNCTION("IFERROR(GOOGLEFINANCE(A1554,""PRICE""),)"),208.6)</f>
        <v>208.6</v>
      </c>
      <c r="I1554" s="49">
        <f>IFERROR(__xludf.DUMMYFUNCTION("IFERROR(GOOGLEFINANCE(A1554,""VOLUME""),)"),400336.0)</f>
        <v>400336</v>
      </c>
      <c r="J1554" s="48" t="str">
        <f>IFERROR(__xludf.DUMMYFUNCTION("IFERROR(INDEX(SPLIT(A1554,"":""),1,2),)"),"WALCHANNAG")</f>
        <v>WALCHANNAG</v>
      </c>
      <c r="K1554" s="48">
        <f t="shared" si="4"/>
        <v>408</v>
      </c>
      <c r="L1554" s="48" t="str">
        <f t="shared" si="5"/>
        <v/>
      </c>
      <c r="M1554" s="48">
        <f t="shared" si="6"/>
        <v>442</v>
      </c>
      <c r="N1554" s="50">
        <f>IFERROR(__xludf.DUMMYFUNCTION("IFERROR(GOOGLEFINANCE(A1554,""TRADETIME""),)"),46269.64583333333)</f>
        <v>46269.64583</v>
      </c>
      <c r="O1554" s="44"/>
      <c r="P1554" s="44"/>
      <c r="Q1554" s="44"/>
      <c r="R1554" s="44"/>
      <c r="S1554" s="44"/>
      <c r="T1554" s="44"/>
      <c r="U1554" s="44"/>
      <c r="V1554" s="44"/>
      <c r="W1554" s="44"/>
      <c r="X1554" s="44"/>
      <c r="Y1554" s="44"/>
      <c r="Z1554" s="44"/>
    </row>
    <row r="1555" ht="15.75" customHeight="1">
      <c r="A1555" s="51" t="s">
        <v>1600</v>
      </c>
      <c r="B1555" s="51" t="str">
        <f>IFERROR(__xludf.DUMMYFUNCTION("IFERROR(GOOGLEFINANCE(A1555,""NAME""),)"),"Wanbury Ltd")</f>
        <v>Wanbury Ltd</v>
      </c>
      <c r="C1555" s="51">
        <f>IFERROR(__xludf.DUMMYFUNCTION("IFERROR(GOOGLEFINANCE(A1555,""CHANGE""),)"),0.9)</f>
        <v>0.9</v>
      </c>
      <c r="D1555" s="51">
        <f>IFERROR(__xludf.DUMMYFUNCTION("IFERROR(GOOGLEFINANCE(A1555,""CHANGEPCT""),)"),0.37)</f>
        <v>0.37</v>
      </c>
      <c r="E1555" s="51" t="str">
        <f t="shared" si="1"/>
        <v>0.37%</v>
      </c>
      <c r="F1555" s="51">
        <f t="shared" si="2"/>
        <v>0.37</v>
      </c>
      <c r="G1555" s="51" t="str">
        <f t="shared" si="3"/>
        <v/>
      </c>
      <c r="H1555" s="51">
        <f>IFERROR(__xludf.DUMMYFUNCTION("IFERROR(GOOGLEFINANCE(A1555,""PRICE""),)"),244.25)</f>
        <v>244.25</v>
      </c>
      <c r="I1555" s="52">
        <f>IFERROR(__xludf.DUMMYFUNCTION("IFERROR(GOOGLEFINANCE(A1555,""VOLUME""),)"),51910.0)</f>
        <v>51910</v>
      </c>
      <c r="J1555" s="51" t="str">
        <f>IFERROR(__xludf.DUMMYFUNCTION("IFERROR(INDEX(SPLIT(A1555,"":""),1,2),)"),"WANBURY")</f>
        <v>WANBURY</v>
      </c>
      <c r="K1555" s="51">
        <f t="shared" si="4"/>
        <v>635</v>
      </c>
      <c r="L1555" s="51" t="str">
        <f t="shared" si="5"/>
        <v/>
      </c>
      <c r="M1555" s="51">
        <f t="shared" si="6"/>
        <v>933</v>
      </c>
      <c r="N1555" s="53">
        <f>IFERROR(__xludf.DUMMYFUNCTION("IFERROR(GOOGLEFINANCE(A1555,""TRADETIME""),)"),46269.64583333333)</f>
        <v>46269.64583</v>
      </c>
      <c r="O1555" s="44"/>
      <c r="P1555" s="44"/>
      <c r="Q1555" s="44"/>
      <c r="R1555" s="44"/>
      <c r="S1555" s="44"/>
      <c r="T1555" s="44"/>
      <c r="U1555" s="44"/>
      <c r="V1555" s="44"/>
      <c r="W1555" s="44"/>
      <c r="X1555" s="44"/>
      <c r="Y1555" s="44"/>
      <c r="Z1555" s="44"/>
    </row>
    <row r="1556" ht="15.75" customHeight="1">
      <c r="A1556" s="48" t="s">
        <v>1601</v>
      </c>
      <c r="B1556" s="48" t="str">
        <f>IFERROR(__xludf.DUMMYFUNCTION("IFERROR(GOOGLEFINANCE(A1556,""NAME""),)"),"")</f>
        <v/>
      </c>
      <c r="C1556" s="48" t="str">
        <f>IFERROR(__xludf.DUMMYFUNCTION("IFERROR(GOOGLEFINANCE(A1556,""CHANGE""),)"),"")</f>
        <v/>
      </c>
      <c r="D1556" s="48" t="str">
        <f>IFERROR(__xludf.DUMMYFUNCTION("IFERROR(GOOGLEFINANCE(A1556,""CHANGEPCT""),)"),"")</f>
        <v/>
      </c>
      <c r="E1556" s="48" t="str">
        <f t="shared" si="1"/>
        <v>%</v>
      </c>
      <c r="F1556" s="48" t="str">
        <f t="shared" si="2"/>
        <v/>
      </c>
      <c r="G1556" s="48" t="str">
        <f t="shared" si="3"/>
        <v/>
      </c>
      <c r="H1556" s="48" t="str">
        <f>IFERROR(__xludf.DUMMYFUNCTION("IFERROR(GOOGLEFINANCE(A1556,""PRICE""),)"),"")</f>
        <v/>
      </c>
      <c r="I1556" s="49" t="str">
        <f>IFERROR(__xludf.DUMMYFUNCTION("IFERROR(GOOGLEFINANCE(A1556,""VOLUME""),)"),"")</f>
        <v/>
      </c>
      <c r="J1556" s="48" t="str">
        <f>IFERROR(__xludf.DUMMYFUNCTION("IFERROR(INDEX(SPLIT(A1556,"":""),1,2),)"),"WATERBASE")</f>
        <v>WATERBASE</v>
      </c>
      <c r="K1556" s="48" t="str">
        <f t="shared" si="4"/>
        <v/>
      </c>
      <c r="L1556" s="48" t="str">
        <f t="shared" si="5"/>
        <v/>
      </c>
      <c r="M1556" s="48">
        <f t="shared" si="6"/>
        <v>1456</v>
      </c>
      <c r="N1556" s="50" t="str">
        <f>IFERROR(__xludf.DUMMYFUNCTION("IFERROR(GOOGLEFINANCE(A1556,""TRADETIME""),)"),"")</f>
        <v/>
      </c>
      <c r="O1556" s="44"/>
      <c r="P1556" s="44"/>
      <c r="Q1556" s="44"/>
      <c r="R1556" s="44"/>
      <c r="S1556" s="44"/>
      <c r="T1556" s="44"/>
      <c r="U1556" s="44"/>
      <c r="V1556" s="44"/>
      <c r="W1556" s="44"/>
      <c r="X1556" s="44"/>
      <c r="Y1556" s="44"/>
      <c r="Z1556" s="44"/>
    </row>
    <row r="1557" ht="15.75" customHeight="1">
      <c r="A1557" s="51" t="s">
        <v>1602</v>
      </c>
      <c r="B1557" s="51" t="str">
        <f>IFERROR(__xludf.DUMMYFUNCTION("IFERROR(GOOGLEFINANCE(A1557,""NAME""),)"),"Wealth First Portfolio Managers Ltd")</f>
        <v>Wealth First Portfolio Managers Ltd</v>
      </c>
      <c r="C1557" s="51">
        <f>IFERROR(__xludf.DUMMYFUNCTION("IFERROR(GOOGLEFINANCE(A1557,""CHANGE""),)"),0.9)</f>
        <v>0.9</v>
      </c>
      <c r="D1557" s="51">
        <f>IFERROR(__xludf.DUMMYFUNCTION("IFERROR(GOOGLEFINANCE(A1557,""CHANGEPCT""),)"),0.11)</f>
        <v>0.11</v>
      </c>
      <c r="E1557" s="51" t="str">
        <f t="shared" si="1"/>
        <v>0.11%</v>
      </c>
      <c r="F1557" s="51">
        <f t="shared" si="2"/>
        <v>0.11</v>
      </c>
      <c r="G1557" s="51" t="str">
        <f t="shared" si="3"/>
        <v/>
      </c>
      <c r="H1557" s="51">
        <f>IFERROR(__xludf.DUMMYFUNCTION("IFERROR(GOOGLEFINANCE(A1557,""PRICE""),)"),848.4)</f>
        <v>848.4</v>
      </c>
      <c r="I1557" s="52">
        <f>IFERROR(__xludf.DUMMYFUNCTION("IFERROR(GOOGLEFINANCE(A1557,""VOLUME""),)"),1333.0)</f>
        <v>1333</v>
      </c>
      <c r="J1557" s="51" t="str">
        <f>IFERROR(__xludf.DUMMYFUNCTION("IFERROR(INDEX(SPLIT(A1557,"":""),1,2),)"),"WEALTH")</f>
        <v>WEALTH</v>
      </c>
      <c r="K1557" s="51">
        <f t="shared" si="4"/>
        <v>739</v>
      </c>
      <c r="L1557" s="51" t="str">
        <f t="shared" si="5"/>
        <v/>
      </c>
      <c r="M1557" s="51">
        <f t="shared" si="6"/>
        <v>1410</v>
      </c>
      <c r="N1557" s="53">
        <f>IFERROR(__xludf.DUMMYFUNCTION("IFERROR(GOOGLEFINANCE(A1557,""TRADETIME""),)"),46269.64583333333)</f>
        <v>46269.64583</v>
      </c>
      <c r="O1557" s="44"/>
      <c r="P1557" s="44"/>
      <c r="Q1557" s="44"/>
      <c r="R1557" s="44"/>
      <c r="S1557" s="44"/>
      <c r="T1557" s="44"/>
      <c r="U1557" s="44"/>
      <c r="V1557" s="44"/>
      <c r="W1557" s="44"/>
      <c r="X1557" s="44"/>
      <c r="Y1557" s="44"/>
      <c r="Z1557" s="44"/>
    </row>
    <row r="1558" ht="15.75" customHeight="1">
      <c r="A1558" s="48" t="s">
        <v>1603</v>
      </c>
      <c r="B1558" s="48" t="str">
        <f>IFERROR(__xludf.DUMMYFUNCTION("IFERROR(GOOGLEFINANCE(A1558,""NAME""),)"),"Websol Energy System Ltd")</f>
        <v>Websol Energy System Ltd</v>
      </c>
      <c r="C1558" s="48">
        <f>IFERROR(__xludf.DUMMYFUNCTION("IFERROR(GOOGLEFINANCE(A1558,""CHANGE""),)"),-3.08)</f>
        <v>-3.08</v>
      </c>
      <c r="D1558" s="48">
        <f>IFERROR(__xludf.DUMMYFUNCTION("IFERROR(GOOGLEFINANCE(A1558,""CHANGEPCT""),)"),-3.98)</f>
        <v>-3.98</v>
      </c>
      <c r="E1558" s="48" t="str">
        <f t="shared" si="1"/>
        <v>-3.98%</v>
      </c>
      <c r="F1558" s="48" t="str">
        <f t="shared" si="2"/>
        <v/>
      </c>
      <c r="G1558" s="48">
        <f t="shared" si="3"/>
        <v>-3.98</v>
      </c>
      <c r="H1558" s="48">
        <f>IFERROR(__xludf.DUMMYFUNCTION("IFERROR(GOOGLEFINANCE(A1558,""PRICE""),)"),74.25)</f>
        <v>74.25</v>
      </c>
      <c r="I1558" s="49">
        <f>IFERROR(__xludf.DUMMYFUNCTION("IFERROR(GOOGLEFINANCE(A1558,""VOLUME""),)"),2610445.0)</f>
        <v>2610445</v>
      </c>
      <c r="J1558" s="48" t="str">
        <f>IFERROR(__xludf.DUMMYFUNCTION("IFERROR(INDEX(SPLIT(A1558,"":""),1,2),)"),"WEBELSOLAR")</f>
        <v>WEBELSOLAR</v>
      </c>
      <c r="K1558" s="48" t="str">
        <f t="shared" si="4"/>
        <v/>
      </c>
      <c r="L1558" s="48">
        <f t="shared" si="5"/>
        <v>624</v>
      </c>
      <c r="M1558" s="48">
        <f t="shared" si="6"/>
        <v>139</v>
      </c>
      <c r="N1558" s="50">
        <f>IFERROR(__xludf.DUMMYFUNCTION("IFERROR(GOOGLEFINANCE(A1558,""TRADETIME""),)"),46269.64584490741)</f>
        <v>46269.64584</v>
      </c>
      <c r="O1558" s="44"/>
      <c r="P1558" s="44"/>
      <c r="Q1558" s="44"/>
      <c r="R1558" s="44"/>
      <c r="S1558" s="44"/>
      <c r="T1558" s="44"/>
      <c r="U1558" s="44"/>
      <c r="V1558" s="44"/>
      <c r="W1558" s="44"/>
      <c r="X1558" s="44"/>
      <c r="Y1558" s="44"/>
      <c r="Z1558" s="44"/>
    </row>
    <row r="1559" ht="15.75" customHeight="1">
      <c r="A1559" s="51" t="s">
        <v>1604</v>
      </c>
      <c r="B1559" s="51" t="str">
        <f>IFERROR(__xludf.DUMMYFUNCTION("IFERROR(GOOGLEFINANCE(A1559,""NAME""),)"),"Weizmann Ltd")</f>
        <v>Weizmann Ltd</v>
      </c>
      <c r="C1559" s="51">
        <f>IFERROR(__xludf.DUMMYFUNCTION("IFERROR(GOOGLEFINANCE(A1559,""CHANGE""),)"),0.58)</f>
        <v>0.58</v>
      </c>
      <c r="D1559" s="51">
        <f>IFERROR(__xludf.DUMMYFUNCTION("IFERROR(GOOGLEFINANCE(A1559,""CHANGEPCT""),)"),0.78)</f>
        <v>0.78</v>
      </c>
      <c r="E1559" s="51" t="str">
        <f t="shared" si="1"/>
        <v>0.78%</v>
      </c>
      <c r="F1559" s="51">
        <f t="shared" si="2"/>
        <v>0.78</v>
      </c>
      <c r="G1559" s="51" t="str">
        <f t="shared" si="3"/>
        <v/>
      </c>
      <c r="H1559" s="51">
        <f>IFERROR(__xludf.DUMMYFUNCTION("IFERROR(GOOGLEFINANCE(A1559,""PRICE""),)"),74.79)</f>
        <v>74.79</v>
      </c>
      <c r="I1559" s="52">
        <f>IFERROR(__xludf.DUMMYFUNCTION("IFERROR(GOOGLEFINANCE(A1559,""VOLUME""),)"),1005.0)</f>
        <v>1005</v>
      </c>
      <c r="J1559" s="51" t="str">
        <f>IFERROR(__xludf.DUMMYFUNCTION("IFERROR(INDEX(SPLIT(A1559,"":""),1,2),)"),"WEIZMANIND")</f>
        <v>WEIZMANIND</v>
      </c>
      <c r="K1559" s="51">
        <f t="shared" si="4"/>
        <v>509</v>
      </c>
      <c r="L1559" s="51" t="str">
        <f t="shared" si="5"/>
        <v/>
      </c>
      <c r="M1559" s="51">
        <f t="shared" si="6"/>
        <v>1424</v>
      </c>
      <c r="N1559" s="53">
        <f>IFERROR(__xludf.DUMMYFUNCTION("IFERROR(GOOGLEFINANCE(A1559,""TRADETIME""),)"),46269.64583333333)</f>
        <v>46269.64583</v>
      </c>
      <c r="O1559" s="44"/>
      <c r="P1559" s="44"/>
      <c r="Q1559" s="44"/>
      <c r="R1559" s="44"/>
      <c r="S1559" s="44"/>
      <c r="T1559" s="44"/>
      <c r="U1559" s="44"/>
      <c r="V1559" s="44"/>
      <c r="W1559" s="44"/>
      <c r="X1559" s="44"/>
      <c r="Y1559" s="44"/>
      <c r="Z1559" s="44"/>
    </row>
    <row r="1560" ht="15.75" customHeight="1">
      <c r="A1560" s="48" t="s">
        <v>1605</v>
      </c>
      <c r="B1560" s="48" t="str">
        <f>IFERROR(__xludf.DUMMYFUNCTION("IFERROR(GOOGLEFINANCE(A1560,""NAME""),)"),"Welspun Corp Ltd")</f>
        <v>Welspun Corp Ltd</v>
      </c>
      <c r="C1560" s="48">
        <f>IFERROR(__xludf.DUMMYFUNCTION("IFERROR(GOOGLEFINANCE(A1560,""CHANGE""),)"),-67.7)</f>
        <v>-67.7</v>
      </c>
      <c r="D1560" s="48">
        <f>IFERROR(__xludf.DUMMYFUNCTION("IFERROR(GOOGLEFINANCE(A1560,""CHANGEPCT""),)"),-2.56)</f>
        <v>-2.56</v>
      </c>
      <c r="E1560" s="48" t="str">
        <f t="shared" si="1"/>
        <v>-2.56%</v>
      </c>
      <c r="F1560" s="48" t="str">
        <f t="shared" si="2"/>
        <v/>
      </c>
      <c r="G1560" s="48">
        <f t="shared" si="3"/>
        <v>-2.56</v>
      </c>
      <c r="H1560" s="48">
        <f>IFERROR(__xludf.DUMMYFUNCTION("IFERROR(GOOGLEFINANCE(A1560,""PRICE""),)"),2573.9)</f>
        <v>2573.9</v>
      </c>
      <c r="I1560" s="49">
        <f>IFERROR(__xludf.DUMMYFUNCTION("IFERROR(GOOGLEFINANCE(A1560,""VOLUME""),)"),1247810.0)</f>
        <v>1247810</v>
      </c>
      <c r="J1560" s="48" t="str">
        <f>IFERROR(__xludf.DUMMYFUNCTION("IFERROR(INDEX(SPLIT(A1560,"":""),1,2),)"),"WELCORP")</f>
        <v>WELCORP</v>
      </c>
      <c r="K1560" s="48" t="str">
        <f t="shared" si="4"/>
        <v/>
      </c>
      <c r="L1560" s="48">
        <f t="shared" si="5"/>
        <v>575</v>
      </c>
      <c r="M1560" s="48">
        <f t="shared" si="6"/>
        <v>237</v>
      </c>
      <c r="N1560" s="50">
        <f>IFERROR(__xludf.DUMMYFUNCTION("IFERROR(GOOGLEFINANCE(A1560,""TRADETIME""),)"),46269.64584490741)</f>
        <v>46269.64584</v>
      </c>
      <c r="O1560" s="44"/>
      <c r="P1560" s="44"/>
      <c r="Q1560" s="44"/>
      <c r="R1560" s="44"/>
      <c r="S1560" s="44"/>
      <c r="T1560" s="44"/>
      <c r="U1560" s="44"/>
      <c r="V1560" s="44"/>
      <c r="W1560" s="44"/>
      <c r="X1560" s="44"/>
      <c r="Y1560" s="44"/>
      <c r="Z1560" s="44"/>
    </row>
    <row r="1561" ht="15.75" customHeight="1">
      <c r="A1561" s="51" t="s">
        <v>1606</v>
      </c>
      <c r="B1561" s="51" t="str">
        <f>IFERROR(__xludf.DUMMYFUNCTION("IFERROR(GOOGLEFINANCE(A1561,""NAME""),)"),"Welspun Enterprises Limited")</f>
        <v>Welspun Enterprises Limited</v>
      </c>
      <c r="C1561" s="51">
        <f>IFERROR(__xludf.DUMMYFUNCTION("IFERROR(GOOGLEFINANCE(A1561,""CHANGE""),)"),53.25)</f>
        <v>53.25</v>
      </c>
      <c r="D1561" s="51">
        <f>IFERROR(__xludf.DUMMYFUNCTION("IFERROR(GOOGLEFINANCE(A1561,""CHANGEPCT""),)"),6.96)</f>
        <v>6.96</v>
      </c>
      <c r="E1561" s="51" t="str">
        <f t="shared" si="1"/>
        <v>6.96%</v>
      </c>
      <c r="F1561" s="51">
        <f t="shared" si="2"/>
        <v>6.96</v>
      </c>
      <c r="G1561" s="51" t="str">
        <f t="shared" si="3"/>
        <v/>
      </c>
      <c r="H1561" s="51">
        <f>IFERROR(__xludf.DUMMYFUNCTION("IFERROR(GOOGLEFINANCE(A1561,""PRICE""),)"),818.0)</f>
        <v>818</v>
      </c>
      <c r="I1561" s="52">
        <f>IFERROR(__xludf.DUMMYFUNCTION("IFERROR(GOOGLEFINANCE(A1561,""VOLUME""),)"),2915318.0)</f>
        <v>2915318</v>
      </c>
      <c r="J1561" s="51" t="str">
        <f>IFERROR(__xludf.DUMMYFUNCTION("IFERROR(INDEX(SPLIT(A1561,"":""),1,2),)"),"WELENT")</f>
        <v>WELENT</v>
      </c>
      <c r="K1561" s="51">
        <f t="shared" si="4"/>
        <v>23</v>
      </c>
      <c r="L1561" s="51" t="str">
        <f t="shared" si="5"/>
        <v/>
      </c>
      <c r="M1561" s="51">
        <f t="shared" si="6"/>
        <v>129</v>
      </c>
      <c r="N1561" s="53">
        <f>IFERROR(__xludf.DUMMYFUNCTION("IFERROR(GOOGLEFINANCE(A1561,""TRADETIME""),)"),46269.64584490741)</f>
        <v>46269.64584</v>
      </c>
      <c r="O1561" s="44"/>
      <c r="P1561" s="44"/>
      <c r="Q1561" s="44"/>
      <c r="R1561" s="44"/>
      <c r="S1561" s="44"/>
      <c r="T1561" s="44"/>
      <c r="U1561" s="44"/>
      <c r="V1561" s="44"/>
      <c r="W1561" s="44"/>
      <c r="X1561" s="44"/>
      <c r="Y1561" s="44"/>
      <c r="Z1561" s="44"/>
    </row>
    <row r="1562" ht="15.75" customHeight="1">
      <c r="A1562" s="48" t="s">
        <v>1607</v>
      </c>
      <c r="B1562" s="48" t="str">
        <f>IFERROR(__xludf.DUMMYFUNCTION("IFERROR(GOOGLEFINANCE(A1562,""NAME""),)"),"Welspun Investments and Commercials Ltd")</f>
        <v>Welspun Investments and Commercials Ltd</v>
      </c>
      <c r="C1562" s="48">
        <f>IFERROR(__xludf.DUMMYFUNCTION("IFERROR(GOOGLEFINANCE(A1562,""CHANGE""),)"),43.7)</f>
        <v>43.7</v>
      </c>
      <c r="D1562" s="48">
        <f>IFERROR(__xludf.DUMMYFUNCTION("IFERROR(GOOGLEFINANCE(A1562,""CHANGEPCT""),)"),2.0)</f>
        <v>2</v>
      </c>
      <c r="E1562" s="48" t="str">
        <f t="shared" si="1"/>
        <v>2%</v>
      </c>
      <c r="F1562" s="48">
        <f t="shared" si="2"/>
        <v>2</v>
      </c>
      <c r="G1562" s="48" t="str">
        <f t="shared" si="3"/>
        <v/>
      </c>
      <c r="H1562" s="48">
        <f>IFERROR(__xludf.DUMMYFUNCTION("IFERROR(GOOGLEFINANCE(A1562,""PRICE""),)"),2230.7)</f>
        <v>2230.7</v>
      </c>
      <c r="I1562" s="49">
        <f>IFERROR(__xludf.DUMMYFUNCTION("IFERROR(GOOGLEFINANCE(A1562,""VOLUME""),)"),89.0)</f>
        <v>89</v>
      </c>
      <c r="J1562" s="48" t="str">
        <f>IFERROR(__xludf.DUMMYFUNCTION("IFERROR(INDEX(SPLIT(A1562,"":""),1,2),)"),"WELINV")</f>
        <v>WELINV</v>
      </c>
      <c r="K1562" s="48">
        <f t="shared" si="4"/>
        <v>259</v>
      </c>
      <c r="L1562" s="48" t="str">
        <f t="shared" si="5"/>
        <v/>
      </c>
      <c r="M1562" s="48">
        <f t="shared" si="6"/>
        <v>1452</v>
      </c>
      <c r="N1562" s="50">
        <f>IFERROR(__xludf.DUMMYFUNCTION("IFERROR(GOOGLEFINANCE(A1562,""TRADETIME""),)"),46269.64583333333)</f>
        <v>46269.64583</v>
      </c>
      <c r="O1562" s="44"/>
      <c r="P1562" s="44"/>
      <c r="Q1562" s="44"/>
      <c r="R1562" s="44"/>
      <c r="S1562" s="44"/>
      <c r="T1562" s="44"/>
      <c r="U1562" s="44"/>
      <c r="V1562" s="44"/>
      <c r="W1562" s="44"/>
      <c r="X1562" s="44"/>
      <c r="Y1562" s="44"/>
      <c r="Z1562" s="44"/>
    </row>
    <row r="1563" ht="15.75" customHeight="1">
      <c r="A1563" s="51" t="s">
        <v>1608</v>
      </c>
      <c r="B1563" s="51" t="str">
        <f>IFERROR(__xludf.DUMMYFUNCTION("IFERROR(GOOGLEFINANCE(A1563,""NAME""),)"),"")</f>
        <v/>
      </c>
      <c r="C1563" s="51" t="str">
        <f>IFERROR(__xludf.DUMMYFUNCTION("IFERROR(GOOGLEFINANCE(A1563,""CHANGE""),)"),"")</f>
        <v/>
      </c>
      <c r="D1563" s="51" t="str">
        <f>IFERROR(__xludf.DUMMYFUNCTION("IFERROR(GOOGLEFINANCE(A1563,""CHANGEPCT""),)"),"")</f>
        <v/>
      </c>
      <c r="E1563" s="51" t="str">
        <f t="shared" si="1"/>
        <v>%</v>
      </c>
      <c r="F1563" s="51" t="str">
        <f t="shared" si="2"/>
        <v/>
      </c>
      <c r="G1563" s="51" t="str">
        <f t="shared" si="3"/>
        <v/>
      </c>
      <c r="H1563" s="51" t="str">
        <f>IFERROR(__xludf.DUMMYFUNCTION("IFERROR(GOOGLEFINANCE(A1563,""PRICE""),)"),"")</f>
        <v/>
      </c>
      <c r="I1563" s="52" t="str">
        <f>IFERROR(__xludf.DUMMYFUNCTION("IFERROR(GOOGLEFINANCE(A1563,""VOLUME""),)"),"")</f>
        <v/>
      </c>
      <c r="J1563" s="51" t="str">
        <f>IFERROR(__xludf.DUMMYFUNCTION("IFERROR(INDEX(SPLIT(A1563,"":""),1,2),)"),"WELSPUNIND")</f>
        <v>WELSPUNIND</v>
      </c>
      <c r="K1563" s="51" t="str">
        <f t="shared" si="4"/>
        <v/>
      </c>
      <c r="L1563" s="51" t="str">
        <f t="shared" si="5"/>
        <v/>
      </c>
      <c r="M1563" s="51">
        <f t="shared" si="6"/>
        <v>1456</v>
      </c>
      <c r="N1563" s="53" t="str">
        <f>IFERROR(__xludf.DUMMYFUNCTION("IFERROR(GOOGLEFINANCE(A1563,""TRADETIME""),)"),"")</f>
        <v/>
      </c>
      <c r="O1563" s="44"/>
      <c r="P1563" s="44"/>
      <c r="Q1563" s="44"/>
      <c r="R1563" s="44"/>
      <c r="S1563" s="44"/>
      <c r="T1563" s="44"/>
      <c r="U1563" s="44"/>
      <c r="V1563" s="44"/>
      <c r="W1563" s="44"/>
      <c r="X1563" s="44"/>
      <c r="Y1563" s="44"/>
      <c r="Z1563" s="44"/>
    </row>
    <row r="1564" ht="15.75" customHeight="1">
      <c r="A1564" s="48" t="s">
        <v>1609</v>
      </c>
      <c r="B1564" s="48" t="str">
        <f>IFERROR(__xludf.DUMMYFUNCTION("IFERROR(GOOGLEFINANCE(A1564,""NAME""),)"),"Wendt (India) Ltd")</f>
        <v>Wendt (India) Ltd</v>
      </c>
      <c r="C1564" s="48">
        <f>IFERROR(__xludf.DUMMYFUNCTION("IFERROR(GOOGLEFINANCE(A1564,""CHANGE""),)"),-155.0)</f>
        <v>-155</v>
      </c>
      <c r="D1564" s="48">
        <f>IFERROR(__xludf.DUMMYFUNCTION("IFERROR(GOOGLEFINANCE(A1564,""CHANGEPCT""),)"),-1.87)</f>
        <v>-1.87</v>
      </c>
      <c r="E1564" s="48" t="str">
        <f t="shared" si="1"/>
        <v>-1.87%</v>
      </c>
      <c r="F1564" s="48" t="str">
        <f t="shared" si="2"/>
        <v/>
      </c>
      <c r="G1564" s="48">
        <f t="shared" si="3"/>
        <v>-1.87</v>
      </c>
      <c r="H1564" s="48">
        <f>IFERROR(__xludf.DUMMYFUNCTION("IFERROR(GOOGLEFINANCE(A1564,""PRICE""),)"),8152.0)</f>
        <v>8152</v>
      </c>
      <c r="I1564" s="49">
        <f>IFERROR(__xludf.DUMMYFUNCTION("IFERROR(GOOGLEFINANCE(A1564,""VOLUME""),)"),4236.0)</f>
        <v>4236</v>
      </c>
      <c r="J1564" s="48" t="str">
        <f>IFERROR(__xludf.DUMMYFUNCTION("IFERROR(INDEX(SPLIT(A1564,"":""),1,2),)"),"WENDT")</f>
        <v>WENDT</v>
      </c>
      <c r="K1564" s="48" t="str">
        <f t="shared" si="4"/>
        <v/>
      </c>
      <c r="L1564" s="48">
        <f t="shared" si="5"/>
        <v>501</v>
      </c>
      <c r="M1564" s="48">
        <f t="shared" si="6"/>
        <v>1343</v>
      </c>
      <c r="N1564" s="50">
        <f>IFERROR(__xludf.DUMMYFUNCTION("IFERROR(GOOGLEFINANCE(A1564,""TRADETIME""),)"),46269.64584490741)</f>
        <v>46269.64584</v>
      </c>
      <c r="O1564" s="44"/>
      <c r="P1564" s="44"/>
      <c r="Q1564" s="44"/>
      <c r="R1564" s="44"/>
      <c r="S1564" s="44"/>
      <c r="T1564" s="44"/>
      <c r="U1564" s="44"/>
      <c r="V1564" s="44"/>
      <c r="W1564" s="44"/>
      <c r="X1564" s="44"/>
      <c r="Y1564" s="44"/>
      <c r="Z1564" s="44"/>
    </row>
    <row r="1565" ht="15.75" customHeight="1">
      <c r="A1565" s="51" t="s">
        <v>1610</v>
      </c>
      <c r="B1565" s="51" t="str">
        <f>IFERROR(__xludf.DUMMYFUNCTION("IFERROR(GOOGLEFINANCE(A1565,""NAME""),)"),"Westlife Foodworld Ltd")</f>
        <v>Westlife Foodworld Ltd</v>
      </c>
      <c r="C1565" s="51">
        <f>IFERROR(__xludf.DUMMYFUNCTION("IFERROR(GOOGLEFINANCE(A1565,""CHANGE""),)"),-12.15)</f>
        <v>-12.15</v>
      </c>
      <c r="D1565" s="51">
        <f>IFERROR(__xludf.DUMMYFUNCTION("IFERROR(GOOGLEFINANCE(A1565,""CHANGEPCT""),)"),-2.25)</f>
        <v>-2.25</v>
      </c>
      <c r="E1565" s="51" t="str">
        <f t="shared" si="1"/>
        <v>-2.25%</v>
      </c>
      <c r="F1565" s="51" t="str">
        <f t="shared" si="2"/>
        <v/>
      </c>
      <c r="G1565" s="51">
        <f t="shared" si="3"/>
        <v>-2.25</v>
      </c>
      <c r="H1565" s="51">
        <f>IFERROR(__xludf.DUMMYFUNCTION("IFERROR(GOOGLEFINANCE(A1565,""PRICE""),)"),528.4)</f>
        <v>528.4</v>
      </c>
      <c r="I1565" s="52">
        <f>IFERROR(__xludf.DUMMYFUNCTION("IFERROR(GOOGLEFINANCE(A1565,""VOLUME""),)"),34235.0)</f>
        <v>34235</v>
      </c>
      <c r="J1565" s="51" t="str">
        <f>IFERROR(__xludf.DUMMYFUNCTION("IFERROR(INDEX(SPLIT(A1565,"":""),1,2),)"),"WESTLIFE")</f>
        <v>WESTLIFE</v>
      </c>
      <c r="K1565" s="51" t="str">
        <f t="shared" si="4"/>
        <v/>
      </c>
      <c r="L1565" s="51">
        <f t="shared" si="5"/>
        <v>557</v>
      </c>
      <c r="M1565" s="51">
        <f t="shared" si="6"/>
        <v>1030</v>
      </c>
      <c r="N1565" s="53">
        <f>IFERROR(__xludf.DUMMYFUNCTION("IFERROR(GOOGLEFINANCE(A1565,""TRADETIME""),)"),46269.64586805555)</f>
        <v>46269.64587</v>
      </c>
      <c r="O1565" s="44"/>
      <c r="P1565" s="44"/>
      <c r="Q1565" s="44"/>
      <c r="R1565" s="44"/>
      <c r="S1565" s="44"/>
      <c r="T1565" s="44"/>
      <c r="U1565" s="44"/>
      <c r="V1565" s="44"/>
      <c r="W1565" s="44"/>
      <c r="X1565" s="44"/>
      <c r="Y1565" s="44"/>
      <c r="Z1565" s="44"/>
    </row>
    <row r="1566" ht="15.75" customHeight="1">
      <c r="A1566" s="48" t="s">
        <v>1611</v>
      </c>
      <c r="B1566" s="48" t="str">
        <f>IFERROR(__xludf.DUMMYFUNCTION("IFERROR(GOOGLEFINANCE(A1566,""NAME""),)"),"Wheels India Ltd")</f>
        <v>Wheels India Ltd</v>
      </c>
      <c r="C1566" s="48">
        <f>IFERROR(__xludf.DUMMYFUNCTION("IFERROR(GOOGLEFINANCE(A1566,""CHANGE""),)"),70.6)</f>
        <v>70.6</v>
      </c>
      <c r="D1566" s="48">
        <f>IFERROR(__xludf.DUMMYFUNCTION("IFERROR(GOOGLEFINANCE(A1566,""CHANGEPCT""),)"),4.27)</f>
        <v>4.27</v>
      </c>
      <c r="E1566" s="48" t="str">
        <f t="shared" si="1"/>
        <v>4.27%</v>
      </c>
      <c r="F1566" s="48">
        <f t="shared" si="2"/>
        <v>4.27</v>
      </c>
      <c r="G1566" s="48" t="str">
        <f t="shared" si="3"/>
        <v/>
      </c>
      <c r="H1566" s="48">
        <f>IFERROR(__xludf.DUMMYFUNCTION("IFERROR(GOOGLEFINANCE(A1566,""PRICE""),)"),1725.0)</f>
        <v>1725</v>
      </c>
      <c r="I1566" s="49">
        <f>IFERROR(__xludf.DUMMYFUNCTION("IFERROR(GOOGLEFINANCE(A1566,""VOLUME""),)"),336451.0)</f>
        <v>336451</v>
      </c>
      <c r="J1566" s="48" t="str">
        <f>IFERROR(__xludf.DUMMYFUNCTION("IFERROR(INDEX(SPLIT(A1566,"":""),1,2),)"),"WHEELS")</f>
        <v>WHEELS</v>
      </c>
      <c r="K1566" s="48">
        <f t="shared" si="4"/>
        <v>102</v>
      </c>
      <c r="L1566" s="48" t="str">
        <f t="shared" si="5"/>
        <v/>
      </c>
      <c r="M1566" s="48">
        <f t="shared" si="6"/>
        <v>482</v>
      </c>
      <c r="N1566" s="50">
        <f>IFERROR(__xludf.DUMMYFUNCTION("IFERROR(GOOGLEFINANCE(A1566,""TRADETIME""),)"),46269.64584490741)</f>
        <v>46269.64584</v>
      </c>
      <c r="O1566" s="44"/>
      <c r="P1566" s="44"/>
      <c r="Q1566" s="44"/>
      <c r="R1566" s="44"/>
      <c r="S1566" s="44"/>
      <c r="T1566" s="44"/>
      <c r="U1566" s="44"/>
      <c r="V1566" s="44"/>
      <c r="W1566" s="44"/>
      <c r="X1566" s="44"/>
      <c r="Y1566" s="44"/>
      <c r="Z1566" s="44"/>
    </row>
    <row r="1567" ht="15.75" customHeight="1">
      <c r="A1567" s="51" t="s">
        <v>1612</v>
      </c>
      <c r="B1567" s="51" t="str">
        <f>IFERROR(__xludf.DUMMYFUNCTION("IFERROR(GOOGLEFINANCE(A1567,""NAME""),)"),"Whirlpool Of India Ltd")</f>
        <v>Whirlpool Of India Ltd</v>
      </c>
      <c r="C1567" s="51">
        <f>IFERROR(__xludf.DUMMYFUNCTION("IFERROR(GOOGLEFINANCE(A1567,""CHANGE""),)"),14.3)</f>
        <v>14.3</v>
      </c>
      <c r="D1567" s="51">
        <f>IFERROR(__xludf.DUMMYFUNCTION("IFERROR(GOOGLEFINANCE(A1567,""CHANGEPCT""),)"),1.78)</f>
        <v>1.78</v>
      </c>
      <c r="E1567" s="51" t="str">
        <f t="shared" si="1"/>
        <v>1.78%</v>
      </c>
      <c r="F1567" s="51">
        <f t="shared" si="2"/>
        <v>1.78</v>
      </c>
      <c r="G1567" s="51" t="str">
        <f t="shared" si="3"/>
        <v/>
      </c>
      <c r="H1567" s="51">
        <f>IFERROR(__xludf.DUMMYFUNCTION("IFERROR(GOOGLEFINANCE(A1567,""PRICE""),)"),818.7)</f>
        <v>818.7</v>
      </c>
      <c r="I1567" s="52">
        <f>IFERROR(__xludf.DUMMYFUNCTION("IFERROR(GOOGLEFINANCE(A1567,""VOLUME""),)"),193831.0)</f>
        <v>193831</v>
      </c>
      <c r="J1567" s="51" t="str">
        <f>IFERROR(__xludf.DUMMYFUNCTION("IFERROR(INDEX(SPLIT(A1567,"":""),1,2),)"),"WHIRLPOOL")</f>
        <v>WHIRLPOOL</v>
      </c>
      <c r="K1567" s="51">
        <f t="shared" si="4"/>
        <v>301</v>
      </c>
      <c r="L1567" s="51" t="str">
        <f t="shared" si="5"/>
        <v/>
      </c>
      <c r="M1567" s="51">
        <f t="shared" si="6"/>
        <v>636</v>
      </c>
      <c r="N1567" s="53">
        <f>IFERROR(__xludf.DUMMYFUNCTION("IFERROR(GOOGLEFINANCE(A1567,""TRADETIME""),)"),46269.64585648148)</f>
        <v>46269.64586</v>
      </c>
      <c r="O1567" s="44"/>
      <c r="P1567" s="44"/>
      <c r="Q1567" s="44"/>
      <c r="R1567" s="44"/>
      <c r="S1567" s="44"/>
      <c r="T1567" s="44"/>
      <c r="U1567" s="44"/>
      <c r="V1567" s="44"/>
      <c r="W1567" s="44"/>
      <c r="X1567" s="44"/>
      <c r="Y1567" s="44"/>
      <c r="Z1567" s="44"/>
    </row>
    <row r="1568" ht="15.75" customHeight="1">
      <c r="A1568" s="48" t="s">
        <v>1613</v>
      </c>
      <c r="B1568" s="48" t="str">
        <f>IFERROR(__xludf.DUMMYFUNCTION("IFERROR(GOOGLEFINANCE(A1568,""NAME""),)"),"Williamson Magor and Co Ltd")</f>
        <v>Williamson Magor and Co Ltd</v>
      </c>
      <c r="C1568" s="48">
        <f>IFERROR(__xludf.DUMMYFUNCTION("IFERROR(GOOGLEFINANCE(A1568,""CHANGE""),)"),0.88)</f>
        <v>0.88</v>
      </c>
      <c r="D1568" s="48">
        <f>IFERROR(__xludf.DUMMYFUNCTION("IFERROR(GOOGLEFINANCE(A1568,""CHANGEPCT""),)"),3.58)</f>
        <v>3.58</v>
      </c>
      <c r="E1568" s="48" t="str">
        <f t="shared" si="1"/>
        <v>3.58%</v>
      </c>
      <c r="F1568" s="48">
        <f t="shared" si="2"/>
        <v>3.58</v>
      </c>
      <c r="G1568" s="48" t="str">
        <f t="shared" si="3"/>
        <v/>
      </c>
      <c r="H1568" s="48">
        <f>IFERROR(__xludf.DUMMYFUNCTION("IFERROR(GOOGLEFINANCE(A1568,""PRICE""),)"),25.46)</f>
        <v>25.46</v>
      </c>
      <c r="I1568" s="49">
        <f>IFERROR(__xludf.DUMMYFUNCTION("IFERROR(GOOGLEFINANCE(A1568,""VOLUME""),)"),4157.0)</f>
        <v>4157</v>
      </c>
      <c r="J1568" s="48" t="str">
        <f>IFERROR(__xludf.DUMMYFUNCTION("IFERROR(INDEX(SPLIT(A1568,"":""),1,2),)"),"WILLAMAGOR")</f>
        <v>WILLAMAGOR</v>
      </c>
      <c r="K1568" s="48">
        <f t="shared" si="4"/>
        <v>137</v>
      </c>
      <c r="L1568" s="48" t="str">
        <f t="shared" si="5"/>
        <v/>
      </c>
      <c r="M1568" s="48">
        <f t="shared" si="6"/>
        <v>1346</v>
      </c>
      <c r="N1568" s="50">
        <f>IFERROR(__xludf.DUMMYFUNCTION("IFERROR(GOOGLEFINANCE(A1568,""TRADETIME""),)"),46269.64583333333)</f>
        <v>46269.64583</v>
      </c>
      <c r="O1568" s="44"/>
      <c r="P1568" s="44"/>
      <c r="Q1568" s="44"/>
      <c r="R1568" s="44"/>
      <c r="S1568" s="44"/>
      <c r="T1568" s="44"/>
      <c r="U1568" s="44"/>
      <c r="V1568" s="44"/>
      <c r="W1568" s="44"/>
      <c r="X1568" s="44"/>
      <c r="Y1568" s="44"/>
      <c r="Z1568" s="44"/>
    </row>
    <row r="1569" ht="15.75" customHeight="1">
      <c r="A1569" s="51" t="s">
        <v>1614</v>
      </c>
      <c r="B1569" s="51" t="str">
        <f>IFERROR(__xludf.DUMMYFUNCTION("IFERROR(GOOGLEFINANCE(A1569,""NAME""),)"),"Windsor Machines Ltd")</f>
        <v>Windsor Machines Ltd</v>
      </c>
      <c r="C1569" s="51">
        <f>IFERROR(__xludf.DUMMYFUNCTION("IFERROR(GOOGLEFINANCE(A1569,""CHANGE""),)"),-5.25)</f>
        <v>-5.25</v>
      </c>
      <c r="D1569" s="51">
        <f>IFERROR(__xludf.DUMMYFUNCTION("IFERROR(GOOGLEFINANCE(A1569,""CHANGEPCT""),)"),-1.68)</f>
        <v>-1.68</v>
      </c>
      <c r="E1569" s="51" t="str">
        <f t="shared" si="1"/>
        <v>-1.68%</v>
      </c>
      <c r="F1569" s="51" t="str">
        <f t="shared" si="2"/>
        <v/>
      </c>
      <c r="G1569" s="51">
        <f t="shared" si="3"/>
        <v>-1.68</v>
      </c>
      <c r="H1569" s="51">
        <f>IFERROR(__xludf.DUMMYFUNCTION("IFERROR(GOOGLEFINANCE(A1569,""PRICE""),)"),306.85)</f>
        <v>306.85</v>
      </c>
      <c r="I1569" s="52">
        <f>IFERROR(__xludf.DUMMYFUNCTION("IFERROR(GOOGLEFINANCE(A1569,""VOLUME""),)"),39051.0)</f>
        <v>39051</v>
      </c>
      <c r="J1569" s="51" t="str">
        <f>IFERROR(__xludf.DUMMYFUNCTION("IFERROR(INDEX(SPLIT(A1569,"":""),1,2),)"),"WINDMACHIN")</f>
        <v>WINDMACHIN</v>
      </c>
      <c r="K1569" s="51" t="str">
        <f t="shared" si="4"/>
        <v/>
      </c>
      <c r="L1569" s="51">
        <f t="shared" si="5"/>
        <v>481</v>
      </c>
      <c r="M1569" s="51">
        <f t="shared" si="6"/>
        <v>1008</v>
      </c>
      <c r="N1569" s="53">
        <f>IFERROR(__xludf.DUMMYFUNCTION("IFERROR(GOOGLEFINANCE(A1569,""TRADETIME""),)"),46269.64583333333)</f>
        <v>46269.64583</v>
      </c>
      <c r="O1569" s="44"/>
      <c r="P1569" s="44"/>
      <c r="Q1569" s="44"/>
      <c r="R1569" s="44"/>
      <c r="S1569" s="44"/>
      <c r="T1569" s="44"/>
      <c r="U1569" s="44"/>
      <c r="V1569" s="44"/>
      <c r="W1569" s="44"/>
      <c r="X1569" s="44"/>
      <c r="Y1569" s="44"/>
      <c r="Z1569" s="44"/>
    </row>
    <row r="1570" ht="15.75" customHeight="1">
      <c r="A1570" s="48" t="s">
        <v>1615</v>
      </c>
      <c r="B1570" s="48" t="str">
        <f>IFERROR(__xludf.DUMMYFUNCTION("IFERROR(GOOGLEFINANCE(A1570,""NAME""),)"),"Western India Plywoods Ltd")</f>
        <v>Western India Plywoods Ltd</v>
      </c>
      <c r="C1570" s="48">
        <f>IFERROR(__xludf.DUMMYFUNCTION("IFERROR(GOOGLEFINANCE(A1570,""CHANGE""),)"),2.38)</f>
        <v>2.38</v>
      </c>
      <c r="D1570" s="48">
        <f>IFERROR(__xludf.DUMMYFUNCTION("IFERROR(GOOGLEFINANCE(A1570,""CHANGEPCT""),)"),1.44)</f>
        <v>1.44</v>
      </c>
      <c r="E1570" s="48" t="str">
        <f t="shared" si="1"/>
        <v>1.44%</v>
      </c>
      <c r="F1570" s="48">
        <f t="shared" si="2"/>
        <v>1.44</v>
      </c>
      <c r="G1570" s="48" t="str">
        <f t="shared" si="3"/>
        <v/>
      </c>
      <c r="H1570" s="48">
        <f>IFERROR(__xludf.DUMMYFUNCTION("IFERROR(GOOGLEFINANCE(A1570,""PRICE""),)"),167.99)</f>
        <v>167.99</v>
      </c>
      <c r="I1570" s="49">
        <f>IFERROR(__xludf.DUMMYFUNCTION("IFERROR(GOOGLEFINANCE(A1570,""VOLUME""),)"),16.0)</f>
        <v>16</v>
      </c>
      <c r="J1570" s="48" t="str">
        <f>IFERROR(__xludf.DUMMYFUNCTION("IFERROR(INDEX(SPLIT(A1570,"":""),1,2),)"),"WIPL")</f>
        <v>WIPL</v>
      </c>
      <c r="K1570" s="48">
        <f t="shared" si="4"/>
        <v>356</v>
      </c>
      <c r="L1570" s="48" t="str">
        <f t="shared" si="5"/>
        <v/>
      </c>
      <c r="M1570" s="48">
        <f t="shared" si="6"/>
        <v>1455</v>
      </c>
      <c r="N1570" s="50">
        <f>IFERROR(__xludf.DUMMYFUNCTION("IFERROR(GOOGLEFINANCE(A1570,""TRADETIME""),)"),46269.64583333333)</f>
        <v>46269.64583</v>
      </c>
      <c r="O1570" s="44"/>
      <c r="P1570" s="44"/>
      <c r="Q1570" s="44"/>
      <c r="R1570" s="44"/>
      <c r="S1570" s="44"/>
      <c r="T1570" s="44"/>
      <c r="U1570" s="44"/>
      <c r="V1570" s="44"/>
      <c r="W1570" s="44"/>
      <c r="X1570" s="44"/>
      <c r="Y1570" s="44"/>
      <c r="Z1570" s="44"/>
    </row>
    <row r="1571" ht="15.75" customHeight="1">
      <c r="A1571" s="51" t="s">
        <v>1616</v>
      </c>
      <c r="B1571" s="51" t="str">
        <f>IFERROR(__xludf.DUMMYFUNCTION("IFERROR(GOOGLEFINANCE(A1571,""NAME""),)"),"Wipro Ltd")</f>
        <v>Wipro Ltd</v>
      </c>
      <c r="C1571" s="51">
        <f>IFERROR(__xludf.DUMMYFUNCTION("IFERROR(GOOGLEFINANCE(A1571,""CHANGE""),)"),1.27)</f>
        <v>1.27</v>
      </c>
      <c r="D1571" s="51">
        <f>IFERROR(__xludf.DUMMYFUNCTION("IFERROR(GOOGLEFINANCE(A1571,""CHANGEPCT""),)"),0.72)</f>
        <v>0.72</v>
      </c>
      <c r="E1571" s="51" t="str">
        <f t="shared" si="1"/>
        <v>0.72%</v>
      </c>
      <c r="F1571" s="51">
        <f t="shared" si="2"/>
        <v>0.72</v>
      </c>
      <c r="G1571" s="51" t="str">
        <f t="shared" si="3"/>
        <v/>
      </c>
      <c r="H1571" s="51">
        <f>IFERROR(__xludf.DUMMYFUNCTION("IFERROR(GOOGLEFINANCE(A1571,""PRICE""),)"),176.99)</f>
        <v>176.99</v>
      </c>
      <c r="I1571" s="52">
        <f>IFERROR(__xludf.DUMMYFUNCTION("IFERROR(GOOGLEFINANCE(A1571,""VOLUME""),)"),6882678.0)</f>
        <v>6882678</v>
      </c>
      <c r="J1571" s="51" t="str">
        <f>IFERROR(__xludf.DUMMYFUNCTION("IFERROR(INDEX(SPLIT(A1571,"":""),1,2),)"),"WIPRO")</f>
        <v>WIPRO</v>
      </c>
      <c r="K1571" s="51">
        <f t="shared" si="4"/>
        <v>525</v>
      </c>
      <c r="L1571" s="51" t="str">
        <f t="shared" si="5"/>
        <v/>
      </c>
      <c r="M1571" s="51">
        <f t="shared" si="6"/>
        <v>65</v>
      </c>
      <c r="N1571" s="53">
        <f>IFERROR(__xludf.DUMMYFUNCTION("IFERROR(GOOGLEFINANCE(A1571,""TRADETIME""),)"),46269.64583333333)</f>
        <v>46269.64583</v>
      </c>
      <c r="O1571" s="44"/>
      <c r="P1571" s="44"/>
      <c r="Q1571" s="44"/>
      <c r="R1571" s="44"/>
      <c r="S1571" s="44"/>
      <c r="T1571" s="44"/>
      <c r="U1571" s="44"/>
      <c r="V1571" s="44"/>
      <c r="W1571" s="44"/>
      <c r="X1571" s="44"/>
      <c r="Y1571" s="44"/>
      <c r="Z1571" s="44"/>
    </row>
    <row r="1572" ht="15.75" customHeight="1">
      <c r="A1572" s="48" t="s">
        <v>1617</v>
      </c>
      <c r="B1572" s="48" t="str">
        <f>IFERROR(__xludf.DUMMYFUNCTION("IFERROR(GOOGLEFINANCE(A1572,""NAME""),)"),"Wockhardt Ltd")</f>
        <v>Wockhardt Ltd</v>
      </c>
      <c r="C1572" s="48">
        <f>IFERROR(__xludf.DUMMYFUNCTION("IFERROR(GOOGLEFINANCE(A1572,""CHANGE""),)"),146.4)</f>
        <v>146.4</v>
      </c>
      <c r="D1572" s="48">
        <f>IFERROR(__xludf.DUMMYFUNCTION("IFERROR(GOOGLEFINANCE(A1572,""CHANGEPCT""),)"),7.51)</f>
        <v>7.51</v>
      </c>
      <c r="E1572" s="48" t="str">
        <f t="shared" si="1"/>
        <v>7.51%</v>
      </c>
      <c r="F1572" s="48">
        <f t="shared" si="2"/>
        <v>7.51</v>
      </c>
      <c r="G1572" s="48" t="str">
        <f t="shared" si="3"/>
        <v/>
      </c>
      <c r="H1572" s="48">
        <f>IFERROR(__xludf.DUMMYFUNCTION("IFERROR(GOOGLEFINANCE(A1572,""PRICE""),)"),2097.0)</f>
        <v>2097</v>
      </c>
      <c r="I1572" s="49">
        <f>IFERROR(__xludf.DUMMYFUNCTION("IFERROR(GOOGLEFINANCE(A1572,""VOLUME""),)"),3557646.0)</f>
        <v>3557646</v>
      </c>
      <c r="J1572" s="48" t="str">
        <f>IFERROR(__xludf.DUMMYFUNCTION("IFERROR(INDEX(SPLIT(A1572,"":""),1,2),)"),"WOCKPHARMA")</f>
        <v>WOCKPHARMA</v>
      </c>
      <c r="K1572" s="48">
        <f t="shared" si="4"/>
        <v>19</v>
      </c>
      <c r="L1572" s="48" t="str">
        <f t="shared" si="5"/>
        <v/>
      </c>
      <c r="M1572" s="48">
        <f t="shared" si="6"/>
        <v>113</v>
      </c>
      <c r="N1572" s="50">
        <f>IFERROR(__xludf.DUMMYFUNCTION("IFERROR(GOOGLEFINANCE(A1572,""TRADETIME""),)"),46269.64584490741)</f>
        <v>46269.64584</v>
      </c>
      <c r="O1572" s="44"/>
      <c r="P1572" s="44"/>
      <c r="Q1572" s="44"/>
      <c r="R1572" s="44"/>
      <c r="S1572" s="44"/>
      <c r="T1572" s="44"/>
      <c r="U1572" s="44"/>
      <c r="V1572" s="44"/>
      <c r="W1572" s="44"/>
      <c r="X1572" s="44"/>
      <c r="Y1572" s="44"/>
      <c r="Z1572" s="44"/>
    </row>
    <row r="1573" ht="15.75" customHeight="1">
      <c r="A1573" s="51" t="s">
        <v>1618</v>
      </c>
      <c r="B1573" s="51" t="str">
        <f>IFERROR(__xludf.DUMMYFUNCTION("IFERROR(GOOGLEFINANCE(A1573,""NAME""),)"),"Wonderla Holidays Ltd")</f>
        <v>Wonderla Holidays Ltd</v>
      </c>
      <c r="C1573" s="51">
        <f>IFERROR(__xludf.DUMMYFUNCTION("IFERROR(GOOGLEFINANCE(A1573,""CHANGE""),)"),9.25)</f>
        <v>9.25</v>
      </c>
      <c r="D1573" s="51">
        <f>IFERROR(__xludf.DUMMYFUNCTION("IFERROR(GOOGLEFINANCE(A1573,""CHANGEPCT""),)"),1.76)</f>
        <v>1.76</v>
      </c>
      <c r="E1573" s="51" t="str">
        <f t="shared" si="1"/>
        <v>1.76%</v>
      </c>
      <c r="F1573" s="51">
        <f t="shared" si="2"/>
        <v>1.76</v>
      </c>
      <c r="G1573" s="51" t="str">
        <f t="shared" si="3"/>
        <v/>
      </c>
      <c r="H1573" s="51">
        <f>IFERROR(__xludf.DUMMYFUNCTION("IFERROR(GOOGLEFINANCE(A1573,""PRICE""),)"),534.5)</f>
        <v>534.5</v>
      </c>
      <c r="I1573" s="52">
        <f>IFERROR(__xludf.DUMMYFUNCTION("IFERROR(GOOGLEFINANCE(A1573,""VOLUME""),)"),74859.0)</f>
        <v>74859</v>
      </c>
      <c r="J1573" s="51" t="str">
        <f>IFERROR(__xludf.DUMMYFUNCTION("IFERROR(INDEX(SPLIT(A1573,"":""),1,2),)"),"WONDERLA")</f>
        <v>WONDERLA</v>
      </c>
      <c r="K1573" s="51">
        <f t="shared" si="4"/>
        <v>304</v>
      </c>
      <c r="L1573" s="51" t="str">
        <f t="shared" si="5"/>
        <v/>
      </c>
      <c r="M1573" s="51">
        <f t="shared" si="6"/>
        <v>844</v>
      </c>
      <c r="N1573" s="53">
        <f>IFERROR(__xludf.DUMMYFUNCTION("IFERROR(GOOGLEFINANCE(A1573,""TRADETIME""),)"),46269.64583333333)</f>
        <v>46269.64583</v>
      </c>
      <c r="O1573" s="44"/>
      <c r="P1573" s="44"/>
      <c r="Q1573" s="44"/>
      <c r="R1573" s="44"/>
      <c r="S1573" s="44"/>
      <c r="T1573" s="44"/>
      <c r="U1573" s="44"/>
      <c r="V1573" s="44"/>
      <c r="W1573" s="44"/>
      <c r="X1573" s="44"/>
      <c r="Y1573" s="44"/>
      <c r="Z1573" s="44"/>
    </row>
    <row r="1574" ht="15.75" customHeight="1">
      <c r="A1574" s="48" t="s">
        <v>1619</v>
      </c>
      <c r="B1574" s="48" t="str">
        <f>IFERROR(__xludf.DUMMYFUNCTION("IFERROR(GOOGLEFINANCE(A1574,""NAME""),)"),"")</f>
        <v/>
      </c>
      <c r="C1574" s="48" t="str">
        <f>IFERROR(__xludf.DUMMYFUNCTION("IFERROR(GOOGLEFINANCE(A1574,""CHANGE""),)"),"")</f>
        <v/>
      </c>
      <c r="D1574" s="48" t="str">
        <f>IFERROR(__xludf.DUMMYFUNCTION("IFERROR(GOOGLEFINANCE(A1574,""CHANGEPCT""),)"),"")</f>
        <v/>
      </c>
      <c r="E1574" s="48" t="str">
        <f t="shared" si="1"/>
        <v>%</v>
      </c>
      <c r="F1574" s="48" t="str">
        <f t="shared" si="2"/>
        <v/>
      </c>
      <c r="G1574" s="48" t="str">
        <f t="shared" si="3"/>
        <v/>
      </c>
      <c r="H1574" s="48" t="str">
        <f>IFERROR(__xludf.DUMMYFUNCTION("IFERROR(GOOGLEFINANCE(A1574,""PRICE""),)"),"")</f>
        <v/>
      </c>
      <c r="I1574" s="49" t="str">
        <f>IFERROR(__xludf.DUMMYFUNCTION("IFERROR(GOOGLEFINANCE(A1574,""VOLUME""),)"),"")</f>
        <v/>
      </c>
      <c r="J1574" s="48" t="str">
        <f>IFERROR(__xludf.DUMMYFUNCTION("IFERROR(INDEX(SPLIT(A1574,"":""),1,2),)"),"WORTH")</f>
        <v>WORTH</v>
      </c>
      <c r="K1574" s="48" t="str">
        <f t="shared" si="4"/>
        <v/>
      </c>
      <c r="L1574" s="48" t="str">
        <f t="shared" si="5"/>
        <v/>
      </c>
      <c r="M1574" s="48">
        <f t="shared" si="6"/>
        <v>1456</v>
      </c>
      <c r="N1574" s="50" t="str">
        <f>IFERROR(__xludf.DUMMYFUNCTION("IFERROR(GOOGLEFINANCE(A1574,""TRADETIME""),)"),"")</f>
        <v/>
      </c>
      <c r="O1574" s="44"/>
      <c r="P1574" s="44"/>
      <c r="Q1574" s="44"/>
      <c r="R1574" s="44"/>
      <c r="S1574" s="44"/>
      <c r="T1574" s="44"/>
      <c r="U1574" s="44"/>
      <c r="V1574" s="44"/>
      <c r="W1574" s="44"/>
      <c r="X1574" s="44"/>
      <c r="Y1574" s="44"/>
      <c r="Z1574" s="44"/>
    </row>
    <row r="1575" ht="15.75" customHeight="1">
      <c r="A1575" s="51" t="s">
        <v>1620</v>
      </c>
      <c r="B1575" s="51" t="str">
        <f>IFERROR(__xludf.DUMMYFUNCTION("IFERROR(GOOGLEFINANCE(A1575,""NAME""),)"),"Aksharchem (India) Ltd")</f>
        <v>Aksharchem (India) Ltd</v>
      </c>
      <c r="C1575" s="51">
        <f>IFERROR(__xludf.DUMMYFUNCTION("IFERROR(GOOGLEFINANCE(A1575,""CHANGE""),)"),21.2)</f>
        <v>21.2</v>
      </c>
      <c r="D1575" s="51">
        <f>IFERROR(__xludf.DUMMYFUNCTION("IFERROR(GOOGLEFINANCE(A1575,""CHANGEPCT""),)"),5.0)</f>
        <v>5</v>
      </c>
      <c r="E1575" s="51" t="str">
        <f t="shared" si="1"/>
        <v>5%</v>
      </c>
      <c r="F1575" s="51">
        <f t="shared" si="2"/>
        <v>5</v>
      </c>
      <c r="G1575" s="51" t="str">
        <f t="shared" si="3"/>
        <v/>
      </c>
      <c r="H1575" s="51">
        <f>IFERROR(__xludf.DUMMYFUNCTION("IFERROR(GOOGLEFINANCE(A1575,""PRICE""),)"),445.2)</f>
        <v>445.2</v>
      </c>
      <c r="I1575" s="52">
        <f>IFERROR(__xludf.DUMMYFUNCTION("IFERROR(GOOGLEFINANCE(A1575,""VOLUME""),)"),70539.0)</f>
        <v>70539</v>
      </c>
      <c r="J1575" s="51" t="str">
        <f>IFERROR(__xludf.DUMMYFUNCTION("IFERROR(INDEX(SPLIT(A1575,"":""),1,2),)"),"AKSHARCHEM")</f>
        <v>AKSHARCHEM</v>
      </c>
      <c r="K1575" s="51">
        <f t="shared" si="4"/>
        <v>63</v>
      </c>
      <c r="L1575" s="51" t="str">
        <f t="shared" si="5"/>
        <v/>
      </c>
      <c r="M1575" s="51">
        <f t="shared" si="6"/>
        <v>860</v>
      </c>
      <c r="N1575" s="53">
        <f>IFERROR(__xludf.DUMMYFUNCTION("IFERROR(GOOGLEFINANCE(A1575,""TRADETIME""),)"),46269.64583333333)</f>
        <v>46269.64583</v>
      </c>
      <c r="O1575" s="44"/>
      <c r="P1575" s="44"/>
      <c r="Q1575" s="44"/>
      <c r="R1575" s="44"/>
      <c r="S1575" s="44"/>
      <c r="T1575" s="44"/>
      <c r="U1575" s="44"/>
      <c r="V1575" s="44"/>
      <c r="W1575" s="44"/>
      <c r="X1575" s="44"/>
      <c r="Y1575" s="44"/>
      <c r="Z1575" s="44"/>
    </row>
    <row r="1576" ht="15.75" customHeight="1">
      <c r="A1576" s="48" t="s">
        <v>1621</v>
      </c>
      <c r="B1576" s="48" t="str">
        <f>IFERROR(__xludf.DUMMYFUNCTION("IFERROR(GOOGLEFINANCE(A1576,""NAME""),)"),"West Coast Paper Mills Ltd")</f>
        <v>West Coast Paper Mills Ltd</v>
      </c>
      <c r="C1576" s="48">
        <f>IFERROR(__xludf.DUMMYFUNCTION("IFERROR(GOOGLEFINANCE(A1576,""CHANGE""),)"),-4.15)</f>
        <v>-4.15</v>
      </c>
      <c r="D1576" s="48">
        <f>IFERROR(__xludf.DUMMYFUNCTION("IFERROR(GOOGLEFINANCE(A1576,""CHANGEPCT""),)"),-0.63)</f>
        <v>-0.63</v>
      </c>
      <c r="E1576" s="48" t="str">
        <f t="shared" si="1"/>
        <v>-0.63%</v>
      </c>
      <c r="F1576" s="48" t="str">
        <f t="shared" si="2"/>
        <v/>
      </c>
      <c r="G1576" s="48">
        <f t="shared" si="3"/>
        <v>-0.63</v>
      </c>
      <c r="H1576" s="48">
        <f>IFERROR(__xludf.DUMMYFUNCTION("IFERROR(GOOGLEFINANCE(A1576,""PRICE""),)"),652.8)</f>
        <v>652.8</v>
      </c>
      <c r="I1576" s="49">
        <f>IFERROR(__xludf.DUMMYFUNCTION("IFERROR(GOOGLEFINANCE(A1576,""VOLUME""),)"),276595.0)</f>
        <v>276595</v>
      </c>
      <c r="J1576" s="48" t="str">
        <f>IFERROR(__xludf.DUMMYFUNCTION("IFERROR(INDEX(SPLIT(A1576,"":""),1,2),)"),"WSTCSTPAPR")</f>
        <v>WSTCSTPAPR</v>
      </c>
      <c r="K1576" s="48" t="str">
        <f t="shared" si="4"/>
        <v/>
      </c>
      <c r="L1576" s="48">
        <f t="shared" si="5"/>
        <v>237</v>
      </c>
      <c r="M1576" s="48">
        <f t="shared" si="6"/>
        <v>542</v>
      </c>
      <c r="N1576" s="50">
        <f>IFERROR(__xludf.DUMMYFUNCTION("IFERROR(GOOGLEFINANCE(A1576,""TRADETIME""),)"),46269.64583333333)</f>
        <v>46269.64583</v>
      </c>
      <c r="O1576" s="44"/>
      <c r="P1576" s="44"/>
      <c r="Q1576" s="44"/>
      <c r="R1576" s="44"/>
      <c r="S1576" s="44"/>
      <c r="T1576" s="44"/>
      <c r="U1576" s="44"/>
      <c r="V1576" s="44"/>
      <c r="W1576" s="44"/>
      <c r="X1576" s="44"/>
      <c r="Y1576" s="44"/>
      <c r="Z1576" s="44"/>
    </row>
    <row r="1577" ht="15.75" customHeight="1">
      <c r="A1577" s="51" t="s">
        <v>1622</v>
      </c>
      <c r="B1577" s="51" t="str">
        <f>IFERROR(__xludf.DUMMYFUNCTION("IFERROR(GOOGLEFINANCE(A1577,""NAME""),)"),"Xchanging Solutions Ltd")</f>
        <v>Xchanging Solutions Ltd</v>
      </c>
      <c r="C1577" s="51">
        <f>IFERROR(__xludf.DUMMYFUNCTION("IFERROR(GOOGLEFINANCE(A1577,""CHANGE""),)"),0.55)</f>
        <v>0.55</v>
      </c>
      <c r="D1577" s="51">
        <f>IFERROR(__xludf.DUMMYFUNCTION("IFERROR(GOOGLEFINANCE(A1577,""CHANGEPCT""),)"),0.9)</f>
        <v>0.9</v>
      </c>
      <c r="E1577" s="51" t="str">
        <f t="shared" si="1"/>
        <v>0.9%</v>
      </c>
      <c r="F1577" s="51">
        <f t="shared" si="2"/>
        <v>0.9</v>
      </c>
      <c r="G1577" s="51" t="str">
        <f t="shared" si="3"/>
        <v/>
      </c>
      <c r="H1577" s="51">
        <f>IFERROR(__xludf.DUMMYFUNCTION("IFERROR(GOOGLEFINANCE(A1577,""PRICE""),)"),61.54)</f>
        <v>61.54</v>
      </c>
      <c r="I1577" s="52">
        <f>IFERROR(__xludf.DUMMYFUNCTION("IFERROR(GOOGLEFINANCE(A1577,""VOLUME""),)"),61684.0)</f>
        <v>61684</v>
      </c>
      <c r="J1577" s="51" t="str">
        <f>IFERROR(__xludf.DUMMYFUNCTION("IFERROR(INDEX(SPLIT(A1577,"":""),1,2),)"),"XCHANGING")</f>
        <v>XCHANGING</v>
      </c>
      <c r="K1577" s="51">
        <f t="shared" si="4"/>
        <v>474</v>
      </c>
      <c r="L1577" s="51" t="str">
        <f t="shared" si="5"/>
        <v/>
      </c>
      <c r="M1577" s="51">
        <f t="shared" si="6"/>
        <v>895</v>
      </c>
      <c r="N1577" s="53">
        <f>IFERROR(__xludf.DUMMYFUNCTION("IFERROR(GOOGLEFINANCE(A1577,""TRADETIME""),)"),46269.64584490741)</f>
        <v>46269.64584</v>
      </c>
      <c r="O1577" s="44"/>
      <c r="P1577" s="44"/>
      <c r="Q1577" s="44"/>
      <c r="R1577" s="44"/>
      <c r="S1577" s="44"/>
      <c r="T1577" s="44"/>
      <c r="U1577" s="44"/>
      <c r="V1577" s="44"/>
      <c r="W1577" s="44"/>
      <c r="X1577" s="44"/>
      <c r="Y1577" s="44"/>
      <c r="Z1577" s="44"/>
    </row>
    <row r="1578" ht="15.75" customHeight="1">
      <c r="A1578" s="48" t="s">
        <v>1623</v>
      </c>
      <c r="B1578" s="48" t="str">
        <f>IFERROR(__xludf.DUMMYFUNCTION("IFERROR(GOOGLEFINANCE(A1578,""NAME""),)"),"Xelpmoc Design and Tech Ltd")</f>
        <v>Xelpmoc Design and Tech Ltd</v>
      </c>
      <c r="C1578" s="48">
        <f>IFERROR(__xludf.DUMMYFUNCTION("IFERROR(GOOGLEFINANCE(A1578,""CHANGE""),)"),1.57)</f>
        <v>1.57</v>
      </c>
      <c r="D1578" s="48">
        <f>IFERROR(__xludf.DUMMYFUNCTION("IFERROR(GOOGLEFINANCE(A1578,""CHANGEPCT""),)"),1.98)</f>
        <v>1.98</v>
      </c>
      <c r="E1578" s="48" t="str">
        <f t="shared" si="1"/>
        <v>1.98%</v>
      </c>
      <c r="F1578" s="48">
        <f t="shared" si="2"/>
        <v>1.98</v>
      </c>
      <c r="G1578" s="48" t="str">
        <f t="shared" si="3"/>
        <v/>
      </c>
      <c r="H1578" s="48">
        <f>IFERROR(__xludf.DUMMYFUNCTION("IFERROR(GOOGLEFINANCE(A1578,""PRICE""),)"),80.97)</f>
        <v>80.97</v>
      </c>
      <c r="I1578" s="49">
        <f>IFERROR(__xludf.DUMMYFUNCTION("IFERROR(GOOGLEFINANCE(A1578,""VOLUME""),)"),24153.0)</f>
        <v>24153</v>
      </c>
      <c r="J1578" s="48" t="str">
        <f>IFERROR(__xludf.DUMMYFUNCTION("IFERROR(INDEX(SPLIT(A1578,"":""),1,2),)"),"XELPMOC")</f>
        <v>XELPMOC</v>
      </c>
      <c r="K1578" s="48">
        <f t="shared" si="4"/>
        <v>265</v>
      </c>
      <c r="L1578" s="48" t="str">
        <f t="shared" si="5"/>
        <v/>
      </c>
      <c r="M1578" s="48">
        <f t="shared" si="6"/>
        <v>1091</v>
      </c>
      <c r="N1578" s="50">
        <f>IFERROR(__xludf.DUMMYFUNCTION("IFERROR(GOOGLEFINANCE(A1578,""TRADETIME""),)"),46269.64583333333)</f>
        <v>46269.64583</v>
      </c>
      <c r="O1578" s="44"/>
      <c r="P1578" s="44"/>
      <c r="Q1578" s="44"/>
      <c r="R1578" s="44"/>
      <c r="S1578" s="44"/>
      <c r="T1578" s="44"/>
      <c r="U1578" s="44"/>
      <c r="V1578" s="44"/>
      <c r="W1578" s="44"/>
      <c r="X1578" s="44"/>
      <c r="Y1578" s="44"/>
      <c r="Z1578" s="44"/>
    </row>
    <row r="1579" ht="15.75" customHeight="1">
      <c r="A1579" s="51" t="s">
        <v>1624</v>
      </c>
      <c r="B1579" s="51" t="str">
        <f>IFERROR(__xludf.DUMMYFUNCTION("IFERROR(GOOGLEFINANCE(A1579,""NAME""),)"),"Xpro India Limited")</f>
        <v>Xpro India Limited</v>
      </c>
      <c r="C1579" s="51">
        <f>IFERROR(__xludf.DUMMYFUNCTION("IFERROR(GOOGLEFINANCE(A1579,""CHANGE""),)"),41.2)</f>
        <v>41.2</v>
      </c>
      <c r="D1579" s="51">
        <f>IFERROR(__xludf.DUMMYFUNCTION("IFERROR(GOOGLEFINANCE(A1579,""CHANGEPCT""),)"),3.22)</f>
        <v>3.22</v>
      </c>
      <c r="E1579" s="51" t="str">
        <f t="shared" si="1"/>
        <v>3.22%</v>
      </c>
      <c r="F1579" s="51">
        <f t="shared" si="2"/>
        <v>3.22</v>
      </c>
      <c r="G1579" s="51" t="str">
        <f t="shared" si="3"/>
        <v/>
      </c>
      <c r="H1579" s="51">
        <f>IFERROR(__xludf.DUMMYFUNCTION("IFERROR(GOOGLEFINANCE(A1579,""PRICE""),)"),1321.5)</f>
        <v>1321.5</v>
      </c>
      <c r="I1579" s="52">
        <f>IFERROR(__xludf.DUMMYFUNCTION("IFERROR(GOOGLEFINANCE(A1579,""VOLUME""),)"),154351.0)</f>
        <v>154351</v>
      </c>
      <c r="J1579" s="51" t="str">
        <f>IFERROR(__xludf.DUMMYFUNCTION("IFERROR(INDEX(SPLIT(A1579,"":""),1,2),)"),"XPROINDIA")</f>
        <v>XPROINDIA</v>
      </c>
      <c r="K1579" s="51">
        <f t="shared" si="4"/>
        <v>148</v>
      </c>
      <c r="L1579" s="51" t="str">
        <f t="shared" si="5"/>
        <v/>
      </c>
      <c r="M1579" s="51">
        <f t="shared" si="6"/>
        <v>685</v>
      </c>
      <c r="N1579" s="53">
        <f>IFERROR(__xludf.DUMMYFUNCTION("IFERROR(GOOGLEFINANCE(A1579,""TRADETIME""),)"),46269.64585648148)</f>
        <v>46269.64586</v>
      </c>
      <c r="O1579" s="44"/>
      <c r="P1579" s="44"/>
      <c r="Q1579" s="44"/>
      <c r="R1579" s="44"/>
      <c r="S1579" s="44"/>
      <c r="T1579" s="44"/>
      <c r="U1579" s="44"/>
      <c r="V1579" s="44"/>
      <c r="W1579" s="44"/>
      <c r="X1579" s="44"/>
      <c r="Y1579" s="44"/>
      <c r="Z1579" s="44"/>
    </row>
    <row r="1580" ht="15.75" customHeight="1">
      <c r="A1580" s="48" t="s">
        <v>1625</v>
      </c>
      <c r="B1580" s="48" t="str">
        <f>IFERROR(__xludf.DUMMYFUNCTION("IFERROR(GOOGLEFINANCE(A1580,""NAME""),)"),"")</f>
        <v/>
      </c>
      <c r="C1580" s="48" t="str">
        <f>IFERROR(__xludf.DUMMYFUNCTION("IFERROR(GOOGLEFINANCE(A1580,""CHANGE""),)"),"")</f>
        <v/>
      </c>
      <c r="D1580" s="48" t="str">
        <f>IFERROR(__xludf.DUMMYFUNCTION("IFERROR(GOOGLEFINANCE(A1580,""CHANGEPCT""),)"),"")</f>
        <v/>
      </c>
      <c r="E1580" s="48" t="str">
        <f t="shared" si="1"/>
        <v>%</v>
      </c>
      <c r="F1580" s="48" t="str">
        <f t="shared" si="2"/>
        <v/>
      </c>
      <c r="G1580" s="48" t="str">
        <f t="shared" si="3"/>
        <v/>
      </c>
      <c r="H1580" s="48" t="str">
        <f>IFERROR(__xludf.DUMMYFUNCTION("IFERROR(GOOGLEFINANCE(A1580,""PRICE""),)"),"")</f>
        <v/>
      </c>
      <c r="I1580" s="49" t="str">
        <f>IFERROR(__xludf.DUMMYFUNCTION("IFERROR(GOOGLEFINANCE(A1580,""VOLUME""),)"),"")</f>
        <v/>
      </c>
      <c r="J1580" s="48" t="str">
        <f>IFERROR(__xludf.DUMMYFUNCTION("IFERROR(INDEX(SPLIT(A1580,"":""),1,2),)"),"YAARI")</f>
        <v>YAARI</v>
      </c>
      <c r="K1580" s="48" t="str">
        <f t="shared" si="4"/>
        <v/>
      </c>
      <c r="L1580" s="48" t="str">
        <f t="shared" si="5"/>
        <v/>
      </c>
      <c r="M1580" s="48">
        <f t="shared" si="6"/>
        <v>1456</v>
      </c>
      <c r="N1580" s="50" t="str">
        <f>IFERROR(__xludf.DUMMYFUNCTION("IFERROR(GOOGLEFINANCE(A1580,""TRADETIME""),)"),"")</f>
        <v/>
      </c>
      <c r="O1580" s="44"/>
      <c r="P1580" s="44"/>
      <c r="Q1580" s="44"/>
      <c r="R1580" s="44"/>
      <c r="S1580" s="44"/>
      <c r="T1580" s="44"/>
      <c r="U1580" s="44"/>
      <c r="V1580" s="44"/>
      <c r="W1580" s="44"/>
      <c r="X1580" s="44"/>
      <c r="Y1580" s="44"/>
      <c r="Z1580" s="44"/>
    </row>
    <row r="1581" ht="15.75" customHeight="1">
      <c r="A1581" s="51" t="s">
        <v>1626</v>
      </c>
      <c r="B1581" s="51" t="str">
        <f>IFERROR(__xludf.DUMMYFUNCTION("IFERROR(GOOGLEFINANCE(A1581,""NAME""),)"),"Yes Bank Ltd")</f>
        <v>Yes Bank Ltd</v>
      </c>
      <c r="C1581" s="51">
        <f>IFERROR(__xludf.DUMMYFUNCTION("IFERROR(GOOGLEFINANCE(A1581,""CHANGE""),)"),-0.07)</f>
        <v>-0.07</v>
      </c>
      <c r="D1581" s="51">
        <f>IFERROR(__xludf.DUMMYFUNCTION("IFERROR(GOOGLEFINANCE(A1581,""CHANGEPCT""),)"),-0.31)</f>
        <v>-0.31</v>
      </c>
      <c r="E1581" s="51" t="str">
        <f t="shared" si="1"/>
        <v>-0.31%</v>
      </c>
      <c r="F1581" s="51" t="str">
        <f t="shared" si="2"/>
        <v/>
      </c>
      <c r="G1581" s="51">
        <f t="shared" si="3"/>
        <v>-0.31</v>
      </c>
      <c r="H1581" s="51">
        <f>IFERROR(__xludf.DUMMYFUNCTION("IFERROR(GOOGLEFINANCE(A1581,""PRICE""),)"),22.47)</f>
        <v>22.47</v>
      </c>
      <c r="I1581" s="52">
        <f>IFERROR(__xludf.DUMMYFUNCTION("IFERROR(GOOGLEFINANCE(A1581,""VOLUME""),)"),3.1739702E7)</f>
        <v>31739702</v>
      </c>
      <c r="J1581" s="51" t="str">
        <f>IFERROR(__xludf.DUMMYFUNCTION("IFERROR(INDEX(SPLIT(A1581,"":""),1,2),)"),"YESBANK")</f>
        <v>YESBANK</v>
      </c>
      <c r="K1581" s="51" t="str">
        <f t="shared" si="4"/>
        <v/>
      </c>
      <c r="L1581" s="51">
        <f t="shared" si="5"/>
        <v>121</v>
      </c>
      <c r="M1581" s="51">
        <f t="shared" si="6"/>
        <v>12</v>
      </c>
      <c r="N1581" s="53">
        <f>IFERROR(__xludf.DUMMYFUNCTION("IFERROR(GOOGLEFINANCE(A1581,""TRADETIME""),)"),46269.64583333333)</f>
        <v>46269.64583</v>
      </c>
      <c r="O1581" s="44"/>
      <c r="P1581" s="44"/>
      <c r="Q1581" s="44"/>
      <c r="R1581" s="44"/>
      <c r="S1581" s="44"/>
      <c r="T1581" s="44"/>
      <c r="U1581" s="44"/>
      <c r="V1581" s="44"/>
      <c r="W1581" s="44"/>
      <c r="X1581" s="44"/>
      <c r="Y1581" s="44"/>
      <c r="Z1581" s="44"/>
    </row>
    <row r="1582" ht="15.75" customHeight="1">
      <c r="A1582" s="48" t="s">
        <v>1627</v>
      </c>
      <c r="B1582" s="48" t="str">
        <f>IFERROR(__xludf.DUMMYFUNCTION("IFERROR(GOOGLEFINANCE(A1582,""NAME""),)"),"Zee Entertainment Enterprises Ltd")</f>
        <v>Zee Entertainment Enterprises Ltd</v>
      </c>
      <c r="C1582" s="48">
        <f>IFERROR(__xludf.DUMMYFUNCTION("IFERROR(GOOGLEFINANCE(A1582,""CHANGE""),)"),-0.12)</f>
        <v>-0.12</v>
      </c>
      <c r="D1582" s="48">
        <f>IFERROR(__xludf.DUMMYFUNCTION("IFERROR(GOOGLEFINANCE(A1582,""CHANGEPCT""),)"),-0.13)</f>
        <v>-0.13</v>
      </c>
      <c r="E1582" s="48" t="str">
        <f t="shared" si="1"/>
        <v>-0.13%</v>
      </c>
      <c r="F1582" s="48" t="str">
        <f t="shared" si="2"/>
        <v/>
      </c>
      <c r="G1582" s="48">
        <f t="shared" si="3"/>
        <v>-0.13</v>
      </c>
      <c r="H1582" s="48">
        <f>IFERROR(__xludf.DUMMYFUNCTION("IFERROR(GOOGLEFINANCE(A1582,""PRICE""),)"),91.52)</f>
        <v>91.52</v>
      </c>
      <c r="I1582" s="49">
        <f>IFERROR(__xludf.DUMMYFUNCTION("IFERROR(GOOGLEFINANCE(A1582,""VOLUME""),)"),1.3036739E7)</f>
        <v>13036739</v>
      </c>
      <c r="J1582" s="48" t="str">
        <f>IFERROR(__xludf.DUMMYFUNCTION("IFERROR(INDEX(SPLIT(A1582,"":""),1,2),)"),"ZEEL")</f>
        <v>ZEEL</v>
      </c>
      <c r="K1582" s="48" t="str">
        <f t="shared" si="4"/>
        <v/>
      </c>
      <c r="L1582" s="48">
        <f t="shared" si="5"/>
        <v>47</v>
      </c>
      <c r="M1582" s="48">
        <f t="shared" si="6"/>
        <v>36</v>
      </c>
      <c r="N1582" s="50">
        <f>IFERROR(__xludf.DUMMYFUNCTION("IFERROR(GOOGLEFINANCE(A1582,""TRADETIME""),)"),46269.64584490741)</f>
        <v>46269.64584</v>
      </c>
      <c r="O1582" s="44"/>
      <c r="P1582" s="44"/>
      <c r="Q1582" s="44"/>
      <c r="R1582" s="44"/>
      <c r="S1582" s="44"/>
      <c r="T1582" s="44"/>
      <c r="U1582" s="44"/>
      <c r="V1582" s="44"/>
      <c r="W1582" s="44"/>
      <c r="X1582" s="44"/>
      <c r="Y1582" s="44"/>
      <c r="Z1582" s="44"/>
    </row>
    <row r="1583" ht="15.75" customHeight="1">
      <c r="A1583" s="51" t="s">
        <v>1628</v>
      </c>
      <c r="B1583" s="51" t="str">
        <f>IFERROR(__xludf.DUMMYFUNCTION("IFERROR(GOOGLEFINANCE(A1583,""NAME""),)"),"Zee Learn Ltd")</f>
        <v>Zee Learn Ltd</v>
      </c>
      <c r="C1583" s="51">
        <f>IFERROR(__xludf.DUMMYFUNCTION("IFERROR(GOOGLEFINANCE(A1583,""CHANGE""),)"),-0.02)</f>
        <v>-0.02</v>
      </c>
      <c r="D1583" s="51">
        <f>IFERROR(__xludf.DUMMYFUNCTION("IFERROR(GOOGLEFINANCE(A1583,""CHANGEPCT""),)"),-0.28)</f>
        <v>-0.28</v>
      </c>
      <c r="E1583" s="51" t="str">
        <f t="shared" si="1"/>
        <v>-0.28%</v>
      </c>
      <c r="F1583" s="51" t="str">
        <f t="shared" si="2"/>
        <v/>
      </c>
      <c r="G1583" s="51">
        <f t="shared" si="3"/>
        <v>-0.28</v>
      </c>
      <c r="H1583" s="51">
        <f>IFERROR(__xludf.DUMMYFUNCTION("IFERROR(GOOGLEFINANCE(A1583,""PRICE""),)"),7.17)</f>
        <v>7.17</v>
      </c>
      <c r="I1583" s="52">
        <f>IFERROR(__xludf.DUMMYFUNCTION("IFERROR(GOOGLEFINANCE(A1583,""VOLUME""),)"),452784.0)</f>
        <v>452784</v>
      </c>
      <c r="J1583" s="51" t="str">
        <f>IFERROR(__xludf.DUMMYFUNCTION("IFERROR(INDEX(SPLIT(A1583,"":""),1,2),)"),"ZEELEARN")</f>
        <v>ZEELEARN</v>
      </c>
      <c r="K1583" s="51" t="str">
        <f t="shared" si="4"/>
        <v/>
      </c>
      <c r="L1583" s="51">
        <f t="shared" si="5"/>
        <v>104</v>
      </c>
      <c r="M1583" s="51">
        <f t="shared" si="6"/>
        <v>420</v>
      </c>
      <c r="N1583" s="53">
        <f>IFERROR(__xludf.DUMMYFUNCTION("IFERROR(GOOGLEFINANCE(A1583,""TRADETIME""),)"),46269.64583333333)</f>
        <v>46269.64583</v>
      </c>
      <c r="O1583" s="44"/>
      <c r="P1583" s="44"/>
      <c r="Q1583" s="44"/>
      <c r="R1583" s="44"/>
      <c r="S1583" s="44"/>
      <c r="T1583" s="44"/>
      <c r="U1583" s="44"/>
      <c r="V1583" s="44"/>
      <c r="W1583" s="44"/>
      <c r="X1583" s="44"/>
      <c r="Y1583" s="44"/>
      <c r="Z1583" s="44"/>
    </row>
    <row r="1584" ht="15.75" customHeight="1">
      <c r="A1584" s="48" t="s">
        <v>1629</v>
      </c>
      <c r="B1584" s="48" t="str">
        <f>IFERROR(__xludf.DUMMYFUNCTION("IFERROR(GOOGLEFINANCE(A1584,""NAME""),)"),"Zee Media Corporation Ltd")</f>
        <v>Zee Media Corporation Ltd</v>
      </c>
      <c r="C1584" s="48">
        <f>IFERROR(__xludf.DUMMYFUNCTION("IFERROR(GOOGLEFINANCE(A1584,""CHANGE""),)"),0.21)</f>
        <v>0.21</v>
      </c>
      <c r="D1584" s="48">
        <f>IFERROR(__xludf.DUMMYFUNCTION("IFERROR(GOOGLEFINANCE(A1584,""CHANGEPCT""),)"),2.59)</f>
        <v>2.59</v>
      </c>
      <c r="E1584" s="48" t="str">
        <f t="shared" si="1"/>
        <v>2.59%</v>
      </c>
      <c r="F1584" s="48">
        <f t="shared" si="2"/>
        <v>2.59</v>
      </c>
      <c r="G1584" s="48" t="str">
        <f t="shared" si="3"/>
        <v/>
      </c>
      <c r="H1584" s="48">
        <f>IFERROR(__xludf.DUMMYFUNCTION("IFERROR(GOOGLEFINANCE(A1584,""PRICE""),)"),8.32)</f>
        <v>8.32</v>
      </c>
      <c r="I1584" s="49">
        <f>IFERROR(__xludf.DUMMYFUNCTION("IFERROR(GOOGLEFINANCE(A1584,""VOLUME""),)"),1442303.0)</f>
        <v>1442303</v>
      </c>
      <c r="J1584" s="48" t="str">
        <f>IFERROR(__xludf.DUMMYFUNCTION("IFERROR(INDEX(SPLIT(A1584,"":""),1,2),)"),"ZEEMEDIA")</f>
        <v>ZEEMEDIA</v>
      </c>
      <c r="K1584" s="48">
        <f t="shared" si="4"/>
        <v>191</v>
      </c>
      <c r="L1584" s="48" t="str">
        <f t="shared" si="5"/>
        <v/>
      </c>
      <c r="M1584" s="48">
        <f t="shared" si="6"/>
        <v>213</v>
      </c>
      <c r="N1584" s="50">
        <f>IFERROR(__xludf.DUMMYFUNCTION("IFERROR(GOOGLEFINANCE(A1584,""TRADETIME""),)"),46269.64583333333)</f>
        <v>46269.64583</v>
      </c>
      <c r="O1584" s="44"/>
      <c r="P1584" s="44"/>
      <c r="Q1584" s="44"/>
      <c r="R1584" s="44"/>
      <c r="S1584" s="44"/>
      <c r="T1584" s="44"/>
      <c r="U1584" s="44"/>
      <c r="V1584" s="44"/>
      <c r="W1584" s="44"/>
      <c r="X1584" s="44"/>
      <c r="Y1584" s="44"/>
      <c r="Z1584" s="44"/>
    </row>
    <row r="1585" ht="15.75" customHeight="1">
      <c r="A1585" s="51" t="s">
        <v>1630</v>
      </c>
      <c r="B1585" s="51" t="str">
        <f>IFERROR(__xludf.DUMMYFUNCTION("IFERROR(GOOGLEFINANCE(A1585,""NAME""),)"),"Zenith Exports Ltd")</f>
        <v>Zenith Exports Ltd</v>
      </c>
      <c r="C1585" s="51">
        <f>IFERROR(__xludf.DUMMYFUNCTION("IFERROR(GOOGLEFINANCE(A1585,""CHANGE""),)"),0.0)</f>
        <v>0</v>
      </c>
      <c r="D1585" s="51">
        <f>IFERROR(__xludf.DUMMYFUNCTION("IFERROR(GOOGLEFINANCE(A1585,""CHANGEPCT""),)"),0.0)</f>
        <v>0</v>
      </c>
      <c r="E1585" s="51" t="str">
        <f t="shared" si="1"/>
        <v>0%</v>
      </c>
      <c r="F1585" s="51" t="str">
        <f t="shared" si="2"/>
        <v/>
      </c>
      <c r="G1585" s="51" t="str">
        <f t="shared" si="3"/>
        <v/>
      </c>
      <c r="H1585" s="51">
        <f>IFERROR(__xludf.DUMMYFUNCTION("IFERROR(GOOGLEFINANCE(A1585,""PRICE""),)"),204.1)</f>
        <v>204.1</v>
      </c>
      <c r="I1585" s="52">
        <f>IFERROR(__xludf.DUMMYFUNCTION("IFERROR(GOOGLEFINANCE(A1585,""VOLUME""),)"),0.0)</f>
        <v>0</v>
      </c>
      <c r="J1585" s="51" t="str">
        <f>IFERROR(__xludf.DUMMYFUNCTION("IFERROR(INDEX(SPLIT(A1585,"":""),1,2),)"),"ZENITHEXPO")</f>
        <v>ZENITHEXPO</v>
      </c>
      <c r="K1585" s="51" t="str">
        <f t="shared" si="4"/>
        <v/>
      </c>
      <c r="L1585" s="51" t="str">
        <f t="shared" si="5"/>
        <v/>
      </c>
      <c r="M1585" s="51">
        <f t="shared" si="6"/>
        <v>1456</v>
      </c>
      <c r="N1585" s="53">
        <f>IFERROR(__xludf.DUMMYFUNCTION("IFERROR(GOOGLEFINANCE(A1585,""TRADETIME""),)"),46268.64356481482)</f>
        <v>46268.64356</v>
      </c>
      <c r="O1585" s="44"/>
      <c r="P1585" s="44"/>
      <c r="Q1585" s="44"/>
      <c r="R1585" s="44"/>
      <c r="S1585" s="44"/>
      <c r="T1585" s="44"/>
      <c r="U1585" s="44"/>
      <c r="V1585" s="44"/>
      <c r="W1585" s="44"/>
      <c r="X1585" s="44"/>
      <c r="Y1585" s="44"/>
      <c r="Z1585" s="44"/>
    </row>
    <row r="1586" ht="15.75" customHeight="1">
      <c r="A1586" s="48" t="s">
        <v>1631</v>
      </c>
      <c r="B1586" s="48" t="str">
        <f>IFERROR(__xludf.DUMMYFUNCTION("IFERROR(GOOGLEFINANCE(A1586,""NAME""),)"),"Zensar Technologies Ltd")</f>
        <v>Zensar Technologies Ltd</v>
      </c>
      <c r="C1586" s="48">
        <f>IFERROR(__xludf.DUMMYFUNCTION("IFERROR(GOOGLEFINANCE(A1586,""CHANGE""),)"),-3.75)</f>
        <v>-3.75</v>
      </c>
      <c r="D1586" s="48">
        <f>IFERROR(__xludf.DUMMYFUNCTION("IFERROR(GOOGLEFINANCE(A1586,""CHANGEPCT""),)"),-0.81)</f>
        <v>-0.81</v>
      </c>
      <c r="E1586" s="48" t="str">
        <f t="shared" si="1"/>
        <v>-0.81%</v>
      </c>
      <c r="F1586" s="48" t="str">
        <f t="shared" si="2"/>
        <v/>
      </c>
      <c r="G1586" s="48">
        <f t="shared" si="3"/>
        <v>-0.81</v>
      </c>
      <c r="H1586" s="48">
        <f>IFERROR(__xludf.DUMMYFUNCTION("IFERROR(GOOGLEFINANCE(A1586,""PRICE""),)"),461.7)</f>
        <v>461.7</v>
      </c>
      <c r="I1586" s="49">
        <f>IFERROR(__xludf.DUMMYFUNCTION("IFERROR(GOOGLEFINANCE(A1586,""VOLUME""),)"),499424.0)</f>
        <v>499424</v>
      </c>
      <c r="J1586" s="48" t="str">
        <f>IFERROR(__xludf.DUMMYFUNCTION("IFERROR(INDEX(SPLIT(A1586,"":""),1,2),)"),"ZENSARTECH")</f>
        <v>ZENSARTECH</v>
      </c>
      <c r="K1586" s="48" t="str">
        <f t="shared" si="4"/>
        <v/>
      </c>
      <c r="L1586" s="48">
        <f t="shared" si="5"/>
        <v>301</v>
      </c>
      <c r="M1586" s="48">
        <f t="shared" si="6"/>
        <v>395</v>
      </c>
      <c r="N1586" s="50">
        <f>IFERROR(__xludf.DUMMYFUNCTION("IFERROR(GOOGLEFINANCE(A1586,""TRADETIME""),)"),46269.64585648148)</f>
        <v>46269.64586</v>
      </c>
      <c r="O1586" s="44"/>
      <c r="P1586" s="44"/>
      <c r="Q1586" s="44"/>
      <c r="R1586" s="44"/>
      <c r="S1586" s="44"/>
      <c r="T1586" s="44"/>
      <c r="U1586" s="44"/>
      <c r="V1586" s="44"/>
      <c r="W1586" s="44"/>
      <c r="X1586" s="44"/>
      <c r="Y1586" s="44"/>
      <c r="Z1586" s="44"/>
    </row>
    <row r="1587" ht="15.75" customHeight="1">
      <c r="A1587" s="51" t="s">
        <v>1632</v>
      </c>
      <c r="B1587" s="51" t="str">
        <f>IFERROR(__xludf.DUMMYFUNCTION("IFERROR(GOOGLEFINANCE(A1587,""NAME""),)"),"Zen Technologies Limited")</f>
        <v>Zen Technologies Limited</v>
      </c>
      <c r="C1587" s="51">
        <f>IFERROR(__xludf.DUMMYFUNCTION("IFERROR(GOOGLEFINANCE(A1587,""CHANGE""),)"),-11.3)</f>
        <v>-11.3</v>
      </c>
      <c r="D1587" s="51">
        <f>IFERROR(__xludf.DUMMYFUNCTION("IFERROR(GOOGLEFINANCE(A1587,""CHANGEPCT""),)"),-0.62)</f>
        <v>-0.62</v>
      </c>
      <c r="E1587" s="51" t="str">
        <f t="shared" si="1"/>
        <v>-0.62%</v>
      </c>
      <c r="F1587" s="51" t="str">
        <f t="shared" si="2"/>
        <v/>
      </c>
      <c r="G1587" s="51">
        <f t="shared" si="3"/>
        <v>-0.62</v>
      </c>
      <c r="H1587" s="51">
        <f>IFERROR(__xludf.DUMMYFUNCTION("IFERROR(GOOGLEFINANCE(A1587,""PRICE""),)"),1799.0)</f>
        <v>1799</v>
      </c>
      <c r="I1587" s="52">
        <f>IFERROR(__xludf.DUMMYFUNCTION("IFERROR(GOOGLEFINANCE(A1587,""VOLUME""),)"),169326.0)</f>
        <v>169326</v>
      </c>
      <c r="J1587" s="51" t="str">
        <f>IFERROR(__xludf.DUMMYFUNCTION("IFERROR(INDEX(SPLIT(A1587,"":""),1,2),)"),"ZENTEC")</f>
        <v>ZENTEC</v>
      </c>
      <c r="K1587" s="51" t="str">
        <f t="shared" si="4"/>
        <v/>
      </c>
      <c r="L1587" s="51">
        <f t="shared" si="5"/>
        <v>233</v>
      </c>
      <c r="M1587" s="51">
        <f t="shared" si="6"/>
        <v>662</v>
      </c>
      <c r="N1587" s="53">
        <f>IFERROR(__xludf.DUMMYFUNCTION("IFERROR(GOOGLEFINANCE(A1587,""TRADETIME""),)"),46269.64584490741)</f>
        <v>46269.64584</v>
      </c>
      <c r="O1587" s="44"/>
      <c r="P1587" s="44"/>
      <c r="Q1587" s="44"/>
      <c r="R1587" s="44"/>
      <c r="S1587" s="44"/>
      <c r="T1587" s="44"/>
      <c r="U1587" s="44"/>
      <c r="V1587" s="44"/>
      <c r="W1587" s="44"/>
      <c r="X1587" s="44"/>
      <c r="Y1587" s="44"/>
      <c r="Z1587" s="44"/>
    </row>
    <row r="1588" ht="15.75" customHeight="1">
      <c r="A1588" s="48" t="s">
        <v>1633</v>
      </c>
      <c r="B1588" s="48" t="str">
        <f>IFERROR(__xludf.DUMMYFUNCTION("IFERROR(GOOGLEFINANCE(A1588,""NAME""),)"),"Zodiac Clothing Company Ltd")</f>
        <v>Zodiac Clothing Company Ltd</v>
      </c>
      <c r="C1588" s="48">
        <f>IFERROR(__xludf.DUMMYFUNCTION("IFERROR(GOOGLEFINANCE(A1588,""CHANGE""),)"),0.15)</f>
        <v>0.15</v>
      </c>
      <c r="D1588" s="48">
        <f>IFERROR(__xludf.DUMMYFUNCTION("IFERROR(GOOGLEFINANCE(A1588,""CHANGEPCT""),)"),0.21)</f>
        <v>0.21</v>
      </c>
      <c r="E1588" s="48" t="str">
        <f t="shared" si="1"/>
        <v>0.21%</v>
      </c>
      <c r="F1588" s="48">
        <f t="shared" si="2"/>
        <v>0.21</v>
      </c>
      <c r="G1588" s="48" t="str">
        <f t="shared" si="3"/>
        <v/>
      </c>
      <c r="H1588" s="48">
        <f>IFERROR(__xludf.DUMMYFUNCTION("IFERROR(GOOGLEFINANCE(A1588,""PRICE""),)"),73.0)</f>
        <v>73</v>
      </c>
      <c r="I1588" s="49">
        <f>IFERROR(__xludf.DUMMYFUNCTION("IFERROR(GOOGLEFINANCE(A1588,""VOLUME""),)"),9323.0)</f>
        <v>9323</v>
      </c>
      <c r="J1588" s="48" t="str">
        <f>IFERROR(__xludf.DUMMYFUNCTION("IFERROR(INDEX(SPLIT(A1588,"":""),1,2),)"),"ZODIACLOTH")</f>
        <v>ZODIACLOTH</v>
      </c>
      <c r="K1588" s="48">
        <f t="shared" si="4"/>
        <v>694</v>
      </c>
      <c r="L1588" s="48" t="str">
        <f t="shared" si="5"/>
        <v/>
      </c>
      <c r="M1588" s="48">
        <f t="shared" si="6"/>
        <v>1241</v>
      </c>
      <c r="N1588" s="50">
        <f>IFERROR(__xludf.DUMMYFUNCTION("IFERROR(GOOGLEFINANCE(A1588,""TRADETIME""),)"),46269.64583333333)</f>
        <v>46269.64583</v>
      </c>
      <c r="O1588" s="44"/>
      <c r="P1588" s="44"/>
      <c r="Q1588" s="44"/>
      <c r="R1588" s="44"/>
      <c r="S1588" s="44"/>
      <c r="T1588" s="44"/>
      <c r="U1588" s="44"/>
      <c r="V1588" s="44"/>
      <c r="W1588" s="44"/>
      <c r="X1588" s="44"/>
      <c r="Y1588" s="44"/>
      <c r="Z1588" s="44"/>
    </row>
    <row r="1589" ht="15.75" customHeight="1">
      <c r="A1589" s="51" t="s">
        <v>1634</v>
      </c>
      <c r="B1589" s="51" t="str">
        <f>IFERROR(__xludf.DUMMYFUNCTION("IFERROR(GOOGLEFINANCE(A1589,""NAME""),)"),"Zota Health Care Ltd")</f>
        <v>Zota Health Care Ltd</v>
      </c>
      <c r="C1589" s="51">
        <f>IFERROR(__xludf.DUMMYFUNCTION("IFERROR(GOOGLEFINANCE(A1589,""CHANGE""),)"),27.3)</f>
        <v>27.3</v>
      </c>
      <c r="D1589" s="51">
        <f>IFERROR(__xludf.DUMMYFUNCTION("IFERROR(GOOGLEFINANCE(A1589,""CHANGEPCT""),)"),2.48)</f>
        <v>2.48</v>
      </c>
      <c r="E1589" s="51" t="str">
        <f t="shared" si="1"/>
        <v>2.48%</v>
      </c>
      <c r="F1589" s="51">
        <f t="shared" si="2"/>
        <v>2.48</v>
      </c>
      <c r="G1589" s="51" t="str">
        <f t="shared" si="3"/>
        <v/>
      </c>
      <c r="H1589" s="51">
        <f>IFERROR(__xludf.DUMMYFUNCTION("IFERROR(GOOGLEFINANCE(A1589,""PRICE""),)"),1128.5)</f>
        <v>1128.5</v>
      </c>
      <c r="I1589" s="52">
        <f>IFERROR(__xludf.DUMMYFUNCTION("IFERROR(GOOGLEFINANCE(A1589,""VOLUME""),)"),91901.0)</f>
        <v>91901</v>
      </c>
      <c r="J1589" s="51" t="str">
        <f>IFERROR(__xludf.DUMMYFUNCTION("IFERROR(INDEX(SPLIT(A1589,"":""),1,2),)"),"ZOTA")</f>
        <v>ZOTA</v>
      </c>
      <c r="K1589" s="51">
        <f t="shared" si="4"/>
        <v>208</v>
      </c>
      <c r="L1589" s="51" t="str">
        <f t="shared" si="5"/>
        <v/>
      </c>
      <c r="M1589" s="51">
        <f t="shared" si="6"/>
        <v>794</v>
      </c>
      <c r="N1589" s="53">
        <f>IFERROR(__xludf.DUMMYFUNCTION("IFERROR(GOOGLEFINANCE(A1589,""TRADETIME""),)"),46269.64583333333)</f>
        <v>46269.64583</v>
      </c>
      <c r="O1589" s="44"/>
      <c r="P1589" s="44"/>
      <c r="Q1589" s="44"/>
      <c r="R1589" s="44"/>
      <c r="S1589" s="44"/>
      <c r="T1589" s="44"/>
      <c r="U1589" s="44"/>
      <c r="V1589" s="44"/>
      <c r="W1589" s="44"/>
      <c r="X1589" s="44"/>
      <c r="Y1589" s="44"/>
      <c r="Z1589" s="44"/>
    </row>
    <row r="1590" ht="15.75" customHeight="1">
      <c r="A1590" s="48" t="s">
        <v>1635</v>
      </c>
      <c r="B1590" s="48" t="str">
        <f>IFERROR(__xludf.DUMMYFUNCTION("IFERROR(GOOGLEFINANCE(A1590,""NAME""),)"),"Zuari Agro Chemicals Ltd")</f>
        <v>Zuari Agro Chemicals Ltd</v>
      </c>
      <c r="C1590" s="48">
        <f>IFERROR(__xludf.DUMMYFUNCTION("IFERROR(GOOGLEFINANCE(A1590,""CHANGE""),)"),1.06)</f>
        <v>1.06</v>
      </c>
      <c r="D1590" s="48">
        <f>IFERROR(__xludf.DUMMYFUNCTION("IFERROR(GOOGLEFINANCE(A1590,""CHANGEPCT""),)"),0.47)</f>
        <v>0.47</v>
      </c>
      <c r="E1590" s="48" t="str">
        <f t="shared" si="1"/>
        <v>0.47%</v>
      </c>
      <c r="F1590" s="48">
        <f t="shared" si="2"/>
        <v>0.47</v>
      </c>
      <c r="G1590" s="48" t="str">
        <f t="shared" si="3"/>
        <v/>
      </c>
      <c r="H1590" s="48">
        <f>IFERROR(__xludf.DUMMYFUNCTION("IFERROR(GOOGLEFINANCE(A1590,""PRICE""),)"),226.1)</f>
        <v>226.1</v>
      </c>
      <c r="I1590" s="49">
        <f>IFERROR(__xludf.DUMMYFUNCTION("IFERROR(GOOGLEFINANCE(A1590,""VOLUME""),)"),66309.0)</f>
        <v>66309</v>
      </c>
      <c r="J1590" s="48" t="str">
        <f>IFERROR(__xludf.DUMMYFUNCTION("IFERROR(INDEX(SPLIT(A1590,"":""),1,2),)"),"ZUARI")</f>
        <v>ZUARI</v>
      </c>
      <c r="K1590" s="48">
        <f t="shared" si="4"/>
        <v>603</v>
      </c>
      <c r="L1590" s="48" t="str">
        <f t="shared" si="5"/>
        <v/>
      </c>
      <c r="M1590" s="48">
        <f t="shared" si="6"/>
        <v>871</v>
      </c>
      <c r="N1590" s="50">
        <f>IFERROR(__xludf.DUMMYFUNCTION("IFERROR(GOOGLEFINANCE(A1590,""TRADETIME""),)"),46269.64584490741)</f>
        <v>46269.64584</v>
      </c>
      <c r="O1590" s="44"/>
      <c r="P1590" s="44"/>
      <c r="Q1590" s="44"/>
      <c r="R1590" s="44"/>
      <c r="S1590" s="44"/>
      <c r="T1590" s="44"/>
      <c r="U1590" s="44"/>
      <c r="V1590" s="44"/>
      <c r="W1590" s="44"/>
      <c r="X1590" s="44"/>
      <c r="Y1590" s="44"/>
      <c r="Z1590" s="44"/>
    </row>
    <row r="1591" ht="15.75" customHeight="1">
      <c r="A1591" s="51" t="s">
        <v>1636</v>
      </c>
      <c r="B1591" s="51" t="str">
        <f>IFERROR(__xludf.DUMMYFUNCTION("IFERROR(GOOGLEFINANCE(A1591,""NAME""),)"),"Zuari Industries Ltd")</f>
        <v>Zuari Industries Ltd</v>
      </c>
      <c r="C1591" s="51">
        <f>IFERROR(__xludf.DUMMYFUNCTION("IFERROR(GOOGLEFINANCE(A1591,""CHANGE""),)"),1.85)</f>
        <v>1.85</v>
      </c>
      <c r="D1591" s="51">
        <f>IFERROR(__xludf.DUMMYFUNCTION("IFERROR(GOOGLEFINANCE(A1591,""CHANGEPCT""),)"),0.68)</f>
        <v>0.68</v>
      </c>
      <c r="E1591" s="51" t="str">
        <f t="shared" si="1"/>
        <v>0.68%</v>
      </c>
      <c r="F1591" s="51">
        <f t="shared" si="2"/>
        <v>0.68</v>
      </c>
      <c r="G1591" s="51" t="str">
        <f t="shared" si="3"/>
        <v/>
      </c>
      <c r="H1591" s="51">
        <f>IFERROR(__xludf.DUMMYFUNCTION("IFERROR(GOOGLEFINANCE(A1591,""PRICE""),)"),275.05)</f>
        <v>275.05</v>
      </c>
      <c r="I1591" s="52">
        <f>IFERROR(__xludf.DUMMYFUNCTION("IFERROR(GOOGLEFINANCE(A1591,""VOLUME""),)"),45048.0)</f>
        <v>45048</v>
      </c>
      <c r="J1591" s="51" t="str">
        <f>IFERROR(__xludf.DUMMYFUNCTION("IFERROR(INDEX(SPLIT(A1591,"":""),1,2),)"),"ZUARIIND")</f>
        <v>ZUARIIND</v>
      </c>
      <c r="K1591" s="51">
        <f t="shared" si="4"/>
        <v>536</v>
      </c>
      <c r="L1591" s="51" t="str">
        <f t="shared" si="5"/>
        <v/>
      </c>
      <c r="M1591" s="51">
        <f t="shared" si="6"/>
        <v>971</v>
      </c>
      <c r="N1591" s="53">
        <f>IFERROR(__xludf.DUMMYFUNCTION("IFERROR(GOOGLEFINANCE(A1591,""TRADETIME""),)"),46269.64584490741)</f>
        <v>46269.64584</v>
      </c>
      <c r="O1591" s="44"/>
      <c r="P1591" s="44"/>
      <c r="Q1591" s="44"/>
      <c r="R1591" s="44"/>
      <c r="S1591" s="44"/>
      <c r="T1591" s="44"/>
      <c r="U1591" s="44"/>
      <c r="V1591" s="44"/>
      <c r="W1591" s="44"/>
      <c r="X1591" s="44"/>
      <c r="Y1591" s="44"/>
      <c r="Z1591" s="44"/>
    </row>
    <row r="1592" ht="15.75" customHeight="1">
      <c r="A1592" s="48" t="s">
        <v>1637</v>
      </c>
      <c r="B1592" s="48" t="str">
        <f>IFERROR(__xludf.DUMMYFUNCTION("IFERROR(GOOGLEFINANCE(A1592,""NAME""),)"),"Zydus Wellness Ltd")</f>
        <v>Zydus Wellness Ltd</v>
      </c>
      <c r="C1592" s="48">
        <f>IFERROR(__xludf.DUMMYFUNCTION("IFERROR(GOOGLEFINANCE(A1592,""CHANGE""),)"),-8.2)</f>
        <v>-8.2</v>
      </c>
      <c r="D1592" s="48">
        <f>IFERROR(__xludf.DUMMYFUNCTION("IFERROR(GOOGLEFINANCE(A1592,""CHANGEPCT""),)"),-1.52)</f>
        <v>-1.52</v>
      </c>
      <c r="E1592" s="48" t="str">
        <f t="shared" si="1"/>
        <v>-1.52%</v>
      </c>
      <c r="F1592" s="48" t="str">
        <f t="shared" si="2"/>
        <v/>
      </c>
      <c r="G1592" s="48">
        <f t="shared" si="3"/>
        <v>-1.52</v>
      </c>
      <c r="H1592" s="48">
        <f>IFERROR(__xludf.DUMMYFUNCTION("IFERROR(GOOGLEFINANCE(A1592,""PRICE""),)"),530.0)</f>
        <v>530</v>
      </c>
      <c r="I1592" s="49">
        <f>IFERROR(__xludf.DUMMYFUNCTION("IFERROR(GOOGLEFINANCE(A1592,""VOLUME""),)"),209449.0)</f>
        <v>209449</v>
      </c>
      <c r="J1592" s="48" t="str">
        <f>IFERROR(__xludf.DUMMYFUNCTION("IFERROR(INDEX(SPLIT(A1592,"":""),1,2),)"),"ZYDUSWELL")</f>
        <v>ZYDUSWELL</v>
      </c>
      <c r="K1592" s="48" t="str">
        <f t="shared" si="4"/>
        <v/>
      </c>
      <c r="L1592" s="48">
        <f t="shared" si="5"/>
        <v>456</v>
      </c>
      <c r="M1592" s="48">
        <f t="shared" si="6"/>
        <v>611</v>
      </c>
      <c r="N1592" s="50">
        <f>IFERROR(__xludf.DUMMYFUNCTION("IFERROR(GOOGLEFINANCE(A1592,""TRADETIME""),)"),46269.64585648148)</f>
        <v>46269.64586</v>
      </c>
      <c r="O1592" s="44"/>
      <c r="P1592" s="44"/>
      <c r="Q1592" s="44"/>
      <c r="R1592" s="44"/>
      <c r="S1592" s="44"/>
      <c r="T1592" s="44"/>
      <c r="U1592" s="44"/>
      <c r="V1592" s="44"/>
      <c r="W1592" s="44"/>
      <c r="X1592" s="44"/>
      <c r="Y1592" s="44"/>
      <c r="Z1592" s="44"/>
    </row>
    <row r="1593" ht="15.75" customHeight="1">
      <c r="A1593" s="51" t="s">
        <v>1638</v>
      </c>
      <c r="B1593" s="51" t="str">
        <f>IFERROR(__xludf.DUMMYFUNCTION("IFERROR(GOOGLEFINANCE(A1593,""NAME""),)"),"Asian Paints Ltd")</f>
        <v>Asian Paints Ltd</v>
      </c>
      <c r="C1593" s="51">
        <f>IFERROR(__xludf.DUMMYFUNCTION("IFERROR(GOOGLEFINANCE(A1593,""CHANGE""),)"),-12.25)</f>
        <v>-12.25</v>
      </c>
      <c r="D1593" s="51">
        <f>IFERROR(__xludf.DUMMYFUNCTION("IFERROR(GOOGLEFINANCE(A1593,""CHANGEPCT""),)"),-0.48)</f>
        <v>-0.48</v>
      </c>
      <c r="E1593" s="51" t="str">
        <f t="shared" si="1"/>
        <v>-0.48%</v>
      </c>
      <c r="F1593" s="51" t="str">
        <f t="shared" si="2"/>
        <v/>
      </c>
      <c r="G1593" s="51">
        <f t="shared" si="3"/>
        <v>-0.48</v>
      </c>
      <c r="H1593" s="51">
        <f>IFERROR(__xludf.DUMMYFUNCTION("IFERROR(GOOGLEFINANCE(A1593,""PRICE""),)"),2527.75)</f>
        <v>2527.75</v>
      </c>
      <c r="I1593" s="52">
        <f>IFERROR(__xludf.DUMMYFUNCTION("IFERROR(GOOGLEFINANCE(A1593,""VOLUME""),)"),14682.0)</f>
        <v>14682</v>
      </c>
      <c r="J1593" s="51">
        <f>IFERROR(__xludf.DUMMYFUNCTION("IFERROR(INDEX(SPLIT(A1593,"":""),1,2),)"),500820.0)</f>
        <v>500820</v>
      </c>
      <c r="K1593" s="51" t="str">
        <f t="shared" si="4"/>
        <v/>
      </c>
      <c r="L1593" s="51">
        <f t="shared" si="5"/>
        <v>190</v>
      </c>
      <c r="M1593" s="51">
        <f t="shared" si="6"/>
        <v>1182</v>
      </c>
      <c r="N1593" s="53">
        <f>IFERROR(__xludf.DUMMYFUNCTION("IFERROR(GOOGLEFINANCE(A1593,""TRADETIME""),)"),46269.66453703704)</f>
        <v>46269.66454</v>
      </c>
      <c r="O1593" s="44"/>
      <c r="P1593" s="44"/>
      <c r="Q1593" s="44"/>
      <c r="R1593" s="44"/>
      <c r="S1593" s="44"/>
      <c r="T1593" s="44"/>
      <c r="U1593" s="44"/>
      <c r="V1593" s="44"/>
      <c r="W1593" s="44"/>
      <c r="X1593" s="44"/>
      <c r="Y1593" s="44"/>
      <c r="Z1593" s="44"/>
    </row>
    <row r="1594" ht="15.75" customHeight="1">
      <c r="A1594" s="48" t="s">
        <v>1639</v>
      </c>
      <c r="B1594" s="48" t="str">
        <f>IFERROR(__xludf.DUMMYFUNCTION("IFERROR(GOOGLEFINANCE(A1594,""NAME""),)"),"Axis Bank Ltd")</f>
        <v>Axis Bank Ltd</v>
      </c>
      <c r="C1594" s="48">
        <f>IFERROR(__xludf.DUMMYFUNCTION("IFERROR(GOOGLEFINANCE(A1594,""CHANGE""),)"),6.85)</f>
        <v>6.85</v>
      </c>
      <c r="D1594" s="48">
        <f>IFERROR(__xludf.DUMMYFUNCTION("IFERROR(GOOGLEFINANCE(A1594,""CHANGEPCT""),)"),0.54)</f>
        <v>0.54</v>
      </c>
      <c r="E1594" s="48" t="str">
        <f t="shared" si="1"/>
        <v>0.54%</v>
      </c>
      <c r="F1594" s="48">
        <f t="shared" si="2"/>
        <v>0.54</v>
      </c>
      <c r="G1594" s="48" t="str">
        <f t="shared" si="3"/>
        <v/>
      </c>
      <c r="H1594" s="48">
        <f>IFERROR(__xludf.DUMMYFUNCTION("IFERROR(GOOGLEFINANCE(A1594,""PRICE""),)"),1273.0)</f>
        <v>1273</v>
      </c>
      <c r="I1594" s="49">
        <f>IFERROR(__xludf.DUMMYFUNCTION("IFERROR(GOOGLEFINANCE(A1594,""VOLUME""),)"),168502.0)</f>
        <v>168502</v>
      </c>
      <c r="J1594" s="48">
        <f>IFERROR(__xludf.DUMMYFUNCTION("IFERROR(INDEX(SPLIT(A1594,"":""),1,2),)"),532215.0)</f>
        <v>532215</v>
      </c>
      <c r="K1594" s="48">
        <f t="shared" si="4"/>
        <v>582</v>
      </c>
      <c r="L1594" s="48" t="str">
        <f t="shared" si="5"/>
        <v/>
      </c>
      <c r="M1594" s="48">
        <f t="shared" si="6"/>
        <v>665</v>
      </c>
      <c r="N1594" s="50">
        <f>IFERROR(__xludf.DUMMYFUNCTION("IFERROR(GOOGLEFINANCE(A1594,""TRADETIME""),)"),46269.66143518519)</f>
        <v>46269.66144</v>
      </c>
      <c r="O1594" s="44"/>
      <c r="P1594" s="44"/>
      <c r="Q1594" s="44"/>
      <c r="R1594" s="44"/>
      <c r="S1594" s="44"/>
      <c r="T1594" s="44"/>
      <c r="U1594" s="44"/>
      <c r="V1594" s="44"/>
      <c r="W1594" s="44"/>
      <c r="X1594" s="44"/>
      <c r="Y1594" s="44"/>
      <c r="Z1594" s="44"/>
    </row>
    <row r="1595" ht="15.75" customHeight="1">
      <c r="A1595" s="51" t="s">
        <v>1640</v>
      </c>
      <c r="B1595" s="51" t="str">
        <f>IFERROR(__xludf.DUMMYFUNCTION("IFERROR(GOOGLEFINANCE(A1595,""NAME""),)"),"Bajaj Auto Ltd")</f>
        <v>Bajaj Auto Ltd</v>
      </c>
      <c r="C1595" s="51">
        <f>IFERROR(__xludf.DUMMYFUNCTION("IFERROR(GOOGLEFINANCE(A1595,""CHANGE""),)"),-94.35)</f>
        <v>-94.35</v>
      </c>
      <c r="D1595" s="51">
        <f>IFERROR(__xludf.DUMMYFUNCTION("IFERROR(GOOGLEFINANCE(A1595,""CHANGEPCT""),)"),-0.79)</f>
        <v>-0.79</v>
      </c>
      <c r="E1595" s="51" t="str">
        <f t="shared" si="1"/>
        <v>-0.79%</v>
      </c>
      <c r="F1595" s="51" t="str">
        <f t="shared" si="2"/>
        <v/>
      </c>
      <c r="G1595" s="51">
        <f t="shared" si="3"/>
        <v>-0.79</v>
      </c>
      <c r="H1595" s="51">
        <f>IFERROR(__xludf.DUMMYFUNCTION("IFERROR(GOOGLEFINANCE(A1595,""PRICE""),)"),11920.65)</f>
        <v>11920.65</v>
      </c>
      <c r="I1595" s="52">
        <f>IFERROR(__xludf.DUMMYFUNCTION("IFERROR(GOOGLEFINANCE(A1595,""VOLUME""),)"),5604.0)</f>
        <v>5604</v>
      </c>
      <c r="J1595" s="51">
        <f>IFERROR(__xludf.DUMMYFUNCTION("IFERROR(INDEX(SPLIT(A1595,"":""),1,2),)"),532977.0)</f>
        <v>532977</v>
      </c>
      <c r="K1595" s="51" t="str">
        <f t="shared" si="4"/>
        <v/>
      </c>
      <c r="L1595" s="51">
        <f t="shared" si="5"/>
        <v>297</v>
      </c>
      <c r="M1595" s="51">
        <f t="shared" si="6"/>
        <v>1315</v>
      </c>
      <c r="N1595" s="53">
        <f>IFERROR(__xludf.DUMMYFUNCTION("IFERROR(GOOGLEFINANCE(A1595,""TRADETIME""),)"),46269.66380787037)</f>
        <v>46269.66381</v>
      </c>
      <c r="O1595" s="44"/>
      <c r="P1595" s="44"/>
      <c r="Q1595" s="44"/>
      <c r="R1595" s="44"/>
      <c r="S1595" s="44"/>
      <c r="T1595" s="44"/>
      <c r="U1595" s="44"/>
      <c r="V1595" s="44"/>
      <c r="W1595" s="44"/>
      <c r="X1595" s="44"/>
      <c r="Y1595" s="44"/>
      <c r="Z1595" s="44"/>
    </row>
    <row r="1596" ht="15.75" customHeight="1">
      <c r="A1596" s="48" t="s">
        <v>1641</v>
      </c>
      <c r="B1596" s="48" t="str">
        <f>IFERROR(__xludf.DUMMYFUNCTION("IFERROR(GOOGLEFINANCE(A1596,""NAME""),)"),"Bajaj Finance Ltd")</f>
        <v>Bajaj Finance Ltd</v>
      </c>
      <c r="C1596" s="48">
        <f>IFERROR(__xludf.DUMMYFUNCTION("IFERROR(GOOGLEFINANCE(A1596,""CHANGE""),)"),15.4)</f>
        <v>15.4</v>
      </c>
      <c r="D1596" s="48">
        <f>IFERROR(__xludf.DUMMYFUNCTION("IFERROR(GOOGLEFINANCE(A1596,""CHANGEPCT""),)"),1.47)</f>
        <v>1.47</v>
      </c>
      <c r="E1596" s="48" t="str">
        <f t="shared" si="1"/>
        <v>1.47%</v>
      </c>
      <c r="F1596" s="48">
        <f t="shared" si="2"/>
        <v>1.47</v>
      </c>
      <c r="G1596" s="48" t="str">
        <f t="shared" si="3"/>
        <v/>
      </c>
      <c r="H1596" s="48">
        <f>IFERROR(__xludf.DUMMYFUNCTION("IFERROR(GOOGLEFINANCE(A1596,""PRICE""),)"),1060.5)</f>
        <v>1060.5</v>
      </c>
      <c r="I1596" s="49">
        <f>IFERROR(__xludf.DUMMYFUNCTION("IFERROR(GOOGLEFINANCE(A1596,""VOLUME""),)"),246724.0)</f>
        <v>246724</v>
      </c>
      <c r="J1596" s="48">
        <f>IFERROR(__xludf.DUMMYFUNCTION("IFERROR(INDEX(SPLIT(A1596,"":""),1,2),)"),500034.0)</f>
        <v>500034</v>
      </c>
      <c r="K1596" s="48">
        <f t="shared" si="4"/>
        <v>354</v>
      </c>
      <c r="L1596" s="48" t="str">
        <f t="shared" si="5"/>
        <v/>
      </c>
      <c r="M1596" s="48">
        <f t="shared" si="6"/>
        <v>572</v>
      </c>
      <c r="N1596" s="50">
        <f>IFERROR(__xludf.DUMMYFUNCTION("IFERROR(GOOGLEFINANCE(A1596,""TRADETIME""),)"),46269.664189814815)</f>
        <v>46269.66419</v>
      </c>
      <c r="O1596" s="44"/>
      <c r="P1596" s="44"/>
      <c r="Q1596" s="44"/>
      <c r="R1596" s="44"/>
      <c r="S1596" s="44"/>
      <c r="T1596" s="44"/>
      <c r="U1596" s="44"/>
      <c r="V1596" s="44"/>
      <c r="W1596" s="44"/>
      <c r="X1596" s="44"/>
      <c r="Y1596" s="44"/>
      <c r="Z1596" s="44"/>
    </row>
    <row r="1597" ht="15.75" customHeight="1">
      <c r="A1597" s="51" t="s">
        <v>1642</v>
      </c>
      <c r="B1597" s="51" t="str">
        <f>IFERROR(__xludf.DUMMYFUNCTION("IFERROR(GOOGLEFINANCE(A1597,""NAME""),)"),"Bajaj Finserv Ltd")</f>
        <v>Bajaj Finserv Ltd</v>
      </c>
      <c r="C1597" s="51">
        <f>IFERROR(__xludf.DUMMYFUNCTION("IFERROR(GOOGLEFINANCE(A1597,""CHANGE""),)"),13.0)</f>
        <v>13</v>
      </c>
      <c r="D1597" s="51">
        <f>IFERROR(__xludf.DUMMYFUNCTION("IFERROR(GOOGLEFINANCE(A1597,""CHANGEPCT""),)"),0.66)</f>
        <v>0.66</v>
      </c>
      <c r="E1597" s="51" t="str">
        <f t="shared" si="1"/>
        <v>0.66%</v>
      </c>
      <c r="F1597" s="51">
        <f t="shared" si="2"/>
        <v>0.66</v>
      </c>
      <c r="G1597" s="51" t="str">
        <f t="shared" si="3"/>
        <v/>
      </c>
      <c r="H1597" s="51">
        <f>IFERROR(__xludf.DUMMYFUNCTION("IFERROR(GOOGLEFINANCE(A1597,""PRICE""),)"),1971.0)</f>
        <v>1971</v>
      </c>
      <c r="I1597" s="52">
        <f>IFERROR(__xludf.DUMMYFUNCTION("IFERROR(GOOGLEFINANCE(A1597,""VOLUME""),)"),10547.0)</f>
        <v>10547</v>
      </c>
      <c r="J1597" s="51">
        <f>IFERROR(__xludf.DUMMYFUNCTION("IFERROR(INDEX(SPLIT(A1597,"":""),1,2),)"),532978.0)</f>
        <v>532978</v>
      </c>
      <c r="K1597" s="51">
        <f t="shared" si="4"/>
        <v>541</v>
      </c>
      <c r="L1597" s="51" t="str">
        <f t="shared" si="5"/>
        <v/>
      </c>
      <c r="M1597" s="51">
        <f t="shared" si="6"/>
        <v>1226</v>
      </c>
      <c r="N1597" s="53">
        <f>IFERROR(__xludf.DUMMYFUNCTION("IFERROR(GOOGLEFINANCE(A1597,""TRADETIME""),)"),46269.64583333333)</f>
        <v>46269.64583</v>
      </c>
      <c r="O1597" s="44"/>
      <c r="P1597" s="44"/>
      <c r="Q1597" s="44"/>
      <c r="R1597" s="44"/>
      <c r="S1597" s="44"/>
      <c r="T1597" s="44"/>
      <c r="U1597" s="44"/>
      <c r="V1597" s="44"/>
      <c r="W1597" s="44"/>
      <c r="X1597" s="44"/>
      <c r="Y1597" s="44"/>
      <c r="Z1597" s="44"/>
    </row>
    <row r="1598" ht="15.75" customHeight="1">
      <c r="A1598" s="48" t="s">
        <v>1643</v>
      </c>
      <c r="B1598" s="48" t="str">
        <f>IFERROR(__xludf.DUMMYFUNCTION("IFERROR(GOOGLEFINANCE(A1598,""NAME""),)"),"Bharti Airtel Ltd")</f>
        <v>Bharti Airtel Ltd</v>
      </c>
      <c r="C1598" s="48">
        <f>IFERROR(__xludf.DUMMYFUNCTION("IFERROR(GOOGLEFINANCE(A1598,""CHANGE""),)"),-23.2)</f>
        <v>-23.2</v>
      </c>
      <c r="D1598" s="48">
        <f>IFERROR(__xludf.DUMMYFUNCTION("IFERROR(GOOGLEFINANCE(A1598,""CHANGEPCT""),)"),-1.24)</f>
        <v>-1.24</v>
      </c>
      <c r="E1598" s="48" t="str">
        <f t="shared" si="1"/>
        <v>-1.24%</v>
      </c>
      <c r="F1598" s="48" t="str">
        <f t="shared" si="2"/>
        <v/>
      </c>
      <c r="G1598" s="48">
        <f t="shared" si="3"/>
        <v>-1.24</v>
      </c>
      <c r="H1598" s="48">
        <f>IFERROR(__xludf.DUMMYFUNCTION("IFERROR(GOOGLEFINANCE(A1598,""PRICE""),)"),1842.0)</f>
        <v>1842</v>
      </c>
      <c r="I1598" s="49">
        <f>IFERROR(__xludf.DUMMYFUNCTION("IFERROR(GOOGLEFINANCE(A1598,""VOLUME""),)"),338583.0)</f>
        <v>338583</v>
      </c>
      <c r="J1598" s="48">
        <f>IFERROR(__xludf.DUMMYFUNCTION("IFERROR(INDEX(SPLIT(A1598,"":""),1,2),)"),532454.0)</f>
        <v>532454</v>
      </c>
      <c r="K1598" s="48" t="str">
        <f t="shared" si="4"/>
        <v/>
      </c>
      <c r="L1598" s="48">
        <f t="shared" si="5"/>
        <v>386</v>
      </c>
      <c r="M1598" s="48">
        <f t="shared" si="6"/>
        <v>480</v>
      </c>
      <c r="N1598" s="50">
        <f>IFERROR(__xludf.DUMMYFUNCTION("IFERROR(GOOGLEFINANCE(A1598,""TRADETIME""),)"),46269.661412037036)</f>
        <v>46269.66141</v>
      </c>
      <c r="O1598" s="44"/>
      <c r="P1598" s="44"/>
      <c r="Q1598" s="44"/>
      <c r="R1598" s="44"/>
      <c r="S1598" s="44"/>
      <c r="T1598" s="44"/>
      <c r="U1598" s="44"/>
      <c r="V1598" s="44"/>
      <c r="W1598" s="44"/>
      <c r="X1598" s="44"/>
      <c r="Y1598" s="44"/>
      <c r="Z1598" s="44"/>
    </row>
    <row r="1599" ht="15.75" customHeight="1">
      <c r="A1599" s="51" t="s">
        <v>1644</v>
      </c>
      <c r="B1599" s="51" t="str">
        <f>IFERROR(__xludf.DUMMYFUNCTION("IFERROR(GOOGLEFINANCE(A1599,""NAME""),)"),"Dr Reddy's Laboratories Ltd")</f>
        <v>Dr Reddy's Laboratories Ltd</v>
      </c>
      <c r="C1599" s="51">
        <f>IFERROR(__xludf.DUMMYFUNCTION("IFERROR(GOOGLEFINANCE(A1599,""CHANGE""),)"),-1.0)</f>
        <v>-1</v>
      </c>
      <c r="D1599" s="51">
        <f>IFERROR(__xludf.DUMMYFUNCTION("IFERROR(GOOGLEFINANCE(A1599,""CHANGEPCT""),)"),-0.09)</f>
        <v>-0.09</v>
      </c>
      <c r="E1599" s="51" t="str">
        <f t="shared" si="1"/>
        <v>-0.09%</v>
      </c>
      <c r="F1599" s="51" t="str">
        <f t="shared" si="2"/>
        <v/>
      </c>
      <c r="G1599" s="51">
        <f t="shared" si="3"/>
        <v>-0.09</v>
      </c>
      <c r="H1599" s="51">
        <f>IFERROR(__xludf.DUMMYFUNCTION("IFERROR(GOOGLEFINANCE(A1599,""PRICE""),)"),1154.0)</f>
        <v>1154</v>
      </c>
      <c r="I1599" s="52">
        <f>IFERROR(__xludf.DUMMYFUNCTION("IFERROR(GOOGLEFINANCE(A1599,""VOLUME""),)"),20596.0)</f>
        <v>20596</v>
      </c>
      <c r="J1599" s="51">
        <f>IFERROR(__xludf.DUMMYFUNCTION("IFERROR(INDEX(SPLIT(A1599,"":""),1,2),)"),500124.0)</f>
        <v>500124</v>
      </c>
      <c r="K1599" s="51" t="str">
        <f t="shared" si="4"/>
        <v/>
      </c>
      <c r="L1599" s="51">
        <f t="shared" si="5"/>
        <v>34</v>
      </c>
      <c r="M1599" s="51">
        <f t="shared" si="6"/>
        <v>1120</v>
      </c>
      <c r="N1599" s="53">
        <f>IFERROR(__xludf.DUMMYFUNCTION("IFERROR(GOOGLEFINANCE(A1599,""TRADETIME""),)"),46269.64583333333)</f>
        <v>46269.64583</v>
      </c>
      <c r="O1599" s="44"/>
      <c r="P1599" s="44"/>
      <c r="Q1599" s="44"/>
      <c r="R1599" s="44"/>
      <c r="S1599" s="44"/>
      <c r="T1599" s="44"/>
      <c r="U1599" s="44"/>
      <c r="V1599" s="44"/>
      <c r="W1599" s="44"/>
      <c r="X1599" s="44"/>
      <c r="Y1599" s="44"/>
      <c r="Z1599" s="44"/>
    </row>
    <row r="1600" ht="15.75" customHeight="1">
      <c r="A1600" s="48" t="s">
        <v>1645</v>
      </c>
      <c r="B1600" s="48" t="str">
        <f>IFERROR(__xludf.DUMMYFUNCTION("IFERROR(GOOGLEFINANCE(A1600,""NAME""),)"),"HCL Technologies Ltd")</f>
        <v>HCL Technologies Ltd</v>
      </c>
      <c r="C1600" s="48">
        <f>IFERROR(__xludf.DUMMYFUNCTION("IFERROR(GOOGLEFINANCE(A1600,""CHANGE""),)"),-16.25)</f>
        <v>-16.25</v>
      </c>
      <c r="D1600" s="48">
        <f>IFERROR(__xludf.DUMMYFUNCTION("IFERROR(GOOGLEFINANCE(A1600,""CHANGEPCT""),)"),-1.24)</f>
        <v>-1.24</v>
      </c>
      <c r="E1600" s="48" t="str">
        <f t="shared" si="1"/>
        <v>-1.24%</v>
      </c>
      <c r="F1600" s="48" t="str">
        <f t="shared" si="2"/>
        <v/>
      </c>
      <c r="G1600" s="48">
        <f t="shared" si="3"/>
        <v>-1.24</v>
      </c>
      <c r="H1600" s="48">
        <f>IFERROR(__xludf.DUMMYFUNCTION("IFERROR(GOOGLEFINANCE(A1600,""PRICE""),)"),1294.0)</f>
        <v>1294</v>
      </c>
      <c r="I1600" s="49">
        <f>IFERROR(__xludf.DUMMYFUNCTION("IFERROR(GOOGLEFINANCE(A1600,""VOLUME""),)"),72005.0)</f>
        <v>72005</v>
      </c>
      <c r="J1600" s="48">
        <f>IFERROR(__xludf.DUMMYFUNCTION("IFERROR(INDEX(SPLIT(A1600,"":""),1,2),)"),532281.0)</f>
        <v>532281</v>
      </c>
      <c r="K1600" s="48" t="str">
        <f t="shared" si="4"/>
        <v/>
      </c>
      <c r="L1600" s="48">
        <f t="shared" si="5"/>
        <v>387</v>
      </c>
      <c r="M1600" s="48">
        <f t="shared" si="6"/>
        <v>856</v>
      </c>
      <c r="N1600" s="50">
        <f>IFERROR(__xludf.DUMMYFUNCTION("IFERROR(GOOGLEFINANCE(A1600,""TRADETIME""),)"),46269.66631944444)</f>
        <v>46269.66632</v>
      </c>
      <c r="O1600" s="44"/>
      <c r="P1600" s="44"/>
      <c r="Q1600" s="44"/>
      <c r="R1600" s="44"/>
      <c r="S1600" s="44"/>
      <c r="T1600" s="44"/>
      <c r="U1600" s="44"/>
      <c r="V1600" s="44"/>
      <c r="W1600" s="44"/>
      <c r="X1600" s="44"/>
      <c r="Y1600" s="44"/>
      <c r="Z1600" s="44"/>
    </row>
    <row r="1601" ht="15.75" customHeight="1">
      <c r="A1601" s="51" t="s">
        <v>1646</v>
      </c>
      <c r="B1601" s="51" t="str">
        <f>IFERROR(__xludf.DUMMYFUNCTION("IFERROR(GOOGLEFINANCE(A1601,""NAME""),)"),"")</f>
        <v/>
      </c>
      <c r="C1601" s="51" t="str">
        <f>IFERROR(__xludf.DUMMYFUNCTION("IFERROR(GOOGLEFINANCE(A1601,""CHANGE""),)"),"")</f>
        <v/>
      </c>
      <c r="D1601" s="51" t="str">
        <f>IFERROR(__xludf.DUMMYFUNCTION("IFERROR(GOOGLEFINANCE(A1601,""CHANGEPCT""),)"),"")</f>
        <v/>
      </c>
      <c r="E1601" s="51" t="str">
        <f t="shared" si="1"/>
        <v>%</v>
      </c>
      <c r="F1601" s="51" t="str">
        <f t="shared" si="2"/>
        <v/>
      </c>
      <c r="G1601" s="51" t="str">
        <f t="shared" si="3"/>
        <v/>
      </c>
      <c r="H1601" s="51" t="str">
        <f>IFERROR(__xludf.DUMMYFUNCTION("IFERROR(GOOGLEFINANCE(A1601,""PRICE""),)"),"")</f>
        <v/>
      </c>
      <c r="I1601" s="52" t="str">
        <f>IFERROR(__xludf.DUMMYFUNCTION("IFERROR(GOOGLEFINANCE(A1601,""VOLUME""),)"),"")</f>
        <v/>
      </c>
      <c r="J1601" s="51">
        <f>IFERROR(__xludf.DUMMYFUNCTION("IFERROR(INDEX(SPLIT(A1601,"":""),1,2),)"),500010.0)</f>
        <v>500010</v>
      </c>
      <c r="K1601" s="51" t="str">
        <f t="shared" si="4"/>
        <v/>
      </c>
      <c r="L1601" s="51" t="str">
        <f t="shared" si="5"/>
        <v/>
      </c>
      <c r="M1601" s="51">
        <f t="shared" si="6"/>
        <v>1456</v>
      </c>
      <c r="N1601" s="53" t="str">
        <f>IFERROR(__xludf.DUMMYFUNCTION("IFERROR(GOOGLEFINANCE(A1601,""TRADETIME""),)"),"")</f>
        <v/>
      </c>
      <c r="O1601" s="44"/>
      <c r="P1601" s="44"/>
      <c r="Q1601" s="44"/>
      <c r="R1601" s="44"/>
      <c r="S1601" s="44"/>
      <c r="T1601" s="44"/>
      <c r="U1601" s="44"/>
      <c r="V1601" s="44"/>
      <c r="W1601" s="44"/>
      <c r="X1601" s="44"/>
      <c r="Y1601" s="44"/>
      <c r="Z1601" s="44"/>
    </row>
    <row r="1602" ht="15.75" customHeight="1">
      <c r="A1602" s="48" t="s">
        <v>1647</v>
      </c>
      <c r="B1602" s="48" t="str">
        <f>IFERROR(__xludf.DUMMYFUNCTION("IFERROR(GOOGLEFINANCE(A1602,""NAME""),)"),"HDFC Bank Ltd")</f>
        <v>HDFC Bank Ltd</v>
      </c>
      <c r="C1602" s="48">
        <f>IFERROR(__xludf.DUMMYFUNCTION("IFERROR(GOOGLEFINANCE(A1602,""CHANGE""),)"),9.15)</f>
        <v>9.15</v>
      </c>
      <c r="D1602" s="48">
        <f>IFERROR(__xludf.DUMMYFUNCTION("IFERROR(GOOGLEFINANCE(A1602,""CHANGEPCT""),)"),1.3)</f>
        <v>1.3</v>
      </c>
      <c r="E1602" s="48" t="str">
        <f t="shared" si="1"/>
        <v>1.3%</v>
      </c>
      <c r="F1602" s="48">
        <f t="shared" si="2"/>
        <v>1.3</v>
      </c>
      <c r="G1602" s="48" t="str">
        <f t="shared" si="3"/>
        <v/>
      </c>
      <c r="H1602" s="48">
        <f>IFERROR(__xludf.DUMMYFUNCTION("IFERROR(GOOGLEFINANCE(A1602,""PRICE""),)"),713.15)</f>
        <v>713.15</v>
      </c>
      <c r="I1602" s="49">
        <f>IFERROR(__xludf.DUMMYFUNCTION("IFERROR(GOOGLEFINANCE(A1602,""VOLUME""),)"),753943.0)</f>
        <v>753943</v>
      </c>
      <c r="J1602" s="48">
        <f>IFERROR(__xludf.DUMMYFUNCTION("IFERROR(INDEX(SPLIT(A1602,"":""),1,2),)"),500180.0)</f>
        <v>500180</v>
      </c>
      <c r="K1602" s="48">
        <f t="shared" si="4"/>
        <v>385</v>
      </c>
      <c r="L1602" s="48" t="str">
        <f t="shared" si="5"/>
        <v/>
      </c>
      <c r="M1602" s="48">
        <f t="shared" si="6"/>
        <v>317</v>
      </c>
      <c r="N1602" s="50">
        <f>IFERROR(__xludf.DUMMYFUNCTION("IFERROR(GOOGLEFINANCE(A1602,""TRADETIME""),)"),46269.66657407407)</f>
        <v>46269.66657</v>
      </c>
      <c r="O1602" s="44"/>
      <c r="P1602" s="44"/>
      <c r="Q1602" s="44"/>
      <c r="R1602" s="44"/>
      <c r="S1602" s="44"/>
      <c r="T1602" s="44"/>
      <c r="U1602" s="44"/>
      <c r="V1602" s="44"/>
      <c r="W1602" s="44"/>
      <c r="X1602" s="44"/>
      <c r="Y1602" s="44"/>
      <c r="Z1602" s="44"/>
    </row>
    <row r="1603" ht="15.75" customHeight="1">
      <c r="A1603" s="51" t="s">
        <v>1648</v>
      </c>
      <c r="B1603" s="51" t="str">
        <f>IFERROR(__xludf.DUMMYFUNCTION("IFERROR(GOOGLEFINANCE(A1603,""NAME""),)"),"Hindustan Unilever Ltd")</f>
        <v>Hindustan Unilever Ltd</v>
      </c>
      <c r="C1603" s="51">
        <f>IFERROR(__xludf.DUMMYFUNCTION("IFERROR(GOOGLEFINANCE(A1603,""CHANGE""),)"),17.85)</f>
        <v>17.85</v>
      </c>
      <c r="D1603" s="51">
        <f>IFERROR(__xludf.DUMMYFUNCTION("IFERROR(GOOGLEFINANCE(A1603,""CHANGEPCT""),)"),0.91)</f>
        <v>0.91</v>
      </c>
      <c r="E1603" s="51" t="str">
        <f t="shared" si="1"/>
        <v>0.91%</v>
      </c>
      <c r="F1603" s="51">
        <f t="shared" si="2"/>
        <v>0.91</v>
      </c>
      <c r="G1603" s="51" t="str">
        <f t="shared" si="3"/>
        <v/>
      </c>
      <c r="H1603" s="51">
        <f>IFERROR(__xludf.DUMMYFUNCTION("IFERROR(GOOGLEFINANCE(A1603,""PRICE""),)"),1974.0)</f>
        <v>1974</v>
      </c>
      <c r="I1603" s="52">
        <f>IFERROR(__xludf.DUMMYFUNCTION("IFERROR(GOOGLEFINANCE(A1603,""VOLUME""),)"),49247.0)</f>
        <v>49247</v>
      </c>
      <c r="J1603" s="51">
        <f>IFERROR(__xludf.DUMMYFUNCTION("IFERROR(INDEX(SPLIT(A1603,"":""),1,2),)"),500696.0)</f>
        <v>500696</v>
      </c>
      <c r="K1603" s="51">
        <f t="shared" si="4"/>
        <v>471</v>
      </c>
      <c r="L1603" s="51" t="str">
        <f t="shared" si="5"/>
        <v/>
      </c>
      <c r="M1603" s="51">
        <f t="shared" si="6"/>
        <v>949</v>
      </c>
      <c r="N1603" s="53">
        <f>IFERROR(__xludf.DUMMYFUNCTION("IFERROR(GOOGLEFINANCE(A1603,""TRADETIME""),)"),46269.664247685185)</f>
        <v>46269.66425</v>
      </c>
      <c r="O1603" s="44"/>
      <c r="P1603" s="44"/>
      <c r="Q1603" s="44"/>
      <c r="R1603" s="44"/>
      <c r="S1603" s="44"/>
      <c r="T1603" s="44"/>
      <c r="U1603" s="44"/>
      <c r="V1603" s="44"/>
      <c r="W1603" s="44"/>
      <c r="X1603" s="44"/>
      <c r="Y1603" s="44"/>
      <c r="Z1603" s="44"/>
    </row>
    <row r="1604" ht="15.75" customHeight="1">
      <c r="A1604" s="48" t="s">
        <v>1649</v>
      </c>
      <c r="B1604" s="48" t="str">
        <f>IFERROR(__xludf.DUMMYFUNCTION("IFERROR(GOOGLEFINANCE(A1604,""NAME""),)"),"ICICI Bank Ltd")</f>
        <v>ICICI Bank Ltd</v>
      </c>
      <c r="C1604" s="48">
        <f>IFERROR(__xludf.DUMMYFUNCTION("IFERROR(GOOGLEFINANCE(A1604,""CHANGE""),)"),-2.0)</f>
        <v>-2</v>
      </c>
      <c r="D1604" s="48">
        <f>IFERROR(__xludf.DUMMYFUNCTION("IFERROR(GOOGLEFINANCE(A1604,""CHANGEPCT""),)"),-0.14)</f>
        <v>-0.14</v>
      </c>
      <c r="E1604" s="48" t="str">
        <f t="shared" si="1"/>
        <v>-0.14%</v>
      </c>
      <c r="F1604" s="48" t="str">
        <f t="shared" si="2"/>
        <v/>
      </c>
      <c r="G1604" s="48">
        <f t="shared" si="3"/>
        <v>-0.14</v>
      </c>
      <c r="H1604" s="48">
        <f>IFERROR(__xludf.DUMMYFUNCTION("IFERROR(GOOGLEFINANCE(A1604,""PRICE""),)"),1423.0)</f>
        <v>1423</v>
      </c>
      <c r="I1604" s="49">
        <f>IFERROR(__xludf.DUMMYFUNCTION("IFERROR(GOOGLEFINANCE(A1604,""VOLUME""),)"),262182.0)</f>
        <v>262182</v>
      </c>
      <c r="J1604" s="48">
        <f>IFERROR(__xludf.DUMMYFUNCTION("IFERROR(INDEX(SPLIT(A1604,"":""),1,2),)"),532174.0)</f>
        <v>532174</v>
      </c>
      <c r="K1604" s="48" t="str">
        <f t="shared" si="4"/>
        <v/>
      </c>
      <c r="L1604" s="48">
        <f t="shared" si="5"/>
        <v>52</v>
      </c>
      <c r="M1604" s="48">
        <f t="shared" si="6"/>
        <v>556</v>
      </c>
      <c r="N1604" s="50">
        <f>IFERROR(__xludf.DUMMYFUNCTION("IFERROR(GOOGLEFINANCE(A1604,""TRADETIME""),)"),46269.66070601852)</f>
        <v>46269.66071</v>
      </c>
      <c r="O1604" s="44"/>
      <c r="P1604" s="44"/>
      <c r="Q1604" s="44"/>
      <c r="R1604" s="44"/>
      <c r="S1604" s="44"/>
      <c r="T1604" s="44"/>
      <c r="U1604" s="44"/>
      <c r="V1604" s="44"/>
      <c r="W1604" s="44"/>
      <c r="X1604" s="44"/>
      <c r="Y1604" s="44"/>
      <c r="Z1604" s="44"/>
    </row>
    <row r="1605" ht="15.75" customHeight="1">
      <c r="A1605" s="51" t="s">
        <v>1650</v>
      </c>
      <c r="B1605" s="51" t="str">
        <f>IFERROR(__xludf.DUMMYFUNCTION("IFERROR(GOOGLEFINANCE(A1605,""NAME""),)"),"Indusind Bank Ltd")</f>
        <v>Indusind Bank Ltd</v>
      </c>
      <c r="C1605" s="51">
        <f>IFERROR(__xludf.DUMMYFUNCTION("IFERROR(GOOGLEFINANCE(A1605,""CHANGE""),)"),5.0)</f>
        <v>5</v>
      </c>
      <c r="D1605" s="51">
        <f>IFERROR(__xludf.DUMMYFUNCTION("IFERROR(GOOGLEFINANCE(A1605,""CHANGEPCT""),)"),0.5)</f>
        <v>0.5</v>
      </c>
      <c r="E1605" s="51" t="str">
        <f t="shared" si="1"/>
        <v>0.5%</v>
      </c>
      <c r="F1605" s="51">
        <f t="shared" si="2"/>
        <v>0.5</v>
      </c>
      <c r="G1605" s="51" t="str">
        <f t="shared" si="3"/>
        <v/>
      </c>
      <c r="H1605" s="51">
        <f>IFERROR(__xludf.DUMMYFUNCTION("IFERROR(GOOGLEFINANCE(A1605,""PRICE""),)"),1006.0)</f>
        <v>1006</v>
      </c>
      <c r="I1605" s="52">
        <f>IFERROR(__xludf.DUMMYFUNCTION("IFERROR(GOOGLEFINANCE(A1605,""VOLUME""),)"),31609.0)</f>
        <v>31609</v>
      </c>
      <c r="J1605" s="51">
        <f>IFERROR(__xludf.DUMMYFUNCTION("IFERROR(INDEX(SPLIT(A1605,"":""),1,2),)"),532187.0)</f>
        <v>532187</v>
      </c>
      <c r="K1605" s="51">
        <f t="shared" si="4"/>
        <v>595</v>
      </c>
      <c r="L1605" s="51" t="str">
        <f t="shared" si="5"/>
        <v/>
      </c>
      <c r="M1605" s="51">
        <f t="shared" si="6"/>
        <v>1043</v>
      </c>
      <c r="N1605" s="53">
        <f>IFERROR(__xludf.DUMMYFUNCTION("IFERROR(GOOGLEFINANCE(A1605,""TRADETIME""),)"),46269.64583333333)</f>
        <v>46269.64583</v>
      </c>
      <c r="O1605" s="44"/>
      <c r="P1605" s="44"/>
      <c r="Q1605" s="44"/>
      <c r="R1605" s="44"/>
      <c r="S1605" s="44"/>
      <c r="T1605" s="44"/>
      <c r="U1605" s="44"/>
      <c r="V1605" s="44"/>
      <c r="W1605" s="44"/>
      <c r="X1605" s="44"/>
      <c r="Y1605" s="44"/>
      <c r="Z1605" s="44"/>
    </row>
    <row r="1606" ht="15.75" customHeight="1">
      <c r="A1606" s="48" t="s">
        <v>1651</v>
      </c>
      <c r="B1606" s="48" t="str">
        <f>IFERROR(__xludf.DUMMYFUNCTION("IFERROR(GOOGLEFINANCE(A1606,""NAME""),)"),"Infosys Ltd")</f>
        <v>Infosys Ltd</v>
      </c>
      <c r="C1606" s="48">
        <f>IFERROR(__xludf.DUMMYFUNCTION("IFERROR(GOOGLEFINANCE(A1606,""CHANGE""),)"),2.0)</f>
        <v>2</v>
      </c>
      <c r="D1606" s="48">
        <f>IFERROR(__xludf.DUMMYFUNCTION("IFERROR(GOOGLEFINANCE(A1606,""CHANGEPCT""),)"),0.18)</f>
        <v>0.18</v>
      </c>
      <c r="E1606" s="48" t="str">
        <f t="shared" si="1"/>
        <v>0.18%</v>
      </c>
      <c r="F1606" s="48">
        <f t="shared" si="2"/>
        <v>0.18</v>
      </c>
      <c r="G1606" s="48" t="str">
        <f t="shared" si="3"/>
        <v/>
      </c>
      <c r="H1606" s="48">
        <f>IFERROR(__xludf.DUMMYFUNCTION("IFERROR(GOOGLEFINANCE(A1606,""PRICE""),)"),1130.0)</f>
        <v>1130</v>
      </c>
      <c r="I1606" s="49">
        <f>IFERROR(__xludf.DUMMYFUNCTION("IFERROR(GOOGLEFINANCE(A1606,""VOLUME""),)"),189799.0)</f>
        <v>189799</v>
      </c>
      <c r="J1606" s="48">
        <f>IFERROR(__xludf.DUMMYFUNCTION("IFERROR(INDEX(SPLIT(A1606,"":""),1,2),)"),500209.0)</f>
        <v>500209</v>
      </c>
      <c r="K1606" s="48">
        <f t="shared" si="4"/>
        <v>710</v>
      </c>
      <c r="L1606" s="48" t="str">
        <f t="shared" si="5"/>
        <v/>
      </c>
      <c r="M1606" s="48">
        <f t="shared" si="6"/>
        <v>641</v>
      </c>
      <c r="N1606" s="50">
        <f>IFERROR(__xludf.DUMMYFUNCTION("IFERROR(GOOGLEFINANCE(A1606,""TRADETIME""),)"),46269.66064814814)</f>
        <v>46269.66065</v>
      </c>
      <c r="O1606" s="44"/>
      <c r="P1606" s="44"/>
      <c r="Q1606" s="44"/>
      <c r="R1606" s="44"/>
      <c r="S1606" s="44"/>
      <c r="T1606" s="44"/>
      <c r="U1606" s="44"/>
      <c r="V1606" s="44"/>
      <c r="W1606" s="44"/>
      <c r="X1606" s="44"/>
      <c r="Y1606" s="44"/>
      <c r="Z1606" s="44"/>
    </row>
    <row r="1607" ht="15.75" customHeight="1">
      <c r="A1607" s="51" t="s">
        <v>1652</v>
      </c>
      <c r="B1607" s="51" t="str">
        <f>IFERROR(__xludf.DUMMYFUNCTION("IFERROR(GOOGLEFINANCE(A1607,""NAME""),)"),"ITC Ltd")</f>
        <v>ITC Ltd</v>
      </c>
      <c r="C1607" s="51">
        <f>IFERROR(__xludf.DUMMYFUNCTION("IFERROR(GOOGLEFINANCE(A1607,""CHANGE""),)"),1.95)</f>
        <v>1.95</v>
      </c>
      <c r="D1607" s="51">
        <f>IFERROR(__xludf.DUMMYFUNCTION("IFERROR(GOOGLEFINANCE(A1607,""CHANGEPCT""),)"),0.74)</f>
        <v>0.74</v>
      </c>
      <c r="E1607" s="51" t="str">
        <f t="shared" si="1"/>
        <v>0.74%</v>
      </c>
      <c r="F1607" s="51">
        <f t="shared" si="2"/>
        <v>0.74</v>
      </c>
      <c r="G1607" s="51" t="str">
        <f t="shared" si="3"/>
        <v/>
      </c>
      <c r="H1607" s="51">
        <f>IFERROR(__xludf.DUMMYFUNCTION("IFERROR(GOOGLEFINANCE(A1607,""PRICE""),)"),264.1)</f>
        <v>264.1</v>
      </c>
      <c r="I1607" s="52">
        <f>IFERROR(__xludf.DUMMYFUNCTION("IFERROR(GOOGLEFINANCE(A1607,""VOLUME""),)"),293816.0)</f>
        <v>293816</v>
      </c>
      <c r="J1607" s="51">
        <f>IFERROR(__xludf.DUMMYFUNCTION("IFERROR(INDEX(SPLIT(A1607,"":""),1,2),)"),500875.0)</f>
        <v>500875</v>
      </c>
      <c r="K1607" s="51">
        <f t="shared" si="4"/>
        <v>520</v>
      </c>
      <c r="L1607" s="51" t="str">
        <f t="shared" si="5"/>
        <v/>
      </c>
      <c r="M1607" s="51">
        <f t="shared" si="6"/>
        <v>523</v>
      </c>
      <c r="N1607" s="53">
        <f>IFERROR(__xludf.DUMMYFUNCTION("IFERROR(GOOGLEFINANCE(A1607,""TRADETIME""),)"),46269.6625462963)</f>
        <v>46269.66255</v>
      </c>
      <c r="O1607" s="44"/>
      <c r="P1607" s="44"/>
      <c r="Q1607" s="44"/>
      <c r="R1607" s="44"/>
      <c r="S1607" s="44"/>
      <c r="T1607" s="44"/>
      <c r="U1607" s="44"/>
      <c r="V1607" s="44"/>
      <c r="W1607" s="44"/>
      <c r="X1607" s="44"/>
      <c r="Y1607" s="44"/>
      <c r="Z1607" s="44"/>
    </row>
    <row r="1608" ht="15.75" customHeight="1">
      <c r="A1608" s="48" t="s">
        <v>1653</v>
      </c>
      <c r="B1608" s="48" t="str">
        <f>IFERROR(__xludf.DUMMYFUNCTION("IFERROR(GOOGLEFINANCE(A1608,""NAME""),)"),"Kotak Mahindra Bank Ltd Fully Paid Ord. Shrs")</f>
        <v>Kotak Mahindra Bank Ltd Fully Paid Ord. Shrs</v>
      </c>
      <c r="C1608" s="48">
        <f>IFERROR(__xludf.DUMMYFUNCTION("IFERROR(GOOGLEFINANCE(A1608,""CHANGE""),)"),4.85)</f>
        <v>4.85</v>
      </c>
      <c r="D1608" s="48">
        <f>IFERROR(__xludf.DUMMYFUNCTION("IFERROR(GOOGLEFINANCE(A1608,""CHANGEPCT""),)"),1.15)</f>
        <v>1.15</v>
      </c>
      <c r="E1608" s="48" t="str">
        <f t="shared" si="1"/>
        <v>1.15%</v>
      </c>
      <c r="F1608" s="48">
        <f t="shared" si="2"/>
        <v>1.15</v>
      </c>
      <c r="G1608" s="48" t="str">
        <f t="shared" si="3"/>
        <v/>
      </c>
      <c r="H1608" s="48">
        <f>IFERROR(__xludf.DUMMYFUNCTION("IFERROR(GOOGLEFINANCE(A1608,""PRICE""),)"),424.85)</f>
        <v>424.85</v>
      </c>
      <c r="I1608" s="49">
        <f>IFERROR(__xludf.DUMMYFUNCTION("IFERROR(GOOGLEFINANCE(A1608,""VOLUME""),)"),697782.0)</f>
        <v>697782</v>
      </c>
      <c r="J1608" s="48">
        <f>IFERROR(__xludf.DUMMYFUNCTION("IFERROR(INDEX(SPLIT(A1608,"":""),1,2),)"),500247.0)</f>
        <v>500247</v>
      </c>
      <c r="K1608" s="48">
        <f t="shared" si="4"/>
        <v>423</v>
      </c>
      <c r="L1608" s="48" t="str">
        <f t="shared" si="5"/>
        <v/>
      </c>
      <c r="M1608" s="48">
        <f t="shared" si="6"/>
        <v>329</v>
      </c>
      <c r="N1608" s="50">
        <f>IFERROR(__xludf.DUMMYFUNCTION("IFERROR(GOOGLEFINANCE(A1608,""TRADETIME""),)"),46269.6619212963)</f>
        <v>46269.66192</v>
      </c>
      <c r="O1608" s="44"/>
      <c r="P1608" s="44"/>
      <c r="Q1608" s="44"/>
      <c r="R1608" s="44"/>
      <c r="S1608" s="44"/>
      <c r="T1608" s="44"/>
      <c r="U1608" s="44"/>
      <c r="V1608" s="44"/>
      <c r="W1608" s="44"/>
      <c r="X1608" s="44"/>
      <c r="Y1608" s="44"/>
      <c r="Z1608" s="44"/>
    </row>
    <row r="1609" ht="15.75" customHeight="1">
      <c r="A1609" s="51" t="s">
        <v>1654</v>
      </c>
      <c r="B1609" s="51" t="str">
        <f>IFERROR(__xludf.DUMMYFUNCTION("IFERROR(GOOGLEFINANCE(A1609,""NAME""),)"),"Larsen and Toubro Ltd")</f>
        <v>Larsen and Toubro Ltd</v>
      </c>
      <c r="C1609" s="51">
        <f>IFERROR(__xludf.DUMMYFUNCTION("IFERROR(GOOGLEFINANCE(A1609,""CHANGE""),)"),1.0)</f>
        <v>1</v>
      </c>
      <c r="D1609" s="51">
        <f>IFERROR(__xludf.DUMMYFUNCTION("IFERROR(GOOGLEFINANCE(A1609,""CHANGEPCT""),)"),0.03)</f>
        <v>0.03</v>
      </c>
      <c r="E1609" s="51" t="str">
        <f t="shared" si="1"/>
        <v>0.03%</v>
      </c>
      <c r="F1609" s="51">
        <f t="shared" si="2"/>
        <v>0.03</v>
      </c>
      <c r="G1609" s="51" t="str">
        <f t="shared" si="3"/>
        <v/>
      </c>
      <c r="H1609" s="51">
        <f>IFERROR(__xludf.DUMMYFUNCTION("IFERROR(GOOGLEFINANCE(A1609,""PRICE""),)"),3966.0)</f>
        <v>3966</v>
      </c>
      <c r="I1609" s="52">
        <f>IFERROR(__xludf.DUMMYFUNCTION("IFERROR(GOOGLEFINANCE(A1609,""VOLUME""),)"),101246.0)</f>
        <v>101246</v>
      </c>
      <c r="J1609" s="51">
        <f>IFERROR(__xludf.DUMMYFUNCTION("IFERROR(INDEX(SPLIT(A1609,"":""),1,2),)"),500510.0)</f>
        <v>500510</v>
      </c>
      <c r="K1609" s="51">
        <f t="shared" si="4"/>
        <v>769</v>
      </c>
      <c r="L1609" s="51" t="str">
        <f t="shared" si="5"/>
        <v/>
      </c>
      <c r="M1609" s="51">
        <f t="shared" si="6"/>
        <v>764</v>
      </c>
      <c r="N1609" s="53">
        <f>IFERROR(__xludf.DUMMYFUNCTION("IFERROR(GOOGLEFINANCE(A1609,""TRADETIME""),)"),46269.66229166667)</f>
        <v>46269.66229</v>
      </c>
      <c r="O1609" s="44"/>
      <c r="P1609" s="44"/>
      <c r="Q1609" s="44"/>
      <c r="R1609" s="44"/>
      <c r="S1609" s="44"/>
      <c r="T1609" s="44"/>
      <c r="U1609" s="44"/>
      <c r="V1609" s="44"/>
      <c r="W1609" s="44"/>
      <c r="X1609" s="44"/>
      <c r="Y1609" s="44"/>
      <c r="Z1609" s="44"/>
    </row>
    <row r="1610" ht="15.75" customHeight="1">
      <c r="A1610" s="48" t="s">
        <v>1655</v>
      </c>
      <c r="B1610" s="48" t="str">
        <f>IFERROR(__xludf.DUMMYFUNCTION("IFERROR(GOOGLEFINANCE(A1610,""NAME""),)"),"Mahindra And Mahindra Ltd")</f>
        <v>Mahindra And Mahindra Ltd</v>
      </c>
      <c r="C1610" s="48">
        <f>IFERROR(__xludf.DUMMYFUNCTION("IFERROR(GOOGLEFINANCE(A1610,""CHANGE""),)"),-3140.0)</f>
        <v>-3140</v>
      </c>
      <c r="D1610" s="48">
        <f>IFERROR(__xludf.DUMMYFUNCTION("IFERROR(GOOGLEFINANCE(A1610,""CHANGEPCT""),)"),-100.0)</f>
        <v>-100</v>
      </c>
      <c r="E1610" s="48" t="str">
        <f t="shared" si="1"/>
        <v>-100%</v>
      </c>
      <c r="F1610" s="48" t="str">
        <f t="shared" si="2"/>
        <v/>
      </c>
      <c r="G1610" s="48">
        <f t="shared" si="3"/>
        <v>-100</v>
      </c>
      <c r="H1610" s="48">
        <f>IFERROR(__xludf.DUMMYFUNCTION("IFERROR(GOOGLEFINANCE(A1610,""PRICE""),)"),0.0)</f>
        <v>0</v>
      </c>
      <c r="I1610" s="49">
        <f>IFERROR(__xludf.DUMMYFUNCTION("IFERROR(GOOGLEFINANCE(A1610,""VOLUME""),)"),0.0)</f>
        <v>0</v>
      </c>
      <c r="J1610" s="48">
        <f>IFERROR(__xludf.DUMMYFUNCTION("IFERROR(INDEX(SPLIT(A1610,"":""),1,2),)"),500520.0)</f>
        <v>500520</v>
      </c>
      <c r="K1610" s="48" t="str">
        <f t="shared" si="4"/>
        <v/>
      </c>
      <c r="L1610" s="48">
        <f t="shared" si="5"/>
        <v>655</v>
      </c>
      <c r="M1610" s="48">
        <f t="shared" si="6"/>
        <v>1457</v>
      </c>
      <c r="N1610" s="50" t="str">
        <f>IFERROR(__xludf.DUMMYFUNCTION("IFERROR(GOOGLEFINANCE(A1610,""TRADETIME""),)"),"")</f>
        <v/>
      </c>
      <c r="O1610" s="44"/>
      <c r="P1610" s="44"/>
      <c r="Q1610" s="44"/>
      <c r="R1610" s="44"/>
      <c r="S1610" s="44"/>
      <c r="T1610" s="44"/>
      <c r="U1610" s="44"/>
      <c r="V1610" s="44"/>
      <c r="W1610" s="44"/>
      <c r="X1610" s="44"/>
      <c r="Y1610" s="44"/>
      <c r="Z1610" s="44"/>
    </row>
    <row r="1611" ht="15.75" customHeight="1">
      <c r="A1611" s="51" t="s">
        <v>1656</v>
      </c>
      <c r="B1611" s="51" t="str">
        <f>IFERROR(__xludf.DUMMYFUNCTION("IFERROR(GOOGLEFINANCE(A1611,""NAME""),)"),"Maruti Suzuki India Ltd")</f>
        <v>Maruti Suzuki India Ltd</v>
      </c>
      <c r="C1611" s="51">
        <f>IFERROR(__xludf.DUMMYFUNCTION("IFERROR(GOOGLEFINANCE(A1611,""CHANGE""),)"),-5.0)</f>
        <v>-5</v>
      </c>
      <c r="D1611" s="51">
        <f>IFERROR(__xludf.DUMMYFUNCTION("IFERROR(GOOGLEFINANCE(A1611,""CHANGEPCT""),)"),-0.04)</f>
        <v>-0.04</v>
      </c>
      <c r="E1611" s="51" t="str">
        <f t="shared" si="1"/>
        <v>-0.04%</v>
      </c>
      <c r="F1611" s="51" t="str">
        <f t="shared" si="2"/>
        <v/>
      </c>
      <c r="G1611" s="51">
        <f t="shared" si="3"/>
        <v>-0.04</v>
      </c>
      <c r="H1611" s="51">
        <f>IFERROR(__xludf.DUMMYFUNCTION("IFERROR(GOOGLEFINANCE(A1611,""PRICE""),)"),12700.0)</f>
        <v>12700</v>
      </c>
      <c r="I1611" s="52">
        <f>IFERROR(__xludf.DUMMYFUNCTION("IFERROR(GOOGLEFINANCE(A1611,""VOLUME""),)"),18510.0)</f>
        <v>18510</v>
      </c>
      <c r="J1611" s="51">
        <f>IFERROR(__xludf.DUMMYFUNCTION("IFERROR(INDEX(SPLIT(A1611,"":""),1,2),)"),532500.0)</f>
        <v>532500</v>
      </c>
      <c r="K1611" s="51" t="str">
        <f t="shared" si="4"/>
        <v/>
      </c>
      <c r="L1611" s="51">
        <f t="shared" si="5"/>
        <v>13</v>
      </c>
      <c r="M1611" s="51">
        <f t="shared" si="6"/>
        <v>1140</v>
      </c>
      <c r="N1611" s="53">
        <f>IFERROR(__xludf.DUMMYFUNCTION("IFERROR(GOOGLEFINANCE(A1611,""TRADETIME""),)"),46269.66657407407)</f>
        <v>46269.66657</v>
      </c>
      <c r="O1611" s="44"/>
      <c r="P1611" s="44"/>
      <c r="Q1611" s="44"/>
      <c r="R1611" s="44"/>
      <c r="S1611" s="44"/>
      <c r="T1611" s="44"/>
      <c r="U1611" s="44"/>
      <c r="V1611" s="44"/>
      <c r="W1611" s="44"/>
      <c r="X1611" s="44"/>
      <c r="Y1611" s="44"/>
      <c r="Z1611" s="44"/>
    </row>
    <row r="1612" ht="15.75" customHeight="1">
      <c r="A1612" s="48" t="s">
        <v>1657</v>
      </c>
      <c r="B1612" s="48" t="str">
        <f>IFERROR(__xludf.DUMMYFUNCTION("IFERROR(GOOGLEFINANCE(A1612,""NAME""),)"),"Nestle India Ltd")</f>
        <v>Nestle India Ltd</v>
      </c>
      <c r="C1612" s="48">
        <f>IFERROR(__xludf.DUMMYFUNCTION("IFERROR(GOOGLEFINANCE(A1612,""CHANGE""),)"),-5.0)</f>
        <v>-5</v>
      </c>
      <c r="D1612" s="48">
        <f>IFERROR(__xludf.DUMMYFUNCTION("IFERROR(GOOGLEFINANCE(A1612,""CHANGEPCT""),)"),-0.35)</f>
        <v>-0.35</v>
      </c>
      <c r="E1612" s="48" t="str">
        <f t="shared" si="1"/>
        <v>-0.35%</v>
      </c>
      <c r="F1612" s="48" t="str">
        <f t="shared" si="2"/>
        <v/>
      </c>
      <c r="G1612" s="48">
        <f t="shared" si="3"/>
        <v>-0.35</v>
      </c>
      <c r="H1612" s="48">
        <f>IFERROR(__xludf.DUMMYFUNCTION("IFERROR(GOOGLEFINANCE(A1612,""PRICE""),)"),1420.0)</f>
        <v>1420</v>
      </c>
      <c r="I1612" s="49">
        <f>IFERROR(__xludf.DUMMYFUNCTION("IFERROR(GOOGLEFINANCE(A1612,""VOLUME""),)"),27289.0)</f>
        <v>27289</v>
      </c>
      <c r="J1612" s="48">
        <f>IFERROR(__xludf.DUMMYFUNCTION("IFERROR(INDEX(SPLIT(A1612,"":""),1,2),)"),500790.0)</f>
        <v>500790</v>
      </c>
      <c r="K1612" s="48" t="str">
        <f t="shared" si="4"/>
        <v/>
      </c>
      <c r="L1612" s="48">
        <f t="shared" si="5"/>
        <v>138</v>
      </c>
      <c r="M1612" s="48">
        <f t="shared" si="6"/>
        <v>1072</v>
      </c>
      <c r="N1612" s="50">
        <f>IFERROR(__xludf.DUMMYFUNCTION("IFERROR(GOOGLEFINANCE(A1612,""TRADETIME""),)"),46269.66496527778)</f>
        <v>46269.66497</v>
      </c>
      <c r="O1612" s="44"/>
      <c r="P1612" s="44"/>
      <c r="Q1612" s="44"/>
      <c r="R1612" s="44"/>
      <c r="S1612" s="44"/>
      <c r="T1612" s="44"/>
      <c r="U1612" s="44"/>
      <c r="V1612" s="44"/>
      <c r="W1612" s="44"/>
      <c r="X1612" s="44"/>
      <c r="Y1612" s="44"/>
      <c r="Z1612" s="44"/>
    </row>
    <row r="1613" ht="15.75" customHeight="1">
      <c r="A1613" s="51" t="s">
        <v>1658</v>
      </c>
      <c r="B1613" s="51" t="str">
        <f>IFERROR(__xludf.DUMMYFUNCTION("IFERROR(GOOGLEFINANCE(A1613,""NAME""),)"),"NTPC Ltd")</f>
        <v>NTPC Ltd</v>
      </c>
      <c r="C1613" s="51">
        <f>IFERROR(__xludf.DUMMYFUNCTION("IFERROR(GOOGLEFINANCE(A1613,""CHANGE""),)"),2.65)</f>
        <v>2.65</v>
      </c>
      <c r="D1613" s="51">
        <f>IFERROR(__xludf.DUMMYFUNCTION("IFERROR(GOOGLEFINANCE(A1613,""CHANGEPCT""),)"),0.8)</f>
        <v>0.8</v>
      </c>
      <c r="E1613" s="51" t="str">
        <f t="shared" si="1"/>
        <v>0.8%</v>
      </c>
      <c r="F1613" s="51">
        <f t="shared" si="2"/>
        <v>0.8</v>
      </c>
      <c r="G1613" s="51" t="str">
        <f t="shared" si="3"/>
        <v/>
      </c>
      <c r="H1613" s="51">
        <f>IFERROR(__xludf.DUMMYFUNCTION("IFERROR(GOOGLEFINANCE(A1613,""PRICE""),)"),332.6)</f>
        <v>332.6</v>
      </c>
      <c r="I1613" s="52">
        <f>IFERROR(__xludf.DUMMYFUNCTION("IFERROR(GOOGLEFINANCE(A1613,""VOLUME""),)"),704738.0)</f>
        <v>704738</v>
      </c>
      <c r="J1613" s="51">
        <f>IFERROR(__xludf.DUMMYFUNCTION("IFERROR(INDEX(SPLIT(A1613,"":""),1,2),)"),532555.0)</f>
        <v>532555</v>
      </c>
      <c r="K1613" s="51">
        <f t="shared" si="4"/>
        <v>502</v>
      </c>
      <c r="L1613" s="51" t="str">
        <f t="shared" si="5"/>
        <v/>
      </c>
      <c r="M1613" s="51">
        <f t="shared" si="6"/>
        <v>327</v>
      </c>
      <c r="N1613" s="53">
        <f>IFERROR(__xludf.DUMMYFUNCTION("IFERROR(GOOGLEFINANCE(A1613,""TRADETIME""),)"),46269.66061342593)</f>
        <v>46269.66061</v>
      </c>
      <c r="O1613" s="44"/>
      <c r="P1613" s="44"/>
      <c r="Q1613" s="44"/>
      <c r="R1613" s="44"/>
      <c r="S1613" s="44"/>
      <c r="T1613" s="44"/>
      <c r="U1613" s="44"/>
      <c r="V1613" s="44"/>
      <c r="W1613" s="44"/>
      <c r="X1613" s="44"/>
      <c r="Y1613" s="44"/>
      <c r="Z1613" s="44"/>
    </row>
    <row r="1614" ht="15.75" customHeight="1">
      <c r="A1614" s="48" t="s">
        <v>1659</v>
      </c>
      <c r="B1614" s="48" t="str">
        <f>IFERROR(__xludf.DUMMYFUNCTION("IFERROR(GOOGLEFINANCE(A1614,""NAME""),)"),"Oil and Natural Gas Corporation Ltd")</f>
        <v>Oil and Natural Gas Corporation Ltd</v>
      </c>
      <c r="C1614" s="48">
        <f>IFERROR(__xludf.DUMMYFUNCTION("IFERROR(GOOGLEFINANCE(A1614,""CHANGE""),)"),-2.1)</f>
        <v>-2.1</v>
      </c>
      <c r="D1614" s="48">
        <f>IFERROR(__xludf.DUMMYFUNCTION("IFERROR(GOOGLEFINANCE(A1614,""CHANGEPCT""),)"),-0.89)</f>
        <v>-0.89</v>
      </c>
      <c r="E1614" s="48" t="str">
        <f t="shared" si="1"/>
        <v>-0.89%</v>
      </c>
      <c r="F1614" s="48" t="str">
        <f t="shared" si="2"/>
        <v/>
      </c>
      <c r="G1614" s="48">
        <f t="shared" si="3"/>
        <v>-0.89</v>
      </c>
      <c r="H1614" s="48">
        <f>IFERROR(__xludf.DUMMYFUNCTION("IFERROR(GOOGLEFINANCE(A1614,""PRICE""),)"),234.85)</f>
        <v>234.85</v>
      </c>
      <c r="I1614" s="49">
        <f>IFERROR(__xludf.DUMMYFUNCTION("IFERROR(GOOGLEFINANCE(A1614,""VOLUME""),)"),231485.0)</f>
        <v>231485</v>
      </c>
      <c r="J1614" s="48">
        <f>IFERROR(__xludf.DUMMYFUNCTION("IFERROR(INDEX(SPLIT(A1614,"":""),1,2),)"),500312.0)</f>
        <v>500312</v>
      </c>
      <c r="K1614" s="48" t="str">
        <f t="shared" si="4"/>
        <v/>
      </c>
      <c r="L1614" s="48">
        <f t="shared" si="5"/>
        <v>316</v>
      </c>
      <c r="M1614" s="48">
        <f t="shared" si="6"/>
        <v>586</v>
      </c>
      <c r="N1614" s="50">
        <f>IFERROR(__xludf.DUMMYFUNCTION("IFERROR(GOOGLEFINANCE(A1614,""TRADETIME""),)"),46269.66473379629)</f>
        <v>46269.66473</v>
      </c>
      <c r="O1614" s="44"/>
      <c r="P1614" s="44"/>
      <c r="Q1614" s="44"/>
      <c r="R1614" s="44"/>
      <c r="S1614" s="44"/>
      <c r="T1614" s="44"/>
      <c r="U1614" s="44"/>
      <c r="V1614" s="44"/>
      <c r="W1614" s="44"/>
      <c r="X1614" s="44"/>
      <c r="Y1614" s="44"/>
      <c r="Z1614" s="44"/>
    </row>
    <row r="1615" ht="15.75" customHeight="1">
      <c r="A1615" s="51" t="s">
        <v>1660</v>
      </c>
      <c r="B1615" s="51" t="str">
        <f>IFERROR(__xludf.DUMMYFUNCTION("IFERROR(GOOGLEFINANCE(A1615,""NAME""),)"),"Power Grid Corporation of India Ltd")</f>
        <v>Power Grid Corporation of India Ltd</v>
      </c>
      <c r="C1615" s="51">
        <f>IFERROR(__xludf.DUMMYFUNCTION("IFERROR(GOOGLEFINANCE(A1615,""CHANGE""),)"),1.0)</f>
        <v>1</v>
      </c>
      <c r="D1615" s="51">
        <f>IFERROR(__xludf.DUMMYFUNCTION("IFERROR(GOOGLEFINANCE(A1615,""CHANGEPCT""),)"),0.38)</f>
        <v>0.38</v>
      </c>
      <c r="E1615" s="51" t="str">
        <f t="shared" si="1"/>
        <v>0.38%</v>
      </c>
      <c r="F1615" s="51">
        <f t="shared" si="2"/>
        <v>0.38</v>
      </c>
      <c r="G1615" s="51" t="str">
        <f t="shared" si="3"/>
        <v/>
      </c>
      <c r="H1615" s="51">
        <f>IFERROR(__xludf.DUMMYFUNCTION("IFERROR(GOOGLEFINANCE(A1615,""PRICE""),)"),266.0)</f>
        <v>266</v>
      </c>
      <c r="I1615" s="52">
        <f>IFERROR(__xludf.DUMMYFUNCTION("IFERROR(GOOGLEFINANCE(A1615,""VOLUME""),)"),930522.0)</f>
        <v>930522</v>
      </c>
      <c r="J1615" s="51">
        <f>IFERROR(__xludf.DUMMYFUNCTION("IFERROR(INDEX(SPLIT(A1615,"":""),1,2),)"),532898.0)</f>
        <v>532898</v>
      </c>
      <c r="K1615" s="51">
        <f t="shared" si="4"/>
        <v>632</v>
      </c>
      <c r="L1615" s="51" t="str">
        <f t="shared" si="5"/>
        <v/>
      </c>
      <c r="M1615" s="51">
        <f t="shared" si="6"/>
        <v>289</v>
      </c>
      <c r="N1615" s="53">
        <f>IFERROR(__xludf.DUMMYFUNCTION("IFERROR(GOOGLEFINANCE(A1615,""TRADETIME""),)"),46269.64583333333)</f>
        <v>46269.64583</v>
      </c>
      <c r="O1615" s="44"/>
      <c r="P1615" s="44"/>
      <c r="Q1615" s="44"/>
      <c r="R1615" s="44"/>
      <c r="S1615" s="44"/>
      <c r="T1615" s="44"/>
      <c r="U1615" s="44"/>
      <c r="V1615" s="44"/>
      <c r="W1615" s="44"/>
      <c r="X1615" s="44"/>
      <c r="Y1615" s="44"/>
      <c r="Z1615" s="44"/>
    </row>
    <row r="1616" ht="15.75" customHeight="1">
      <c r="A1616" s="48" t="s">
        <v>1661</v>
      </c>
      <c r="B1616" s="48" t="str">
        <f>IFERROR(__xludf.DUMMYFUNCTION("IFERROR(GOOGLEFINANCE(A1616,""NAME""),)"),"Reliance Industries Ltd")</f>
        <v>Reliance Industries Ltd</v>
      </c>
      <c r="C1616" s="48">
        <f>IFERROR(__xludf.DUMMYFUNCTION("IFERROR(GOOGLEFINANCE(A1616,""CHANGE""),)"),20.95)</f>
        <v>20.95</v>
      </c>
      <c r="D1616" s="48">
        <f>IFERROR(__xludf.DUMMYFUNCTION("IFERROR(GOOGLEFINANCE(A1616,""CHANGEPCT""),)"),1.61)</f>
        <v>1.61</v>
      </c>
      <c r="E1616" s="48" t="str">
        <f t="shared" si="1"/>
        <v>1.61%</v>
      </c>
      <c r="F1616" s="48">
        <f t="shared" si="2"/>
        <v>1.61</v>
      </c>
      <c r="G1616" s="48" t="str">
        <f t="shared" si="3"/>
        <v/>
      </c>
      <c r="H1616" s="48">
        <f>IFERROR(__xludf.DUMMYFUNCTION("IFERROR(GOOGLEFINANCE(A1616,""PRICE""),)"),1322.0)</f>
        <v>1322</v>
      </c>
      <c r="I1616" s="49">
        <f>IFERROR(__xludf.DUMMYFUNCTION("IFERROR(GOOGLEFINANCE(A1616,""VOLUME""),)"),459976.0)</f>
        <v>459976</v>
      </c>
      <c r="J1616" s="48">
        <f>IFERROR(__xludf.DUMMYFUNCTION("IFERROR(INDEX(SPLIT(A1616,"":""),1,2),)"),500325.0)</f>
        <v>500325</v>
      </c>
      <c r="K1616" s="48">
        <f t="shared" si="4"/>
        <v>325</v>
      </c>
      <c r="L1616" s="48" t="str">
        <f t="shared" si="5"/>
        <v/>
      </c>
      <c r="M1616" s="48">
        <f t="shared" si="6"/>
        <v>417</v>
      </c>
      <c r="N1616" s="50">
        <f>IFERROR(__xludf.DUMMYFUNCTION("IFERROR(GOOGLEFINANCE(A1616,""TRADETIME""),)"),46269.66164351851)</f>
        <v>46269.66164</v>
      </c>
      <c r="O1616" s="44"/>
      <c r="P1616" s="44"/>
      <c r="Q1616" s="44"/>
      <c r="R1616" s="44"/>
      <c r="S1616" s="44"/>
      <c r="T1616" s="44"/>
      <c r="U1616" s="44"/>
      <c r="V1616" s="44"/>
      <c r="W1616" s="44"/>
      <c r="X1616" s="44"/>
      <c r="Y1616" s="44"/>
      <c r="Z1616" s="44"/>
    </row>
    <row r="1617" ht="15.75" customHeight="1">
      <c r="A1617" s="51" t="s">
        <v>1662</v>
      </c>
      <c r="B1617" s="51" t="str">
        <f>IFERROR(__xludf.DUMMYFUNCTION("IFERROR(GOOGLEFINANCE(A1617,""NAME""),)"),"State Bank of India")</f>
        <v>State Bank of India</v>
      </c>
      <c r="C1617" s="51">
        <f>IFERROR(__xludf.DUMMYFUNCTION("IFERROR(GOOGLEFINANCE(A1617,""CHANGE""),)"),0.0)</f>
        <v>0</v>
      </c>
      <c r="D1617" s="51">
        <f>IFERROR(__xludf.DUMMYFUNCTION("IFERROR(GOOGLEFINANCE(A1617,""CHANGEPCT""),)"),0.0)</f>
        <v>0</v>
      </c>
      <c r="E1617" s="51" t="str">
        <f t="shared" si="1"/>
        <v>0%</v>
      </c>
      <c r="F1617" s="51" t="str">
        <f t="shared" si="2"/>
        <v/>
      </c>
      <c r="G1617" s="51" t="str">
        <f t="shared" si="3"/>
        <v/>
      </c>
      <c r="H1617" s="51">
        <f>IFERROR(__xludf.DUMMYFUNCTION("IFERROR(GOOGLEFINANCE(A1617,""PRICE""),)"),1017.0)</f>
        <v>1017</v>
      </c>
      <c r="I1617" s="52">
        <f>IFERROR(__xludf.DUMMYFUNCTION("IFERROR(GOOGLEFINANCE(A1617,""VOLUME""),)"),513274.0)</f>
        <v>513274</v>
      </c>
      <c r="J1617" s="51">
        <f>IFERROR(__xludf.DUMMYFUNCTION("IFERROR(INDEX(SPLIT(A1617,"":""),1,2),)"),500112.0)</f>
        <v>500112</v>
      </c>
      <c r="K1617" s="51" t="str">
        <f t="shared" si="4"/>
        <v/>
      </c>
      <c r="L1617" s="51" t="str">
        <f t="shared" si="5"/>
        <v/>
      </c>
      <c r="M1617" s="51">
        <f t="shared" si="6"/>
        <v>387</v>
      </c>
      <c r="N1617" s="53">
        <f>IFERROR(__xludf.DUMMYFUNCTION("IFERROR(GOOGLEFINANCE(A1617,""TRADETIME""),)"),46269.66380787037)</f>
        <v>46269.66381</v>
      </c>
      <c r="O1617" s="44"/>
      <c r="P1617" s="44"/>
      <c r="Q1617" s="44"/>
      <c r="R1617" s="44"/>
      <c r="S1617" s="44"/>
      <c r="T1617" s="44"/>
      <c r="U1617" s="44"/>
      <c r="V1617" s="44"/>
      <c r="W1617" s="44"/>
      <c r="X1617" s="44"/>
      <c r="Y1617" s="44"/>
      <c r="Z1617" s="44"/>
    </row>
    <row r="1618" ht="15.75" customHeight="1">
      <c r="A1618" s="48" t="s">
        <v>1663</v>
      </c>
      <c r="B1618" s="48" t="str">
        <f>IFERROR(__xludf.DUMMYFUNCTION("IFERROR(GOOGLEFINANCE(A1618,""NAME""),)"),"Sun Pharmaceutical Industries Ltd")</f>
        <v>Sun Pharmaceutical Industries Ltd</v>
      </c>
      <c r="C1618" s="48">
        <f>IFERROR(__xludf.DUMMYFUNCTION("IFERROR(GOOGLEFINANCE(A1618,""CHANGE""),)"),-5.0)</f>
        <v>-5</v>
      </c>
      <c r="D1618" s="48">
        <f>IFERROR(__xludf.DUMMYFUNCTION("IFERROR(GOOGLEFINANCE(A1618,""CHANGEPCT""),)"),-0.26)</f>
        <v>-0.26</v>
      </c>
      <c r="E1618" s="48" t="str">
        <f t="shared" si="1"/>
        <v>-0.26%</v>
      </c>
      <c r="F1618" s="48" t="str">
        <f t="shared" si="2"/>
        <v/>
      </c>
      <c r="G1618" s="48">
        <f t="shared" si="3"/>
        <v>-0.26</v>
      </c>
      <c r="H1618" s="48">
        <f>IFERROR(__xludf.DUMMYFUNCTION("IFERROR(GOOGLEFINANCE(A1618,""PRICE""),)"),1899.0)</f>
        <v>1899</v>
      </c>
      <c r="I1618" s="49">
        <f>IFERROR(__xludf.DUMMYFUNCTION("IFERROR(GOOGLEFINANCE(A1618,""VOLUME""),)"),47122.0)</f>
        <v>47122</v>
      </c>
      <c r="J1618" s="48">
        <f>IFERROR(__xludf.DUMMYFUNCTION("IFERROR(INDEX(SPLIT(A1618,"":""),1,2),)"),524715.0)</f>
        <v>524715</v>
      </c>
      <c r="K1618" s="48" t="str">
        <f t="shared" si="4"/>
        <v/>
      </c>
      <c r="L1618" s="48">
        <f t="shared" si="5"/>
        <v>97</v>
      </c>
      <c r="M1618" s="48">
        <f t="shared" si="6"/>
        <v>960</v>
      </c>
      <c r="N1618" s="50">
        <f>IFERROR(__xludf.DUMMYFUNCTION("IFERROR(GOOGLEFINANCE(A1618,""TRADETIME""),)"),46269.66348379629)</f>
        <v>46269.66348</v>
      </c>
      <c r="O1618" s="44"/>
      <c r="P1618" s="44"/>
      <c r="Q1618" s="44"/>
      <c r="R1618" s="44"/>
      <c r="S1618" s="44"/>
      <c r="T1618" s="44"/>
      <c r="U1618" s="44"/>
      <c r="V1618" s="44"/>
      <c r="W1618" s="44"/>
      <c r="X1618" s="44"/>
      <c r="Y1618" s="44"/>
      <c r="Z1618" s="44"/>
    </row>
    <row r="1619" ht="15.75" customHeight="1">
      <c r="A1619" s="51" t="s">
        <v>1664</v>
      </c>
      <c r="B1619" s="51" t="str">
        <f>IFERROR(__xludf.DUMMYFUNCTION("IFERROR(GOOGLEFINANCE(A1619,""NAME""),)"),"Tata Consultancy Services Ltd")</f>
        <v>Tata Consultancy Services Ltd</v>
      </c>
      <c r="C1619" s="51">
        <f>IFERROR(__xludf.DUMMYFUNCTION("IFERROR(GOOGLEFINANCE(A1619,""CHANGE""),)"),-11.1)</f>
        <v>-11.1</v>
      </c>
      <c r="D1619" s="51">
        <f>IFERROR(__xludf.DUMMYFUNCTION("IFERROR(GOOGLEFINANCE(A1619,""CHANGEPCT""),)"),-0.48)</f>
        <v>-0.48</v>
      </c>
      <c r="E1619" s="51" t="str">
        <f t="shared" si="1"/>
        <v>-0.48%</v>
      </c>
      <c r="F1619" s="51" t="str">
        <f t="shared" si="2"/>
        <v/>
      </c>
      <c r="G1619" s="51">
        <f t="shared" si="3"/>
        <v>-0.48</v>
      </c>
      <c r="H1619" s="51">
        <f>IFERROR(__xludf.DUMMYFUNCTION("IFERROR(GOOGLEFINANCE(A1619,""PRICE""),)"),2300.9)</f>
        <v>2300.9</v>
      </c>
      <c r="I1619" s="52">
        <f>IFERROR(__xludf.DUMMYFUNCTION("IFERROR(GOOGLEFINANCE(A1619,""VOLUME""),)"),127590.0)</f>
        <v>127590</v>
      </c>
      <c r="J1619" s="51">
        <f>IFERROR(__xludf.DUMMYFUNCTION("IFERROR(INDEX(SPLIT(A1619,"":""),1,2),)"),532540.0)</f>
        <v>532540</v>
      </c>
      <c r="K1619" s="51" t="str">
        <f t="shared" si="4"/>
        <v/>
      </c>
      <c r="L1619" s="51">
        <f t="shared" si="5"/>
        <v>191</v>
      </c>
      <c r="M1619" s="51">
        <f t="shared" si="6"/>
        <v>727</v>
      </c>
      <c r="N1619" s="53">
        <f>IFERROR(__xludf.DUMMYFUNCTION("IFERROR(GOOGLEFINANCE(A1619,""TRADETIME""),)"),46269.64583333333)</f>
        <v>46269.64583</v>
      </c>
      <c r="O1619" s="44"/>
      <c r="P1619" s="44"/>
      <c r="Q1619" s="44"/>
      <c r="R1619" s="44"/>
      <c r="S1619" s="44"/>
      <c r="T1619" s="44"/>
      <c r="U1619" s="44"/>
      <c r="V1619" s="44"/>
      <c r="W1619" s="44"/>
      <c r="X1619" s="44"/>
      <c r="Y1619" s="44"/>
      <c r="Z1619" s="44"/>
    </row>
    <row r="1620" ht="15.75" customHeight="1">
      <c r="A1620" s="48" t="s">
        <v>1665</v>
      </c>
      <c r="B1620" s="48" t="str">
        <f>IFERROR(__xludf.DUMMYFUNCTION("IFERROR(GOOGLEFINANCE(A1620,""NAME""),)"),"Tech Mahindra Ltd")</f>
        <v>Tech Mahindra Ltd</v>
      </c>
      <c r="C1620" s="48">
        <f>IFERROR(__xludf.DUMMYFUNCTION("IFERROR(GOOGLEFINANCE(A1620,""CHANGE""),)"),-5.0)</f>
        <v>-5</v>
      </c>
      <c r="D1620" s="48">
        <f>IFERROR(__xludf.DUMMYFUNCTION("IFERROR(GOOGLEFINANCE(A1620,""CHANGEPCT""),)"),-0.31)</f>
        <v>-0.31</v>
      </c>
      <c r="E1620" s="48" t="str">
        <f t="shared" si="1"/>
        <v>-0.31%</v>
      </c>
      <c r="F1620" s="48" t="str">
        <f t="shared" si="2"/>
        <v/>
      </c>
      <c r="G1620" s="48">
        <f t="shared" si="3"/>
        <v>-0.31</v>
      </c>
      <c r="H1620" s="48">
        <f>IFERROR(__xludf.DUMMYFUNCTION("IFERROR(GOOGLEFINANCE(A1620,""PRICE""),)"),1592.0)</f>
        <v>1592</v>
      </c>
      <c r="I1620" s="49">
        <f>IFERROR(__xludf.DUMMYFUNCTION("IFERROR(GOOGLEFINANCE(A1620,""VOLUME""),)"),43712.0)</f>
        <v>43712</v>
      </c>
      <c r="J1620" s="48">
        <f>IFERROR(__xludf.DUMMYFUNCTION("IFERROR(INDEX(SPLIT(A1620,"":""),1,2),)"),532755.0)</f>
        <v>532755</v>
      </c>
      <c r="K1620" s="48" t="str">
        <f t="shared" si="4"/>
        <v/>
      </c>
      <c r="L1620" s="48">
        <f t="shared" si="5"/>
        <v>122</v>
      </c>
      <c r="M1620" s="48">
        <f t="shared" si="6"/>
        <v>981</v>
      </c>
      <c r="N1620" s="50">
        <f>IFERROR(__xludf.DUMMYFUNCTION("IFERROR(GOOGLEFINANCE(A1620,""TRADETIME""),)"),46269.64583333333)</f>
        <v>46269.64583</v>
      </c>
      <c r="O1620" s="44"/>
      <c r="P1620" s="44"/>
      <c r="Q1620" s="44"/>
      <c r="R1620" s="44"/>
      <c r="S1620" s="44"/>
      <c r="T1620" s="44"/>
      <c r="U1620" s="44"/>
      <c r="V1620" s="44"/>
      <c r="W1620" s="44"/>
      <c r="X1620" s="44"/>
      <c r="Y1620" s="44"/>
      <c r="Z1620" s="44"/>
    </row>
    <row r="1621" ht="15.75" customHeight="1">
      <c r="A1621" s="51" t="s">
        <v>1666</v>
      </c>
      <c r="B1621" s="51" t="str">
        <f>IFERROR(__xludf.DUMMYFUNCTION("IFERROR(GOOGLEFINANCE(A1621,""NAME""),)"),"Titan Company Ltd")</f>
        <v>Titan Company Ltd</v>
      </c>
      <c r="C1621" s="51">
        <f>IFERROR(__xludf.DUMMYFUNCTION("IFERROR(GOOGLEFINANCE(A1621,""CHANGE""),)"),50.0)</f>
        <v>50</v>
      </c>
      <c r="D1621" s="51">
        <f>IFERROR(__xludf.DUMMYFUNCTION("IFERROR(GOOGLEFINANCE(A1621,""CHANGEPCT""),)"),1.01)</f>
        <v>1.01</v>
      </c>
      <c r="E1621" s="51" t="str">
        <f t="shared" si="1"/>
        <v>1.01%</v>
      </c>
      <c r="F1621" s="51">
        <f t="shared" si="2"/>
        <v>1.01</v>
      </c>
      <c r="G1621" s="51" t="str">
        <f t="shared" si="3"/>
        <v/>
      </c>
      <c r="H1621" s="51">
        <f>IFERROR(__xludf.DUMMYFUNCTION("IFERROR(GOOGLEFINANCE(A1621,""PRICE""),)"),5010.0)</f>
        <v>5010</v>
      </c>
      <c r="I1621" s="52">
        <f>IFERROR(__xludf.DUMMYFUNCTION("IFERROR(GOOGLEFINANCE(A1621,""VOLUME""),)"),20228.0)</f>
        <v>20228</v>
      </c>
      <c r="J1621" s="51">
        <f>IFERROR(__xludf.DUMMYFUNCTION("IFERROR(INDEX(SPLIT(A1621,"":""),1,2),)"),500114.0)</f>
        <v>500114</v>
      </c>
      <c r="K1621" s="51">
        <f t="shared" si="4"/>
        <v>448</v>
      </c>
      <c r="L1621" s="51" t="str">
        <f t="shared" si="5"/>
        <v/>
      </c>
      <c r="M1621" s="51">
        <f t="shared" si="6"/>
        <v>1123</v>
      </c>
      <c r="N1621" s="53">
        <f>IFERROR(__xludf.DUMMYFUNCTION("IFERROR(GOOGLEFINANCE(A1621,""TRADETIME""),)"),46269.65998842593)</f>
        <v>46269.65999</v>
      </c>
      <c r="O1621" s="44"/>
      <c r="P1621" s="44"/>
      <c r="Q1621" s="44"/>
      <c r="R1621" s="44"/>
      <c r="S1621" s="44"/>
      <c r="T1621" s="44"/>
      <c r="U1621" s="44"/>
      <c r="V1621" s="44"/>
      <c r="W1621" s="44"/>
      <c r="X1621" s="44"/>
      <c r="Y1621" s="44"/>
      <c r="Z1621" s="44"/>
    </row>
    <row r="1622" ht="15.75" customHeight="1">
      <c r="A1622" s="48" t="s">
        <v>1667</v>
      </c>
      <c r="B1622" s="48" t="str">
        <f>IFERROR(__xludf.DUMMYFUNCTION("IFERROR(GOOGLEFINANCE(A1622,""NAME""),)"),"UltraTech Cement Ltd")</f>
        <v>UltraTech Cement Ltd</v>
      </c>
      <c r="C1622" s="48">
        <f>IFERROR(__xludf.DUMMYFUNCTION("IFERROR(GOOGLEFINANCE(A1622,""CHANGE""),)"),124.55)</f>
        <v>124.55</v>
      </c>
      <c r="D1622" s="48">
        <f>IFERROR(__xludf.DUMMYFUNCTION("IFERROR(GOOGLEFINANCE(A1622,""CHANGEPCT""),)"),1.11)</f>
        <v>1.11</v>
      </c>
      <c r="E1622" s="48" t="str">
        <f t="shared" si="1"/>
        <v>1.11%</v>
      </c>
      <c r="F1622" s="48">
        <f t="shared" si="2"/>
        <v>1.11</v>
      </c>
      <c r="G1622" s="48" t="str">
        <f t="shared" si="3"/>
        <v/>
      </c>
      <c r="H1622" s="48">
        <f>IFERROR(__xludf.DUMMYFUNCTION("IFERROR(GOOGLEFINANCE(A1622,""PRICE""),)"),11348.0)</f>
        <v>11348</v>
      </c>
      <c r="I1622" s="49">
        <f>IFERROR(__xludf.DUMMYFUNCTION("IFERROR(GOOGLEFINANCE(A1622,""VOLUME""),)"),31287.0)</f>
        <v>31287</v>
      </c>
      <c r="J1622" s="48">
        <f>IFERROR(__xludf.DUMMYFUNCTION("IFERROR(INDEX(SPLIT(A1622,"":""),1,2),)"),532538.0)</f>
        <v>532538</v>
      </c>
      <c r="K1622" s="48">
        <f t="shared" si="4"/>
        <v>434</v>
      </c>
      <c r="L1622" s="48" t="str">
        <f t="shared" si="5"/>
        <v/>
      </c>
      <c r="M1622" s="48">
        <f t="shared" si="6"/>
        <v>1046</v>
      </c>
      <c r="N1622" s="50">
        <f>IFERROR(__xludf.DUMMYFUNCTION("IFERROR(GOOGLEFINANCE(A1622,""TRADETIME""),)"),46269.66631944444)</f>
        <v>46269.66632</v>
      </c>
      <c r="O1622" s="44"/>
      <c r="P1622" s="44"/>
      <c r="Q1622" s="44"/>
      <c r="R1622" s="44"/>
      <c r="S1622" s="44"/>
      <c r="T1622" s="44"/>
      <c r="U1622" s="44"/>
      <c r="V1622" s="44"/>
      <c r="W1622" s="44"/>
      <c r="X1622" s="44"/>
      <c r="Y1622" s="44"/>
      <c r="Z1622" s="44"/>
    </row>
    <row r="1623" ht="15.75" customHeight="1">
      <c r="A1623" s="51" t="s">
        <v>1668</v>
      </c>
      <c r="B1623" s="51" t="str">
        <f>IFERROR(__xludf.DUMMYFUNCTION("IFERROR(GOOGLEFINANCE(A1623,""NAME""),)"),"")</f>
        <v/>
      </c>
      <c r="C1623" s="51" t="str">
        <f>IFERROR(__xludf.DUMMYFUNCTION("IFERROR(GOOGLEFINANCE(A1623,""CHANGE""),)"),"")</f>
        <v/>
      </c>
      <c r="D1623" s="51" t="str">
        <f>IFERROR(__xludf.DUMMYFUNCTION("IFERROR(GOOGLEFINANCE(A1623,""CHANGEPCT""),)"),"")</f>
        <v/>
      </c>
      <c r="E1623" s="51" t="str">
        <f t="shared" si="1"/>
        <v>%</v>
      </c>
      <c r="F1623" s="51" t="str">
        <f t="shared" si="2"/>
        <v/>
      </c>
      <c r="G1623" s="51" t="str">
        <f t="shared" si="3"/>
        <v/>
      </c>
      <c r="H1623" s="51" t="str">
        <f>IFERROR(__xludf.DUMMYFUNCTION("IFERROR(GOOGLEFINANCE(A1623,""PRICE""),)"),"")</f>
        <v/>
      </c>
      <c r="I1623" s="52" t="str">
        <f>IFERROR(__xludf.DUMMYFUNCTION("IFERROR(GOOGLEFINANCE(A1623,""VOLUME""),)"),"")</f>
        <v/>
      </c>
      <c r="J1623" s="51" t="str">
        <f>IFERROR(__xludf.DUMMYFUNCTION("IFERROR(INDEX(SPLIT(A1623,"":""),1,2),)"),"ZOMATO")</f>
        <v>ZOMATO</v>
      </c>
      <c r="K1623" s="51" t="str">
        <f t="shared" si="4"/>
        <v/>
      </c>
      <c r="L1623" s="51" t="str">
        <f t="shared" si="5"/>
        <v/>
      </c>
      <c r="M1623" s="51">
        <f t="shared" si="6"/>
        <v>1456</v>
      </c>
      <c r="N1623" s="53" t="str">
        <f>IFERROR(__xludf.DUMMYFUNCTION("IFERROR(GOOGLEFINANCE(A1623,""TRADETIME""),)"),"")</f>
        <v/>
      </c>
      <c r="O1623" s="44"/>
      <c r="P1623" s="44"/>
      <c r="Q1623" s="44"/>
      <c r="R1623" s="44"/>
      <c r="S1623" s="44"/>
      <c r="T1623" s="44"/>
      <c r="U1623" s="44"/>
      <c r="V1623" s="44"/>
      <c r="W1623" s="44"/>
      <c r="X1623" s="44"/>
      <c r="Y1623" s="44"/>
      <c r="Z1623" s="44"/>
    </row>
    <row r="1624" ht="15.75" customHeight="1">
      <c r="A1624" s="48" t="s">
        <v>1669</v>
      </c>
      <c r="B1624" s="48" t="str">
        <f>IFERROR(__xludf.DUMMYFUNCTION("IFERROR(GOOGLEFINANCE(A1624,""NAME""),)"),"Fsn E-Commerce Ventures Ltd")</f>
        <v>Fsn E-Commerce Ventures Ltd</v>
      </c>
      <c r="C1624" s="48">
        <f>IFERROR(__xludf.DUMMYFUNCTION("IFERROR(GOOGLEFINANCE(A1624,""CHANGE""),)"),1.1)</f>
        <v>1.1</v>
      </c>
      <c r="D1624" s="48">
        <f>IFERROR(__xludf.DUMMYFUNCTION("IFERROR(GOOGLEFINANCE(A1624,""CHANGEPCT""),)"),0.33)</f>
        <v>0.33</v>
      </c>
      <c r="E1624" s="48" t="str">
        <f t="shared" si="1"/>
        <v>0.33%</v>
      </c>
      <c r="F1624" s="48">
        <f t="shared" si="2"/>
        <v>0.33</v>
      </c>
      <c r="G1624" s="48" t="str">
        <f t="shared" si="3"/>
        <v/>
      </c>
      <c r="H1624" s="48">
        <f>IFERROR(__xludf.DUMMYFUNCTION("IFERROR(GOOGLEFINANCE(A1624,""PRICE""),)"),332.2)</f>
        <v>332.2</v>
      </c>
      <c r="I1624" s="49">
        <f>IFERROR(__xludf.DUMMYFUNCTION("IFERROR(GOOGLEFINANCE(A1624,""VOLUME""),)"),55665.0)</f>
        <v>55665</v>
      </c>
      <c r="J1624" s="48">
        <f>IFERROR(__xludf.DUMMYFUNCTION("IFERROR(INDEX(SPLIT(A1624,"":""),1,2),)"),543384.0)</f>
        <v>543384</v>
      </c>
      <c r="K1624" s="48">
        <f t="shared" si="4"/>
        <v>653</v>
      </c>
      <c r="L1624" s="48" t="str">
        <f t="shared" si="5"/>
        <v/>
      </c>
      <c r="M1624" s="48">
        <f t="shared" si="6"/>
        <v>921</v>
      </c>
      <c r="N1624" s="50">
        <f>IFERROR(__xludf.DUMMYFUNCTION("IFERROR(GOOGLEFINANCE(A1624,""TRADETIME""),)"),46269.64583333333)</f>
        <v>46269.64583</v>
      </c>
      <c r="O1624" s="44"/>
      <c r="P1624" s="44"/>
      <c r="Q1624" s="44"/>
      <c r="R1624" s="44"/>
      <c r="S1624" s="44"/>
      <c r="T1624" s="44"/>
      <c r="U1624" s="44"/>
      <c r="V1624" s="44"/>
      <c r="W1624" s="44"/>
      <c r="X1624" s="44"/>
      <c r="Y1624" s="44"/>
      <c r="Z1624" s="44"/>
    </row>
  </sheetData>
  <autoFilter ref="$A$3:$N$1624"/>
  <drawing r:id="rId1"/>
</worksheet>
</file>