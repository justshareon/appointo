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DASHBOARD" sheetId="2" r:id="rId6"/>
    <sheet state="visible" name="GAINERS" sheetId="3" r:id="rId7"/>
    <sheet state="visible" name="DECLINERS" sheetId="4" r:id="rId8"/>
    <sheet state="visible" name="ACTIVES" sheetId="5" r:id="rId9"/>
    <sheet state="hidden" name="HELP" sheetId="6" r:id="rId10"/>
    <sheet state="visible" name="DATA" sheetId="7" r:id="rId11"/>
  </sheets>
  <definedNames>
    <definedName name="L_DATA_TOP_ACTIVES">DATA!$M$4:$M$1624</definedName>
    <definedName name="L_DATA_CHANGEPCT">DATA!$D$4:$D$1624</definedName>
    <definedName name="L_DATA_LAST_TRD_TIME">DATA!$N$4:$N$1624</definedName>
    <definedName name="L_HELP_PRICE">HELP!$E$2:$E$3</definedName>
    <definedName name="L_DATA_CHANGE">DATA!$C$4:$C$1624</definedName>
    <definedName name="L_DECLINERS_CHANGE">DECLINERS!$G$3:$G$22</definedName>
    <definedName name="L_DATA_TOP_GAIN_PCT">DATA!$K$4:$K$1624</definedName>
    <definedName name="L_HELP_ABBR">HELP!$C$2:$C$3</definedName>
    <definedName name="L_GAINERS_PRICE">GAINERS!$F$3:$F$22</definedName>
    <definedName name="L_ACTIVES_PRICE">ACTIVES!$F$3:$F$22</definedName>
    <definedName name="L_DATA_PRICE">DATA!$H$4:$H$1624</definedName>
    <definedName name="L_DECLINERS_TICKER">DECLINERS!$C$3:$C$22</definedName>
    <definedName name="L_DATA_VOL">DATA!$I$4:$I$1624</definedName>
    <definedName name="L_GAINERS_CHANGE">GAINERS!$G$3:$G$22</definedName>
    <definedName name="L_ACTIVES_CHANGE">ACTIVES!$G$3:$G$22</definedName>
    <definedName name="L_DATA_TOP_DECLINE_PCT">DATA!$L$4:$L$1624</definedName>
    <definedName name="L_DECLINERS_CHANGEPCT">DECLINERS!$I$3:$I$22</definedName>
    <definedName name="L_DATA_CHNG_PCT_FML">DATA!$E$4:$E$1624</definedName>
    <definedName name="L_DECLINERS_PRICE">DECLINERS!$F$3:$F$22</definedName>
    <definedName name="L_GAINERS_TICKER">GAINERS!$C$3:$C$22</definedName>
    <definedName name="L_ACTIVES_TICKERS">ACTIVES!$C$3:$C$22</definedName>
    <definedName name="L_DATA_SYMBOL">DATA!$A$4:$A$1624</definedName>
    <definedName name="L_ACTIVES_CHANGEPCT">ACTIVES!$I$3:$I$22</definedName>
    <definedName name="L_GAINERS_CHANGEPCT">GAINERS!$I$3:$I$22</definedName>
    <definedName name="L_DATA_NAME">DATA!$B$4:$B$1624</definedName>
    <definedName name="L_ACTIVES_VOL">ACTIVES!$E$3:$E$22</definedName>
    <definedName hidden="1" localSheetId="6" name="_xlnm._FilterDatabase">DATA!$A$3:$N$1624</definedName>
  </definedNames>
  <calcPr/>
</workbook>
</file>

<file path=xl/sharedStrings.xml><?xml version="1.0" encoding="utf-8"?>
<sst xmlns="http://schemas.openxmlformats.org/spreadsheetml/2006/main" count="1718" uniqueCount="1670">
  <si>
    <t>STOCK MARKET</t>
  </si>
  <si>
    <t>Offset</t>
  </si>
  <si>
    <t>Stocks tracked</t>
  </si>
  <si>
    <t>Gainers</t>
  </si>
  <si>
    <t>Decliners</t>
  </si>
  <si>
    <t>Not Available</t>
  </si>
  <si>
    <t>TOP GAINERS</t>
  </si>
  <si>
    <t>TOP DECLINERS</t>
  </si>
  <si>
    <t>TOP ACTIVES</t>
  </si>
  <si>
    <t>Price</t>
  </si>
  <si>
    <t>Change</t>
  </si>
  <si>
    <t>Change %</t>
  </si>
  <si>
    <t>Volume</t>
  </si>
  <si>
    <t>View More</t>
  </si>
  <si>
    <t>GAINERS</t>
  </si>
  <si>
    <t>No.</t>
  </si>
  <si>
    <t>Row #</t>
  </si>
  <si>
    <t>Ticker</t>
  </si>
  <si>
    <t>Name</t>
  </si>
  <si>
    <t>Market Cap</t>
  </si>
  <si>
    <t>PE Ratio</t>
  </si>
  <si>
    <t>52 Week Low</t>
  </si>
  <si>
    <t>53 week range</t>
  </si>
  <si>
    <t>52 Week High</t>
  </si>
  <si>
    <t>DECLINERS</t>
  </si>
  <si>
    <t>ACTIVES</t>
  </si>
  <si>
    <t>Index</t>
  </si>
  <si>
    <t>Abbreviation</t>
  </si>
  <si>
    <t xml:space="preserve">Symbol </t>
  </si>
  <si>
    <t>Change (%)</t>
  </si>
  <si>
    <t>NIFTY 50</t>
  </si>
  <si>
    <t>INDEXNSE:NIFTY_50</t>
  </si>
  <si>
    <t xml:space="preserve">to get indices and their symbols: </t>
  </si>
  <si>
    <t>S&amp;P BSE SENSEX IDX</t>
  </si>
  <si>
    <t>INDEXBOM:SENSEX</t>
  </si>
  <si>
    <t>BSE</t>
  </si>
  <si>
    <t>BOM</t>
  </si>
  <si>
    <t>INDEXBOM</t>
  </si>
  <si>
    <t>ref: https://www.google.com/finance/?hl=en</t>
  </si>
  <si>
    <t>NIFTY</t>
  </si>
  <si>
    <t>ENTER SYMBOL IN THIS COLUMN</t>
  </si>
  <si>
    <t>All other columns are calculated</t>
  </si>
  <si>
    <t>SYMBOL</t>
  </si>
  <si>
    <t>Change% fm</t>
  </si>
  <si>
    <t>Positive Change %</t>
  </si>
  <si>
    <t>Negative Change %</t>
  </si>
  <si>
    <t>Stock Ticker symbol</t>
  </si>
  <si>
    <t>TOP GAINERS BY %</t>
  </si>
  <si>
    <t>TOP DECLINERS BY %</t>
  </si>
  <si>
    <t>TOP ACTIVES BY %</t>
  </si>
  <si>
    <t>Last Trade Time</t>
  </si>
  <si>
    <t>NSE:20MICRONS</t>
  </si>
  <si>
    <t>NSE:21STCENMGM</t>
  </si>
  <si>
    <t>NSE:3IINFOLTD</t>
  </si>
  <si>
    <t>NSE:3MINDIA</t>
  </si>
  <si>
    <t>NSE:3PLAND</t>
  </si>
  <si>
    <t>NSE:5PAISA</t>
  </si>
  <si>
    <t>NSE:63MOONS</t>
  </si>
  <si>
    <t>NSE:A2ZINFRA</t>
  </si>
  <si>
    <t>NSE:AAKASH</t>
  </si>
  <si>
    <t>NSE:AARON</t>
  </si>
  <si>
    <t>NSE:AARTIDRUGS</t>
  </si>
  <si>
    <t>NSE:AARTIIND</t>
  </si>
  <si>
    <t>NSE:AARTISURF</t>
  </si>
  <si>
    <t>NSE:AARVEEDEN</t>
  </si>
  <si>
    <t>NSE:AARVI</t>
  </si>
  <si>
    <t>NSE:AAVAS</t>
  </si>
  <si>
    <t>NSE:ABAN</t>
  </si>
  <si>
    <t>NSE:ABB</t>
  </si>
  <si>
    <t>NSE:ABBOTINDIA</t>
  </si>
  <si>
    <t>NSE:ABCAPITAL</t>
  </si>
  <si>
    <t>NSE:ABFRL</t>
  </si>
  <si>
    <t>NSE:ACC</t>
  </si>
  <si>
    <t>NSE:ACCELYA</t>
  </si>
  <si>
    <t>NSE:ACCURACY</t>
  </si>
  <si>
    <t>NSE:ACE</t>
  </si>
  <si>
    <t>BOM:524091</t>
  </si>
  <si>
    <t>NSE:ADANIENT</t>
  </si>
  <si>
    <t>NSE:ADANIGREEN</t>
  </si>
  <si>
    <t>NSE:ADANIPORTS</t>
  </si>
  <si>
    <t>NSE:ADANIPOWER</t>
  </si>
  <si>
    <t>NSE:ADANITRANS</t>
  </si>
  <si>
    <t>NSE:ADFFOODS</t>
  </si>
  <si>
    <t>NSE:INCREDIBLE</t>
  </si>
  <si>
    <t>NSE:ADL</t>
  </si>
  <si>
    <t>NSE:ADORWELD</t>
  </si>
  <si>
    <t>NSE:ADROITINFO</t>
  </si>
  <si>
    <t>NSE:ADSL</t>
  </si>
  <si>
    <t>NSE:ADVANIHOTR</t>
  </si>
  <si>
    <t>NSE:ADVENZYMES</t>
  </si>
  <si>
    <t>NSE:AEGISCHEM</t>
  </si>
  <si>
    <t>NSE:AFFLE</t>
  </si>
  <si>
    <t>NSE:ARVIND</t>
  </si>
  <si>
    <t>NSE:AGARIND</t>
  </si>
  <si>
    <t>NSE:BBOX</t>
  </si>
  <si>
    <t>NSE:AGRITECH</t>
  </si>
  <si>
    <t>NSE:AGROPHOS</t>
  </si>
  <si>
    <t>NSE:AHLADA</t>
  </si>
  <si>
    <t>NSE:AHLEAST</t>
  </si>
  <si>
    <t>NSE:AHLUCONT</t>
  </si>
  <si>
    <t>NSE:AHLWEST</t>
  </si>
  <si>
    <t>NSE:AIAENG</t>
  </si>
  <si>
    <t>NSE:AIRAN</t>
  </si>
  <si>
    <t>NSE:AJANTPHARM</t>
  </si>
  <si>
    <t>NSE:AJMERA</t>
  </si>
  <si>
    <t>NSE:AKASH</t>
  </si>
  <si>
    <t>NSE:AKG</t>
  </si>
  <si>
    <t>NSE:ALPHAGEO</t>
  </si>
  <si>
    <t>NSE:AKSHOPTFBR</t>
  </si>
  <si>
    <t>NSE:AKZOINDIA</t>
  </si>
  <si>
    <t>NSE:ALANKIT</t>
  </si>
  <si>
    <t>NSE:ALBERTDAVD</t>
  </si>
  <si>
    <t>NSE:ALEMBICLTD</t>
  </si>
  <si>
    <t>NSE:ALICON</t>
  </si>
  <si>
    <t>NSE:ALKALI</t>
  </si>
  <si>
    <t>NSE:ALKEM</t>
  </si>
  <si>
    <t>NSE:ALKYLAMINE</t>
  </si>
  <si>
    <t>NSE:ALLCARGO</t>
  </si>
  <si>
    <t>NSE:ALLSEC</t>
  </si>
  <si>
    <t>NSE:ALMONDZ</t>
  </si>
  <si>
    <t>NSE:ALOKINDS</t>
  </si>
  <si>
    <t>NSE:ALPA</t>
  </si>
  <si>
    <t>NSE:BANCOINDIA</t>
  </si>
  <si>
    <t>NSE:ALPSINDUS</t>
  </si>
  <si>
    <t>NSE:AMARAJABAT</t>
  </si>
  <si>
    <t>NSE:AMBER</t>
  </si>
  <si>
    <t>NSE:AMBIKCO</t>
  </si>
  <si>
    <t>NSE:AMBUJACEM</t>
  </si>
  <si>
    <t>NSE:AMDIND</t>
  </si>
  <si>
    <t>NSE:AMJLAND</t>
  </si>
  <si>
    <t>NSE:AMRUTANJAN</t>
  </si>
  <si>
    <t>NSE:ANANTRAJ</t>
  </si>
  <si>
    <t>NSE:ANDHRACEMT</t>
  </si>
  <si>
    <t>NSE:ANDHRAPAP</t>
  </si>
  <si>
    <t>NSE:ANDHRSUGAR</t>
  </si>
  <si>
    <t>NSE:ANGELONE</t>
  </si>
  <si>
    <t>NSE:ANIKINDS</t>
  </si>
  <si>
    <t>NSE:ANKITMETAL</t>
  </si>
  <si>
    <t>NSE:ANSALAPI</t>
  </si>
  <si>
    <t>BOM:507828</t>
  </si>
  <si>
    <t>NSE:ANUP</t>
  </si>
  <si>
    <t>NSE:APARINDS</t>
  </si>
  <si>
    <t>NSE:APCL</t>
  </si>
  <si>
    <t>NSE:APCOTEXIND</t>
  </si>
  <si>
    <t>NSE:APEX</t>
  </si>
  <si>
    <t>NSE:APLAPOLLO</t>
  </si>
  <si>
    <t>NSE:APLLTD</t>
  </si>
  <si>
    <t>NSE:APOLLO</t>
  </si>
  <si>
    <t>NSE:APOLLOHOSP</t>
  </si>
  <si>
    <t>NSE:APOLLOPIPE</t>
  </si>
  <si>
    <t>NSE:APOLLOTYRE</t>
  </si>
  <si>
    <t>NSE:APOLSINHOT</t>
  </si>
  <si>
    <t>NSE:APTECHT</t>
  </si>
  <si>
    <t>NSE:ARCHIDPLY</t>
  </si>
  <si>
    <t>NSE:ARCHIES</t>
  </si>
  <si>
    <t>NSE:ARENTERP</t>
  </si>
  <si>
    <t>NSE:ARIES</t>
  </si>
  <si>
    <t>BOM:531381</t>
  </si>
  <si>
    <t>NSE:ARIHANTSUP</t>
  </si>
  <si>
    <t>NSE:ARMANFIN</t>
  </si>
  <si>
    <t>NSE:AROGRANITE</t>
  </si>
  <si>
    <t>NSE:ARROWGREEN</t>
  </si>
  <si>
    <t>NSE:ARSHIYA</t>
  </si>
  <si>
    <t>NSE:ARSSINFRA</t>
  </si>
  <si>
    <t>NSE:ARTEMISMED</t>
  </si>
  <si>
    <t>NSE:ARVINDFASN</t>
  </si>
  <si>
    <t>NSE:ARVSMART</t>
  </si>
  <si>
    <t>NSE:ASAHIINDIA</t>
  </si>
  <si>
    <t>NSE:ASAHISONG</t>
  </si>
  <si>
    <t>NSE:ASAL</t>
  </si>
  <si>
    <t>NSE:ASALCBR</t>
  </si>
  <si>
    <t>NSE:ASHAPURMIN</t>
  </si>
  <si>
    <t>NSE:ASHIANA</t>
  </si>
  <si>
    <t>NSE:ASHIMASYN</t>
  </si>
  <si>
    <t>NSE:ASHOKA</t>
  </si>
  <si>
    <t>NSE:ASHOKLEY</t>
  </si>
  <si>
    <t>NSE:ASIANHOTNR</t>
  </si>
  <si>
    <t>NSE:ASIANPAINT</t>
  </si>
  <si>
    <t>NSE:ASIANTILES</t>
  </si>
  <si>
    <t>NSE:ASPINWALL</t>
  </si>
  <si>
    <t>NSE:ASTEC</t>
  </si>
  <si>
    <t>NSE:ASTERDM</t>
  </si>
  <si>
    <t>NSE:ASTRAL</t>
  </si>
  <si>
    <t>NSE:ASTRAMICRO</t>
  </si>
  <si>
    <t>NSE:ASTRAZEN</t>
  </si>
  <si>
    <t>NSE:ASTRON</t>
  </si>
  <si>
    <t>NSE:ATFL</t>
  </si>
  <si>
    <t>NSE:ATLANTA</t>
  </si>
  <si>
    <t>NSE:ATUL</t>
  </si>
  <si>
    <t>NSE:ATULAUTO</t>
  </si>
  <si>
    <t>NSE:AUBANK</t>
  </si>
  <si>
    <t>NSE:AURIONPRO</t>
  </si>
  <si>
    <t>NSE:AUROPHARMA</t>
  </si>
  <si>
    <t>NSE:AUSOMENT</t>
  </si>
  <si>
    <t>NSE:AUTOAXLES</t>
  </si>
  <si>
    <t>NSE:AUTOIND</t>
  </si>
  <si>
    <t>NSE:AVADHSUGAR</t>
  </si>
  <si>
    <t>NSE:AVANTIFEED</t>
  </si>
  <si>
    <t>NSE:AVTNPL</t>
  </si>
  <si>
    <t>NSE:AWHCL</t>
  </si>
  <si>
    <t>NSE:AXISBANK</t>
  </si>
  <si>
    <t>NSE:AXISCADES</t>
  </si>
  <si>
    <t>NSE:AYMSYNTEX</t>
  </si>
  <si>
    <t>NSE:BAFNAPH</t>
  </si>
  <si>
    <t>NSE:BAGFILMS</t>
  </si>
  <si>
    <t>NSE:BAJAJ-AUTO</t>
  </si>
  <si>
    <t>NSE:BAJAJCON</t>
  </si>
  <si>
    <t>NSE:BAJAJELEC</t>
  </si>
  <si>
    <t>NSE:BAJAJFINSV</t>
  </si>
  <si>
    <t>NSE:BAJAJHIND</t>
  </si>
  <si>
    <t>NSE:BAJAJHLDNG</t>
  </si>
  <si>
    <t>NSE:BAJFINANCE</t>
  </si>
  <si>
    <t>NSE:BALAJITELE</t>
  </si>
  <si>
    <t>NSE:BALAMINES</t>
  </si>
  <si>
    <t>NSE:BALAXI</t>
  </si>
  <si>
    <t>NSE:BALKRISHNA</t>
  </si>
  <si>
    <t>NSE:BALKRISIND</t>
  </si>
  <si>
    <t>NSE:BALLARPUR</t>
  </si>
  <si>
    <t>NSE:BALMLAWRIE</t>
  </si>
  <si>
    <t>NSE:BALPHARMA</t>
  </si>
  <si>
    <t>NSE:BALRAMCHIN</t>
  </si>
  <si>
    <t>NSE:BANARBEADS</t>
  </si>
  <si>
    <t>NSE:BANARISUG</t>
  </si>
  <si>
    <t>NSE:CCL</t>
  </si>
  <si>
    <t>NSE:BANDHANBNK</t>
  </si>
  <si>
    <t>NSE:BANG</t>
  </si>
  <si>
    <t>NSE:BANKA</t>
  </si>
  <si>
    <t>NSE:BANKBARODA</t>
  </si>
  <si>
    <t>NSE:BANKINDIA</t>
  </si>
  <si>
    <t>NSE:BANSWRAS</t>
  </si>
  <si>
    <t>NSE:ASMS</t>
  </si>
  <si>
    <t>NSE:BASF</t>
  </si>
  <si>
    <t>NSE:BASML</t>
  </si>
  <si>
    <t>NSE:BATAINDIA</t>
  </si>
  <si>
    <t>NSE:BAYERCROP</t>
  </si>
  <si>
    <t>NSE:BBL</t>
  </si>
  <si>
    <t>NSE:BBTC</t>
  </si>
  <si>
    <t>NSE:BCG</t>
  </si>
  <si>
    <t>NSE:BCP</t>
  </si>
  <si>
    <t>NSE:BDL</t>
  </si>
  <si>
    <t>NSE:BEARDSELL</t>
  </si>
  <si>
    <t>NSE:BECTORFOOD</t>
  </si>
  <si>
    <t>NSE:BEDMUTHA</t>
  </si>
  <si>
    <t>NSE:BEL</t>
  </si>
  <si>
    <t>NSE:BEML</t>
  </si>
  <si>
    <t>NSE:BEPL</t>
  </si>
  <si>
    <t>NSE:BERGEPAINT</t>
  </si>
  <si>
    <t>NSE:BFINVEST</t>
  </si>
  <si>
    <t>NSE:BFUTILITIE</t>
  </si>
  <si>
    <t>NSE:BGRENERGY</t>
  </si>
  <si>
    <t>NSE:BHAGERIA</t>
  </si>
  <si>
    <t>NSE:BHAGYANGR</t>
  </si>
  <si>
    <t>NSE:BHANDARI</t>
  </si>
  <si>
    <t>NSE:BHARATFORG</t>
  </si>
  <si>
    <t>NSE:BHARATGEAR</t>
  </si>
  <si>
    <t>NSE:BHARATRAS</t>
  </si>
  <si>
    <t>NSE:BHARATWIRE</t>
  </si>
  <si>
    <t>NSE:BHARTIARTL</t>
  </si>
  <si>
    <t>NSE:BHEL</t>
  </si>
  <si>
    <t>NSE:BIGBLOC</t>
  </si>
  <si>
    <t>NSE:BIL</t>
  </si>
  <si>
    <t>NSE:BINDALAGRO</t>
  </si>
  <si>
    <t>NSE:BIOCON</t>
  </si>
  <si>
    <t>NSE:BIOFILCHEM</t>
  </si>
  <si>
    <t>NSE:BIRLACABLE</t>
  </si>
  <si>
    <t>NSE:BIRLACORPN</t>
  </si>
  <si>
    <t>NSE:BIRLAMONEY</t>
  </si>
  <si>
    <t>NSE:BIRLATYRE</t>
  </si>
  <si>
    <t>NSE:BKMINDST</t>
  </si>
  <si>
    <t>NSE:BLBLIMITED</t>
  </si>
  <si>
    <t>NSE:BLISSGVS</t>
  </si>
  <si>
    <t>NSE:BLKASHYAP</t>
  </si>
  <si>
    <t>NSE:BLS</t>
  </si>
  <si>
    <t>NSE:BLUEDART</t>
  </si>
  <si>
    <t>NSE:BLUESTARCO</t>
  </si>
  <si>
    <t>NSE:BODALCHEM</t>
  </si>
  <si>
    <t>NSE:BOMDYEING</t>
  </si>
  <si>
    <t>NSE:BOROLTD</t>
  </si>
  <si>
    <t>NSE:BORORENEW</t>
  </si>
  <si>
    <t>NSE:BOSCHLTD</t>
  </si>
  <si>
    <t>NSE:BPCL</t>
  </si>
  <si>
    <t>NSE:BPL</t>
  </si>
  <si>
    <t>NSE:BRIGADE</t>
  </si>
  <si>
    <t>NSE:BRITANNIA</t>
  </si>
  <si>
    <t>NSE:BRNL</t>
  </si>
  <si>
    <t>NSE:BROOKS</t>
  </si>
  <si>
    <t>NSE:BSE</t>
  </si>
  <si>
    <t>NSE:BSHSL</t>
  </si>
  <si>
    <t>NSE:BSL</t>
  </si>
  <si>
    <t>NSE:BSOFT</t>
  </si>
  <si>
    <t>NSE:RBA</t>
  </si>
  <si>
    <t>NSE:BURNPUR</t>
  </si>
  <si>
    <t>NSE:BUTTERFLY</t>
  </si>
  <si>
    <t>NSE:BVCL</t>
  </si>
  <si>
    <t>NSE:BYKE</t>
  </si>
  <si>
    <t>NSE:ZYDUSLIFE</t>
  </si>
  <si>
    <t>NSE:CALSOFT</t>
  </si>
  <si>
    <t>NSE:CAMLINFINE</t>
  </si>
  <si>
    <t>NSE:CAMS</t>
  </si>
  <si>
    <t>NSE:CANBK</t>
  </si>
  <si>
    <t>NSE:CANFINHOME</t>
  </si>
  <si>
    <t>NSE:CANTABIL</t>
  </si>
  <si>
    <t>NSE:CAPACITE</t>
  </si>
  <si>
    <t>NSE:CAPLIPOINT</t>
  </si>
  <si>
    <t>NSE:CAPTRUST</t>
  </si>
  <si>
    <t>NSE:CARBORUNIV</t>
  </si>
  <si>
    <t>NSE:CAREERP</t>
  </si>
  <si>
    <t>NSE:CARERATING</t>
  </si>
  <si>
    <t>NSE:CASTROLIND</t>
  </si>
  <si>
    <t>NSE:CCCL</t>
  </si>
  <si>
    <t>NSE:CCHHL</t>
  </si>
  <si>
    <t>NSE:CDSL</t>
  </si>
  <si>
    <t>NSE:CENTURYPLY</t>
  </si>
  <si>
    <t>NSE:CEATLTD</t>
  </si>
  <si>
    <t>NSE:JWL</t>
  </si>
  <si>
    <t>NSE:CELEBRITY</t>
  </si>
  <si>
    <t>NSE:CENTENKA</t>
  </si>
  <si>
    <t>NSE:CENTEXT</t>
  </si>
  <si>
    <t>NSE:CENTRALBK</t>
  </si>
  <si>
    <t>NSE:CENTRUM</t>
  </si>
  <si>
    <t>NSE:CENTUM</t>
  </si>
  <si>
    <t>NSE:COLPAL</t>
  </si>
  <si>
    <t>NSE:CENTURYTEX</t>
  </si>
  <si>
    <t>NSE:CERA</t>
  </si>
  <si>
    <t>NSE:CEREBRAINT</t>
  </si>
  <si>
    <t>NSE:CESC</t>
  </si>
  <si>
    <t>NSE:CGCL</t>
  </si>
  <si>
    <t>NSE:CGPOWER</t>
  </si>
  <si>
    <t>NSE:CHALET</t>
  </si>
  <si>
    <t>NSE:CHAMBLFERT</t>
  </si>
  <si>
    <t>NSE:CHEMBOND</t>
  </si>
  <si>
    <t>NSE:CHEMCON</t>
  </si>
  <si>
    <t>NSE:CHEMFAB</t>
  </si>
  <si>
    <t>NSE:CHENNPETRO</t>
  </si>
  <si>
    <t>NSE:CHOLAFIN</t>
  </si>
  <si>
    <t>NSE:CHOLAHLDNG</t>
  </si>
  <si>
    <t>NSE:CIGNITITEC</t>
  </si>
  <si>
    <t>NSE:CINELINE</t>
  </si>
  <si>
    <t>NSE:CINEVISTA</t>
  </si>
  <si>
    <t>NSE:CIPLA</t>
  </si>
  <si>
    <t>NSE:CLEDUCATE</t>
  </si>
  <si>
    <t>NSE:HEUBACHIND</t>
  </si>
  <si>
    <t>NSE:CMICABLES</t>
  </si>
  <si>
    <t>NSE:COALINDIA</t>
  </si>
  <si>
    <t>NSE:COCHINSHIP</t>
  </si>
  <si>
    <t>NSE:COFORGE</t>
  </si>
  <si>
    <t>NSE:CYBERMEDIA</t>
  </si>
  <si>
    <t>NSE:COMPINFO</t>
  </si>
  <si>
    <t>NSE:COMPUSOFT</t>
  </si>
  <si>
    <t>NSE:CONCOR</t>
  </si>
  <si>
    <t>NSE:CONFIPET</t>
  </si>
  <si>
    <t>NSE:CONSOFINVT</t>
  </si>
  <si>
    <t>NSE:CONTROLPR</t>
  </si>
  <si>
    <t>NSE:CORALFINAC</t>
  </si>
  <si>
    <t>NSE:CORDSCABLE</t>
  </si>
  <si>
    <t>NSE:COROMANDEL</t>
  </si>
  <si>
    <t>NSE:COSMOFIRST</t>
  </si>
  <si>
    <t>NSE:COUNCODOS</t>
  </si>
  <si>
    <t>NSE:CREATIVE</t>
  </si>
  <si>
    <t>NSE:CREATIVEYE</t>
  </si>
  <si>
    <t>NSE:CREDITACC</t>
  </si>
  <si>
    <t>NSE:CREST</t>
  </si>
  <si>
    <t>NSE:CRISIL</t>
  </si>
  <si>
    <t>NSE:CROMPTON</t>
  </si>
  <si>
    <t>NSE:CSBBANK</t>
  </si>
  <si>
    <t>NSE:CTE</t>
  </si>
  <si>
    <t>NSE:CUB</t>
  </si>
  <si>
    <t>NSE:CUBEXTUB</t>
  </si>
  <si>
    <t>NSE:CUMMINSIND</t>
  </si>
  <si>
    <t>NSE:CUPID</t>
  </si>
  <si>
    <t>NSE:DIXON</t>
  </si>
  <si>
    <t>NSE:CYBERTECH</t>
  </si>
  <si>
    <t>NSE:CYIENT</t>
  </si>
  <si>
    <t>NSE:DAAWAT</t>
  </si>
  <si>
    <t>NSE:DABUR</t>
  </si>
  <si>
    <t>NSE:DALBHARAT</t>
  </si>
  <si>
    <t>NSE:DALMIASUG</t>
  </si>
  <si>
    <t>NSE:DAMODARIND</t>
  </si>
  <si>
    <t>NSE:DANGEE</t>
  </si>
  <si>
    <t>NSE:DATAMATICS</t>
  </si>
  <si>
    <t>NSE:DBCORP</t>
  </si>
  <si>
    <t>NSE:DBL</t>
  </si>
  <si>
    <t>NSE:DBREALTY</t>
  </si>
  <si>
    <t>NSE:DBSTOCKBRO</t>
  </si>
  <si>
    <t>NSE:DCAL</t>
  </si>
  <si>
    <t>NSE:DCBBANK</t>
  </si>
  <si>
    <t>NSE:DCM</t>
  </si>
  <si>
    <t>NSE:DCMFINSERV</t>
  </si>
  <si>
    <t>NSE:DCMNVL</t>
  </si>
  <si>
    <t>NSE:DCMSHRIRAM</t>
  </si>
  <si>
    <t>NSE:DCW</t>
  </si>
  <si>
    <t>NSE:DECCANCE</t>
  </si>
  <si>
    <t>NSE:DEEPAKFERT</t>
  </si>
  <si>
    <t>NSE:DEEPAKNTR</t>
  </si>
  <si>
    <t>NSE:DEEPENR</t>
  </si>
  <si>
    <t>NSE:DELTACORP</t>
  </si>
  <si>
    <t>NSE:DELTAMAGNT</t>
  </si>
  <si>
    <t>NSE:DEN</t>
  </si>
  <si>
    <t>NSE:DENORA</t>
  </si>
  <si>
    <t>NSE:DFMFOODS</t>
  </si>
  <si>
    <t>NSE:DGCONTENT</t>
  </si>
  <si>
    <t>NSE:DHAMPURSUG</t>
  </si>
  <si>
    <t>NSE:DHANBANK</t>
  </si>
  <si>
    <t>NSE:DHANI</t>
  </si>
  <si>
    <t>NSE:DHANUKA</t>
  </si>
  <si>
    <t>NSE:DHARSUGAR</t>
  </si>
  <si>
    <t>NSE:DHUNINV</t>
  </si>
  <si>
    <t>NSE:DIAMONDYD</t>
  </si>
  <si>
    <t>NSE:DICIND</t>
  </si>
  <si>
    <t>NSE:DIGISPICE</t>
  </si>
  <si>
    <t>NSE:DISHTV</t>
  </si>
  <si>
    <t>NSE:DIVISLAB</t>
  </si>
  <si>
    <t>NSE:DLINKINDIA</t>
  </si>
  <si>
    <t>NSE:DLF</t>
  </si>
  <si>
    <t>NSE:EIDPARRY</t>
  </si>
  <si>
    <t>NSE:DMART</t>
  </si>
  <si>
    <t>NSE:DOLATALGO</t>
  </si>
  <si>
    <t>NSE:DOLLAR</t>
  </si>
  <si>
    <t>NSE:DONEAR</t>
  </si>
  <si>
    <t>NSE:DPABHUSHAN</t>
  </si>
  <si>
    <t>NSE:DPSCLTD</t>
  </si>
  <si>
    <t>NSE:DPWIRES</t>
  </si>
  <si>
    <t>NSE:DREDGECORP</t>
  </si>
  <si>
    <t>NSE:DRREDDY</t>
  </si>
  <si>
    <t>NSE:DSSL</t>
  </si>
  <si>
    <t>NSE:DTIL</t>
  </si>
  <si>
    <t>NSE:DUCON</t>
  </si>
  <si>
    <t>NSE:DVL</t>
  </si>
  <si>
    <t>NSE:DWARKESH</t>
  </si>
  <si>
    <t>NSE:DYNAMATECH</t>
  </si>
  <si>
    <t>NSE:DYNPRO</t>
  </si>
  <si>
    <t>NSE:DELPHIFX</t>
  </si>
  <si>
    <t>NSE:ECLERX</t>
  </si>
  <si>
    <t>NSE:EDELWEISS</t>
  </si>
  <si>
    <t>NSE:EDUCOMP</t>
  </si>
  <si>
    <t>NSE:EICHERMOT</t>
  </si>
  <si>
    <t>NSE:ELECTHERM</t>
  </si>
  <si>
    <t>NSE:EIHAHOTELS</t>
  </si>
  <si>
    <t>NSE:EIHOTEL</t>
  </si>
  <si>
    <t>NSE:ENIL</t>
  </si>
  <si>
    <t>NSE:EKC</t>
  </si>
  <si>
    <t>NSE:ELECON</t>
  </si>
  <si>
    <t>NSE:ELECTCAST</t>
  </si>
  <si>
    <t>NSE:FMGOETZE</t>
  </si>
  <si>
    <t>NSE:ELGIEQUIP</t>
  </si>
  <si>
    <t>NSE:ELGIRUBCO</t>
  </si>
  <si>
    <t>NSE:EMAMILTD</t>
  </si>
  <si>
    <t>NSE:EMAMIPAP</t>
  </si>
  <si>
    <t>NSE:EMAMIREAL</t>
  </si>
  <si>
    <t>NSE:EMKAY</t>
  </si>
  <si>
    <t>NSE:EMMBI</t>
  </si>
  <si>
    <t>NSE:ENDURANCE</t>
  </si>
  <si>
    <t>NSE:ENERGYDEV</t>
  </si>
  <si>
    <t>NSE:ENGINERSIN</t>
  </si>
  <si>
    <t>NSE:GAIL</t>
  </si>
  <si>
    <t>NSE:EPL</t>
  </si>
  <si>
    <t>NSE:EQUITASBNK</t>
  </si>
  <si>
    <t>NSE:ERIS</t>
  </si>
  <si>
    <t>NSE:EROSMEDIA</t>
  </si>
  <si>
    <t>NSE:ESABINDIA</t>
  </si>
  <si>
    <t>NSE:ESCORTS</t>
  </si>
  <si>
    <t>NSE:ESSARSHPNG</t>
  </si>
  <si>
    <t>NSE:ESTER</t>
  </si>
  <si>
    <t>NSE:EUROTEXIND</t>
  </si>
  <si>
    <t>NSE:EVEREADY</t>
  </si>
  <si>
    <t>NSE:EVERESTIND</t>
  </si>
  <si>
    <t>NSE:EXCEL</t>
  </si>
  <si>
    <t>NSE:EXCELINDUS</t>
  </si>
  <si>
    <t>NSE:EXIDEIND</t>
  </si>
  <si>
    <t>NSE:EXPLEOSOL</t>
  </si>
  <si>
    <t>NSE:FACT</t>
  </si>
  <si>
    <t>NSE:FAIRCHEMOR</t>
  </si>
  <si>
    <t>NSE:FCL</t>
  </si>
  <si>
    <t>NSE:FCONSUMER</t>
  </si>
  <si>
    <t>NSE:FCSSOFT</t>
  </si>
  <si>
    <t>NSE:FDC</t>
  </si>
  <si>
    <t>NSE:FEDERALBNK</t>
  </si>
  <si>
    <t>NSE:FEL</t>
  </si>
  <si>
    <t>NSE:FELDVR</t>
  </si>
  <si>
    <t>NSE:FIEMIND</t>
  </si>
  <si>
    <t>NSE:FILATEX</t>
  </si>
  <si>
    <t>NSE:FINCABLES</t>
  </si>
  <si>
    <t>NSE:FINEORG</t>
  </si>
  <si>
    <t>NSE:FINPIPE</t>
  </si>
  <si>
    <t>NSE:FLEXITUFF</t>
  </si>
  <si>
    <t>NSE:FLFL</t>
  </si>
  <si>
    <t>NSE:FLUOROCHEM</t>
  </si>
  <si>
    <t>NSE:GLOBE</t>
  </si>
  <si>
    <t>NSE:FMNL</t>
  </si>
  <si>
    <t>NSE:FORCEMOT</t>
  </si>
  <si>
    <t>NSE:FORTIS</t>
  </si>
  <si>
    <t>NSE:FOSECOIND</t>
  </si>
  <si>
    <t>NSE:FRETAIL</t>
  </si>
  <si>
    <t>NSE:FSC</t>
  </si>
  <si>
    <t>NSE:FSL</t>
  </si>
  <si>
    <t>NSE:GABRIEL</t>
  </si>
  <si>
    <t>NSE:GAEL</t>
  </si>
  <si>
    <t>NSE:INDORAMA</t>
  </si>
  <si>
    <t>NSE:GAL</t>
  </si>
  <si>
    <t>NSE:GALAXYSURF</t>
  </si>
  <si>
    <t>NSE:GALLANTT</t>
  </si>
  <si>
    <t>NSE:AJRINFRA</t>
  </si>
  <si>
    <t>NSE:GANDHITUBE</t>
  </si>
  <si>
    <t>NSE:GANECOS</t>
  </si>
  <si>
    <t>NSE:GANESHHOUC</t>
  </si>
  <si>
    <t>NSE:GANGESSECU</t>
  </si>
  <si>
    <t>NSE:GARFIBRES</t>
  </si>
  <si>
    <t>NSE:GATI</t>
  </si>
  <si>
    <t>NSE:GAYAHWS</t>
  </si>
  <si>
    <t>NSE:GAYAPROJ</t>
  </si>
  <si>
    <t>NSE:GATEWAY</t>
  </si>
  <si>
    <t>NSE:GEECEE</t>
  </si>
  <si>
    <t>NSE:GEEKAYWIRE</t>
  </si>
  <si>
    <t>BOM:539407</t>
  </si>
  <si>
    <t>NSE:GENESYS</t>
  </si>
  <si>
    <t>NSE:GENUSPAPER</t>
  </si>
  <si>
    <t>NSE:GENUSPOWER</t>
  </si>
  <si>
    <t>NSE:GEOJITFSL</t>
  </si>
  <si>
    <t>NSE:GEPIL</t>
  </si>
  <si>
    <t>NSE:GESHIP</t>
  </si>
  <si>
    <t>NSE:GET&amp;D</t>
  </si>
  <si>
    <t>NSE:GFLLIMITED</t>
  </si>
  <si>
    <t>NSE:GFSTEELS</t>
  </si>
  <si>
    <t>NSE:GHCL</t>
  </si>
  <si>
    <t>NSE:GICHSGFIN</t>
  </si>
  <si>
    <t>NSE:GICRE</t>
  </si>
  <si>
    <t>NSE:GILLANDERS</t>
  </si>
  <si>
    <t>NSE:GILLETTE</t>
  </si>
  <si>
    <t>NSE:GINNIFILA</t>
  </si>
  <si>
    <t>NSE:GIPCL</t>
  </si>
  <si>
    <t>NSE:GISOLUTION</t>
  </si>
  <si>
    <t>NSE:GKWLIMITED</t>
  </si>
  <si>
    <t>NSE:GLAND</t>
  </si>
  <si>
    <t>NSE:GLAXO</t>
  </si>
  <si>
    <t>NSE:GLENMARK</t>
  </si>
  <si>
    <t>NSE:GLFL</t>
  </si>
  <si>
    <t>NSE:GLOBAL</t>
  </si>
  <si>
    <t>NSE:GLOBALVECT</t>
  </si>
  <si>
    <t>NSE:INGERRAND</t>
  </si>
  <si>
    <t>NSE:GLOBUSSPR</t>
  </si>
  <si>
    <t>NSE:GMBREW</t>
  </si>
  <si>
    <t>NSE:GMDCLTD</t>
  </si>
  <si>
    <t>NSE:GMMPFAUDLR</t>
  </si>
  <si>
    <t>NSE:GMRINFRA</t>
  </si>
  <si>
    <t>NSE:GNA</t>
  </si>
  <si>
    <t>NSE:GNFC</t>
  </si>
  <si>
    <t>NSE:GOACARBON</t>
  </si>
  <si>
    <t>NSE:GOCLCORP</t>
  </si>
  <si>
    <t>NSE:GODFRYPHLP</t>
  </si>
  <si>
    <t>NSE:GODHA</t>
  </si>
  <si>
    <t>NSE:GODREJAGRO</t>
  </si>
  <si>
    <t>NSE:GODREJCP</t>
  </si>
  <si>
    <t>NSE:GODREJIND</t>
  </si>
  <si>
    <t>NSE:GODREJPROP</t>
  </si>
  <si>
    <t>NSE:GOENKA</t>
  </si>
  <si>
    <t>NSE:GOKEX</t>
  </si>
  <si>
    <t>NSE:GOKUL</t>
  </si>
  <si>
    <t>NSE:GOKULAGRO</t>
  </si>
  <si>
    <t>NSE:GOLDENTOBC</t>
  </si>
  <si>
    <t>NSE:GOLDIAM</t>
  </si>
  <si>
    <t>NSE:GOODLUCK</t>
  </si>
  <si>
    <t>NSE:GOODYEAR</t>
  </si>
  <si>
    <t>NSE:GPIL</t>
  </si>
  <si>
    <t>NSE:GPPL</t>
  </si>
  <si>
    <t>NSE:GPTINFRA</t>
  </si>
  <si>
    <t>NSE:GRANULES</t>
  </si>
  <si>
    <t>NSE:GRAPHITE</t>
  </si>
  <si>
    <t>NSE:GRASIM</t>
  </si>
  <si>
    <t>NSE:GRAVITA</t>
  </si>
  <si>
    <t>NSE:GREAVESCOT</t>
  </si>
  <si>
    <t>NSE:GREENLAM</t>
  </si>
  <si>
    <t>NSE:GREENPANEL</t>
  </si>
  <si>
    <t>NSE:GREENPLY</t>
  </si>
  <si>
    <t>NSE:GREENPOWER</t>
  </si>
  <si>
    <t>NSE:GRINDWELL</t>
  </si>
  <si>
    <t>NSE:GROBTEA</t>
  </si>
  <si>
    <t>NSE:GRPLTD</t>
  </si>
  <si>
    <t>NSE:GRSE</t>
  </si>
  <si>
    <t>NSE:GSCLCEMENT</t>
  </si>
  <si>
    <t>NSE:GSFC</t>
  </si>
  <si>
    <t>NSE:GSPL</t>
  </si>
  <si>
    <t>NSE:GSS</t>
  </si>
  <si>
    <t>NSE:GTL</t>
  </si>
  <si>
    <t>NSE:GTLINFRA</t>
  </si>
  <si>
    <t>BOM:532744</t>
  </si>
  <si>
    <t>NSE:GTPL</t>
  </si>
  <si>
    <t>NSE:GUFICBIO</t>
  </si>
  <si>
    <t>NSE:GUJALKALI</t>
  </si>
  <si>
    <t>NSE:GUJAPOLLO</t>
  </si>
  <si>
    <t>NSE:GUJGASLTD</t>
  </si>
  <si>
    <t>NSE:GUJRAFFIA</t>
  </si>
  <si>
    <t>NSE:GULFOILLUB</t>
  </si>
  <si>
    <t>NSE:GULFPETRO</t>
  </si>
  <si>
    <t>NSE:GULPOLY</t>
  </si>
  <si>
    <t>NSE:HAL</t>
  </si>
  <si>
    <t>NSE:HAPPSTMNDS</t>
  </si>
  <si>
    <t>NSE:HARRMALAYA</t>
  </si>
  <si>
    <t>NSE:HATHWAY</t>
  </si>
  <si>
    <t>NSE:HATSUN</t>
  </si>
  <si>
    <t>NSE:HAVELLS</t>
  </si>
  <si>
    <t>NSE:HAVISHA</t>
  </si>
  <si>
    <t>NSE:HBLPOWER</t>
  </si>
  <si>
    <t>NSE:HBSL</t>
  </si>
  <si>
    <t>NSE:HCC</t>
  </si>
  <si>
    <t>NSE:HCG</t>
  </si>
  <si>
    <t>NSE:HCL-INSYS</t>
  </si>
  <si>
    <t>NSE:HCLTECH</t>
  </si>
  <si>
    <t>NSE:HDFC</t>
  </si>
  <si>
    <t>NSE:HDFCAMC</t>
  </si>
  <si>
    <t>NSE:HDFCBANK</t>
  </si>
  <si>
    <t>NSE:HDFCLIFE</t>
  </si>
  <si>
    <t>NSE:HDIL</t>
  </si>
  <si>
    <t>NSE:HEG</t>
  </si>
  <si>
    <t>NSE:HEIDELBERG</t>
  </si>
  <si>
    <t>NSE:HEMIPROP</t>
  </si>
  <si>
    <t>NSE:HERCULES</t>
  </si>
  <si>
    <t>NSE:HERITGFOOD</t>
  </si>
  <si>
    <t>NSE:HEROMOTOCO</t>
  </si>
  <si>
    <t>NSE:HESTERBIO</t>
  </si>
  <si>
    <t>NSE:HEXATRADEX</t>
  </si>
  <si>
    <t>NSE:HFCL</t>
  </si>
  <si>
    <t>NSE:HGINFRA</t>
  </si>
  <si>
    <t>NSE:HGS</t>
  </si>
  <si>
    <t>NSE:HIKAL</t>
  </si>
  <si>
    <t>NSE:HIL</t>
  </si>
  <si>
    <t>NSE:HILTON</t>
  </si>
  <si>
    <t>NSE:HIMATSEIDE</t>
  </si>
  <si>
    <t>NSE:HINDALCO</t>
  </si>
  <si>
    <t>NSE:HINDCOMPOS</t>
  </si>
  <si>
    <t>NSE:HINDCOPPER</t>
  </si>
  <si>
    <t>NSE:HINDMOTORS</t>
  </si>
  <si>
    <t>NSE:HINDNATGLS</t>
  </si>
  <si>
    <t>NSE:HINDOILEXP</t>
  </si>
  <si>
    <t>NSE:HINDPETRO</t>
  </si>
  <si>
    <t>NSE:HINDUNILVR</t>
  </si>
  <si>
    <t>NSE:HINDZINC</t>
  </si>
  <si>
    <t>NSE:HIRECT</t>
  </si>
  <si>
    <t>NSE:HISARMETAL</t>
  </si>
  <si>
    <t>NSE:HITECH</t>
  </si>
  <si>
    <t>NSE:HITECHCORP</t>
  </si>
  <si>
    <t>NSE:HITECHGEAR</t>
  </si>
  <si>
    <t>NSE:HLVLTD</t>
  </si>
  <si>
    <t>NSE:HMT</t>
  </si>
  <si>
    <t>NSE:HMVL</t>
  </si>
  <si>
    <t>NSE:HNDFDS</t>
  </si>
  <si>
    <t>NSE:HONAUT</t>
  </si>
  <si>
    <t>NSE:HONDAPOWER</t>
  </si>
  <si>
    <t>NSE:UNIVAFOODS</t>
  </si>
  <si>
    <t>NSE:HOVS</t>
  </si>
  <si>
    <t>NSE:HPL</t>
  </si>
  <si>
    <t>NSE:HSCL</t>
  </si>
  <si>
    <t>NSE:AGI</t>
  </si>
  <si>
    <t>NSE:HTMEDIA</t>
  </si>
  <si>
    <t>NSE:HUBTOWN</t>
  </si>
  <si>
    <t>NSE:HUDCO</t>
  </si>
  <si>
    <t>NSE:HUHTAMAKI</t>
  </si>
  <si>
    <t>NSE:IBREALEST</t>
  </si>
  <si>
    <t>NSE:IBULHSGFIN</t>
  </si>
  <si>
    <t>NSE:ICEMAKE</t>
  </si>
  <si>
    <t>NSE:ICICIBANK</t>
  </si>
  <si>
    <t>NSE:ICICIGI</t>
  </si>
  <si>
    <t>NSE:ICICIPRULI</t>
  </si>
  <si>
    <t>NSE:ICIL</t>
  </si>
  <si>
    <t>NSE:ICRA</t>
  </si>
  <si>
    <t>NSE:IDBI</t>
  </si>
  <si>
    <t>NSE:IDEA</t>
  </si>
  <si>
    <t>NSE:IDFC</t>
  </si>
  <si>
    <t>NSE:IDFCFIRSTB</t>
  </si>
  <si>
    <t>NSE:IEX</t>
  </si>
  <si>
    <t>NSE:IFBAGRO</t>
  </si>
  <si>
    <t>NSE:IFBIND</t>
  </si>
  <si>
    <t>NSE:IFCI</t>
  </si>
  <si>
    <t>NSE:IFGLEXPOR</t>
  </si>
  <si>
    <t>NSE:IGARASHI</t>
  </si>
  <si>
    <t>NSE:IGL</t>
  </si>
  <si>
    <t>NSE:IGPL</t>
  </si>
  <si>
    <t>NSE:IIFL</t>
  </si>
  <si>
    <t>NSE:IIFLSEC</t>
  </si>
  <si>
    <t>NSE:360ONE</t>
  </si>
  <si>
    <t>NSE:IITL</t>
  </si>
  <si>
    <t>NSE:IL&amp;FSENGG</t>
  </si>
  <si>
    <t>NSE:IL&amp;FSTRANS</t>
  </si>
  <si>
    <t>NSE:IMAGICAA</t>
  </si>
  <si>
    <t>NSE:IMFA</t>
  </si>
  <si>
    <t>NSE:IMPAL</t>
  </si>
  <si>
    <t>NSE:IMPEXFERRO</t>
  </si>
  <si>
    <t>NSE:INDBANK</t>
  </si>
  <si>
    <t>NSE:INDHOTEL</t>
  </si>
  <si>
    <t>NSE:INDIACEM</t>
  </si>
  <si>
    <t>NSE:INDIAGLYCO</t>
  </si>
  <si>
    <t>NSE:INDIAMART</t>
  </si>
  <si>
    <t>NSE:INDIANB</t>
  </si>
  <si>
    <t>NSE:INDIANCARD</t>
  </si>
  <si>
    <t>NSE:INDIANHUME</t>
  </si>
  <si>
    <t>NSE:INDIGO</t>
  </si>
  <si>
    <t>NSE:INDLMETER</t>
  </si>
  <si>
    <t>NSE:INDNIPPON</t>
  </si>
  <si>
    <t>NSE:INDOCO</t>
  </si>
  <si>
    <t>NSE:INSECTICID</t>
  </si>
  <si>
    <t>NSE:INDOSTAR</t>
  </si>
  <si>
    <t>NSE:INDOTECH</t>
  </si>
  <si>
    <t>NSE:INDOTHAI</t>
  </si>
  <si>
    <t>NSE:INDOWIND</t>
  </si>
  <si>
    <t>NSE:INDRAMEDCO</t>
  </si>
  <si>
    <t>NSE:INDSWFTLAB</t>
  </si>
  <si>
    <t>NSE:INDTERRAIN</t>
  </si>
  <si>
    <t>NSE:INDUSINDBK</t>
  </si>
  <si>
    <t>NSE:INDUSTOWER</t>
  </si>
  <si>
    <t>NSE:STYRENIX</t>
  </si>
  <si>
    <t>NSE:INFIBEAM</t>
  </si>
  <si>
    <t>NSE:INFOBEAN</t>
  </si>
  <si>
    <t>NSE:INFOMEDIA</t>
  </si>
  <si>
    <t>NSE:INFY</t>
  </si>
  <si>
    <t>NSE:JETAIRWAYS</t>
  </si>
  <si>
    <t>BOM:532706</t>
  </si>
  <si>
    <t>NSE:INOXWIND</t>
  </si>
  <si>
    <t>BOM:522263</t>
  </si>
  <si>
    <t>NSE:INSPIRISYS</t>
  </si>
  <si>
    <t>NSE:ESSENTIA</t>
  </si>
  <si>
    <t>NSE:INTELLECT</t>
  </si>
  <si>
    <t>NSE:INTENTECH</t>
  </si>
  <si>
    <t>NSE:INVENTURE</t>
  </si>
  <si>
    <t>NSE:IOB</t>
  </si>
  <si>
    <t>NSE:IOC</t>
  </si>
  <si>
    <t>NSE:IOLCP</t>
  </si>
  <si>
    <t>NSE:IPCALAB</t>
  </si>
  <si>
    <t>NSE:IRB</t>
  </si>
  <si>
    <t>NSE:IRCON</t>
  </si>
  <si>
    <t>NSE:IRCTC</t>
  </si>
  <si>
    <t>NSE:IRISDOREME</t>
  </si>
  <si>
    <t>NSE:ISEC</t>
  </si>
  <si>
    <t>NSE:ISFT</t>
  </si>
  <si>
    <t>NSE:ISMTLTD</t>
  </si>
  <si>
    <t>NSE:ITC</t>
  </si>
  <si>
    <t>NSE:ITDC</t>
  </si>
  <si>
    <t>NSE:ITDCEM</t>
  </si>
  <si>
    <t>NSE:ITI</t>
  </si>
  <si>
    <t>NSE:IVC</t>
  </si>
  <si>
    <t>NSE:IVP</t>
  </si>
  <si>
    <t>NSE:IZMO</t>
  </si>
  <si>
    <t>NSE:J&amp;KBANK</t>
  </si>
  <si>
    <t>NSE:JAGRAN</t>
  </si>
  <si>
    <t>NSE:JAGSNPHARM</t>
  </si>
  <si>
    <t>NSE:JAIBALAJI</t>
  </si>
  <si>
    <t>NSE:JAICORPLTD</t>
  </si>
  <si>
    <t>NSE:JAMNAAUTO</t>
  </si>
  <si>
    <t>NSE:JASH</t>
  </si>
  <si>
    <t>NSE:JAYAGROGN</t>
  </si>
  <si>
    <t>NSE:JAYBARMARU</t>
  </si>
  <si>
    <t>NSE:JAYNECOIND</t>
  </si>
  <si>
    <t>NSE:JAYSREETEA</t>
  </si>
  <si>
    <t>NSE:JBCHEPHARM</t>
  </si>
  <si>
    <t>NSE:JBFIND</t>
  </si>
  <si>
    <t>NSE:JBMA</t>
  </si>
  <si>
    <t>NSE:JCHAC</t>
  </si>
  <si>
    <t>NSE:KAMATHOTEL</t>
  </si>
  <si>
    <t>NSE:JHS</t>
  </si>
  <si>
    <t>NSE:JIKIND</t>
  </si>
  <si>
    <t>NSE:JINDALPHOT</t>
  </si>
  <si>
    <t>NSE:JINDALPOLY</t>
  </si>
  <si>
    <t>NSE:JINDALSAW</t>
  </si>
  <si>
    <t>NSE:JINDALSTEL</t>
  </si>
  <si>
    <t>NSE:JINDRILL</t>
  </si>
  <si>
    <t>NSE:JINDWORLD</t>
  </si>
  <si>
    <t>NSE:JISLDVREQS</t>
  </si>
  <si>
    <t>NSE:JISLJALEQS</t>
  </si>
  <si>
    <t>NSE:JITFINFRA</t>
  </si>
  <si>
    <t>NSE:JKCEMENT</t>
  </si>
  <si>
    <t>NSE:JKIL</t>
  </si>
  <si>
    <t>NSE:JKLAKSHMI</t>
  </si>
  <si>
    <t>NSE:JKPAPER</t>
  </si>
  <si>
    <t>NSE:JKTYRE</t>
  </si>
  <si>
    <t>NSE:JMA</t>
  </si>
  <si>
    <t>NSE:KERNEX</t>
  </si>
  <si>
    <t>NSE:JMFINANCIL</t>
  </si>
  <si>
    <t>NSE:JOCIL</t>
  </si>
  <si>
    <t>NSE:JPASSOCIAT</t>
  </si>
  <si>
    <t>NSE:JPINFRATEC</t>
  </si>
  <si>
    <t>NSE:JPPOWER</t>
  </si>
  <si>
    <t>NSE:JSL</t>
  </si>
  <si>
    <t>NSE:JSLHISAR</t>
  </si>
  <si>
    <t>NSE:JSWENERGY</t>
  </si>
  <si>
    <t>NSE:JSWHL</t>
  </si>
  <si>
    <t>NSE:JSWISPL</t>
  </si>
  <si>
    <t>NSE:JSWSTEEL</t>
  </si>
  <si>
    <t>NSE:JTEKTINDIA</t>
  </si>
  <si>
    <t>NSE:JUBLFOOD</t>
  </si>
  <si>
    <t>NSE:JUBLINDS</t>
  </si>
  <si>
    <t>NSE:WINPRO</t>
  </si>
  <si>
    <t>NSE:JUSTDIAL</t>
  </si>
  <si>
    <t>NSE:JYOTHYLAB</t>
  </si>
  <si>
    <t>NSE:KABRAEXTRU</t>
  </si>
  <si>
    <t>NSE:KAJARIACER</t>
  </si>
  <si>
    <t>NSE:KAKATCEM</t>
  </si>
  <si>
    <t>NSE:KALPATPOWR</t>
  </si>
  <si>
    <t>NSE:KALYANIFRG</t>
  </si>
  <si>
    <t>NSE:KILITCH</t>
  </si>
  <si>
    <t>NSE:KAMDHENU</t>
  </si>
  <si>
    <t>NSE:KANANIIND</t>
  </si>
  <si>
    <t>NSE:KANORICHEM</t>
  </si>
  <si>
    <t>NSE:KANPRPLA</t>
  </si>
  <si>
    <t>NSE:KANSAINER</t>
  </si>
  <si>
    <t>NSE:KAPSTON</t>
  </si>
  <si>
    <t>NSE:KBCGLOBAL</t>
  </si>
  <si>
    <t>NSE:KARMAENG</t>
  </si>
  <si>
    <t>NSE:KARURVYSYA</t>
  </si>
  <si>
    <t>NSE:KAUSHALYA</t>
  </si>
  <si>
    <t>NSE:KAYA</t>
  </si>
  <si>
    <t>NSE:KCP</t>
  </si>
  <si>
    <t>NSE:KCPSUGIND</t>
  </si>
  <si>
    <t>NSE:KDDL</t>
  </si>
  <si>
    <t>NSE:KEC</t>
  </si>
  <si>
    <t>NSE:KECL</t>
  </si>
  <si>
    <t>NSE:KEERTI</t>
  </si>
  <si>
    <t>NSE:KEI</t>
  </si>
  <si>
    <t>NSE:KELLTONTEC</t>
  </si>
  <si>
    <t>NSE:KENNAMET</t>
  </si>
  <si>
    <t>NSE:KINGFA</t>
  </si>
  <si>
    <t>NSE:KESORAMIND</t>
  </si>
  <si>
    <t>NSE:KEYFINSERV</t>
  </si>
  <si>
    <t>NSE:KHADIM</t>
  </si>
  <si>
    <t>NSE:KHAICHEM</t>
  </si>
  <si>
    <t>NSE:KHANDSE</t>
  </si>
  <si>
    <t>NSE:KICL</t>
  </si>
  <si>
    <t>NSE:MANINDS</t>
  </si>
  <si>
    <t>NSE:MARINE</t>
  </si>
  <si>
    <t>NSE:KIOCL</t>
  </si>
  <si>
    <t>NSE:KIRIINDUS</t>
  </si>
  <si>
    <t>NSE:KIRLFER</t>
  </si>
  <si>
    <t>NSE:KIRLOSBROS</t>
  </si>
  <si>
    <t>NSE:KIRLOSENG</t>
  </si>
  <si>
    <t>NSE:KIRLOSIND</t>
  </si>
  <si>
    <t>NSE:KITEX</t>
  </si>
  <si>
    <t>NSE:KKCL</t>
  </si>
  <si>
    <t>NSE:KMSUGAR</t>
  </si>
  <si>
    <t>NSE:KNRCON</t>
  </si>
  <si>
    <t>NSE:KOKUYOCMLN</t>
  </si>
  <si>
    <t>NSE:KOLTEPATIL</t>
  </si>
  <si>
    <t>NSE:KOPRAN</t>
  </si>
  <si>
    <t>NSE:KOTAKBANK</t>
  </si>
  <si>
    <t>NSE:KOTARISUG</t>
  </si>
  <si>
    <t>NSE:KOTHARIPET</t>
  </si>
  <si>
    <t>NSE:KOTHARIPRO</t>
  </si>
  <si>
    <t>NSE:KPITTECH</t>
  </si>
  <si>
    <t>NSE:KPRMILL</t>
  </si>
  <si>
    <t>NSE:KRBL</t>
  </si>
  <si>
    <t>NSE:KREBSBIO</t>
  </si>
  <si>
    <t>NSE:KRIDHANINF</t>
  </si>
  <si>
    <t>NSE:KRISHANA</t>
  </si>
  <si>
    <t>NSE:KSB</t>
  </si>
  <si>
    <t>NSE:KSCL</t>
  </si>
  <si>
    <t>NSE:KSL</t>
  </si>
  <si>
    <t>NSE:KTKBANK</t>
  </si>
  <si>
    <t>NSE:KUANTUM</t>
  </si>
  <si>
    <t>NSE:L&amp;TFH</t>
  </si>
  <si>
    <t>NSE:LAKPRE</t>
  </si>
  <si>
    <t>NSE:LALPATHLAB</t>
  </si>
  <si>
    <t>NSE:LAMBODHARA</t>
  </si>
  <si>
    <t>NSE:LAOPALA</t>
  </si>
  <si>
    <t>NSE:LASA</t>
  </si>
  <si>
    <t>NSE:LAURUSLABS</t>
  </si>
  <si>
    <t>NSE:LAXMIMACH</t>
  </si>
  <si>
    <t>NSE:LEMONTREE</t>
  </si>
  <si>
    <t>NSE:LFIC</t>
  </si>
  <si>
    <t>NSE:LGBBROSLTD</t>
  </si>
  <si>
    <t>NSE:LGBFORGE</t>
  </si>
  <si>
    <t>NSE:LIBAS</t>
  </si>
  <si>
    <t>NSE:LIBERTSHOE</t>
  </si>
  <si>
    <t>NSE:LICHSGFIN</t>
  </si>
  <si>
    <t>NSE:LIKHITHA</t>
  </si>
  <si>
    <t>NSE:LINCOLN</t>
  </si>
  <si>
    <t>NSE:LINC</t>
  </si>
  <si>
    <t>NSE:LINDEINDIA</t>
  </si>
  <si>
    <t>NSE:LOKESHMACH</t>
  </si>
  <si>
    <t>NSE:LOTUSEYE</t>
  </si>
  <si>
    <t>NSE:LOVABLE</t>
  </si>
  <si>
    <t>NSE:LPDC</t>
  </si>
  <si>
    <t>NSE:LSIL</t>
  </si>
  <si>
    <t>NSE:LT</t>
  </si>
  <si>
    <t>NSE:LTIM</t>
  </si>
  <si>
    <t>NSE:LTTS</t>
  </si>
  <si>
    <t>NSE:LUMAXIND</t>
  </si>
  <si>
    <t>NSE:LUMAXTECH</t>
  </si>
  <si>
    <t>NSE:LUPIN</t>
  </si>
  <si>
    <t>NSE:LUXIND</t>
  </si>
  <si>
    <t>NSE:LYKALABS</t>
  </si>
  <si>
    <t>NSE:LYPSAGEMS</t>
  </si>
  <si>
    <t>NSE:M&amp;M</t>
  </si>
  <si>
    <t>NSE:M&amp;MFIN</t>
  </si>
  <si>
    <t>NSE:MAANALU</t>
  </si>
  <si>
    <t>NSE:MACPOWER</t>
  </si>
  <si>
    <t>NSE:MADHAV</t>
  </si>
  <si>
    <t>NSE:MADHUCON</t>
  </si>
  <si>
    <t>NSE:MADRASFERT</t>
  </si>
  <si>
    <t>NSE:MAGADSUGAR</t>
  </si>
  <si>
    <t>NSE:POONAWALLA</t>
  </si>
  <si>
    <t>NSE:MAGNUM</t>
  </si>
  <si>
    <t>NSE:MAHABANK</t>
  </si>
  <si>
    <t>NSE:MAHAPEXLTD</t>
  </si>
  <si>
    <t>NSE:MAHASTEEL</t>
  </si>
  <si>
    <t>NSE:MAHEPC</t>
  </si>
  <si>
    <t>NSE:MAHESHWARI</t>
  </si>
  <si>
    <t>NSE:MAHINDCIE</t>
  </si>
  <si>
    <t>NSE:MAHLIFE</t>
  </si>
  <si>
    <t>NSE:MAHLOG</t>
  </si>
  <si>
    <t>NSE:MAHSCOOTER</t>
  </si>
  <si>
    <t>NSE:MAHSEAMLES</t>
  </si>
  <si>
    <t>NSE:MAITHANALL</t>
  </si>
  <si>
    <t>NSE:AURUM</t>
  </si>
  <si>
    <t>NSE:MALUPAPER</t>
  </si>
  <si>
    <t>NSE:MANAKALUCO</t>
  </si>
  <si>
    <t>NSE:MANAKCOAT</t>
  </si>
  <si>
    <t>NSE:MANAKSIA</t>
  </si>
  <si>
    <t>NSE:MANAKSTEEL</t>
  </si>
  <si>
    <t>NSE:MANALIPETC</t>
  </si>
  <si>
    <t>NSE:MANAPPURAM</t>
  </si>
  <si>
    <t>NSE:MANGALAM</t>
  </si>
  <si>
    <t>NSE:MANGCHEFER</t>
  </si>
  <si>
    <t>NSE:MANGLMCEM</t>
  </si>
  <si>
    <t>NSE:MINDTECK</t>
  </si>
  <si>
    <t>NSE:MANINFRA</t>
  </si>
  <si>
    <t>NSE:MANUGRAPH</t>
  </si>
  <si>
    <t>NSE:MARALOVER</t>
  </si>
  <si>
    <t>NSE:MARATHON</t>
  </si>
  <si>
    <t>NSE:MARICO</t>
  </si>
  <si>
    <t>NSE:NATHBIOGEN</t>
  </si>
  <si>
    <t>NSE:MARKSANS</t>
  </si>
  <si>
    <t>NSE:MARUTI</t>
  </si>
  <si>
    <t>NSE:MASFIN</t>
  </si>
  <si>
    <t>NSE:MASKINVEST</t>
  </si>
  <si>
    <t>NSE:MASTEK</t>
  </si>
  <si>
    <t>NSE:MATRIMONY</t>
  </si>
  <si>
    <t>NSE:MAWANASUG</t>
  </si>
  <si>
    <t>NSE:MAXHEALTH</t>
  </si>
  <si>
    <t>NSE:MAXIND</t>
  </si>
  <si>
    <t>NSE:MAXVIL</t>
  </si>
  <si>
    <t>NSE:MAYURUNIQ</t>
  </si>
  <si>
    <t>NSE:MAZDA</t>
  </si>
  <si>
    <t>NSE:MAZDOCK</t>
  </si>
  <si>
    <t>NSE:MBAPL</t>
  </si>
  <si>
    <t>NSE:MBECL</t>
  </si>
  <si>
    <t>NSE:MBLINFRA</t>
  </si>
  <si>
    <t>NSE:MCDOWELL-N</t>
  </si>
  <si>
    <t>NSE:MCL</t>
  </si>
  <si>
    <t>NSE:MCLEODRUSS</t>
  </si>
  <si>
    <t>NSE:MCX</t>
  </si>
  <si>
    <t>NSE:MEGASOFT</t>
  </si>
  <si>
    <t>NSE:MELSTAR</t>
  </si>
  <si>
    <t>NSE:MENONBE</t>
  </si>
  <si>
    <t>NSE:MEP</t>
  </si>
  <si>
    <t>NSE:MERCATOR</t>
  </si>
  <si>
    <t>NSE:METALFORGE</t>
  </si>
  <si>
    <t>NSE:METROPOLIS</t>
  </si>
  <si>
    <t>NSE:MFSL</t>
  </si>
  <si>
    <t>NSE:MGEL</t>
  </si>
  <si>
    <t>NSE:MGL</t>
  </si>
  <si>
    <t>NSE:MHRIL</t>
  </si>
  <si>
    <t>NSE:MICEL</t>
  </si>
  <si>
    <t>NSE:MIDHANI</t>
  </si>
  <si>
    <t>NSE:MINDACORP</t>
  </si>
  <si>
    <t>NSE:UNOMINDA</t>
  </si>
  <si>
    <t>NSE:NAUKRI</t>
  </si>
  <si>
    <t>NSE:MIRCELECTR</t>
  </si>
  <si>
    <t>NSE:MIRZAINT</t>
  </si>
  <si>
    <t>NSE:MITTAL</t>
  </si>
  <si>
    <t>NSE:MMFL</t>
  </si>
  <si>
    <t>NSE:MMP</t>
  </si>
  <si>
    <t>NSE:MMTC</t>
  </si>
  <si>
    <t>NSE:MODIRUBBER</t>
  </si>
  <si>
    <t>NSE:MOHITIND</t>
  </si>
  <si>
    <t>NSE:MOHOTAIND</t>
  </si>
  <si>
    <t>NSE:MOIL</t>
  </si>
  <si>
    <t>NSE:MOLDTECH</t>
  </si>
  <si>
    <t>NSE:MOLDTKPAC</t>
  </si>
  <si>
    <t>NSE:MONTECARLO</t>
  </si>
  <si>
    <t>NSE:MORARJEE</t>
  </si>
  <si>
    <t>NSE:MOREPENLAB</t>
  </si>
  <si>
    <t>NSE:MOTHERSON</t>
  </si>
  <si>
    <t>NSE:MOTILALOFS</t>
  </si>
  <si>
    <t>NSE:MOTOGENFIN</t>
  </si>
  <si>
    <t>NSE:MPHASIS</t>
  </si>
  <si>
    <t>NSE:MPSLTD</t>
  </si>
  <si>
    <t>NSE:MRF</t>
  </si>
  <si>
    <t>NSE:MRO-TEK</t>
  </si>
  <si>
    <t>NSE:MRPL</t>
  </si>
  <si>
    <t>NSE:MSPL</t>
  </si>
  <si>
    <t>NSE:MSTCLTD</t>
  </si>
  <si>
    <t>NSE:MTEDUCARE</t>
  </si>
  <si>
    <t>NSE:MTNL</t>
  </si>
  <si>
    <t>NSE:MUKANDLTD</t>
  </si>
  <si>
    <t>NSE:MUKTAARTS</t>
  </si>
  <si>
    <t>NSE:MUNJALAU</t>
  </si>
  <si>
    <t>NSE:MUNJALSHOW</t>
  </si>
  <si>
    <t>NSE:MURUDCERA</t>
  </si>
  <si>
    <t>NSE:MUTHOOTCAP</t>
  </si>
  <si>
    <t>NSE:MUTHOOTFIN</t>
  </si>
  <si>
    <t>NSE:NACLIND</t>
  </si>
  <si>
    <t>NSE:NAGAFERT</t>
  </si>
  <si>
    <t>NSE:NAGREEKCAP</t>
  </si>
  <si>
    <t>NSE:NAGREEKEXP</t>
  </si>
  <si>
    <t>NSE:NAHARCAP</t>
  </si>
  <si>
    <t>NSE:NAHARINDUS</t>
  </si>
  <si>
    <t>NSE:NAHARPOLY</t>
  </si>
  <si>
    <t>NSE:NAHARSPING</t>
  </si>
  <si>
    <t>NSE:NAM-INDIA</t>
  </si>
  <si>
    <t>NSE:NATCOPHARM</t>
  </si>
  <si>
    <t>NSE:NBCC</t>
  </si>
  <si>
    <t>NSE:NATIONALUM</t>
  </si>
  <si>
    <t>NSE:NATNLSTEEL</t>
  </si>
  <si>
    <t>BOM:532391</t>
  </si>
  <si>
    <t>NSE:NAVINFLUOR</t>
  </si>
  <si>
    <t>NSE:NAVKARCORP</t>
  </si>
  <si>
    <t>NSE:NAVNETEDUL</t>
  </si>
  <si>
    <t>NSE:RSSOFTWARE</t>
  </si>
  <si>
    <t>NSE:NBIFIN</t>
  </si>
  <si>
    <t>NSE:NAVA</t>
  </si>
  <si>
    <t>NSE:NCC</t>
  </si>
  <si>
    <t>NSE:NCLIND</t>
  </si>
  <si>
    <t>NSE:NDGL</t>
  </si>
  <si>
    <t>NSE:NDL</t>
  </si>
  <si>
    <t>NSE:NDRAUTO</t>
  </si>
  <si>
    <t>NSE:NDTV</t>
  </si>
  <si>
    <t>NSE:NECCLTD</t>
  </si>
  <si>
    <t>NSE:NECLIFE</t>
  </si>
  <si>
    <t>NSE:NELCAST</t>
  </si>
  <si>
    <t>NSE:NELCO</t>
  </si>
  <si>
    <t>NSE:NEOGEN</t>
  </si>
  <si>
    <t>NSE:NESCO</t>
  </si>
  <si>
    <t>NSE:NESTLEIND</t>
  </si>
  <si>
    <t>NSE:NETWORK18</t>
  </si>
  <si>
    <t>NSE:NEULANDLAB</t>
  </si>
  <si>
    <t>NSE:NEWGEN</t>
  </si>
  <si>
    <t>NSE:NEXTMEDIA</t>
  </si>
  <si>
    <t>NSE:NFL</t>
  </si>
  <si>
    <t>NSE:NH</t>
  </si>
  <si>
    <t>NSE:NHPC</t>
  </si>
  <si>
    <t>NSE:NIACL</t>
  </si>
  <si>
    <t>NSE:NIBL</t>
  </si>
  <si>
    <t>NSE:NIITLTD</t>
  </si>
  <si>
    <t>NSE:NILAINFRA</t>
  </si>
  <si>
    <t>NSE:NILASPACES</t>
  </si>
  <si>
    <t>NSE:NILKAMAL</t>
  </si>
  <si>
    <t>NSE:NIPPOBATRY</t>
  </si>
  <si>
    <t>NSE:NIRAJ</t>
  </si>
  <si>
    <t>NSE:NITCO</t>
  </si>
  <si>
    <t>NSE:NITINSPIN</t>
  </si>
  <si>
    <t>NSE:NKIND</t>
  </si>
  <si>
    <t>NSE:NLCINDIA</t>
  </si>
  <si>
    <t>NSE:NMDC</t>
  </si>
  <si>
    <t>NSE:NOCIL</t>
  </si>
  <si>
    <t>NSE:NOIDATOLL</t>
  </si>
  <si>
    <t>NSE:NORBTEAEXP</t>
  </si>
  <si>
    <t>NSE:NOVARTIND</t>
  </si>
  <si>
    <t>NSE:NRAIL</t>
  </si>
  <si>
    <t>NSE:NRBBEARING</t>
  </si>
  <si>
    <t>NSE:NSIL</t>
  </si>
  <si>
    <t>NSE:NTPC</t>
  </si>
  <si>
    <t>NSE:NUCLEUS</t>
  </si>
  <si>
    <t>NSE:NXTDIGITAL</t>
  </si>
  <si>
    <t>NSE:OAL</t>
  </si>
  <si>
    <t>NSE:OBEROIRLTY</t>
  </si>
  <si>
    <t>NSE:OCCL</t>
  </si>
  <si>
    <t>NSE:OFSS</t>
  </si>
  <si>
    <t>NSE:OIL</t>
  </si>
  <si>
    <t>NSE:OILCOUNTUB</t>
  </si>
  <si>
    <t>NSE:OLECTRA</t>
  </si>
  <si>
    <t>NSE:OMAXAUTO</t>
  </si>
  <si>
    <t>NSE:OMAXE</t>
  </si>
  <si>
    <t>NSE:OMKARCHEM</t>
  </si>
  <si>
    <t>NSE:ONELIFECAP</t>
  </si>
  <si>
    <t>NSE:ONEPOINT</t>
  </si>
  <si>
    <t>NSE:ONGC</t>
  </si>
  <si>
    <t>NSE:ONMOBILE</t>
  </si>
  <si>
    <t>NSE:ONWARDTEC</t>
  </si>
  <si>
    <t>NSE:OPTIEMUS</t>
  </si>
  <si>
    <t>NSE:SAFARI</t>
  </si>
  <si>
    <t>NSE:ORBTEXP</t>
  </si>
  <si>
    <t>NSE:ORCHPHARMA</t>
  </si>
  <si>
    <t>NSE:ORICONENT</t>
  </si>
  <si>
    <t>NSE:ORIENTABRA</t>
  </si>
  <si>
    <t>NSE:ORIENTALTL</t>
  </si>
  <si>
    <t>NSE:ORIENTBELL</t>
  </si>
  <si>
    <t>NSE:ORIENTCEM</t>
  </si>
  <si>
    <t>NSE:ORIENTELEC</t>
  </si>
  <si>
    <t>NSE:ORIENTHOT</t>
  </si>
  <si>
    <t>NSE:ORIENTLTD</t>
  </si>
  <si>
    <t>NSE:ORIENTPPR</t>
  </si>
  <si>
    <t>NSE:RHIM</t>
  </si>
  <si>
    <t>NSE:ORISSAMINE</t>
  </si>
  <si>
    <t>NSE:ORTEL</t>
  </si>
  <si>
    <t>NSE:OSWALAGRO</t>
  </si>
  <si>
    <t>NSE:PAGEIND</t>
  </si>
  <si>
    <t>NSE:PAISALO</t>
  </si>
  <si>
    <t>NSE:PALASHSECU</t>
  </si>
  <si>
    <t>NSE:PALREDTEC</t>
  </si>
  <si>
    <t>NSE:PANACEABIO</t>
  </si>
  <si>
    <t>NSE:PANACHE</t>
  </si>
  <si>
    <t>NSE:PANAMAPET</t>
  </si>
  <si>
    <t>NSE:PARACABLES</t>
  </si>
  <si>
    <t>NSE:PARAGMILK</t>
  </si>
  <si>
    <t>NSE:PARSVNATH</t>
  </si>
  <si>
    <t>NSE:PATELENG</t>
  </si>
  <si>
    <t>NSE:PATINTLOG</t>
  </si>
  <si>
    <t>NSE:PCJEWELLER</t>
  </si>
  <si>
    <t>NSE:PDMJEPAPER</t>
  </si>
  <si>
    <t>NSE:PDSL</t>
  </si>
  <si>
    <t>NSE:PEARLPOLY</t>
  </si>
  <si>
    <t>NSE:PEL</t>
  </si>
  <si>
    <t>NSE:PENIND</t>
  </si>
  <si>
    <t>NSE:PENINLAND</t>
  </si>
  <si>
    <t>NSE:PERSISTENT</t>
  </si>
  <si>
    <t>NSE:PETRONET</t>
  </si>
  <si>
    <t>NSE:PFC</t>
  </si>
  <si>
    <t>NSE:PFIZER</t>
  </si>
  <si>
    <t>NSE:PFOCUS</t>
  </si>
  <si>
    <t>NSE:PFS</t>
  </si>
  <si>
    <t>NSE:PGEL</t>
  </si>
  <si>
    <t>NSE:PGHH</t>
  </si>
  <si>
    <t>NSE:PGHL</t>
  </si>
  <si>
    <t>NSE:PGIL</t>
  </si>
  <si>
    <t>NSE:PCBL</t>
  </si>
  <si>
    <t>NSE:PHOENIXLTD</t>
  </si>
  <si>
    <t>NSE:PIDILITIND</t>
  </si>
  <si>
    <t>NSE:PIIND</t>
  </si>
  <si>
    <t>NSE:PILANIINVS</t>
  </si>
  <si>
    <t>NSE:PILITA</t>
  </si>
  <si>
    <t>NSE:PIONEEREMB</t>
  </si>
  <si>
    <t>NSE:PITTIENG</t>
  </si>
  <si>
    <t>NSE:PKTEA</t>
  </si>
  <si>
    <t>NSE:PLASTIBLEN</t>
  </si>
  <si>
    <t>NSE:PNB</t>
  </si>
  <si>
    <t>NSE:PNBGILTS</t>
  </si>
  <si>
    <t>NSE:PNBHOUSING</t>
  </si>
  <si>
    <t>NSE:PNC</t>
  </si>
  <si>
    <t>NSE:PNCINFRA</t>
  </si>
  <si>
    <t>NSE:PODDARHOUS</t>
  </si>
  <si>
    <t>NSE:PODDARMENT</t>
  </si>
  <si>
    <t>NSE:POKARNA</t>
  </si>
  <si>
    <t>NSE:POLYCAB</t>
  </si>
  <si>
    <t>NSE:POLYMED</t>
  </si>
  <si>
    <t>NSE:POLYPLEX</t>
  </si>
  <si>
    <t>NSE:PONNIERODE</t>
  </si>
  <si>
    <t>NSE:POWERGRID</t>
  </si>
  <si>
    <t>NSE:POWERINDIA</t>
  </si>
  <si>
    <t>NSE:POWERMECH</t>
  </si>
  <si>
    <t>NSE:PPAP</t>
  </si>
  <si>
    <t>NSE:PPL</t>
  </si>
  <si>
    <t>NSE:PRAENG</t>
  </si>
  <si>
    <t>NSE:PRAJIND</t>
  </si>
  <si>
    <t>NSE:PRAKASH</t>
  </si>
  <si>
    <t>NSE:PRAKASHSTL</t>
  </si>
  <si>
    <t>NSE:PRAXIS</t>
  </si>
  <si>
    <t>NSE:PRECAM</t>
  </si>
  <si>
    <t>NSE:PRECOT</t>
  </si>
  <si>
    <t>NSE:PRECWIRE</t>
  </si>
  <si>
    <t>NSE:PREMEXPLN</t>
  </si>
  <si>
    <t>NSE:PREMIER</t>
  </si>
  <si>
    <t>NSE:PREMIERPOL</t>
  </si>
  <si>
    <t>NSE:PRESSMN</t>
  </si>
  <si>
    <t>NSE:PRESTIGE</t>
  </si>
  <si>
    <t>NSE:PRICOLLTD</t>
  </si>
  <si>
    <t>NSE:PRIMESECU</t>
  </si>
  <si>
    <t>NSE:PRINCEPIPE</t>
  </si>
  <si>
    <t>NSE:PRIVISCL</t>
  </si>
  <si>
    <t>NSE:PROZONINTU</t>
  </si>
  <si>
    <t>NSE:PRSMJOHNSN</t>
  </si>
  <si>
    <t>NSE:PSB</t>
  </si>
  <si>
    <t>NSE:PSPPROJECT</t>
  </si>
  <si>
    <t>NSE:PTC</t>
  </si>
  <si>
    <t>NSE:PTL</t>
  </si>
  <si>
    <t>NSE:PUNJABCHEM</t>
  </si>
  <si>
    <t>NSE:PURVA</t>
  </si>
  <si>
    <t>NSE:PVR</t>
  </si>
  <si>
    <t>NSE:QUESS</t>
  </si>
  <si>
    <t>NSE:QUICKHEAL</t>
  </si>
  <si>
    <t>NSE:RADAAN</t>
  </si>
  <si>
    <t>NSE:RADICO</t>
  </si>
  <si>
    <t>NSE:RADIOCITY</t>
  </si>
  <si>
    <t>NSE:RAIN</t>
  </si>
  <si>
    <t>NSE:RAJESHEXPO</t>
  </si>
  <si>
    <t>NSE:RAJMET</t>
  </si>
  <si>
    <t>NSE:RAJRATAN</t>
  </si>
  <si>
    <t>NSE:RAJSREESUG</t>
  </si>
  <si>
    <t>NSE:RAJTV</t>
  </si>
  <si>
    <t>NSE:RALLIS</t>
  </si>
  <si>
    <t>NSE:RAMANEWS</t>
  </si>
  <si>
    <t>NSE:RAMASTEEL</t>
  </si>
  <si>
    <t>NSE:RAMCOCEM</t>
  </si>
  <si>
    <t>NSE:RAMCOIND</t>
  </si>
  <si>
    <t>NSE:RAMCOSYS</t>
  </si>
  <si>
    <t>NSE:RAMKY</t>
  </si>
  <si>
    <t>NSE:RANASUG</t>
  </si>
  <si>
    <t>NSE:RANEENGINE</t>
  </si>
  <si>
    <t>NSE:RANEHOLDIN</t>
  </si>
  <si>
    <t>NSE:RATNAMANI</t>
  </si>
  <si>
    <t>NSE:RAYMOND</t>
  </si>
  <si>
    <t>NSE:RBL</t>
  </si>
  <si>
    <t>NSE:RBLBANK</t>
  </si>
  <si>
    <t>NSE:RCF</t>
  </si>
  <si>
    <t>NSE:RCOM</t>
  </si>
  <si>
    <t>NSE:RECLTD</t>
  </si>
  <si>
    <t>NSE:REDINGTON</t>
  </si>
  <si>
    <t>NSE:REFEX</t>
  </si>
  <si>
    <t>NSE:RELAXO</t>
  </si>
  <si>
    <t>NSE:RELCAPITAL</t>
  </si>
  <si>
    <t>NSE:RELIANCE</t>
  </si>
  <si>
    <t>NSE:RELIGARE</t>
  </si>
  <si>
    <t>NSE:RELINFRA</t>
  </si>
  <si>
    <t>NSE:REMSONSIND</t>
  </si>
  <si>
    <t>NSE:RENUKA</t>
  </si>
  <si>
    <t>NSE:REPCOHOME</t>
  </si>
  <si>
    <t>NSE:REPL</t>
  </si>
  <si>
    <t>NSE:REPRO</t>
  </si>
  <si>
    <t>NSE:RESPONIND</t>
  </si>
  <si>
    <t>NSE:REVATHI</t>
  </si>
  <si>
    <t>NSE:RGL</t>
  </si>
  <si>
    <t>NSE:RHFL</t>
  </si>
  <si>
    <t>NSE:RICOAUTO</t>
  </si>
  <si>
    <t>NSE:RIIL</t>
  </si>
  <si>
    <t>NSE:RITES</t>
  </si>
  <si>
    <t>NSE:RKDL</t>
  </si>
  <si>
    <t>NSE:RKEC</t>
  </si>
  <si>
    <t>NSE:RKFORGE</t>
  </si>
  <si>
    <t>NSE:RMCL</t>
  </si>
  <si>
    <t>NSE:RML</t>
  </si>
  <si>
    <t>NSE:RNAVAL</t>
  </si>
  <si>
    <t>NSE:ROHLTD</t>
  </si>
  <si>
    <t>NSE:ROLLT</t>
  </si>
  <si>
    <t>NSE:ROLTA</t>
  </si>
  <si>
    <t>NSE:ROML</t>
  </si>
  <si>
    <t>NSE:ROSSARI</t>
  </si>
  <si>
    <t>NSE:ROSSELLIND</t>
  </si>
  <si>
    <t>NSE:ROUTE</t>
  </si>
  <si>
    <t>NSE:RPGLIFE</t>
  </si>
  <si>
    <t>NSE:RPOWER</t>
  </si>
  <si>
    <t>NSE:RPPINFRA</t>
  </si>
  <si>
    <t>NSE:SANGAMIND</t>
  </si>
  <si>
    <t>NSE:RSWM</t>
  </si>
  <si>
    <t>NSE:RSYSTEMS</t>
  </si>
  <si>
    <t>NSE:RTNINDIA</t>
  </si>
  <si>
    <t>NSE:RTNPOWER</t>
  </si>
  <si>
    <t>NSE:RUBYMILLS</t>
  </si>
  <si>
    <t>NSE:PATANJALI</t>
  </si>
  <si>
    <t>NSE:RUCHINFRA</t>
  </si>
  <si>
    <t>NSE:RUCHIRA</t>
  </si>
  <si>
    <t>NSE:RUPA</t>
  </si>
  <si>
    <t>NSE:RUSHIL</t>
  </si>
  <si>
    <t>NSE:RVHL</t>
  </si>
  <si>
    <t>NSE:RVNL</t>
  </si>
  <si>
    <t>NSE:S&amp;SPOWER</t>
  </si>
  <si>
    <t>NSE:SABEVENTS</t>
  </si>
  <si>
    <t>NSE:SABTN</t>
  </si>
  <si>
    <t>NSE:SADBHAV</t>
  </si>
  <si>
    <t>NSE:SADBHIN</t>
  </si>
  <si>
    <t>NSE:SHAKTIPUMP</t>
  </si>
  <si>
    <t>NSE:SAGARDEEP</t>
  </si>
  <si>
    <t>NSE:SAGCEM</t>
  </si>
  <si>
    <t>NSE:SAIL</t>
  </si>
  <si>
    <t>NSE:SAKAR</t>
  </si>
  <si>
    <t>NSE:SAKHTISUG</t>
  </si>
  <si>
    <t>NSE:SAKSOFT</t>
  </si>
  <si>
    <t>NSE:SAKUMA</t>
  </si>
  <si>
    <t>NSE:SALASAR</t>
  </si>
  <si>
    <t>NSE:SALONA</t>
  </si>
  <si>
    <t>NSE:SALSTEEL</t>
  </si>
  <si>
    <t>NSE:SALZERELEC</t>
  </si>
  <si>
    <t>NSE:SAMBHAAV</t>
  </si>
  <si>
    <t>NSE:SANCO</t>
  </si>
  <si>
    <t>NSE:SANDESH</t>
  </si>
  <si>
    <t>NSE:SANDHAR</t>
  </si>
  <si>
    <t>NSE:TAINWALCHM</t>
  </si>
  <si>
    <t>NSE:SANGHIIND</t>
  </si>
  <si>
    <t>NSE:SANGHVIMOV</t>
  </si>
  <si>
    <t>NSE:SANGINITA</t>
  </si>
  <si>
    <t>NSE:SANOFI</t>
  </si>
  <si>
    <t>NSE:SANWARIA</t>
  </si>
  <si>
    <t>NSE:SARDAEN</t>
  </si>
  <si>
    <t>NSE:SAREGAMA</t>
  </si>
  <si>
    <t>NSE:SARLAPOLY</t>
  </si>
  <si>
    <t>NSE:SASKEN</t>
  </si>
  <si>
    <t>NSE:SASTASUNDR</t>
  </si>
  <si>
    <t>NSE:SATIA</t>
  </si>
  <si>
    <t>NSE:SATIN</t>
  </si>
  <si>
    <t>NSE:SBICARD</t>
  </si>
  <si>
    <t>NSE:SBILIFE</t>
  </si>
  <si>
    <t>NSE:SBIN</t>
  </si>
  <si>
    <t>NSE:SCAPDVR</t>
  </si>
  <si>
    <t>NSE:SCHAEFFLER</t>
  </si>
  <si>
    <t>NSE:SCHAND</t>
  </si>
  <si>
    <t>NSE:SCHNEIDER</t>
  </si>
  <si>
    <t>NSE:SCI</t>
  </si>
  <si>
    <t>NSE:SDBL</t>
  </si>
  <si>
    <t>NSE:SEAMECLTD</t>
  </si>
  <si>
    <t>NSE:SELAN</t>
  </si>
  <si>
    <t>NSE:SELMC</t>
  </si>
  <si>
    <t>NSE:SEPOWER</t>
  </si>
  <si>
    <t>NSE:SEQUENT</t>
  </si>
  <si>
    <t>NSE:SESHAPAPER</t>
  </si>
  <si>
    <t>NSE:SETCO</t>
  </si>
  <si>
    <t>NSE:SETUINFRA</t>
  </si>
  <si>
    <t>NSE:SEYAIND</t>
  </si>
  <si>
    <t>NSE:SEJALLTD</t>
  </si>
  <si>
    <t>NSE:SFL</t>
  </si>
  <si>
    <t>NSE:SGL</t>
  </si>
  <si>
    <t>NSE:SHAHALLOYS</t>
  </si>
  <si>
    <t>NSE:THOMASCOOK</t>
  </si>
  <si>
    <t>NSE:SHALBY</t>
  </si>
  <si>
    <t>NSE:SHALPAINTS</t>
  </si>
  <si>
    <t>NSE:SHANKARA</t>
  </si>
  <si>
    <t>NSE:SHANTIGEAR</t>
  </si>
  <si>
    <t>NSE:SHARDACROP</t>
  </si>
  <si>
    <t>NSE:SHARDAMOTR</t>
  </si>
  <si>
    <t>NSE:SHAREINDIA</t>
  </si>
  <si>
    <t>NSE:SHEMAROO</t>
  </si>
  <si>
    <t>NSE:HINDWAREAP</t>
  </si>
  <si>
    <t>NSE:SHILPAMED</t>
  </si>
  <si>
    <t>NSE:SHIVAMAUTO</t>
  </si>
  <si>
    <t>NSE:SHIVAMILLS</t>
  </si>
  <si>
    <t>NSE:SHIVATEX</t>
  </si>
  <si>
    <t>NSE:SHK</t>
  </si>
  <si>
    <t>NSE:SHOPERSTOP</t>
  </si>
  <si>
    <t>NSE:SHRADHA</t>
  </si>
  <si>
    <t>NSE:SHREDIGCEM</t>
  </si>
  <si>
    <t>NSE:SHREECEM</t>
  </si>
  <si>
    <t>NSE:SHREEPUSHK</t>
  </si>
  <si>
    <t>NSE:SHREERAMA</t>
  </si>
  <si>
    <t>NSE:SHRENIK</t>
  </si>
  <si>
    <t>NSE:SHREYANIND</t>
  </si>
  <si>
    <t>NSE:SHREYAS</t>
  </si>
  <si>
    <t>NSE:SHRIPISTON</t>
  </si>
  <si>
    <t>NSE:SEPC</t>
  </si>
  <si>
    <t>NSE:SHYAMCENT</t>
  </si>
  <si>
    <t>NSE:SIEMENS</t>
  </si>
  <si>
    <t>NSE:SIGIND</t>
  </si>
  <si>
    <t>NSE:SIL</t>
  </si>
  <si>
    <t>NSE:SILGO</t>
  </si>
  <si>
    <t>NSE:SILINV</t>
  </si>
  <si>
    <t>NSE:SILLYMONKS</t>
  </si>
  <si>
    <t>NSE:SIMBHALS</t>
  </si>
  <si>
    <t>NSE:SIMPLEXINF</t>
  </si>
  <si>
    <t>NSE:SINTERCOM</t>
  </si>
  <si>
    <t>NSE:SIRCA</t>
  </si>
  <si>
    <t>NSE:SIS</t>
  </si>
  <si>
    <t>NSE:SITINET</t>
  </si>
  <si>
    <t>NSE:SIYSIL</t>
  </si>
  <si>
    <t>NSE:SJVN</t>
  </si>
  <si>
    <t>NSE:SKFINDIA</t>
  </si>
  <si>
    <t>NSE:SKIL</t>
  </si>
  <si>
    <t>NSE:SKIPPER</t>
  </si>
  <si>
    <t>NSE:SKMEGGPROD</t>
  </si>
  <si>
    <t>NSE:SMARTLINK</t>
  </si>
  <si>
    <t>NSE:SMLISUZU</t>
  </si>
  <si>
    <t>NSE:SMSLIFE</t>
  </si>
  <si>
    <t>NSE:SMSPHARMA</t>
  </si>
  <si>
    <t>NSE:SNOWMAN</t>
  </si>
  <si>
    <t>NSE:SOBHA</t>
  </si>
  <si>
    <t>NSE:SOLARA</t>
  </si>
  <si>
    <t>NSE:SOLARINDS</t>
  </si>
  <si>
    <t>NSE:SOMANYCERA</t>
  </si>
  <si>
    <t>NSE:SOMATEX</t>
  </si>
  <si>
    <t>NSE:SOMICONVEY</t>
  </si>
  <si>
    <t>NSE:SONATSOFTW</t>
  </si>
  <si>
    <t>NSE:SOTL</t>
  </si>
  <si>
    <t>NSE:SOUTHBANK</t>
  </si>
  <si>
    <t>NSE:SOUTHWEST</t>
  </si>
  <si>
    <t>NSE:SPAL</t>
  </si>
  <si>
    <t>NSE:SPANDANA</t>
  </si>
  <si>
    <t>NSE:SPARC</t>
  </si>
  <si>
    <t>NSE:SPECIALITY</t>
  </si>
  <si>
    <t>NSE:SPENCERS</t>
  </si>
  <si>
    <t>NSE:SPENTEX</t>
  </si>
  <si>
    <t>NSE:SPIC</t>
  </si>
  <si>
    <t>NSE:SPICEJET</t>
  </si>
  <si>
    <t>NSE:SPLIL</t>
  </si>
  <si>
    <t>NSE:SPMLINFRA</t>
  </si>
  <si>
    <t>NSE:SPTL</t>
  </si>
  <si>
    <t>NSE:SPYL</t>
  </si>
  <si>
    <t>NSE:SREEL</t>
  </si>
  <si>
    <t>NSE:SREINFRA</t>
  </si>
  <si>
    <t>NSE:SRF</t>
  </si>
  <si>
    <t>NSE:SRHHYPOLTD</t>
  </si>
  <si>
    <t>NSE:SRPL</t>
  </si>
  <si>
    <t>NSE:SHRIRAMFIN</t>
  </si>
  <si>
    <t>NSE:SSWL</t>
  </si>
  <si>
    <t>NSE:STAR</t>
  </si>
  <si>
    <t>NSE:STARCEMENT</t>
  </si>
  <si>
    <t>NSE:STARPAPER</t>
  </si>
  <si>
    <t>NSE:STCINDIA</t>
  </si>
  <si>
    <t>NSE:STEELCITY</t>
  </si>
  <si>
    <t>NSE:STEELXIND</t>
  </si>
  <si>
    <t>NSE:STEL</t>
  </si>
  <si>
    <t>NSE:STERTOOLS</t>
  </si>
  <si>
    <t>NSE:STLTECH</t>
  </si>
  <si>
    <t>NSE:SUBEXLTD</t>
  </si>
  <si>
    <t>NSE:SUBROS</t>
  </si>
  <si>
    <t>NSE:SUDARSCHEM</t>
  </si>
  <si>
    <t>NSE:SUMICHEM</t>
  </si>
  <si>
    <t>NSE:SUMIT</t>
  </si>
  <si>
    <t>NSE:SUMMITSEC</t>
  </si>
  <si>
    <t>NSE:SUNCLAYLTD</t>
  </si>
  <si>
    <t>NSE:SUNDARAM</t>
  </si>
  <si>
    <t>NSE:SUNDARMFIN</t>
  </si>
  <si>
    <t>NSE:SUNDARMHLD</t>
  </si>
  <si>
    <t>NSE:SUNDRMBRAK</t>
  </si>
  <si>
    <t>NSE:SUNDRMFAST</t>
  </si>
  <si>
    <t>NSE:SUNFLAG</t>
  </si>
  <si>
    <t>NSE:SUNPHARMA</t>
  </si>
  <si>
    <t>NSE:SUNTECK</t>
  </si>
  <si>
    <t>NSE:SUNTV</t>
  </si>
  <si>
    <t>NSE:SUPERHOUSE</t>
  </si>
  <si>
    <t>NSE:SUPERSPIN</t>
  </si>
  <si>
    <t>NSE:SPLPETRO</t>
  </si>
  <si>
    <t>NSE:SUPRAJIT</t>
  </si>
  <si>
    <t>NSE:SUPREMEENG</t>
  </si>
  <si>
    <t>NSE:SUPREMEIND</t>
  </si>
  <si>
    <t>NSE:SURANASOL</t>
  </si>
  <si>
    <t>NSE:SURANAT&amp;P</t>
  </si>
  <si>
    <t>NSE:SURYALAXMI</t>
  </si>
  <si>
    <t>NSE:SURYAROSNI</t>
  </si>
  <si>
    <t>NSE:SUTLEJTEX</t>
  </si>
  <si>
    <t>NSE:SUULD</t>
  </si>
  <si>
    <t>NSE:SUVEN</t>
  </si>
  <si>
    <t>NSE:SUVENPHAR</t>
  </si>
  <si>
    <t>NSE:SUZLON</t>
  </si>
  <si>
    <t>NSE:SWANENERGY</t>
  </si>
  <si>
    <t>NSE:SWARAJENG</t>
  </si>
  <si>
    <t>NSE:SWELECTES</t>
  </si>
  <si>
    <t>NSE:SWSOLAR</t>
  </si>
  <si>
    <t>NSE:SYMPHONY</t>
  </si>
  <si>
    <t>NSE:SYNGENE</t>
  </si>
  <si>
    <t>NSE:THOMASCOTT</t>
  </si>
  <si>
    <t>NSE:TAJGVK</t>
  </si>
  <si>
    <t>NSE:TAKE</t>
  </si>
  <si>
    <t>NSE:TALBROAUTO</t>
  </si>
  <si>
    <t>NSE:TANLA</t>
  </si>
  <si>
    <t>NSE:TANTIACONS</t>
  </si>
  <si>
    <t>NSE:TARC</t>
  </si>
  <si>
    <t>NSE:TARMAT</t>
  </si>
  <si>
    <t>NSE:TASTYBITE</t>
  </si>
  <si>
    <t>NSE:TATACHEM</t>
  </si>
  <si>
    <t>NSE:TATACOFFEE</t>
  </si>
  <si>
    <t>NSE:TATACOMM</t>
  </si>
  <si>
    <t>NSE:TATACONSUM</t>
  </si>
  <si>
    <t>NSE:TATAELXSI</t>
  </si>
  <si>
    <t>NSE:TATAINVEST</t>
  </si>
  <si>
    <t>NSE:TATAMETALI</t>
  </si>
  <si>
    <t>NSE:TATAMOTORS</t>
  </si>
  <si>
    <t>NSE:TATAMTRDVR</t>
  </si>
  <si>
    <t>NSE:TATAPOWER</t>
  </si>
  <si>
    <t>NSE:TATASTEEL</t>
  </si>
  <si>
    <t>NSE:TATASTLLP</t>
  </si>
  <si>
    <t>NSE:TBZ</t>
  </si>
  <si>
    <t>NSE:TCI</t>
  </si>
  <si>
    <t>NSE:TCIEXP</t>
  </si>
  <si>
    <t>NSE:TCIFINANCE</t>
  </si>
  <si>
    <t>NSE:TCNSBRANDS</t>
  </si>
  <si>
    <t>NSE:TCPLPACK</t>
  </si>
  <si>
    <t>NSE:TCS</t>
  </si>
  <si>
    <t>NSE:TDPOWERSYS</t>
  </si>
  <si>
    <t>NSE:TEAMLEASE</t>
  </si>
  <si>
    <t>NSE:TECHIN</t>
  </si>
  <si>
    <t>NSE:TECHM</t>
  </si>
  <si>
    <t>NSE:TECHNOE</t>
  </si>
  <si>
    <t>NSE:TEJASNET</t>
  </si>
  <si>
    <t>NSE:TERASOFT</t>
  </si>
  <si>
    <t>NSE:TEXINFRA</t>
  </si>
  <si>
    <t>NSE:TEXMOPIPES</t>
  </si>
  <si>
    <t>NSE:TEXRAIL</t>
  </si>
  <si>
    <t>NSE:TFCILTD</t>
  </si>
  <si>
    <t>NSE:TFL</t>
  </si>
  <si>
    <t>NSE:TGBHOTELS</t>
  </si>
  <si>
    <t>NSE:THANGAMAYL</t>
  </si>
  <si>
    <t>NSE:THEINVEST</t>
  </si>
  <si>
    <t>NSE:THEMISMED</t>
  </si>
  <si>
    <t>NSE:THERMAX</t>
  </si>
  <si>
    <t>NSE:TIIL</t>
  </si>
  <si>
    <t>NSE:TRIL</t>
  </si>
  <si>
    <t>NSE:THYROCARE</t>
  </si>
  <si>
    <t>NSE:TI</t>
  </si>
  <si>
    <t>NSE:TIDEWATER</t>
  </si>
  <si>
    <t>NSE:VENKYS</t>
  </si>
  <si>
    <t>NSE:TIINDIA</t>
  </si>
  <si>
    <t>NSE:TIJARIA</t>
  </si>
  <si>
    <t>NSE:TIL</t>
  </si>
  <si>
    <t>NSE:TIMESGTY</t>
  </si>
  <si>
    <t>NSE:TIMETECHNO</t>
  </si>
  <si>
    <t>NSE:TIMKEN</t>
  </si>
  <si>
    <t>NSE:TINPLATE</t>
  </si>
  <si>
    <t>NSE:TIPSINDLTD</t>
  </si>
  <si>
    <t>NSE:TIRUMALCHM</t>
  </si>
  <si>
    <t>NSE:TIRUPATIFL</t>
  </si>
  <si>
    <t>NSE:TITAN</t>
  </si>
  <si>
    <t>NSE:HEADSUP</t>
  </si>
  <si>
    <t>NSE:TNPETRO</t>
  </si>
  <si>
    <t>NSE:TNPL</t>
  </si>
  <si>
    <t>NSE:TNTELE</t>
  </si>
  <si>
    <t>NSE:TOKYOPLAST</t>
  </si>
  <si>
    <t>NSE:TORNTPHARM</t>
  </si>
  <si>
    <t>NSE:TORNTPOWER</t>
  </si>
  <si>
    <t>NSE:TOTAL</t>
  </si>
  <si>
    <t>NSE:TOUCHWOOD</t>
  </si>
  <si>
    <t>NSE:TPLPLASTEH</t>
  </si>
  <si>
    <t>NSE:TREEHOUSE</t>
  </si>
  <si>
    <t>NSE:TREJHARA</t>
  </si>
  <si>
    <t>NSE:TRENT</t>
  </si>
  <si>
    <t>NSE:TRF</t>
  </si>
  <si>
    <t>NSE:TRIDENT</t>
  </si>
  <si>
    <t>NSE:TRIGYN</t>
  </si>
  <si>
    <t>NSE:VINYLINDIA</t>
  </si>
  <si>
    <t>NSE:TRITURBINE</t>
  </si>
  <si>
    <t>NSE:TRIVENI</t>
  </si>
  <si>
    <t>NSE:TTKHLTCARE</t>
  </si>
  <si>
    <t>NSE:TTKPRESTIG</t>
  </si>
  <si>
    <t>NSE:TTL</t>
  </si>
  <si>
    <t>NSE:TTML</t>
  </si>
  <si>
    <t>NSE:TV18BRDCST</t>
  </si>
  <si>
    <t>NSE:TVSELECT</t>
  </si>
  <si>
    <t>NSE:TVSMOTOR</t>
  </si>
  <si>
    <t>NSE:TVSSRICHAK</t>
  </si>
  <si>
    <t>NSE:TVTODAY</t>
  </si>
  <si>
    <t>NSE:TVVISION</t>
  </si>
  <si>
    <t>NSE:TWL</t>
  </si>
  <si>
    <t>NSE:UBL</t>
  </si>
  <si>
    <t>NSE:UCALFUEL</t>
  </si>
  <si>
    <t>NSE:UCOBANK</t>
  </si>
  <si>
    <t>NSE:UFLEX</t>
  </si>
  <si>
    <t>NSE:UFO</t>
  </si>
  <si>
    <t>NSE:UGARSUGAR</t>
  </si>
  <si>
    <t>NSE:UJAAS</t>
  </si>
  <si>
    <t>NSE:UJJIVAN</t>
  </si>
  <si>
    <t>NSE:UJJIVANSFB</t>
  </si>
  <si>
    <t>NSE:ULTRACEMCO</t>
  </si>
  <si>
    <t>NSE:UMANGDAIRY</t>
  </si>
  <si>
    <t>NSE:UMESLTD</t>
  </si>
  <si>
    <t>NSE:UNICHEMLAB</t>
  </si>
  <si>
    <t>NSE:UNIDT</t>
  </si>
  <si>
    <t>NSE:UNIENTER</t>
  </si>
  <si>
    <t>NSE:UNIONBANK</t>
  </si>
  <si>
    <t>NSE:UNITECH</t>
  </si>
  <si>
    <t>NSE:UNITEDTEA</t>
  </si>
  <si>
    <t>NSE:UNIVASTU</t>
  </si>
  <si>
    <t>NSE:UNIVCABLES</t>
  </si>
  <si>
    <t>NSE:UNIVPHOTO</t>
  </si>
  <si>
    <t>NSE:UPL</t>
  </si>
  <si>
    <t>NSE:URJA</t>
  </si>
  <si>
    <t>NSE:USHAMART</t>
  </si>
  <si>
    <t>NSE:UTIAMC</t>
  </si>
  <si>
    <t>NSE:UTTAMSUGAR</t>
  </si>
  <si>
    <t>NSE:V2RETAIL</t>
  </si>
  <si>
    <t>NSE:VADILALIND</t>
  </si>
  <si>
    <t>NSE:VAIBHAVGBL</t>
  </si>
  <si>
    <t>NSE:VAISHALI</t>
  </si>
  <si>
    <t>NSE:VAKRANGEE</t>
  </si>
  <si>
    <t>NSE:VALIANTORG</t>
  </si>
  <si>
    <t>NSE:VARDHACRLC</t>
  </si>
  <si>
    <t>NSE:VARDMNPOLY</t>
  </si>
  <si>
    <t>NSE:VARROC</t>
  </si>
  <si>
    <t>NSE:VASCONEQ</t>
  </si>
  <si>
    <t>NSE:VASWANI</t>
  </si>
  <si>
    <t>NSE:VBL</t>
  </si>
  <si>
    <t>NSE:VEDL</t>
  </si>
  <si>
    <t>NSE:WSI</t>
  </si>
  <si>
    <t>NSE:VENUSREM</t>
  </si>
  <si>
    <t>NSE:VERTOZ</t>
  </si>
  <si>
    <t>NSE:VESUVIUS</t>
  </si>
  <si>
    <t>NSE:VETO</t>
  </si>
  <si>
    <t>NSE:VGUARD</t>
  </si>
  <si>
    <t>NSE:VHL</t>
  </si>
  <si>
    <t>NSE:VICEROY</t>
  </si>
  <si>
    <t>NSE:VIDHIING</t>
  </si>
  <si>
    <t>NSE:VIJIFIN</t>
  </si>
  <si>
    <t>NSE:VIKASECO</t>
  </si>
  <si>
    <t>NSE:VIKASLIFE</t>
  </si>
  <si>
    <t>NSE:VIKASPROP</t>
  </si>
  <si>
    <t>NSE:VIKASWSP</t>
  </si>
  <si>
    <t>NSE:VIMTALABS</t>
  </si>
  <si>
    <t>NSE:VINATIORGA</t>
  </si>
  <si>
    <t>NSE:VINDHYATEL</t>
  </si>
  <si>
    <t>NSE:VIPCLOTHNG</t>
  </si>
  <si>
    <t>NSE:VIPIND</t>
  </si>
  <si>
    <t>NSE:VIPULLTD</t>
  </si>
  <si>
    <t>NSE:VISAKAIND</t>
  </si>
  <si>
    <t>NSE:VISASTEEL</t>
  </si>
  <si>
    <t>NSE:VISHAL</t>
  </si>
  <si>
    <t>NSE:VISHNU</t>
  </si>
  <si>
    <t>NSE:VISHWARAJ</t>
  </si>
  <si>
    <t>NSE:VIVIDHA</t>
  </si>
  <si>
    <t>NSE:VIVIMEDLAB</t>
  </si>
  <si>
    <t>NSE:VLSFINANCE</t>
  </si>
  <si>
    <t>NSE:VMART</t>
  </si>
  <si>
    <t>NSE:VOLTAMP</t>
  </si>
  <si>
    <t>NSE:VOLTAS</t>
  </si>
  <si>
    <t>NSE:VRLLOG</t>
  </si>
  <si>
    <t>NSE:VSSL</t>
  </si>
  <si>
    <t>NSE:VSTIND</t>
  </si>
  <si>
    <t>NSE:VSTTILLERS</t>
  </si>
  <si>
    <t>NSE:VTL</t>
  </si>
  <si>
    <t>NSE:WABAG</t>
  </si>
  <si>
    <t>NSE:ZFCVINDIA</t>
  </si>
  <si>
    <t>NSE:WALCHANNAG</t>
  </si>
  <si>
    <t>NSE:WANBURY</t>
  </si>
  <si>
    <t>NSE:WATERBASE</t>
  </si>
  <si>
    <t>NSE:WEALTH</t>
  </si>
  <si>
    <t>NSE:WEBELSOLAR</t>
  </si>
  <si>
    <t>NSE:WEIZMANIND</t>
  </si>
  <si>
    <t>NSE:WELCORP</t>
  </si>
  <si>
    <t>NSE:WELENT</t>
  </si>
  <si>
    <t>NSE:WELINV</t>
  </si>
  <si>
    <t>NSE:WELSPUNIND</t>
  </si>
  <si>
    <t>NSE:WENDT</t>
  </si>
  <si>
    <t>NSE:WESTLIFE</t>
  </si>
  <si>
    <t>NSE:WHEELS</t>
  </si>
  <si>
    <t>NSE:WHIRLPOOL</t>
  </si>
  <si>
    <t>NSE:WILLAMAGOR</t>
  </si>
  <si>
    <t>NSE:WINDMACHIN</t>
  </si>
  <si>
    <t>NSE:WIPL</t>
  </si>
  <si>
    <t>NSE:WIPRO</t>
  </si>
  <si>
    <t>NSE:WOCKPHARMA</t>
  </si>
  <si>
    <t>NSE:WONDERLA</t>
  </si>
  <si>
    <t>NSE:WORTH</t>
  </si>
  <si>
    <t>NSE:AKSHARCHEM</t>
  </si>
  <si>
    <t>NSE:WSTCSTPAPR</t>
  </si>
  <si>
    <t>NSE:XCHANGING</t>
  </si>
  <si>
    <t>NSE:XELPMOC</t>
  </si>
  <si>
    <t>NSE:XPROINDIA</t>
  </si>
  <si>
    <t>NSE:YAARI</t>
  </si>
  <si>
    <t>NSE:YESBANK</t>
  </si>
  <si>
    <t>NSE:ZEEL</t>
  </si>
  <si>
    <t>NSE:ZEELEARN</t>
  </si>
  <si>
    <t>NSE:ZEEMEDIA</t>
  </si>
  <si>
    <t>NSE:ZENITHEXPO</t>
  </si>
  <si>
    <t>NSE:ZENSARTECH</t>
  </si>
  <si>
    <t>NSE:ZENTEC</t>
  </si>
  <si>
    <t>NSE:ZODIACLOTH</t>
  </si>
  <si>
    <t>NSE:ZOTA</t>
  </si>
  <si>
    <t>NSE:ZUARI</t>
  </si>
  <si>
    <t>NSE:ZUARIIND</t>
  </si>
  <si>
    <t>NSE:ZYDUSWELL</t>
  </si>
  <si>
    <t>BOM:500820</t>
  </si>
  <si>
    <t>BOM:532215</t>
  </si>
  <si>
    <t>BOM:532977</t>
  </si>
  <si>
    <t>BOM:500034</t>
  </si>
  <si>
    <t>BOM:532978</t>
  </si>
  <si>
    <t>BOM:532454</t>
  </si>
  <si>
    <t>BOM:500124</t>
  </si>
  <si>
    <t>BOM:532281</t>
  </si>
  <si>
    <t>BOM:500010</t>
  </si>
  <si>
    <t>BOM:500180</t>
  </si>
  <si>
    <t>BOM:500696</t>
  </si>
  <si>
    <t>BOM:532174</t>
  </si>
  <si>
    <t>BOM:532187</t>
  </si>
  <si>
    <t>BOM:500209</t>
  </si>
  <si>
    <t>BOM:500875</t>
  </si>
  <si>
    <t>BOM:500247</t>
  </si>
  <si>
    <t>BOM:500510</t>
  </si>
  <si>
    <t>BOM:500520</t>
  </si>
  <si>
    <t>BOM:532500</t>
  </si>
  <si>
    <t>BOM:500790</t>
  </si>
  <si>
    <t>BOM:532555</t>
  </si>
  <si>
    <t>BOM:500312</t>
  </si>
  <si>
    <t>BOM:532898</t>
  </si>
  <si>
    <t>BOM:500325</t>
  </si>
  <si>
    <t>BOM:500112</t>
  </si>
  <si>
    <t>BOM:524715</t>
  </si>
  <si>
    <t>BOM:532540</t>
  </si>
  <si>
    <t>BOM:532755</t>
  </si>
  <si>
    <t>BOM:500114</t>
  </si>
  <si>
    <t>BOM:532538</t>
  </si>
  <si>
    <t>NSE:ZOMATO</t>
  </si>
  <si>
    <t>BOM:543384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</si>
</sst>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yy&quot; &quot;h&quot;:&quot;mm&quot; &quot;am/pm"/>
    <numFmt numFmtId="165" formatCode="[$₹]#,##0.00"/>
    <numFmt numFmtId="166" formatCode="#,##0;(#,##0)"/>
  </numFmts>
  <fonts count="23">
    <font>
      <sz val="10.0"/>
      <color rgb="FF000000"/>
      <name val="Arial"/>
      <scheme val="minor"/>
    </font>
    <font>
      <color theme="1"/>
      <name val="HP Simplified"/>
    </font>
    <font>
      <sz val="22.0"/>
      <color rgb="FF000000"/>
      <name val="HP Simplified"/>
    </font>
    <font>
      <sz val="11.0"/>
      <color theme="1"/>
      <name val="HP Simplified"/>
    </font>
    <font>
      <b/>
      <sz val="16.0"/>
      <color theme="1"/>
      <name val="HP Simplified"/>
    </font>
    <font>
      <sz val="14.0"/>
      <color theme="1"/>
      <name val="HP Simplified"/>
    </font>
    <font/>
    <font>
      <sz val="12.0"/>
      <color theme="7"/>
      <name val="HP Simplified"/>
    </font>
    <font>
      <sz val="22.0"/>
      <color theme="1"/>
      <name val="HP Simplified"/>
    </font>
    <font>
      <sz val="22.0"/>
      <color theme="7"/>
      <name val="HP Simplified"/>
    </font>
    <font>
      <sz val="22.0"/>
      <color rgb="FFEA4335"/>
      <name val="HP Simplified"/>
    </font>
    <font>
      <b/>
      <sz val="11.0"/>
      <color rgb="FF00B0F0"/>
      <name val="HP Simplified"/>
    </font>
    <font>
      <color rgb="FFF3F3F3"/>
      <name val="HP Simplified"/>
    </font>
    <font>
      <color theme="7"/>
      <name val="HP Simplified"/>
    </font>
    <font>
      <color rgb="FFEA4335"/>
      <name val="HP Simplified"/>
    </font>
    <font>
      <u/>
      <sz val="11.0"/>
      <color rgb="FF0000FF"/>
      <name val="HP Simplified"/>
    </font>
    <font>
      <b/>
      <sz val="12.0"/>
      <color theme="1"/>
      <name val="HP Simplified"/>
    </font>
    <font>
      <sz val="11.0"/>
      <color theme="7"/>
      <name val="HP Simplified"/>
    </font>
    <font>
      <sz val="12.0"/>
      <color rgb="FF00B0F0"/>
      <name val="HP Simplified"/>
    </font>
    <font>
      <sz val="11.0"/>
      <color theme="1"/>
      <name val="Calibri"/>
    </font>
    <font>
      <sz val="8.0"/>
      <color theme="1"/>
      <name val="Calibri"/>
    </font>
    <font>
      <sz val="11.0"/>
      <color theme="1"/>
      <name val="Arial"/>
      <scheme val="minor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borderId="1" fillId="0" fontId="1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Alignment="1" applyBorder="1" applyFont="1">
      <alignment horizontal="center" readingOrder="0" vertical="center"/>
    </xf>
    <xf borderId="1" fillId="0" fontId="7" numFmtId="0" xfId="0" applyBorder="1" applyFont="1"/>
    <xf borderId="0" fillId="0" fontId="7" numFmtId="0" xfId="0" applyFont="1"/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" numFmtId="165" xfId="0" applyFont="1" applyNumberFormat="1"/>
    <xf borderId="0" fillId="0" fontId="13" numFmtId="165" xfId="0" applyFont="1" applyNumberFormat="1"/>
    <xf borderId="0" fillId="0" fontId="13" numFmtId="0" xfId="0" applyAlignment="1" applyFont="1">
      <alignment horizontal="right"/>
    </xf>
    <xf borderId="0" fillId="0" fontId="14" numFmtId="165" xfId="0" applyFont="1" applyNumberFormat="1"/>
    <xf borderId="0" fillId="0" fontId="14" numFmtId="0" xfId="0" applyAlignment="1" applyFont="1">
      <alignment horizontal="right"/>
    </xf>
    <xf borderId="0" fillId="0" fontId="1" numFmtId="166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2" numFmtId="0" xfId="0" applyFont="1"/>
    <xf borderId="0" fillId="0" fontId="15" numFmtId="0" xfId="0" applyAlignment="1" applyFont="1">
      <alignment readingOrder="0"/>
    </xf>
    <xf borderId="0" fillId="0" fontId="8" numFmtId="0" xfId="0" applyAlignment="1" applyFont="1">
      <alignment readingOrder="0"/>
    </xf>
    <xf borderId="2" fillId="0" fontId="16" numFmtId="0" xfId="0" applyAlignment="1" applyBorder="1" applyFont="1">
      <alignment readingOrder="0"/>
    </xf>
    <xf borderId="2" fillId="0" fontId="16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6" xfId="0" applyFont="1" applyNumberFormat="1"/>
    <xf borderId="0" fillId="0" fontId="3" numFmtId="0" xfId="0" applyAlignment="1" applyFont="1">
      <alignment horizontal="center"/>
    </xf>
    <xf borderId="0" fillId="0" fontId="17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165" xfId="0" applyFont="1" applyNumberFormat="1"/>
    <xf borderId="0" fillId="0" fontId="3" numFmtId="165" xfId="0" applyFont="1" applyNumberFormat="1"/>
    <xf borderId="0" fillId="0" fontId="18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166" xfId="0" applyBorder="1" applyFont="1" applyNumberFormat="1"/>
    <xf borderId="1" fillId="0" fontId="3" numFmtId="0" xfId="0" applyAlignment="1" applyBorder="1" applyFont="1">
      <alignment horizontal="center"/>
    </xf>
    <xf borderId="1" fillId="0" fontId="17" numFmtId="0" xfId="0" applyAlignment="1" applyBorder="1" applyFont="1">
      <alignment horizontal="right"/>
    </xf>
    <xf borderId="1" fillId="0" fontId="3" numFmtId="0" xfId="0" applyAlignment="1" applyBorder="1" applyFont="1">
      <alignment horizontal="left"/>
    </xf>
    <xf borderId="1" fillId="0" fontId="3" numFmtId="165" xfId="0" applyBorder="1" applyFont="1" applyNumberFormat="1"/>
    <xf borderId="1" fillId="0" fontId="3" numFmtId="165" xfId="0" applyBorder="1" applyFont="1" applyNumberFormat="1"/>
    <xf borderId="1" fillId="0" fontId="18" numFmtId="0" xfId="0" applyAlignment="1" applyBorder="1" applyFont="1">
      <alignment horizontal="center"/>
    </xf>
    <xf borderId="0" fillId="0" fontId="19" numFmtId="0" xfId="0" applyFont="1"/>
    <xf borderId="0" fillId="0" fontId="19" numFmtId="0" xfId="0" applyAlignment="1" applyFont="1">
      <alignment readingOrder="0"/>
    </xf>
    <xf borderId="0" fillId="0" fontId="19" numFmtId="0" xfId="0" applyFont="1"/>
    <xf borderId="0" fillId="0" fontId="20" numFmtId="0" xfId="0" applyFont="1"/>
    <xf borderId="0" fillId="0" fontId="20" numFmtId="0" xfId="0" applyAlignment="1" applyFont="1">
      <alignment readingOrder="0"/>
    </xf>
    <xf borderId="0" fillId="0" fontId="21" numFmtId="0" xfId="0" applyFont="1"/>
    <xf borderId="0" fillId="0" fontId="19" numFmtId="0" xfId="0" applyAlignment="1" applyFont="1">
      <alignment readingOrder="0"/>
    </xf>
    <xf borderId="0" fillId="2" fontId="19" numFmtId="0" xfId="0" applyAlignment="1" applyFill="1" applyFont="1">
      <alignment readingOrder="0"/>
    </xf>
    <xf borderId="0" fillId="3" fontId="19" numFmtId="0" xfId="0" applyAlignment="1" applyFill="1" applyFont="1">
      <alignment readingOrder="0"/>
    </xf>
    <xf borderId="0" fillId="3" fontId="19" numFmtId="0" xfId="0" applyFont="1"/>
    <xf borderId="0" fillId="3" fontId="19" numFmtId="166" xfId="0" applyFont="1" applyNumberFormat="1"/>
    <xf borderId="0" fillId="3" fontId="19" numFmtId="164" xfId="0" applyFont="1" applyNumberFormat="1"/>
    <xf borderId="0" fillId="4" fontId="19" numFmtId="0" xfId="0" applyAlignment="1" applyFill="1" applyFont="1">
      <alignment readingOrder="0"/>
    </xf>
    <xf borderId="0" fillId="4" fontId="19" numFmtId="0" xfId="0" applyFont="1"/>
    <xf borderId="0" fillId="4" fontId="19" numFmtId="166" xfId="0" applyFont="1" applyNumberFormat="1"/>
    <xf borderId="0" fillId="4" fontId="19" numFmtId="164" xfId="0" applyFont="1" applyNumberFormat="1"/>
    <xf borderId="0" fillId="3" fontId="19" numFmtId="0" xfId="0" applyAlignment="1" applyFont="1">
      <alignment readingOrder="0"/>
    </xf>
    <xf borderId="0" fillId="4" fontId="19" numFmtId="0" xfId="0" applyAlignment="1" applyFont="1">
      <alignment readingOrder="0"/>
    </xf>
    <xf borderId="0" fillId="3" fontId="22" numFmtId="0" xfId="0" applyAlignment="1" applyFont="1">
      <alignment readingOrder="0"/>
    </xf>
  </cellXfs>
  <cellStyles count="1">
    <cellStyle xfId="0" name="Normal" builtinId="0"/>
  </cellStyles>
  <dxfs count="10">
    <dxf>
      <font>
        <color theme="5"/>
      </font>
      <fill>
        <patternFill patternType="solid">
          <fgColor rgb="FFFFFFFF"/>
          <bgColor rgb="FFFFFFFF"/>
        </patternFill>
      </fill>
      <border/>
    </dxf>
    <dxf>
      <font>
        <color rgb="FFEA4335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BBC04"/>
      </font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GAINERS-style">
      <tableStyleElement dxfId="4" type="headerRow"/>
      <tableStyleElement dxfId="5" type="firstRowStripe"/>
      <tableStyleElement dxfId="4" type="secondRowStripe"/>
    </tableStyle>
    <tableStyle count="3" pivot="0" name="DECLINERS-style">
      <tableStyleElement dxfId="4" type="headerRow"/>
      <tableStyleElement dxfId="5" type="firstRowStripe"/>
      <tableStyleElement dxfId="7" type="secondRowStripe"/>
    </tableStyle>
    <tableStyle count="3" pivot="0" name="ACTIVES-style">
      <tableStyleElement dxfId="4" type="headerRow"/>
      <tableStyleElement dxfId="5" type="firstRowStripe"/>
      <tableStyleElement dxfId="7" type="secondRowStripe"/>
    </tableStyle>
    <tableStyle count="3" pivot="0" name="HELP-style">
      <tableStyleElement dxfId="8" type="headerRow"/>
      <tableStyleElement dxfId="4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3324225" cy="9963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104775</xdr:rowOff>
    </xdr:from>
    <xdr:ext cx="1143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O2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AIN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O22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ECLIN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O22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CTI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B1:H3" displayName="Table_4" name="Table_4" id="4">
  <tableColumns count="7">
    <tableColumn name="Index" id="1"/>
    <tableColumn name="Abbreviation" id="2"/>
    <tableColumn name="Symbol " id="3"/>
    <tableColumn name="Price" id="4"/>
    <tableColumn name="Change" id="5"/>
    <tableColumn name="Change %" id="6"/>
    <tableColumn name="Change (%)" id="7"/>
  </tableColumns>
  <tableStyleInfo name="HEL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2.13"/>
    <col customWidth="1" min="3" max="5" width="9.38"/>
    <col customWidth="1" min="6" max="6" width="4.75"/>
    <col customWidth="1" min="7" max="7" width="13.0"/>
    <col customWidth="1" min="8" max="9" width="9.38"/>
    <col customWidth="1" min="10" max="10" width="10.13"/>
    <col customWidth="1" min="13" max="13" width="6.25"/>
    <col customWidth="1" min="14" max="16" width="9.38"/>
    <col customWidth="1" min="17" max="17" width="6.13"/>
    <col customWidth="1" min="18" max="18" width="6.75"/>
  </cols>
  <sheetData>
    <row r="1" ht="44.25" customHeight="1">
      <c r="A1" s="1"/>
      <c r="B1" s="1"/>
      <c r="C1" s="2"/>
      <c r="D1" s="3" t="s">
        <v>0</v>
      </c>
      <c r="G1" s="1"/>
      <c r="H1" s="1"/>
      <c r="I1" s="1"/>
      <c r="J1" s="1"/>
      <c r="K1" s="1"/>
      <c r="L1" s="1"/>
      <c r="M1" s="1"/>
      <c r="N1" s="4">
        <f>MAX(L_DATA_LAST_TRD_TIME)+(Q1/24)</f>
        <v>46086.4167</v>
      </c>
      <c r="P1" s="5"/>
      <c r="Q1" s="6">
        <v>-5.5</v>
      </c>
      <c r="R1" s="6" t="s">
        <v>1</v>
      </c>
      <c r="T1" s="6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7" t="str">
        <f t="array" ref="D3">INDEX(L_HELP_ABBR,1)</f>
        <v>NIFTY 50</v>
      </c>
      <c r="F3" s="1"/>
      <c r="G3" s="1"/>
      <c r="H3" s="1"/>
      <c r="I3" s="1"/>
      <c r="J3" s="1"/>
      <c r="K3" s="7" t="str">
        <f t="array" ref="K3">INDEX(L_HELP_ABBR,2)</f>
        <v>BSE SENSEX</v>
      </c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8"/>
      <c r="D4" s="9">
        <f t="array" ref="D4">INDEX(L_HELP_PRICE,1)</f>
        <v>24765.9</v>
      </c>
      <c r="E4" s="10"/>
      <c r="F4" s="11" t="str">
        <f>IFERROR(IF(HELP!$F$2&lt;0,CHAR(9660),CHAR(9650)),)</f>
        <v>▲</v>
      </c>
      <c r="G4" s="12" t="str">
        <f>HELP!$H$2</f>
        <v>285.4 (1.17%)</v>
      </c>
      <c r="H4" s="10"/>
      <c r="I4" s="1"/>
      <c r="J4" s="1"/>
      <c r="K4" s="9">
        <f t="array" ref="K4">INDEX(L_HELP_PRICE,2)</f>
        <v>79927.4</v>
      </c>
      <c r="L4" s="10"/>
      <c r="M4" s="11" t="str">
        <f>IFERROR(IF(HELP!$F$3&lt;0,CHAR(9660),CHAR(9650)),)</f>
        <v>▲</v>
      </c>
      <c r="N4" s="12" t="str">
        <f>HELP!$H$3</f>
        <v>811.21 (1.03%)</v>
      </c>
      <c r="O4" s="12"/>
      <c r="P4" s="13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4">
        <f>COUNTA(L_DATA_SYMBOL)</f>
        <v>1621</v>
      </c>
      <c r="C6" s="1"/>
      <c r="D6" s="15" t="str">
        <f>CHAR(129033)</f>
        <v>🠉</v>
      </c>
      <c r="E6" s="14">
        <f>COUNTIFS(L_DATA_CHANGE,"&gt;0")</f>
        <v>1004</v>
      </c>
      <c r="F6" s="1"/>
      <c r="G6" s="16" t="str">
        <f>CHAR(129035)</f>
        <v>🠋</v>
      </c>
      <c r="H6" s="14">
        <f>COUNTIFS(L_DATA_CHANGE,"&lt;0")</f>
        <v>454</v>
      </c>
      <c r="I6" s="1"/>
      <c r="J6" s="14">
        <f>COUNTIFS(L_DATA_PRICE,"")</f>
        <v>156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ht="4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7" t="s">
        <v>2</v>
      </c>
      <c r="C8" s="1"/>
      <c r="D8" s="1"/>
      <c r="E8" s="6" t="s">
        <v>3</v>
      </c>
      <c r="F8" s="1"/>
      <c r="G8" s="1"/>
      <c r="H8" s="6" t="s">
        <v>4</v>
      </c>
      <c r="I8" s="1"/>
      <c r="J8" s="6" t="s">
        <v>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8" t="s">
        <v>6</v>
      </c>
      <c r="C11" s="1"/>
      <c r="D11" s="1"/>
      <c r="E11" s="1"/>
      <c r="F11" s="1"/>
      <c r="G11" s="18" t="s">
        <v>7</v>
      </c>
      <c r="H11" s="1"/>
      <c r="I11" s="1"/>
      <c r="J11" s="1"/>
      <c r="K11" s="1"/>
      <c r="L11" s="18" t="s">
        <v>8</v>
      </c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6" t="s">
        <v>9</v>
      </c>
      <c r="D12" s="6" t="s">
        <v>10</v>
      </c>
      <c r="E12" s="6" t="s">
        <v>11</v>
      </c>
      <c r="F12" s="1"/>
      <c r="G12" s="1"/>
      <c r="H12" s="6" t="s">
        <v>9</v>
      </c>
      <c r="I12" s="6" t="s">
        <v>10</v>
      </c>
      <c r="J12" s="6" t="s">
        <v>11</v>
      </c>
      <c r="K12" s="1"/>
      <c r="L12" s="1"/>
      <c r="M12" s="6" t="s">
        <v>9</v>
      </c>
      <c r="N12" s="19" t="s">
        <v>12</v>
      </c>
      <c r="P12" s="6" t="s">
        <v>11</v>
      </c>
      <c r="Q12" s="1"/>
      <c r="R12" s="1"/>
      <c r="S12" s="1"/>
      <c r="T12" s="1"/>
    </row>
    <row r="13" ht="21.75" customHeight="1">
      <c r="A13" s="20">
        <v>1.0</v>
      </c>
      <c r="B13" s="1" t="str">
        <f t="array" ref="B13">INDEX(L_GAINERS_TICKER,$A13)</f>
        <v>NSE:ELGIRUBCO</v>
      </c>
      <c r="C13" s="21">
        <f t="array" ref="C13">ROUND(INDEX(L_GAINERS_PRICE,A13),2)</f>
        <v>45.9</v>
      </c>
      <c r="D13" s="22">
        <f t="array" ref="D13">INDEX(L_GAINERS_CHANGE,A13)</f>
        <v>7.65</v>
      </c>
      <c r="E13" s="23" t="str">
        <f t="array" ref="E13">INDEX(L_GAINERS_CHANGEPCT,A13)</f>
        <v>20%</v>
      </c>
      <c r="F13" s="1"/>
      <c r="G13" s="1" t="str">
        <f t="array" ref="G13">INDEX(L_DECLINERS_TICKER,$A13)</f>
        <v>NSE:SARLAPOLY</v>
      </c>
      <c r="H13" s="21">
        <f t="array" ref="H13">ROUND(INDEX(L_DECLINERS_PRICE,A13),2)</f>
        <v>80.95</v>
      </c>
      <c r="I13" s="24">
        <f t="array" ref="I13">INDEX(L_DECLINERS_CHANGE,A13)</f>
        <v>-0.01</v>
      </c>
      <c r="J13" s="25" t="str">
        <f t="array" ref="J13">INDEX(L_DECLINERS_CHANGEPCT,A13)</f>
        <v>-0.01%</v>
      </c>
      <c r="K13" s="1"/>
      <c r="L13" s="1" t="str">
        <f t="array" ref="L13">INDEX(L_ACTIVES_TICKERS,$A13)</f>
        <v>NSE:IDEA</v>
      </c>
      <c r="M13" s="21">
        <f t="array" ref="M13">ROUND(INDEX(L_ACTIVES_PRICE,A13),2)</f>
        <v>10.25</v>
      </c>
      <c r="N13" s="1" t="str">
        <f>IFERROR(__xludf.DUMMYFUNCTION("SPARKLINE(INDEX(L_ACTIVES_VOL,A13),{""CHARTTYPE"",""BAR""; ""COLOR1"", ""#00B0F0""; ""MAX"",MAX($O$13:$O$22)})"),"")</f>
        <v/>
      </c>
      <c r="O13" s="26">
        <f t="array" ref="O13">INDEX(L_ACTIVES_VOL,A13)</f>
        <v>569460486</v>
      </c>
      <c r="P13" s="27" t="str">
        <f t="array" ref="P13">INDEX(L_ACTIVES_CHANGEPCT,A13)</f>
        <v>2.6%</v>
      </c>
      <c r="Q13" s="28">
        <f t="array" ref="Q13">INDEX(L_ACTIVES_CHANGE,A13)</f>
        <v>0.26</v>
      </c>
      <c r="R13" s="1"/>
      <c r="S13" s="1"/>
      <c r="T13" s="1"/>
    </row>
    <row r="14" ht="21.75" customHeight="1">
      <c r="A14" s="20">
        <v>2.0</v>
      </c>
      <c r="B14" s="1" t="str">
        <f t="array" ref="B14">INDEX(L_GAINERS_TICKER,$A14)</f>
        <v>NSE:CENTEXT</v>
      </c>
      <c r="C14" s="21">
        <f t="array" ref="C14">ROUND(INDEX(L_GAINERS_PRICE,A14),2)</f>
        <v>20.72</v>
      </c>
      <c r="D14" s="22">
        <f t="array" ref="D14">INDEX(L_GAINERS_CHANGE,A14)</f>
        <v>3.45</v>
      </c>
      <c r="E14" s="23" t="str">
        <f t="array" ref="E14">INDEX(L_GAINERS_CHANGEPCT,A14)</f>
        <v>19.98%</v>
      </c>
      <c r="F14" s="1"/>
      <c r="G14" s="1" t="str">
        <f t="array" ref="G14">INDEX(L_DECLINERS_TICKER,$A14)</f>
        <v>NSE:CYIENT</v>
      </c>
      <c r="H14" s="21">
        <f t="array" ref="H14">ROUND(INDEX(L_DECLINERS_PRICE,A14),2)</f>
        <v>882.1</v>
      </c>
      <c r="I14" s="24">
        <f t="array" ref="I14">INDEX(L_DECLINERS_CHANGE,A14)</f>
        <v>-0.15</v>
      </c>
      <c r="J14" s="25" t="str">
        <f t="array" ref="J14">INDEX(L_DECLINERS_CHANGEPCT,A14)</f>
        <v>-0.02%</v>
      </c>
      <c r="K14" s="1"/>
      <c r="L14" s="1" t="str">
        <f t="array" ref="L14">INDEX(L_ACTIVES_TICKERS,$A14)</f>
        <v>NSE:SUZLON</v>
      </c>
      <c r="M14" s="21">
        <f t="array" ref="M14">ROUND(INDEX(L_ACTIVES_PRICE,A14),2)</f>
        <v>40.3</v>
      </c>
      <c r="N14" s="1" t="str">
        <f>IFERROR(__xludf.DUMMYFUNCTION("SPARKLINE(INDEX(L_ACTIVES_VOL,A14),{""CHARTTYPE"",""BAR""; ""COLOR1"", ""#00B0F0""; ""MAX"",MAX($O$13:$O$22)})"),"")</f>
        <v/>
      </c>
      <c r="O14" s="26">
        <f t="array" ref="O14">INDEX(L_ACTIVES_VOL,A14)</f>
        <v>89160740</v>
      </c>
      <c r="P14" s="27" t="str">
        <f t="array" ref="P14">INDEX(L_ACTIVES_CHANGEPCT,A14)</f>
        <v>0.63%</v>
      </c>
      <c r="Q14" s="28">
        <f t="array" ref="Q14">INDEX(L_ACTIVES_CHANGE,A14)</f>
        <v>0.29</v>
      </c>
      <c r="R14" s="1"/>
      <c r="S14" s="1"/>
      <c r="T14" s="1"/>
    </row>
    <row r="15" ht="21.75" customHeight="1">
      <c r="A15" s="20">
        <v>3.0</v>
      </c>
      <c r="B15" s="1" t="str">
        <f t="array" ref="B15">INDEX(L_GAINERS_TICKER,$A15)</f>
        <v>NSE:AAKASH</v>
      </c>
      <c r="C15" s="21">
        <f t="array" ref="C15">ROUND(INDEX(L_GAINERS_PRICE,A15),2)</f>
        <v>11.9</v>
      </c>
      <c r="D15" s="22">
        <f t="array" ref="D15">INDEX(L_GAINERS_CHANGE,A15)</f>
        <v>1.98</v>
      </c>
      <c r="E15" s="23" t="str">
        <f t="array" ref="E15">INDEX(L_GAINERS_CHANGEPCT,A15)</f>
        <v>19.96%</v>
      </c>
      <c r="F15" s="1"/>
      <c r="G15" s="1" t="str">
        <f t="array" ref="G15">INDEX(L_DECLINERS_TICKER,$A15)</f>
        <v>NSE:JINDALSAW</v>
      </c>
      <c r="H15" s="21">
        <f t="array" ref="H15">ROUND(INDEX(L_DECLINERS_PRICE,A15),2)</f>
        <v>169.35</v>
      </c>
      <c r="I15" s="24">
        <f t="array" ref="I15">INDEX(L_DECLINERS_CHANGE,A15)</f>
        <v>-0.04</v>
      </c>
      <c r="J15" s="25" t="str">
        <f t="array" ref="J15">INDEX(L_DECLINERS_CHANGEPCT,A15)</f>
        <v>-0.02%</v>
      </c>
      <c r="K15" s="1"/>
      <c r="L15" s="1" t="str">
        <f t="array" ref="L15">INDEX(L_ACTIVES_TICKERS,$A15)</f>
        <v>NSE:YESBANK</v>
      </c>
      <c r="M15" s="21">
        <f t="array" ref="M15">ROUND(INDEX(L_ACTIVES_PRICE,A15),2)</f>
        <v>20.25</v>
      </c>
      <c r="N15" s="1" t="str">
        <f>IFERROR(__xludf.DUMMYFUNCTION("SPARKLINE(INDEX(L_ACTIVES_VOL,A15),{""CHARTTYPE"",""BAR""; ""COLOR1"", ""#00B0F0""; ""MAX"",MAX($O$13:$O$22)})"),"")</f>
        <v/>
      </c>
      <c r="O15" s="26">
        <f t="array" ref="O15">INDEX(L_ACTIVES_VOL,A15)</f>
        <v>70831696</v>
      </c>
      <c r="P15" s="27" t="str">
        <f t="array" ref="P15">INDEX(L_ACTIVES_CHANGEPCT,A15)</f>
        <v>1.05%</v>
      </c>
      <c r="Q15" s="28">
        <f t="array" ref="Q15">INDEX(L_ACTIVES_CHANGE,A15)</f>
        <v>0.24</v>
      </c>
      <c r="R15" s="1"/>
      <c r="S15" s="1"/>
      <c r="T15" s="1"/>
    </row>
    <row r="16" ht="21.75" customHeight="1">
      <c r="A16" s="20">
        <v>4.0</v>
      </c>
      <c r="B16" s="1" t="str">
        <f t="array" ref="B16">INDEX(L_GAINERS_TICKER,$A16)</f>
        <v>NSE:CREATIVEYE</v>
      </c>
      <c r="C16" s="21">
        <f t="array" ref="C16">ROUND(INDEX(L_GAINERS_PRICE,A16),2)</f>
        <v>6.95</v>
      </c>
      <c r="D16" s="22">
        <f t="array" ref="D16">INDEX(L_GAINERS_CHANGE,A16)</f>
        <v>0.82</v>
      </c>
      <c r="E16" s="23" t="str">
        <f t="array" ref="E16">INDEX(L_GAINERS_CHANGEPCT,A16)</f>
        <v>19.83%</v>
      </c>
      <c r="F16" s="1"/>
      <c r="G16" s="1" t="str">
        <f t="array" ref="G16">INDEX(L_DECLINERS_TICKER,$A16)</f>
        <v>NSE:NAHARINDUS</v>
      </c>
      <c r="H16" s="21">
        <f t="array" ref="H16">ROUND(INDEX(L_DECLINERS_PRICE,A16),2)</f>
        <v>92.7</v>
      </c>
      <c r="I16" s="24">
        <f t="array" ref="I16">INDEX(L_DECLINERS_CHANGE,A16)</f>
        <v>-0.02</v>
      </c>
      <c r="J16" s="25" t="str">
        <f t="array" ref="J16">INDEX(L_DECLINERS_CHANGEPCT,A16)</f>
        <v>-0.02%</v>
      </c>
      <c r="K16" s="1"/>
      <c r="L16" s="1" t="str">
        <f t="array" ref="L16">INDEX(L_ACTIVES_TICKERS,$A16)</f>
        <v>NSE:RPOWER</v>
      </c>
      <c r="M16" s="21">
        <f t="array" ref="M16">ROUND(INDEX(L_ACTIVES_PRICE,A16),2)</f>
        <v>22.65</v>
      </c>
      <c r="N16" s="1" t="str">
        <f>IFERROR(__xludf.DUMMYFUNCTION("SPARKLINE(INDEX(L_ACTIVES_VOL,A16),{""CHARTTYPE"",""BAR""; ""COLOR1"", ""#00B0F0""; ""MAX"",MAX($O$13:$O$22)})"),"")</f>
        <v/>
      </c>
      <c r="O16" s="26">
        <f t="array" ref="O16">INDEX(L_ACTIVES_VOL,A16)</f>
        <v>54074960</v>
      </c>
      <c r="P16" s="27" t="str">
        <f t="array" ref="P16">INDEX(L_ACTIVES_CHANGEPCT,A16)</f>
        <v>-2.2%</v>
      </c>
      <c r="Q16" s="28">
        <f t="array" ref="Q16">INDEX(L_ACTIVES_CHANGE,A16)</f>
        <v>-0.52</v>
      </c>
      <c r="R16" s="1"/>
      <c r="S16" s="1"/>
      <c r="T16" s="1"/>
    </row>
    <row r="17" ht="21.75" customHeight="1">
      <c r="A17" s="20">
        <v>5.0</v>
      </c>
      <c r="B17" s="1" t="str">
        <f t="array" ref="B17">INDEX(L_GAINERS_TICKER,$A17)</f>
        <v>NSE:ESSENTIA</v>
      </c>
      <c r="C17" s="21">
        <f t="array" ref="C17">ROUND(INDEX(L_GAINERS_PRICE,A17),2)</f>
        <v>1.46</v>
      </c>
      <c r="D17" s="22">
        <f t="array" ref="D17">INDEX(L_GAINERS_CHANGE,A17)</f>
        <v>0.24</v>
      </c>
      <c r="E17" s="23" t="str">
        <f t="array" ref="E17">INDEX(L_GAINERS_CHANGEPCT,A17)</f>
        <v>19.67%</v>
      </c>
      <c r="F17" s="1"/>
      <c r="G17" s="1" t="str">
        <f t="array" ref="G17">INDEX(L_DECLINERS_TICKER,$A17)</f>
        <v>NSE:SANGAMIND</v>
      </c>
      <c r="H17" s="21">
        <f t="array" ref="H17">ROUND(INDEX(L_DECLINERS_PRICE,A17),2)</f>
        <v>437.9</v>
      </c>
      <c r="I17" s="24">
        <f t="array" ref="I17">INDEX(L_DECLINERS_CHANGE,A17)</f>
        <v>-2.85</v>
      </c>
      <c r="J17" s="25" t="str">
        <f t="array" ref="J17">INDEX(L_DECLINERS_CHANGEPCT,A17)</f>
        <v>-0.02%</v>
      </c>
      <c r="K17" s="1"/>
      <c r="L17" s="1" t="str">
        <f t="array" ref="L17">INDEX(L_ACTIVES_TICKERS,$A17)</f>
        <v>NSE:TEJASNET</v>
      </c>
      <c r="M17" s="21">
        <f t="array" ref="M17">ROUND(INDEX(L_ACTIVES_PRICE,A17),2)</f>
        <v>493</v>
      </c>
      <c r="N17" s="1" t="str">
        <f>IFERROR(__xludf.DUMMYFUNCTION("SPARKLINE(INDEX(L_ACTIVES_VOL,A17),{""CHARTTYPE"",""BAR""; ""COLOR1"", ""#00B0F0""; ""MAX"",MAX($O$13:$O$22)})"),"")</f>
        <v/>
      </c>
      <c r="O17" s="26">
        <f t="array" ref="O17">INDEX(L_ACTIVES_VOL,A17)</f>
        <v>48670589</v>
      </c>
      <c r="P17" s="27" t="str">
        <f t="array" ref="P17">INDEX(L_ACTIVES_CHANGEPCT,A17)</f>
        <v>-1.33%</v>
      </c>
      <c r="Q17" s="28">
        <f t="array" ref="Q17">INDEX(L_ACTIVES_CHANGE,A17)</f>
        <v>-6.65</v>
      </c>
      <c r="R17" s="1"/>
      <c r="S17" s="1"/>
      <c r="T17" s="1"/>
    </row>
    <row r="18" ht="21.75" customHeight="1">
      <c r="A18" s="20">
        <v>6.0</v>
      </c>
      <c r="B18" s="1" t="str">
        <f t="array" ref="B18">INDEX(L_GAINERS_TICKER,$A18)</f>
        <v>NSE:BALAJITELE</v>
      </c>
      <c r="C18" s="21">
        <f t="array" ref="C18">ROUND(INDEX(L_GAINERS_PRICE,A18),2)</f>
        <v>108</v>
      </c>
      <c r="D18" s="22">
        <f t="array" ref="D18">INDEX(L_GAINERS_CHANGE,A18)</f>
        <v>14.11</v>
      </c>
      <c r="E18" s="23" t="str">
        <f t="array" ref="E18">INDEX(L_GAINERS_CHANGEPCT,A18)</f>
        <v>15.03%</v>
      </c>
      <c r="F18" s="1"/>
      <c r="G18" s="1" t="str">
        <f t="array" ref="G18">INDEX(L_DECLINERS_TICKER,$A18)</f>
        <v>NSE:TAJGVK</v>
      </c>
      <c r="H18" s="21">
        <f t="array" ref="H18">ROUND(INDEX(L_DECLINERS_PRICE,A18),2)</f>
        <v>332.85</v>
      </c>
      <c r="I18" s="24">
        <f t="array" ref="I18">INDEX(L_DECLINERS_CHANGE,A18)</f>
        <v>-0.05</v>
      </c>
      <c r="J18" s="25" t="str">
        <f t="array" ref="J18">INDEX(L_DECLINERS_CHANGEPCT,A18)</f>
        <v>-0.02%</v>
      </c>
      <c r="K18" s="1"/>
      <c r="L18" s="1" t="str">
        <f t="array" ref="L18">INDEX(L_ACTIVES_TICKERS,$A18)</f>
        <v>NSE:NATIONALUM</v>
      </c>
      <c r="M18" s="21">
        <f t="array" ref="M18">ROUND(INDEX(L_ACTIVES_PRICE,A18),2)</f>
        <v>397.95</v>
      </c>
      <c r="N18" s="1" t="str">
        <f>IFERROR(__xludf.DUMMYFUNCTION("SPARKLINE(INDEX(L_ACTIVES_VOL,A18),{""CHARTTYPE"",""BAR""; ""COLOR1"", ""#00B0F0""; ""MAX"",MAX($O$13:$O$22)})"),"")</f>
        <v/>
      </c>
      <c r="O18" s="26">
        <f t="array" ref="O18">INDEX(L_ACTIVES_VOL,A18)</f>
        <v>45531510</v>
      </c>
      <c r="P18" s="27" t="str">
        <f t="array" ref="P18">INDEX(L_ACTIVES_CHANGEPCT,A18)</f>
        <v>6.55%</v>
      </c>
      <c r="Q18" s="28">
        <f t="array" ref="Q18">INDEX(L_ACTIVES_CHANGE,A18)</f>
        <v>24.45</v>
      </c>
      <c r="R18" s="1"/>
      <c r="S18" s="1"/>
      <c r="T18" s="1"/>
    </row>
    <row r="19" ht="21.75" customHeight="1">
      <c r="A19" s="20">
        <v>7.0</v>
      </c>
      <c r="B19" s="1" t="str">
        <f t="array" ref="B19">INDEX(L_GAINERS_TICKER,$A19)</f>
        <v>NSE:RUBYMILLS</v>
      </c>
      <c r="C19" s="21">
        <f t="array" ref="C19">ROUND(INDEX(L_GAINERS_PRICE,A19),2)</f>
        <v>228.5</v>
      </c>
      <c r="D19" s="22">
        <f t="array" ref="D19">INDEX(L_GAINERS_CHANGE,A19)</f>
        <v>24.62</v>
      </c>
      <c r="E19" s="23" t="str">
        <f t="array" ref="E19">INDEX(L_GAINERS_CHANGEPCT,A19)</f>
        <v>12.08%</v>
      </c>
      <c r="F19" s="1"/>
      <c r="G19" s="1" t="str">
        <f t="array" ref="G19">INDEX(L_DECLINERS_TICKER,$A19)</f>
        <v>NSE:DEN</v>
      </c>
      <c r="H19" s="21">
        <f t="array" ref="H19">ROUND(INDEX(L_DECLINERS_PRICE,A19),2)</f>
        <v>27.05</v>
      </c>
      <c r="I19" s="24">
        <f t="array" ref="I19">INDEX(L_DECLINERS_CHANGE,A19)</f>
        <v>-0.01</v>
      </c>
      <c r="J19" s="25" t="str">
        <f t="array" ref="J19">INDEX(L_DECLINERS_CHANGEPCT,A19)</f>
        <v>-0.04%</v>
      </c>
      <c r="K19" s="1"/>
      <c r="L19" s="1" t="str">
        <f t="array" ref="L19">INDEX(L_ACTIVES_TICKERS,$A19)</f>
        <v>NSE:TATASTEEL</v>
      </c>
      <c r="M19" s="21">
        <f t="array" ref="M19">ROUND(INDEX(L_ACTIVES_PRICE,A19),2)</f>
        <v>200.72</v>
      </c>
      <c r="N19" s="1" t="str">
        <f>IFERROR(__xludf.DUMMYFUNCTION("SPARKLINE(INDEX(L_ACTIVES_VOL,A19),{""CHARTTYPE"",""BAR""; ""COLOR1"", ""#00B0F0""; ""MAX"",MAX($O$13:$O$22)})"),"")</f>
        <v/>
      </c>
      <c r="O19" s="26">
        <f t="array" ref="O19">INDEX(L_ACTIVES_VOL,A19)</f>
        <v>41027644</v>
      </c>
      <c r="P19" s="27" t="str">
        <f t="array" ref="P19">INDEX(L_ACTIVES_CHANGEPCT,A19)</f>
        <v>2.03%</v>
      </c>
      <c r="Q19" s="28">
        <f t="array" ref="Q19">INDEX(L_ACTIVES_CHANGE,A19)</f>
        <v>3.87</v>
      </c>
      <c r="R19" s="1"/>
      <c r="S19" s="1"/>
      <c r="T19" s="1"/>
    </row>
    <row r="20" ht="21.75" customHeight="1">
      <c r="A20" s="20">
        <v>8.0</v>
      </c>
      <c r="B20" s="1" t="str">
        <f t="array" ref="B20">INDEX(L_GAINERS_TICKER,$A20)</f>
        <v>NSE:RAMKY</v>
      </c>
      <c r="C20" s="21">
        <f t="array" ref="C20">ROUND(INDEX(L_GAINERS_PRICE,A20),2)</f>
        <v>480</v>
      </c>
      <c r="D20" s="22">
        <f t="array" ref="D20">INDEX(L_GAINERS_CHANGE,A20)</f>
        <v>49.5</v>
      </c>
      <c r="E20" s="23" t="str">
        <f t="array" ref="E20">INDEX(L_GAINERS_CHANGEPCT,A20)</f>
        <v>11.5%</v>
      </c>
      <c r="F20" s="1"/>
      <c r="G20" s="1" t="str">
        <f t="array" ref="G20">INDEX(L_DECLINERS_TICKER,$A20)</f>
        <v>NSE:INDIAMART</v>
      </c>
      <c r="H20" s="21">
        <f t="array" ref="H20">ROUND(INDEX(L_DECLINERS_PRICE,A20),2)</f>
        <v>2080</v>
      </c>
      <c r="I20" s="24">
        <f t="array" ref="I20">INDEX(L_DECLINERS_CHANGE,A20)</f>
        <v>-0.5</v>
      </c>
      <c r="J20" s="25" t="str">
        <f t="array" ref="J20">INDEX(L_DECLINERS_CHANGEPCT,A20)</f>
        <v>-0.04%</v>
      </c>
      <c r="K20" s="1"/>
      <c r="L20" s="1" t="str">
        <f t="array" ref="L20">INDEX(L_ACTIVES_TICKERS,$A20)</f>
        <v>NSE:ONGC</v>
      </c>
      <c r="M20" s="21">
        <f t="array" ref="M20">ROUND(INDEX(L_ACTIVES_PRICE,A20),2)</f>
        <v>276.75</v>
      </c>
      <c r="N20" s="1" t="str">
        <f>IFERROR(__xludf.DUMMYFUNCTION("SPARKLINE(INDEX(L_ACTIVES_VOL,A20),{""CHARTTYPE"",""BAR""; ""COLOR1"", ""#00B0F0""; ""MAX"",MAX($O$13:$O$22)})"),"")</f>
        <v/>
      </c>
      <c r="O20" s="26">
        <f t="array" ref="O20">INDEX(L_ACTIVES_VOL,A20)</f>
        <v>40566322</v>
      </c>
      <c r="P20" s="27" t="str">
        <f t="array" ref="P20">INDEX(L_ACTIVES_CHANGEPCT,A20)</f>
        <v>-0.07%</v>
      </c>
      <c r="Q20" s="28">
        <f t="array" ref="Q20">INDEX(L_ACTIVES_CHANGE,A20)</f>
        <v>-0.2</v>
      </c>
      <c r="R20" s="1"/>
      <c r="S20" s="1"/>
      <c r="T20" s="1"/>
    </row>
    <row r="21" ht="21.75" customHeight="1">
      <c r="A21" s="20">
        <v>9.0</v>
      </c>
      <c r="B21" s="1" t="str">
        <f t="array" ref="B21">INDEX(L_GAINERS_TICKER,$A21)</f>
        <v>NSE:AARVI</v>
      </c>
      <c r="C21" s="21">
        <f t="array" ref="C21">ROUND(INDEX(L_GAINERS_PRICE,A21),2)</f>
        <v>130</v>
      </c>
      <c r="D21" s="22">
        <f t="array" ref="D21">INDEX(L_GAINERS_CHANGE,A21)</f>
        <v>12.74</v>
      </c>
      <c r="E21" s="23" t="str">
        <f t="array" ref="E21">INDEX(L_GAINERS_CHANGEPCT,A21)</f>
        <v>10.86%</v>
      </c>
      <c r="F21" s="1"/>
      <c r="G21" s="1" t="str">
        <f t="array" ref="G21">INDEX(L_DECLINERS_TICKER,$A21)</f>
        <v>NSE:STERTOOLS</v>
      </c>
      <c r="H21" s="21">
        <f t="array" ref="H21">ROUND(INDEX(L_DECLINERS_PRICE,A21),2)</f>
        <v>206.4</v>
      </c>
      <c r="I21" s="24">
        <f t="array" ref="I21">INDEX(L_DECLINERS_CHANGE,A21)</f>
        <v>0.73</v>
      </c>
      <c r="J21" s="25" t="str">
        <f t="array" ref="J21">INDEX(L_DECLINERS_CHANGEPCT,A21)</f>
        <v>-0.04%</v>
      </c>
      <c r="K21" s="1"/>
      <c r="L21" s="1" t="str">
        <f t="array" ref="L21">INDEX(L_ACTIVES_TICKERS,$A21)</f>
        <v>NSE:BEL</v>
      </c>
      <c r="M21" s="21">
        <f t="array" ref="M21">ROUND(INDEX(L_ACTIVES_PRICE,A21),2)</f>
        <v>462</v>
      </c>
      <c r="N21" s="1" t="str">
        <f>IFERROR(__xludf.DUMMYFUNCTION("SPARKLINE(INDEX(L_ACTIVES_VOL,A21),{""CHARTTYPE"",""BAR""; ""COLOR1"", ""#00B0F0""; ""MAX"",MAX($O$13:$O$22)})"),"")</f>
        <v/>
      </c>
      <c r="O21" s="26">
        <f t="array" ref="O21">INDEX(L_ACTIVES_VOL,A21)</f>
        <v>38019323</v>
      </c>
      <c r="P21" s="27" t="str">
        <f t="array" ref="P21">INDEX(L_ACTIVES_CHANGEPCT,A21)</f>
        <v>3.39%</v>
      </c>
      <c r="Q21" s="28">
        <f t="array" ref="Q21">INDEX(L_ACTIVES_CHANGE,A21)</f>
        <v>15.15</v>
      </c>
      <c r="R21" s="1"/>
      <c r="S21" s="1"/>
      <c r="T21" s="1"/>
    </row>
    <row r="22" ht="21.75" customHeight="1">
      <c r="A22" s="20">
        <v>10.0</v>
      </c>
      <c r="B22" s="1" t="str">
        <f t="array" ref="B22">INDEX(L_GAINERS_TICKER,$A22)</f>
        <v>NSE:JINDALPOLY</v>
      </c>
      <c r="C22" s="21">
        <f t="array" ref="C22">ROUND(INDEX(L_GAINERS_PRICE,A22),2)</f>
        <v>735</v>
      </c>
      <c r="D22" s="22">
        <f t="array" ref="D22">INDEX(L_GAINERS_CHANGE,A22)</f>
        <v>71.35</v>
      </c>
      <c r="E22" s="23" t="str">
        <f t="array" ref="E22">INDEX(L_GAINERS_CHANGEPCT,A22)</f>
        <v>10.58%</v>
      </c>
      <c r="F22" s="1"/>
      <c r="G22" s="1" t="str">
        <f t="array" ref="G22">INDEX(L_DECLINERS_TICKER,$A22)</f>
        <v>NSE:BEPL</v>
      </c>
      <c r="H22" s="21">
        <f t="array" ref="H22">ROUND(INDEX(L_DECLINERS_PRICE,A22),2)</f>
        <v>78</v>
      </c>
      <c r="I22" s="24">
        <f t="array" ref="I22">INDEX(L_DECLINERS_CHANGE,A22)</f>
        <v>0.11</v>
      </c>
      <c r="J22" s="25" t="str">
        <f t="array" ref="J22">INDEX(L_DECLINERS_CHANGEPCT,A22)</f>
        <v>-0.05%</v>
      </c>
      <c r="K22" s="1"/>
      <c r="L22" s="1" t="str">
        <f t="array" ref="L22">INDEX(L_ACTIVES_TICKERS,$A22)</f>
        <v>NSE:SEPC</v>
      </c>
      <c r="M22" s="21">
        <f t="array" ref="M22">ROUND(INDEX(L_ACTIVES_PRICE,A22),2)</f>
        <v>6.9</v>
      </c>
      <c r="N22" s="1" t="str">
        <f>IFERROR(__xludf.DUMMYFUNCTION("SPARKLINE(INDEX(L_ACTIVES_VOL,A22),{""CHARTTYPE"",""BAR""; ""COLOR1"", ""#00B0F0""; ""MAX"",MAX($O$13:$O$22)})"),"")</f>
        <v/>
      </c>
      <c r="O22" s="26">
        <f t="array" ref="O22">INDEX(L_ACTIVES_VOL,A22)</f>
        <v>33490604</v>
      </c>
      <c r="P22" s="27" t="str">
        <f t="array" ref="P22">INDEX(L_ACTIVES_CHANGEPCT,A22)</f>
        <v>-2.26%</v>
      </c>
      <c r="Q22" s="28">
        <f t="array" ref="Q22">INDEX(L_ACTIVES_CHANGE,A22)</f>
        <v>-0.16</v>
      </c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29" t="s">
        <v>13</v>
      </c>
      <c r="C24" s="1"/>
      <c r="D24" s="1"/>
      <c r="E24" s="1"/>
      <c r="F24" s="1"/>
      <c r="G24" s="29" t="s">
        <v>13</v>
      </c>
      <c r="H24" s="1"/>
      <c r="I24" s="1"/>
      <c r="J24" s="1"/>
      <c r="K24" s="1"/>
      <c r="L24" s="29" t="s">
        <v>13</v>
      </c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mergeCells count="8">
    <mergeCell ref="D1:F1"/>
    <mergeCell ref="N1:O1"/>
    <mergeCell ref="D3:E3"/>
    <mergeCell ref="K3:L3"/>
    <mergeCell ref="D4:E4"/>
    <mergeCell ref="G4:H4"/>
    <mergeCell ref="K4:L4"/>
    <mergeCell ref="N12:O12"/>
  </mergeCells>
  <conditionalFormatting sqref="F4">
    <cfRule type="expression" dxfId="0" priority="1">
      <formula>INDIRECT("HELP!$F$2")&lt;0</formula>
    </cfRule>
  </conditionalFormatting>
  <conditionalFormatting sqref="M4">
    <cfRule type="expression" dxfId="0" priority="2">
      <formula>INDIRECT("HELP!$F$3")&lt;0</formula>
    </cfRule>
  </conditionalFormatting>
  <conditionalFormatting sqref="G4:H4">
    <cfRule type="expression" dxfId="0" priority="3">
      <formula>INDIRECT("HELP!$F$2")&lt;0</formula>
    </cfRule>
  </conditionalFormatting>
  <conditionalFormatting sqref="N4:P4">
    <cfRule type="expression" dxfId="0" priority="4">
      <formula>INDIRECT("HELP!$F$3")&lt;0</formula>
    </cfRule>
  </conditionalFormatting>
  <conditionalFormatting sqref="D13:E22">
    <cfRule type="expression" dxfId="1" priority="5">
      <formula>$D13&lt;0</formula>
    </cfRule>
  </conditionalFormatting>
  <conditionalFormatting sqref="I13:J22">
    <cfRule type="expression" dxfId="2" priority="6">
      <formula>$I13&gt;0</formula>
    </cfRule>
  </conditionalFormatting>
  <conditionalFormatting sqref="P13:P22">
    <cfRule type="expression" dxfId="1" priority="7">
      <formula>$Q13&lt;0</formula>
    </cfRule>
  </conditionalFormatting>
  <conditionalFormatting sqref="P13:P22">
    <cfRule type="expression" dxfId="2" priority="8">
      <formula>$Q13&gt;0</formula>
    </cfRule>
  </conditionalFormatting>
  <hyperlinks>
    <hyperlink display="View More" location="GAINERS!A1" ref="B24"/>
    <hyperlink display="View More" location="DECLINERS!A1" ref="G24"/>
    <hyperlink display="View More" location="ACTIVES!A1" ref="L2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hidden="1" min="2" max="2" width="12.63"/>
    <col customWidth="1" min="3" max="3" width="15.13"/>
    <col customWidth="1" min="4" max="4" width="28.88"/>
    <col customWidth="1" min="8" max="8" width="4.25"/>
    <col customWidth="1" hidden="1" min="10" max="10" width="5.75"/>
    <col customWidth="1" min="11" max="11" width="19.0"/>
    <col customWidth="1" min="13" max="13" width="13.88"/>
    <col customWidth="1" min="14" max="14" width="15.88"/>
    <col customWidth="1" min="15" max="15" width="13.75"/>
  </cols>
  <sheetData>
    <row r="1" ht="25.5" customHeight="1">
      <c r="A1" s="30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31" t="s">
        <v>15</v>
      </c>
      <c r="B2" s="31" t="s">
        <v>16</v>
      </c>
      <c r="C2" s="31" t="s">
        <v>17</v>
      </c>
      <c r="D2" s="31" t="s">
        <v>18</v>
      </c>
      <c r="E2" s="32" t="s">
        <v>12</v>
      </c>
      <c r="F2" s="32" t="s">
        <v>9</v>
      </c>
      <c r="G2" s="32" t="s">
        <v>10</v>
      </c>
      <c r="H2" s="31"/>
      <c r="I2" s="31" t="s">
        <v>11</v>
      </c>
      <c r="J2" s="31"/>
      <c r="K2" s="32" t="s">
        <v>19</v>
      </c>
      <c r="L2" s="32" t="s">
        <v>20</v>
      </c>
      <c r="M2" s="31" t="s">
        <v>21</v>
      </c>
      <c r="N2" s="32" t="s">
        <v>22</v>
      </c>
      <c r="O2" s="31" t="s">
        <v>23</v>
      </c>
      <c r="P2" s="1"/>
      <c r="Q2" s="1"/>
      <c r="R2" s="1"/>
      <c r="S2" s="1"/>
    </row>
    <row r="3">
      <c r="A3" s="33">
        <v>1.0</v>
      </c>
      <c r="B3" s="34">
        <f>MATCH(A3,L_DATA_TOP_GAIN_PCT,0)</f>
        <v>396</v>
      </c>
      <c r="C3" s="34" t="str">
        <f t="array" ref="C3">IFERROR(INDEX(L_DATA_SYMBOL,B3),)</f>
        <v>NSE:ELGIRUBCO</v>
      </c>
      <c r="D3" s="34" t="str">
        <f>IFERROR(__xludf.DUMMYFUNCTION("IFERROR(GOOGLEFINANCE(C3,""NAME""),)"),"ELGI Rubber Co Ltd")</f>
        <v>ELGI Rubber Co Ltd</v>
      </c>
      <c r="E3" s="35">
        <f t="array" ref="E3">IFERROR(INDEX(L_DATA_VOL,$B3),)</f>
        <v>760412</v>
      </c>
      <c r="F3" s="34">
        <f t="array" ref="F3">IFERROR(INDEX(L_DATA_PRICE,$B3),)</f>
        <v>45.9</v>
      </c>
      <c r="G3" s="36">
        <f t="array" ref="G3">IFERROR(INDEX(L_DATA_CHANGE,$B3),)</f>
        <v>7.65</v>
      </c>
      <c r="H3" s="37" t="str">
        <f t="shared" ref="H3:H22" si="1">IFERROR(IF($J3="","",IFS($J3&gt;=0.05,CHAR(129033),$J3&lt;0,CHAR(129035),$J3&lt;0.05,CHAR(129034))),)</f>
        <v>🠉</v>
      </c>
      <c r="I3" s="38" t="str">
        <f t="array" ref="I3">IFERROR(INDEX(L_DATA_CHNG_PCT_FML,$B3),)</f>
        <v>20%</v>
      </c>
      <c r="J3" s="34">
        <f t="array" ref="J3">IFERROR(INDEX(L_DATA_CHANGEPCT,$B3),)</f>
        <v>20</v>
      </c>
      <c r="K3" s="39">
        <f>IFERROR(__xludf.DUMMYFUNCTION("IFERROR(GOOGLEFINANCE(C3,""MARKETCAP""),)"),2.297295535E9)</f>
        <v>2297295535</v>
      </c>
      <c r="L3" s="34" t="str">
        <f>IFERROR(__xludf.DUMMYFUNCTION("IFERROR(GOOGLEFINANCE(C3,""PE""),)"),"")</f>
        <v/>
      </c>
      <c r="M3" s="40">
        <f>IFERROR(__xludf.DUMMYFUNCTION("IFERROR(GOOGLEFINANCE(C3,""LOW52""),)"),36.0)</f>
        <v>36</v>
      </c>
      <c r="N3" s="41" t="str">
        <f t="shared" ref="N3:N22" si="2">IFERROR(REPT(CHAR(45),QUOTIENT(($F3 -$M3),ROUND( ($O3-$M3) /10,2)))
&amp;CHAR(9660)&amp;REPT(CHAR(45),9-QUOTIENT(($F3 -$M3),ROUND( ($O3-$M3) /10,2))),"")</f>
        <v>-▼--------</v>
      </c>
      <c r="O3" s="40">
        <f>IFERROR(__xludf.DUMMYFUNCTION("IFERROR(GOOGLEFINANCE(C3,""HIGH52""),)"),90.5)</f>
        <v>90.5</v>
      </c>
      <c r="P3" s="1"/>
      <c r="Q3" s="1"/>
      <c r="R3" s="1"/>
      <c r="S3" s="1"/>
    </row>
    <row r="4">
      <c r="A4" s="33">
        <v>2.0</v>
      </c>
      <c r="B4" s="34">
        <f>MATCH(A4,L_DATA_TOP_GAIN_PCT,0)</f>
        <v>268</v>
      </c>
      <c r="C4" s="34" t="str">
        <f t="array" ref="C4">IFERROR(INDEX(L_DATA_SYMBOL,B4),)</f>
        <v>NSE:CENTEXT</v>
      </c>
      <c r="D4" s="34" t="str">
        <f>IFERROR(__xludf.DUMMYFUNCTION("IFERROR(GOOGLEFINANCE(C4,""NAME""),)"),"Century Extrusions Ltd")</f>
        <v>Century Extrusions Ltd</v>
      </c>
      <c r="E4" s="35">
        <f t="array" ref="E4">IFERROR(INDEX(L_DATA_VOL,$B4),)</f>
        <v>408583</v>
      </c>
      <c r="F4" s="34">
        <f t="array" ref="F4">IFERROR(INDEX(L_DATA_PRICE,$B4),)</f>
        <v>20.72</v>
      </c>
      <c r="G4" s="36">
        <f t="array" ref="G4">IFERROR(INDEX(L_DATA_CHANGE,$B4),)</f>
        <v>3.45</v>
      </c>
      <c r="H4" s="37" t="str">
        <f t="shared" si="1"/>
        <v>🠉</v>
      </c>
      <c r="I4" s="38" t="str">
        <f t="array" ref="I4">IFERROR(INDEX(L_DATA_CHNG_PCT_FML,$B4),)</f>
        <v>19.98%</v>
      </c>
      <c r="J4" s="34">
        <f t="array" ref="J4">IFERROR(INDEX(L_DATA_CHANGEPCT,$B4),)</f>
        <v>19.98</v>
      </c>
      <c r="K4" s="39">
        <f>IFERROR(__xludf.DUMMYFUNCTION("IFERROR(GOOGLEFINANCE(C4,""MARKETCAP""),)"),1.666202551E9)</f>
        <v>1666202551</v>
      </c>
      <c r="L4" s="34" t="str">
        <f>IFERROR(__xludf.DUMMYFUNCTION("IFERROR(GOOGLEFINANCE(C4,""PE""),)"),"")</f>
        <v/>
      </c>
      <c r="M4" s="40">
        <f>IFERROR(__xludf.DUMMYFUNCTION("IFERROR(GOOGLEFINANCE(C4,""LOW52""),)"),16.26)</f>
        <v>16.26</v>
      </c>
      <c r="N4" s="41" t="str">
        <f t="shared" si="2"/>
        <v>--▼-------</v>
      </c>
      <c r="O4" s="40">
        <f>IFERROR(__xludf.DUMMYFUNCTION("IFERROR(GOOGLEFINANCE(C4,""HIGH52""),)"),34.75)</f>
        <v>34.75</v>
      </c>
      <c r="P4" s="1"/>
      <c r="Q4" s="1"/>
      <c r="R4" s="1"/>
      <c r="S4" s="1"/>
    </row>
    <row r="5">
      <c r="A5" s="33">
        <v>3.0</v>
      </c>
      <c r="B5" s="34">
        <f>MATCH(A5,L_DATA_TOP_GAIN_PCT,0)</f>
        <v>9</v>
      </c>
      <c r="C5" s="34" t="str">
        <f t="array" ref="C5">IFERROR(INDEX(L_DATA_SYMBOL,B5),)</f>
        <v>NSE:AAKASH</v>
      </c>
      <c r="D5" s="34" t="str">
        <f>IFERROR(__xludf.DUMMYFUNCTION("IFERROR(GOOGLEFINANCE(C5,""NAME""),)"),"Aakash Exploration Services Ltd")</f>
        <v>Aakash Exploration Services Ltd</v>
      </c>
      <c r="E5" s="35">
        <f t="array" ref="E5">IFERROR(INDEX(L_DATA_VOL,$B5),)</f>
        <v>5693099</v>
      </c>
      <c r="F5" s="34">
        <f t="array" ref="F5">IFERROR(INDEX(L_DATA_PRICE,$B5),)</f>
        <v>11.9</v>
      </c>
      <c r="G5" s="36">
        <f t="array" ref="G5">IFERROR(INDEX(L_DATA_CHANGE,$B5),)</f>
        <v>1.98</v>
      </c>
      <c r="H5" s="37" t="str">
        <f t="shared" si="1"/>
        <v>🠉</v>
      </c>
      <c r="I5" s="38" t="str">
        <f t="array" ref="I5">IFERROR(INDEX(L_DATA_CHNG_PCT_FML,$B5),)</f>
        <v>19.96%</v>
      </c>
      <c r="J5" s="34">
        <f t="array" ref="J5">IFERROR(INDEX(L_DATA_CHANGEPCT,$B5),)</f>
        <v>19.96</v>
      </c>
      <c r="K5" s="39">
        <f>IFERROR(__xludf.DUMMYFUNCTION("IFERROR(GOOGLEFINANCE(C5,""MARKETCAP""),)"),1.204874961E9)</f>
        <v>1204874961</v>
      </c>
      <c r="L5" s="34" t="str">
        <f>IFERROR(__xludf.DUMMYFUNCTION("IFERROR(GOOGLEFINANCE(C5,""PE""),)"),"")</f>
        <v/>
      </c>
      <c r="M5" s="40">
        <f>IFERROR(__xludf.DUMMYFUNCTION("IFERROR(GOOGLEFINANCE(C5,""LOW52""),)"),7.06)</f>
        <v>7.06</v>
      </c>
      <c r="N5" s="41" t="str">
        <f t="shared" si="2"/>
        <v>-------▼--</v>
      </c>
      <c r="O5" s="40">
        <f>IFERROR(__xludf.DUMMYFUNCTION("IFERROR(GOOGLEFINANCE(C5,""HIGH52""),)"),13.79)</f>
        <v>13.79</v>
      </c>
      <c r="P5" s="1"/>
      <c r="Q5" s="1"/>
      <c r="R5" s="1"/>
      <c r="S5" s="1"/>
    </row>
    <row r="6">
      <c r="A6" s="33">
        <v>4.0</v>
      </c>
      <c r="B6" s="34">
        <f>MATCH(A6,L_DATA_TOP_GAIN_PCT,0)</f>
        <v>310</v>
      </c>
      <c r="C6" s="34" t="str">
        <f t="array" ref="C6">IFERROR(INDEX(L_DATA_SYMBOL,B6),)</f>
        <v>NSE:CREATIVEYE</v>
      </c>
      <c r="D6" s="34" t="str">
        <f>IFERROR(__xludf.DUMMYFUNCTION("IFERROR(GOOGLEFINANCE(C6,""NAME""),)"),"Creative Eye Ltd")</f>
        <v>Creative Eye Ltd</v>
      </c>
      <c r="E6" s="35">
        <f t="array" ref="E6">IFERROR(INDEX(L_DATA_VOL,$B6),)</f>
        <v>50890</v>
      </c>
      <c r="F6" s="34">
        <f t="array" ref="F6">IFERROR(INDEX(L_DATA_PRICE,$B6),)</f>
        <v>6.95</v>
      </c>
      <c r="G6" s="36">
        <f t="array" ref="G6">IFERROR(INDEX(L_DATA_CHANGE,$B6),)</f>
        <v>0.82</v>
      </c>
      <c r="H6" s="37" t="str">
        <f t="shared" si="1"/>
        <v>🠉</v>
      </c>
      <c r="I6" s="38" t="str">
        <f t="array" ref="I6">IFERROR(INDEX(L_DATA_CHNG_PCT_FML,$B6),)</f>
        <v>19.83%</v>
      </c>
      <c r="J6" s="34">
        <f t="array" ref="J6">IFERROR(INDEX(L_DATA_CHANGEPCT,$B6),)</f>
        <v>19.83</v>
      </c>
      <c r="K6" s="39">
        <f>IFERROR(__xludf.DUMMYFUNCTION("IFERROR(GOOGLEFINANCE(C6,""MARKETCAP""),)"),1.2597936E8)</f>
        <v>125979360</v>
      </c>
      <c r="L6" s="34" t="str">
        <f>IFERROR(__xludf.DUMMYFUNCTION("IFERROR(GOOGLEFINANCE(C6,""PE""),)"),"")</f>
        <v/>
      </c>
      <c r="M6" s="40">
        <f>IFERROR(__xludf.DUMMYFUNCTION("IFERROR(GOOGLEFINANCE(C6,""LOW52""),)"),5.35)</f>
        <v>5.35</v>
      </c>
      <c r="N6" s="41" t="str">
        <f t="shared" si="2"/>
        <v>--▼-------</v>
      </c>
      <c r="O6" s="40">
        <f>IFERROR(__xludf.DUMMYFUNCTION("IFERROR(GOOGLEFINANCE(C6,""HIGH52""),)"),12.19)</f>
        <v>12.19</v>
      </c>
      <c r="P6" s="1"/>
      <c r="Q6" s="1"/>
      <c r="R6" s="1"/>
      <c r="S6" s="1"/>
    </row>
    <row r="7">
      <c r="A7" s="33">
        <v>5.0</v>
      </c>
      <c r="B7" s="34">
        <f>MATCH(A7,L_DATA_TOP_GAIN_PCT,0)</f>
        <v>669</v>
      </c>
      <c r="C7" s="34" t="str">
        <f t="array" ref="C7">IFERROR(INDEX(L_DATA_SYMBOL,B7),)</f>
        <v>NSE:ESSENTIA</v>
      </c>
      <c r="D7" s="34" t="str">
        <f>IFERROR(__xludf.DUMMYFUNCTION("IFERROR(GOOGLEFINANCE(C7,""NAME""),)"),"Integra Essentia Ltd")</f>
        <v>Integra Essentia Ltd</v>
      </c>
      <c r="E7" s="35">
        <f t="array" ref="E7">IFERROR(INDEX(L_DATA_VOL,$B7),)</f>
        <v>7352392</v>
      </c>
      <c r="F7" s="34">
        <f t="array" ref="F7">IFERROR(INDEX(L_DATA_PRICE,$B7),)</f>
        <v>1.46</v>
      </c>
      <c r="G7" s="36">
        <f t="array" ref="G7">IFERROR(INDEX(L_DATA_CHANGE,$B7),)</f>
        <v>0.24</v>
      </c>
      <c r="H7" s="37" t="str">
        <f t="shared" si="1"/>
        <v>🠉</v>
      </c>
      <c r="I7" s="38" t="str">
        <f t="array" ref="I7">IFERROR(INDEX(L_DATA_CHNG_PCT_FML,$B7),)</f>
        <v>19.67%</v>
      </c>
      <c r="J7" s="34">
        <f t="array" ref="J7">IFERROR(INDEX(L_DATA_CHANGEPCT,$B7),)</f>
        <v>19.67</v>
      </c>
      <c r="K7" s="39">
        <f>IFERROR(__xludf.DUMMYFUNCTION("IFERROR(GOOGLEFINANCE(C7,""MARKETCAP""),)"),1.54664666E9)</f>
        <v>1546646660</v>
      </c>
      <c r="L7" s="34" t="str">
        <f>IFERROR(__xludf.DUMMYFUNCTION("IFERROR(GOOGLEFINANCE(C7,""PE""),)"),"")</f>
        <v/>
      </c>
      <c r="M7" s="40">
        <f>IFERROR(__xludf.DUMMYFUNCTION("IFERROR(GOOGLEFINANCE(C7,""LOW52""),)"),1.12)</f>
        <v>1.12</v>
      </c>
      <c r="N7" s="41" t="str">
        <f t="shared" si="2"/>
        <v>--▼-------</v>
      </c>
      <c r="O7" s="40">
        <f>IFERROR(__xludf.DUMMYFUNCTION("IFERROR(GOOGLEFINANCE(C7,""HIGH52""),)"),2.74)</f>
        <v>2.74</v>
      </c>
      <c r="P7" s="1"/>
      <c r="Q7" s="1"/>
      <c r="R7" s="1"/>
      <c r="S7" s="1"/>
    </row>
    <row r="8">
      <c r="A8" s="33">
        <v>6.0</v>
      </c>
      <c r="B8" s="34">
        <f>MATCH(A8,L_DATA_TOP_GAIN_PCT,0)</f>
        <v>163</v>
      </c>
      <c r="C8" s="34" t="str">
        <f t="array" ref="C8">IFERROR(INDEX(L_DATA_SYMBOL,B8),)</f>
        <v>NSE:BALAJITELE</v>
      </c>
      <c r="D8" s="34" t="str">
        <f>IFERROR(__xludf.DUMMYFUNCTION("IFERROR(GOOGLEFINANCE(C8,""NAME""),)"),"Balaji Telefilms Ltd")</f>
        <v>Balaji Telefilms Ltd</v>
      </c>
      <c r="E8" s="35">
        <f t="array" ref="E8">IFERROR(INDEX(L_DATA_VOL,$B8),)</f>
        <v>4180642</v>
      </c>
      <c r="F8" s="34">
        <f t="array" ref="F8">IFERROR(INDEX(L_DATA_PRICE,$B8),)</f>
        <v>108</v>
      </c>
      <c r="G8" s="36">
        <f t="array" ref="G8">IFERROR(INDEX(L_DATA_CHANGE,$B8),)</f>
        <v>14.11</v>
      </c>
      <c r="H8" s="37" t="str">
        <f t="shared" si="1"/>
        <v>🠉</v>
      </c>
      <c r="I8" s="38" t="str">
        <f t="array" ref="I8">IFERROR(INDEX(L_DATA_CHNG_PCT_FML,$B8),)</f>
        <v>15.03%</v>
      </c>
      <c r="J8" s="34">
        <f t="array" ref="J8">IFERROR(INDEX(L_DATA_CHANGEPCT,$B8),)</f>
        <v>15.03</v>
      </c>
      <c r="K8" s="39">
        <f>IFERROR(__xludf.DUMMYFUNCTION("IFERROR(GOOGLEFINANCE(C8,""MARKETCAP""),)"),1.31500584E10)</f>
        <v>13150058400</v>
      </c>
      <c r="L8" s="34" t="str">
        <f>IFERROR(__xludf.DUMMYFUNCTION("IFERROR(GOOGLEFINANCE(C8,""PE""),)"),"")</f>
        <v/>
      </c>
      <c r="M8" s="40">
        <f>IFERROR(__xludf.DUMMYFUNCTION("IFERROR(GOOGLEFINANCE(C8,""LOW52""),)"),50.15)</f>
        <v>50.15</v>
      </c>
      <c r="N8" s="41" t="str">
        <f t="shared" si="2"/>
        <v>------▼---</v>
      </c>
      <c r="O8" s="40">
        <f>IFERROR(__xludf.DUMMYFUNCTION("IFERROR(GOOGLEFINANCE(C8,""HIGH52""),)"),141.32)</f>
        <v>141.32</v>
      </c>
      <c r="P8" s="1"/>
      <c r="Q8" s="1"/>
      <c r="R8" s="1"/>
      <c r="S8" s="1"/>
    </row>
    <row r="9">
      <c r="A9" s="33">
        <v>7.0</v>
      </c>
      <c r="B9" s="34">
        <f>MATCH(A9,L_DATA_TOP_GAIN_PCT,0)</f>
        <v>1192</v>
      </c>
      <c r="C9" s="34" t="str">
        <f t="array" ref="C9">IFERROR(INDEX(L_DATA_SYMBOL,B9),)</f>
        <v>NSE:RUBYMILLS</v>
      </c>
      <c r="D9" s="34" t="str">
        <f>IFERROR(__xludf.DUMMYFUNCTION("IFERROR(GOOGLEFINANCE(C9,""NAME""),)"),"The Ruby Mills Ltd")</f>
        <v>The Ruby Mills Ltd</v>
      </c>
      <c r="E9" s="35">
        <f t="array" ref="E9">IFERROR(INDEX(L_DATA_VOL,$B9),)</f>
        <v>2709015</v>
      </c>
      <c r="F9" s="34">
        <f t="array" ref="F9">IFERROR(INDEX(L_DATA_PRICE,$B9),)</f>
        <v>228.5</v>
      </c>
      <c r="G9" s="36">
        <f t="array" ref="G9">IFERROR(INDEX(L_DATA_CHANGE,$B9),)</f>
        <v>24.62</v>
      </c>
      <c r="H9" s="37" t="str">
        <f t="shared" si="1"/>
        <v>🠉</v>
      </c>
      <c r="I9" s="38" t="str">
        <f t="array" ref="I9">IFERROR(INDEX(L_DATA_CHNG_PCT_FML,$B9),)</f>
        <v>12.08%</v>
      </c>
      <c r="J9" s="34">
        <f t="array" ref="J9">IFERROR(INDEX(L_DATA_CHANGEPCT,$B9),)</f>
        <v>12.08</v>
      </c>
      <c r="K9" s="39">
        <f>IFERROR(__xludf.DUMMYFUNCTION("IFERROR(GOOGLEFINANCE(C9,""MARKETCAP""),)"),7.52843025E9)</f>
        <v>7528430250</v>
      </c>
      <c r="L9" s="34" t="str">
        <f>IFERROR(__xludf.DUMMYFUNCTION("IFERROR(GOOGLEFINANCE(C9,""PE""),)"),"")</f>
        <v/>
      </c>
      <c r="M9" s="40">
        <f>IFERROR(__xludf.DUMMYFUNCTION("IFERROR(GOOGLEFINANCE(C9,""LOW52""),)"),169.02)</f>
        <v>169.02</v>
      </c>
      <c r="N9" s="41" t="str">
        <f t="shared" si="2"/>
        <v>-----▼----</v>
      </c>
      <c r="O9" s="40">
        <f>IFERROR(__xludf.DUMMYFUNCTION("IFERROR(GOOGLEFINANCE(C9,""HIGH52""),)"),269.0)</f>
        <v>269</v>
      </c>
      <c r="P9" s="1"/>
      <c r="Q9" s="1"/>
      <c r="R9" s="1"/>
      <c r="S9" s="1"/>
    </row>
    <row r="10">
      <c r="A10" s="33">
        <v>8.0</v>
      </c>
      <c r="B10" s="34">
        <f>MATCH(A10,L_DATA_TOP_GAIN_PCT,0)</f>
        <v>1141</v>
      </c>
      <c r="C10" s="34" t="str">
        <f t="array" ref="C10">IFERROR(INDEX(L_DATA_SYMBOL,B10),)</f>
        <v>NSE:RAMKY</v>
      </c>
      <c r="D10" s="34" t="str">
        <f>IFERROR(__xludf.DUMMYFUNCTION("IFERROR(GOOGLEFINANCE(C10,""NAME""),)"),"Ramky Infrastructure Ltd")</f>
        <v>Ramky Infrastructure Ltd</v>
      </c>
      <c r="E10" s="35">
        <f t="array" ref="E10">IFERROR(INDEX(L_DATA_VOL,$B10),)</f>
        <v>18446383</v>
      </c>
      <c r="F10" s="34">
        <f t="array" ref="F10">IFERROR(INDEX(L_DATA_PRICE,$B10),)</f>
        <v>480</v>
      </c>
      <c r="G10" s="36">
        <f t="array" ref="G10">IFERROR(INDEX(L_DATA_CHANGE,$B10),)</f>
        <v>49.5</v>
      </c>
      <c r="H10" s="37" t="str">
        <f t="shared" si="1"/>
        <v>🠉</v>
      </c>
      <c r="I10" s="38" t="str">
        <f t="array" ref="I10">IFERROR(INDEX(L_DATA_CHNG_PCT_FML,$B10),)</f>
        <v>11.5%</v>
      </c>
      <c r="J10" s="34">
        <f t="array" ref="J10">IFERROR(INDEX(L_DATA_CHANGEPCT,$B10),)</f>
        <v>11.5</v>
      </c>
      <c r="K10" s="39">
        <f>IFERROR(__xludf.DUMMYFUNCTION("IFERROR(GOOGLEFINANCE(C10,""MARKETCAP""),)"),3.30955536E10)</f>
        <v>33095553600</v>
      </c>
      <c r="L10" s="34" t="str">
        <f>IFERROR(__xludf.DUMMYFUNCTION("IFERROR(GOOGLEFINANCE(C10,""PE""),)"),"")</f>
        <v/>
      </c>
      <c r="M10" s="40">
        <f>IFERROR(__xludf.DUMMYFUNCTION("IFERROR(GOOGLEFINANCE(C10,""LOW52""),)"),403.35)</f>
        <v>403.35</v>
      </c>
      <c r="N10" s="41" t="str">
        <f t="shared" si="2"/>
        <v>--▼-------</v>
      </c>
      <c r="O10" s="40">
        <f>IFERROR(__xludf.DUMMYFUNCTION("IFERROR(GOOGLEFINANCE(C10,""HIGH52""),)"),705.0)</f>
        <v>705</v>
      </c>
      <c r="P10" s="1"/>
      <c r="Q10" s="1"/>
      <c r="R10" s="1"/>
      <c r="S10" s="1"/>
    </row>
    <row r="11">
      <c r="A11" s="33">
        <v>9.0</v>
      </c>
      <c r="B11" s="34">
        <f>MATCH(A11,L_DATA_TOP_GAIN_PCT,0)</f>
        <v>15</v>
      </c>
      <c r="C11" s="34" t="str">
        <f t="array" ref="C11">IFERROR(INDEX(L_DATA_SYMBOL,B11),)</f>
        <v>NSE:AARVI</v>
      </c>
      <c r="D11" s="34" t="str">
        <f>IFERROR(__xludf.DUMMYFUNCTION("IFERROR(GOOGLEFINANCE(C11,""NAME""),)"),"Aarvi Encon Ltd")</f>
        <v>Aarvi Encon Ltd</v>
      </c>
      <c r="E11" s="35">
        <f t="array" ref="E11">IFERROR(INDEX(L_DATA_VOL,$B11),)</f>
        <v>80259</v>
      </c>
      <c r="F11" s="34">
        <f t="array" ref="F11">IFERROR(INDEX(L_DATA_PRICE,$B11),)</f>
        <v>130</v>
      </c>
      <c r="G11" s="36">
        <f t="array" ref="G11">IFERROR(INDEX(L_DATA_CHANGE,$B11),)</f>
        <v>12.74</v>
      </c>
      <c r="H11" s="37" t="str">
        <f t="shared" si="1"/>
        <v>🠉</v>
      </c>
      <c r="I11" s="38" t="str">
        <f t="array" ref="I11">IFERROR(INDEX(L_DATA_CHNG_PCT_FML,$B11),)</f>
        <v>10.86%</v>
      </c>
      <c r="J11" s="34">
        <f t="array" ref="J11">IFERROR(INDEX(L_DATA_CHANGEPCT,$B11),)</f>
        <v>10.86</v>
      </c>
      <c r="K11" s="39">
        <f>IFERROR(__xludf.DUMMYFUNCTION("IFERROR(GOOGLEFINANCE(C11,""MARKETCAP""),)"),1.9253897E9)</f>
        <v>1925389700</v>
      </c>
      <c r="L11" s="34" t="str">
        <f>IFERROR(__xludf.DUMMYFUNCTION("IFERROR(GOOGLEFINANCE(C11,""PE""),)"),"")</f>
        <v/>
      </c>
      <c r="M11" s="40">
        <f>IFERROR(__xludf.DUMMYFUNCTION("IFERROR(GOOGLEFINANCE(C11,""LOW52""),)"),88.0)</f>
        <v>88</v>
      </c>
      <c r="N11" s="41" t="str">
        <f t="shared" si="2"/>
        <v>------▼---</v>
      </c>
      <c r="O11" s="40">
        <f>IFERROR(__xludf.DUMMYFUNCTION("IFERROR(GOOGLEFINANCE(C11,""HIGH52""),)"),152.0)</f>
        <v>152</v>
      </c>
      <c r="P11" s="1"/>
      <c r="Q11" s="1"/>
      <c r="R11" s="1"/>
      <c r="S11" s="1"/>
    </row>
    <row r="12">
      <c r="A12" s="33">
        <v>10.0</v>
      </c>
      <c r="B12" s="34">
        <f>MATCH(A12,L_DATA_TOP_GAIN_PCT,0)</f>
        <v>710</v>
      </c>
      <c r="C12" s="34" t="str">
        <f t="array" ref="C12">IFERROR(INDEX(L_DATA_SYMBOL,B12),)</f>
        <v>NSE:JINDALPOLY</v>
      </c>
      <c r="D12" s="34" t="str">
        <f>IFERROR(__xludf.DUMMYFUNCTION("IFERROR(GOOGLEFINANCE(C12,""NAME""),)"),"Jindal Poly Films Ltd")</f>
        <v>Jindal Poly Films Ltd</v>
      </c>
      <c r="E12" s="35">
        <f t="array" ref="E12">IFERROR(INDEX(L_DATA_VOL,$B12),)</f>
        <v>2996977</v>
      </c>
      <c r="F12" s="34">
        <f t="array" ref="F12">IFERROR(INDEX(L_DATA_PRICE,$B12),)</f>
        <v>735</v>
      </c>
      <c r="G12" s="36">
        <f t="array" ref="G12">IFERROR(INDEX(L_DATA_CHANGE,$B12),)</f>
        <v>71.35</v>
      </c>
      <c r="H12" s="37" t="str">
        <f t="shared" si="1"/>
        <v>🠉</v>
      </c>
      <c r="I12" s="38" t="str">
        <f t="array" ref="I12">IFERROR(INDEX(L_DATA_CHNG_PCT_FML,$B12),)</f>
        <v>10.58%</v>
      </c>
      <c r="J12" s="34">
        <f t="array" ref="J12">IFERROR(INDEX(L_DATA_CHANGEPCT,$B12),)</f>
        <v>10.58</v>
      </c>
      <c r="K12" s="39">
        <f>IFERROR(__xludf.DUMMYFUNCTION("IFERROR(GOOGLEFINANCE(C12,""MARKETCAP""),)"),3.218301135E10)</f>
        <v>32183011350</v>
      </c>
      <c r="L12" s="34" t="str">
        <f>IFERROR(__xludf.DUMMYFUNCTION("IFERROR(GOOGLEFINANCE(C12,""PE""),)"),"")</f>
        <v/>
      </c>
      <c r="M12" s="40">
        <f>IFERROR(__xludf.DUMMYFUNCTION("IFERROR(GOOGLEFINANCE(C12,""LOW52""),)"),365.0)</f>
        <v>365</v>
      </c>
      <c r="N12" s="41" t="str">
        <f t="shared" si="2"/>
        <v>---------▼</v>
      </c>
      <c r="O12" s="40">
        <f>IFERROR(__xludf.DUMMYFUNCTION("IFERROR(GOOGLEFINANCE(C12,""HIGH52""),)"),747.0)</f>
        <v>747</v>
      </c>
      <c r="P12" s="1"/>
      <c r="Q12" s="1"/>
      <c r="R12" s="1"/>
      <c r="S12" s="1"/>
    </row>
    <row r="13">
      <c r="A13" s="33">
        <v>11.0</v>
      </c>
      <c r="B13" s="34">
        <f>MATCH(A13,L_DATA_TOP_GAIN_PCT,0)</f>
        <v>266</v>
      </c>
      <c r="C13" s="34" t="str">
        <f t="array" ref="C13">IFERROR(INDEX(L_DATA_SYMBOL,B13),)</f>
        <v>NSE:CELEBRITY</v>
      </c>
      <c r="D13" s="34" t="str">
        <f>IFERROR(__xludf.DUMMYFUNCTION("IFERROR(GOOGLEFINANCE(C13,""NAME""),)"),"Celebrity Fashions Ltd")</f>
        <v>Celebrity Fashions Ltd</v>
      </c>
      <c r="E13" s="35">
        <f t="array" ref="E13">IFERROR(INDEX(L_DATA_VOL,$B13),)</f>
        <v>47133</v>
      </c>
      <c r="F13" s="34">
        <f t="array" ref="F13">IFERROR(INDEX(L_DATA_PRICE,$B13),)</f>
        <v>8.17</v>
      </c>
      <c r="G13" s="36">
        <f t="array" ref="G13">IFERROR(INDEX(L_DATA_CHANGE,$B13),)</f>
        <v>0.76</v>
      </c>
      <c r="H13" s="37" t="str">
        <f t="shared" si="1"/>
        <v>🠉</v>
      </c>
      <c r="I13" s="38" t="str">
        <f t="array" ref="I13">IFERROR(INDEX(L_DATA_CHNG_PCT_FML,$B13),)</f>
        <v>10.5%</v>
      </c>
      <c r="J13" s="34">
        <f t="array" ref="J13">IFERROR(INDEX(L_DATA_CHANGEPCT,$B13),)</f>
        <v>10.5</v>
      </c>
      <c r="K13" s="39">
        <f>IFERROR(__xludf.DUMMYFUNCTION("IFERROR(GOOGLEFINANCE(C13,""MARKETCAP""),)"),4.87572614E8)</f>
        <v>487572614</v>
      </c>
      <c r="L13" s="34" t="str">
        <f>IFERROR(__xludf.DUMMYFUNCTION("IFERROR(GOOGLEFINANCE(C13,""PE""),)"),"")</f>
        <v/>
      </c>
      <c r="M13" s="40">
        <f>IFERROR(__xludf.DUMMYFUNCTION("IFERROR(GOOGLEFINANCE(C13,""LOW52""),)"),6.74)</f>
        <v>6.74</v>
      </c>
      <c r="N13" s="41" t="str">
        <f t="shared" si="2"/>
        <v>-▼--------</v>
      </c>
      <c r="O13" s="40">
        <f>IFERROR(__xludf.DUMMYFUNCTION("IFERROR(GOOGLEFINANCE(C13,""HIGH52""),)"),15.35)</f>
        <v>15.35</v>
      </c>
      <c r="P13" s="1"/>
      <c r="Q13" s="1"/>
      <c r="R13" s="1"/>
      <c r="S13" s="1"/>
    </row>
    <row r="14">
      <c r="A14" s="33">
        <v>12.0</v>
      </c>
      <c r="B14" s="34">
        <f>MATCH(A14,L_DATA_TOP_GAIN_PCT,0)</f>
        <v>127</v>
      </c>
      <c r="C14" s="34" t="str">
        <f t="array" ref="C14">IFERROR(INDEX(L_DATA_SYMBOL,B14),)</f>
        <v>NSE:ASIANHOTNR</v>
      </c>
      <c r="D14" s="34" t="str">
        <f>IFERROR(__xludf.DUMMYFUNCTION("IFERROR(GOOGLEFINANCE(C14,""NAME""),)"),"Asian Hotels (North) Ltd")</f>
        <v>Asian Hotels (North) Ltd</v>
      </c>
      <c r="E14" s="35">
        <f t="array" ref="E14">IFERROR(INDEX(L_DATA_VOL,$B14),)</f>
        <v>52058</v>
      </c>
      <c r="F14" s="34">
        <f t="array" ref="F14">IFERROR(INDEX(L_DATA_PRICE,$B14),)</f>
        <v>302</v>
      </c>
      <c r="G14" s="36">
        <f t="array" ref="G14">IFERROR(INDEX(L_DATA_CHANGE,$B14),)</f>
        <v>26.5</v>
      </c>
      <c r="H14" s="37" t="str">
        <f t="shared" si="1"/>
        <v>🠉</v>
      </c>
      <c r="I14" s="38" t="str">
        <f t="array" ref="I14">IFERROR(INDEX(L_DATA_CHNG_PCT_FML,$B14),)</f>
        <v>9.78%</v>
      </c>
      <c r="J14" s="34">
        <f t="array" ref="J14">IFERROR(INDEX(L_DATA_CHANGEPCT,$B14),)</f>
        <v>9.78</v>
      </c>
      <c r="K14" s="39">
        <f>IFERROR(__xludf.DUMMYFUNCTION("IFERROR(GOOGLEFINANCE(C14,""MARKETCAP""),)"),1.287523848E10)</f>
        <v>12875238480</v>
      </c>
      <c r="L14" s="34" t="str">
        <f>IFERROR(__xludf.DUMMYFUNCTION("IFERROR(GOOGLEFINANCE(C14,""PE""),)"),"")</f>
        <v/>
      </c>
      <c r="M14" s="40">
        <f>IFERROR(__xludf.DUMMYFUNCTION("IFERROR(GOOGLEFINANCE(C14,""LOW52""),)"),247.5)</f>
        <v>247.5</v>
      </c>
      <c r="N14" s="41" t="str">
        <f t="shared" si="2"/>
        <v>---▼------</v>
      </c>
      <c r="O14" s="40">
        <f>IFERROR(__xludf.DUMMYFUNCTION("IFERROR(GOOGLEFINANCE(C14,""HIGH52""),)"),419.5)</f>
        <v>419.5</v>
      </c>
      <c r="P14" s="1"/>
      <c r="Q14" s="1"/>
      <c r="R14" s="1"/>
      <c r="S14" s="1"/>
    </row>
    <row r="15">
      <c r="A15" s="33">
        <v>13.0</v>
      </c>
      <c r="B15" s="34">
        <f>MATCH(A15,L_DATA_TOP_GAIN_PCT,0)</f>
        <v>798</v>
      </c>
      <c r="C15" s="34" t="str">
        <f t="array" ref="C15">IFERROR(INDEX(L_DATA_SYMBOL,B15),)</f>
        <v>NSE:KRIDHANINF</v>
      </c>
      <c r="D15" s="34" t="str">
        <f>IFERROR(__xludf.DUMMYFUNCTION("IFERROR(GOOGLEFINANCE(C15,""NAME""),)"),"Kridhan Infra Ltd")</f>
        <v>Kridhan Infra Ltd</v>
      </c>
      <c r="E15" s="35">
        <f t="array" ref="E15">IFERROR(INDEX(L_DATA_VOL,$B15),)</f>
        <v>382766</v>
      </c>
      <c r="F15" s="34">
        <f t="array" ref="F15">IFERROR(INDEX(L_DATA_PRICE,$B15),)</f>
        <v>2.62</v>
      </c>
      <c r="G15" s="36">
        <f t="array" ref="G15">IFERROR(INDEX(L_DATA_CHANGE,$B15),)</f>
        <v>0.23</v>
      </c>
      <c r="H15" s="37" t="str">
        <f t="shared" si="1"/>
        <v>🠉</v>
      </c>
      <c r="I15" s="38" t="str">
        <f t="array" ref="I15">IFERROR(INDEX(L_DATA_CHNG_PCT_FML,$B15),)</f>
        <v>9.62%</v>
      </c>
      <c r="J15" s="34">
        <f t="array" ref="J15">IFERROR(INDEX(L_DATA_CHANGEPCT,$B15),)</f>
        <v>9.62</v>
      </c>
      <c r="K15" s="39">
        <f>IFERROR(__xludf.DUMMYFUNCTION("IFERROR(GOOGLEFINANCE(C15,""MARKETCAP""),)"),2.48434805E8)</f>
        <v>248434805</v>
      </c>
      <c r="L15" s="34" t="str">
        <f>IFERROR(__xludf.DUMMYFUNCTION("IFERROR(GOOGLEFINANCE(C15,""PE""),)"),"")</f>
        <v/>
      </c>
      <c r="M15" s="40">
        <f>IFERROR(__xludf.DUMMYFUNCTION("IFERROR(GOOGLEFINANCE(C15,""LOW52""),)"),2.2)</f>
        <v>2.2</v>
      </c>
      <c r="N15" s="41" t="str">
        <f t="shared" si="2"/>
        <v>-▼--------</v>
      </c>
      <c r="O15" s="40">
        <f>IFERROR(__xludf.DUMMYFUNCTION("IFERROR(GOOGLEFINANCE(C15,""HIGH52""),)"),5.39)</f>
        <v>5.39</v>
      </c>
      <c r="P15" s="1"/>
      <c r="Q15" s="1"/>
      <c r="R15" s="1"/>
      <c r="S15" s="1"/>
    </row>
    <row r="16">
      <c r="A16" s="33">
        <v>14.0</v>
      </c>
      <c r="B16" s="34">
        <f>MATCH(A16,L_DATA_TOP_GAIN_PCT,0)</f>
        <v>1001</v>
      </c>
      <c r="C16" s="34" t="str">
        <f t="array" ref="C16">IFERROR(INDEX(L_DATA_SYMBOL,B16),)</f>
        <v>NSE:NOIDATOLL</v>
      </c>
      <c r="D16" s="34" t="str">
        <f>IFERROR(__xludf.DUMMYFUNCTION("IFERROR(GOOGLEFINANCE(C16,""NAME""),)"),"Noida Toll Bridge Company Ltd")</f>
        <v>Noida Toll Bridge Company Ltd</v>
      </c>
      <c r="E16" s="35">
        <f t="array" ref="E16">IFERROR(INDEX(L_DATA_VOL,$B16),)</f>
        <v>137196</v>
      </c>
      <c r="F16" s="34">
        <f t="array" ref="F16">IFERROR(INDEX(L_DATA_PRICE,$B16),)</f>
        <v>3.9</v>
      </c>
      <c r="G16" s="36">
        <f t="array" ref="G16">IFERROR(INDEX(L_DATA_CHANGE,$B16),)</f>
        <v>0.34</v>
      </c>
      <c r="H16" s="37" t="str">
        <f t="shared" si="1"/>
        <v>🠉</v>
      </c>
      <c r="I16" s="38" t="str">
        <f t="array" ref="I16">IFERROR(INDEX(L_DATA_CHNG_PCT_FML,$B16),)</f>
        <v>9.55%</v>
      </c>
      <c r="J16" s="34">
        <f t="array" ref="J16">IFERROR(INDEX(L_DATA_CHANGEPCT,$B16),)</f>
        <v>9.55</v>
      </c>
      <c r="K16" s="39">
        <f>IFERROR(__xludf.DUMMYFUNCTION("IFERROR(GOOGLEFINANCE(C16,""MARKETCAP""),)"),6.93673098E8)</f>
        <v>693673098</v>
      </c>
      <c r="L16" s="34" t="str">
        <f>IFERROR(__xludf.DUMMYFUNCTION("IFERROR(GOOGLEFINANCE(C16,""PE""),)"),"")</f>
        <v/>
      </c>
      <c r="M16" s="40">
        <f>IFERROR(__xludf.DUMMYFUNCTION("IFERROR(GOOGLEFINANCE(C16,""LOW52""),)"),2.57)</f>
        <v>2.57</v>
      </c>
      <c r="N16" s="41" t="str">
        <f t="shared" si="2"/>
        <v>----▼-----</v>
      </c>
      <c r="O16" s="40">
        <f>IFERROR(__xludf.DUMMYFUNCTION("IFERROR(GOOGLEFINANCE(C16,""HIGH52""),)"),5.63)</f>
        <v>5.63</v>
      </c>
      <c r="P16" s="1"/>
      <c r="Q16" s="1"/>
      <c r="R16" s="1"/>
      <c r="S16" s="1"/>
    </row>
    <row r="17">
      <c r="A17" s="33">
        <v>15.0</v>
      </c>
      <c r="B17" s="34">
        <f>MATCH(A17,L_DATA_TOP_GAIN_PCT,0)</f>
        <v>604</v>
      </c>
      <c r="C17" s="34" t="str">
        <f t="array" ref="C17">IFERROR(INDEX(L_DATA_SYMBOL,B17),)</f>
        <v>NSE:HUBTOWN</v>
      </c>
      <c r="D17" s="34" t="str">
        <f>IFERROR(__xludf.DUMMYFUNCTION("IFERROR(GOOGLEFINANCE(C17,""NAME""),)"),"Hubtown Ltd")</f>
        <v>Hubtown Ltd</v>
      </c>
      <c r="E17" s="35">
        <f t="array" ref="E17">IFERROR(INDEX(L_DATA_VOL,$B17),)</f>
        <v>1121094</v>
      </c>
      <c r="F17" s="34">
        <f t="array" ref="F17">IFERROR(INDEX(L_DATA_PRICE,$B17),)</f>
        <v>223.15</v>
      </c>
      <c r="G17" s="36">
        <f t="array" ref="G17">IFERROR(INDEX(L_DATA_CHANGE,$B17),)</f>
        <v>18.29</v>
      </c>
      <c r="H17" s="37" t="str">
        <f t="shared" si="1"/>
        <v>🠉</v>
      </c>
      <c r="I17" s="38" t="str">
        <f t="array" ref="I17">IFERROR(INDEX(L_DATA_CHNG_PCT_FML,$B17),)</f>
        <v>8.93%</v>
      </c>
      <c r="J17" s="34">
        <f t="array" ref="J17">IFERROR(INDEX(L_DATA_CHANGEPCT,$B17),)</f>
        <v>8.93</v>
      </c>
      <c r="K17" s="39">
        <f>IFERROR(__xludf.DUMMYFUNCTION("IFERROR(GOOGLEFINANCE(C17,""MARKETCAP""),)"),3.1709748022E10)</f>
        <v>31709748022</v>
      </c>
      <c r="L17" s="34" t="str">
        <f>IFERROR(__xludf.DUMMYFUNCTION("IFERROR(GOOGLEFINANCE(C17,""PE""),)"),"")</f>
        <v/>
      </c>
      <c r="M17" s="40">
        <f>IFERROR(__xludf.DUMMYFUNCTION("IFERROR(GOOGLEFINANCE(C17,""LOW52""),)"),162.05)</f>
        <v>162.05</v>
      </c>
      <c r="N17" s="41" t="str">
        <f t="shared" si="2"/>
        <v>--▼-------</v>
      </c>
      <c r="O17" s="40">
        <f>IFERROR(__xludf.DUMMYFUNCTION("IFERROR(GOOGLEFINANCE(C17,""HIGH52""),)"),365.7)</f>
        <v>365.7</v>
      </c>
      <c r="P17" s="1"/>
      <c r="Q17" s="1"/>
      <c r="R17" s="1"/>
      <c r="S17" s="1"/>
    </row>
    <row r="18">
      <c r="A18" s="33">
        <v>16.0</v>
      </c>
      <c r="B18" s="34">
        <f>MATCH(A18,L_DATA_TOP_GAIN_PCT,0)</f>
        <v>889</v>
      </c>
      <c r="C18" s="34" t="str">
        <f t="array" ref="C18">IFERROR(INDEX(L_DATA_SYMBOL,B18),)</f>
        <v>NSE:MAZDOCK</v>
      </c>
      <c r="D18" s="34" t="str">
        <f>IFERROR(__xludf.DUMMYFUNCTION("IFERROR(GOOGLEFINANCE(C18,""NAME""),)"),"Mazagon Dock Shipbuilders Ltd")</f>
        <v>Mazagon Dock Shipbuilders Ltd</v>
      </c>
      <c r="E18" s="35">
        <f t="array" ref="E18">IFERROR(INDEX(L_DATA_VOL,$B18),)</f>
        <v>9406404</v>
      </c>
      <c r="F18" s="34">
        <f t="array" ref="F18">IFERROR(INDEX(L_DATA_PRICE,$B18),)</f>
        <v>2356</v>
      </c>
      <c r="G18" s="36">
        <f t="array" ref="G18">IFERROR(INDEX(L_DATA_CHANGE,$B18),)</f>
        <v>194</v>
      </c>
      <c r="H18" s="37" t="str">
        <f t="shared" si="1"/>
        <v>🠉</v>
      </c>
      <c r="I18" s="38" t="str">
        <f t="array" ref="I18">IFERROR(INDEX(L_DATA_CHNG_PCT_FML,$B18),)</f>
        <v>8.8%</v>
      </c>
      <c r="J18" s="34">
        <f t="array" ref="J18">IFERROR(INDEX(L_DATA_CHANGEPCT,$B18),)</f>
        <v>8.8</v>
      </c>
      <c r="K18" s="39">
        <f>IFERROR(__xludf.DUMMYFUNCTION("IFERROR(GOOGLEFINANCE(C18,""MARKETCAP""),)"),9.521564957E11)</f>
        <v>952156495700</v>
      </c>
      <c r="L18" s="34" t="str">
        <f>IFERROR(__xludf.DUMMYFUNCTION("IFERROR(GOOGLEFINANCE(C18,""PE""),)"),"")</f>
        <v/>
      </c>
      <c r="M18" s="40">
        <f>IFERROR(__xludf.DUMMYFUNCTION("IFERROR(GOOGLEFINANCE(C18,""LOW52""),)"),2125.9)</f>
        <v>2125.9</v>
      </c>
      <c r="N18" s="41" t="str">
        <f t="shared" si="2"/>
        <v>-▼--------</v>
      </c>
      <c r="O18" s="40">
        <f>IFERROR(__xludf.DUMMYFUNCTION("IFERROR(GOOGLEFINANCE(C18,""HIGH52""),)"),3775.0)</f>
        <v>3775</v>
      </c>
      <c r="P18" s="1"/>
      <c r="Q18" s="1"/>
      <c r="R18" s="1"/>
      <c r="S18" s="1"/>
    </row>
    <row r="19">
      <c r="A19" s="33">
        <v>17.0</v>
      </c>
      <c r="B19" s="34">
        <f>MATCH(A19,L_DATA_TOP_GAIN_PCT,0)</f>
        <v>412</v>
      </c>
      <c r="C19" s="34" t="str">
        <f t="array" ref="C19">IFERROR(INDEX(L_DATA_SYMBOL,B19),)</f>
        <v>NSE:ESSARSHPNG</v>
      </c>
      <c r="D19" s="34" t="str">
        <f>IFERROR(__xludf.DUMMYFUNCTION("IFERROR(GOOGLEFINANCE(C19,""NAME""),)"),"Essar Shipping Ltd")</f>
        <v>Essar Shipping Ltd</v>
      </c>
      <c r="E19" s="35">
        <f t="array" ref="E19">IFERROR(INDEX(L_DATA_VOL,$B19),)</f>
        <v>1567911</v>
      </c>
      <c r="F19" s="34">
        <f t="array" ref="F19">IFERROR(INDEX(L_DATA_PRICE,$B19),)</f>
        <v>25.55</v>
      </c>
      <c r="G19" s="36">
        <f t="array" ref="G19">IFERROR(INDEX(L_DATA_CHANGE,$B19),)</f>
        <v>2</v>
      </c>
      <c r="H19" s="37" t="str">
        <f t="shared" si="1"/>
        <v>🠉</v>
      </c>
      <c r="I19" s="38" t="str">
        <f t="array" ref="I19">IFERROR(INDEX(L_DATA_CHNG_PCT_FML,$B19),)</f>
        <v>8.49%</v>
      </c>
      <c r="J19" s="34">
        <f t="array" ref="J19">IFERROR(INDEX(L_DATA_CHANGEPCT,$B19),)</f>
        <v>8.49</v>
      </c>
      <c r="K19" s="39">
        <f>IFERROR(__xludf.DUMMYFUNCTION("IFERROR(GOOGLEFINANCE(C19,""MARKETCAP""),)"),5.330252118E9)</f>
        <v>5330252118</v>
      </c>
      <c r="L19" s="34" t="str">
        <f>IFERROR(__xludf.DUMMYFUNCTION("IFERROR(GOOGLEFINANCE(C19,""PE""),)"),"")</f>
        <v/>
      </c>
      <c r="M19" s="40">
        <f>IFERROR(__xludf.DUMMYFUNCTION("IFERROR(GOOGLEFINANCE(C19,""LOW52""),)"),21.5)</f>
        <v>21.5</v>
      </c>
      <c r="N19" s="41" t="str">
        <f t="shared" si="2"/>
        <v>-▼--------</v>
      </c>
      <c r="O19" s="40">
        <f>IFERROR(__xludf.DUMMYFUNCTION("IFERROR(GOOGLEFINANCE(C19,""HIGH52""),)"),43.26)</f>
        <v>43.26</v>
      </c>
      <c r="P19" s="1"/>
      <c r="Q19" s="1"/>
      <c r="R19" s="1"/>
      <c r="S19" s="1"/>
    </row>
    <row r="20">
      <c r="A20" s="33">
        <v>18.0</v>
      </c>
      <c r="B20" s="34">
        <f>MATCH(A20,L_DATA_TOP_GAIN_PCT,0)</f>
        <v>655</v>
      </c>
      <c r="C20" s="34" t="str">
        <f t="array" ref="C20">IFERROR(INDEX(L_DATA_SYMBOL,B20),)</f>
        <v>NSE:INDSWFTLAB</v>
      </c>
      <c r="D20" s="34" t="str">
        <f>IFERROR(__xludf.DUMMYFUNCTION("IFERROR(GOOGLEFINANCE(C20,""NAME""),)"),"IND Swift Laboratories Ltd")</f>
        <v>IND Swift Laboratories Ltd</v>
      </c>
      <c r="E20" s="35">
        <f t="array" ref="E20">IFERROR(INDEX(L_DATA_VOL,$B20),)</f>
        <v>2917974</v>
      </c>
      <c r="F20" s="34">
        <f t="array" ref="F20">IFERROR(INDEX(L_DATA_PRICE,$B20),)</f>
        <v>136.7</v>
      </c>
      <c r="G20" s="36">
        <f t="array" ref="G20">IFERROR(INDEX(L_DATA_CHANGE,$B20),)</f>
        <v>10.48</v>
      </c>
      <c r="H20" s="37" t="str">
        <f t="shared" si="1"/>
        <v>🠉</v>
      </c>
      <c r="I20" s="38" t="str">
        <f t="array" ref="I20">IFERROR(INDEX(L_DATA_CHNG_PCT_FML,$B20),)</f>
        <v>8.3%</v>
      </c>
      <c r="J20" s="34">
        <f t="array" ref="J20">IFERROR(INDEX(L_DATA_CHANGEPCT,$B20),)</f>
        <v>8.3</v>
      </c>
      <c r="K20" s="39">
        <f>IFERROR(__xludf.DUMMYFUNCTION("IFERROR(GOOGLEFINANCE(C20,""MARKETCAP""),)"),1.1934980441E10)</f>
        <v>11934980441</v>
      </c>
      <c r="L20" s="34" t="str">
        <f>IFERROR(__xludf.DUMMYFUNCTION("IFERROR(GOOGLEFINANCE(C20,""PE""),)"),"")</f>
        <v/>
      </c>
      <c r="M20" s="40">
        <f>IFERROR(__xludf.DUMMYFUNCTION("IFERROR(GOOGLEFINANCE(C20,""LOW52""),)"),68.72)</f>
        <v>68.72</v>
      </c>
      <c r="N20" s="41" t="str">
        <f t="shared" si="2"/>
        <v>--------▼-</v>
      </c>
      <c r="O20" s="40">
        <f>IFERROR(__xludf.DUMMYFUNCTION("IFERROR(GOOGLEFINANCE(C20,""HIGH52""),)"),151.98)</f>
        <v>151.98</v>
      </c>
      <c r="P20" s="1"/>
      <c r="Q20" s="1"/>
      <c r="R20" s="1"/>
      <c r="S20" s="1"/>
    </row>
    <row r="21">
      <c r="A21" s="33">
        <v>19.0</v>
      </c>
      <c r="B21" s="34">
        <f>MATCH(A21,L_DATA_TOP_GAIN_PCT,0)</f>
        <v>320</v>
      </c>
      <c r="C21" s="34" t="str">
        <f t="array" ref="C21">IFERROR(INDEX(L_DATA_SYMBOL,B21),)</f>
        <v>NSE:CUPID</v>
      </c>
      <c r="D21" s="34" t="str">
        <f>IFERROR(__xludf.DUMMYFUNCTION("IFERROR(GOOGLEFINANCE(C21,""NAME""),)"),"Cupid Ltd")</f>
        <v>Cupid Ltd</v>
      </c>
      <c r="E21" s="35">
        <f t="array" ref="E21">IFERROR(INDEX(L_DATA_VOL,$B21),)</f>
        <v>7359317</v>
      </c>
      <c r="F21" s="34">
        <f t="array" ref="F21">IFERROR(INDEX(L_DATA_PRICE,$B21),)</f>
        <v>410.5</v>
      </c>
      <c r="G21" s="36">
        <f t="array" ref="G21">IFERROR(INDEX(L_DATA_CHANGE,$B21),)</f>
        <v>31.35</v>
      </c>
      <c r="H21" s="37" t="str">
        <f t="shared" si="1"/>
        <v>🠉</v>
      </c>
      <c r="I21" s="38" t="str">
        <f t="array" ref="I21">IFERROR(INDEX(L_DATA_CHNG_PCT_FML,$B21),)</f>
        <v>8.27%</v>
      </c>
      <c r="J21" s="34">
        <f t="array" ref="J21">IFERROR(INDEX(L_DATA_CHANGEPCT,$B21),)</f>
        <v>8.27</v>
      </c>
      <c r="K21" s="39">
        <f>IFERROR(__xludf.DUMMYFUNCTION("IFERROR(GOOGLEFINANCE(C21,""MARKETCAP""),)"),1.083079656E11)</f>
        <v>108307965600</v>
      </c>
      <c r="L21" s="34" t="str">
        <f>IFERROR(__xludf.DUMMYFUNCTION("IFERROR(GOOGLEFINANCE(C21,""PE""),)"),"")</f>
        <v/>
      </c>
      <c r="M21" s="40">
        <f>IFERROR(__xludf.DUMMYFUNCTION("IFERROR(GOOGLEFINANCE(C21,""LOW52""),)"),55.75)</f>
        <v>55.75</v>
      </c>
      <c r="N21" s="41" t="str">
        <f t="shared" si="2"/>
        <v>-------▼--</v>
      </c>
      <c r="O21" s="40">
        <f>IFERROR(__xludf.DUMMYFUNCTION("IFERROR(GOOGLEFINANCE(C21,""HIGH52""),)"),526.95)</f>
        <v>526.95</v>
      </c>
      <c r="P21" s="1"/>
      <c r="Q21" s="1"/>
      <c r="R21" s="1"/>
      <c r="S21" s="1"/>
    </row>
    <row r="22">
      <c r="A22" s="42">
        <v>20.0</v>
      </c>
      <c r="B22" s="43">
        <f>MATCH(A22,L_DATA_TOP_GAIN_PCT,0)</f>
        <v>842</v>
      </c>
      <c r="C22" s="43" t="str">
        <f t="array" ref="C22">IFERROR(INDEX(L_DATA_SYMBOL,B22),)</f>
        <v>NSE:MADHAV</v>
      </c>
      <c r="D22" s="43" t="str">
        <f>IFERROR(__xludf.DUMMYFUNCTION("IFERROR(GOOGLEFINANCE(C22,""NAME""),)"),"Madhav Marbles and Granites Ltd")</f>
        <v>Madhav Marbles and Granites Ltd</v>
      </c>
      <c r="E22" s="44">
        <f t="array" ref="E22">IFERROR(INDEX(L_DATA_VOL,$B22),)</f>
        <v>12500</v>
      </c>
      <c r="F22" s="43">
        <f t="array" ref="F22">IFERROR(INDEX(L_DATA_PRICE,$B22),)</f>
        <v>36</v>
      </c>
      <c r="G22" s="45">
        <f t="array" ref="G22">IFERROR(INDEX(L_DATA_CHANGE,$B22),)</f>
        <v>2.73</v>
      </c>
      <c r="H22" s="46" t="str">
        <f t="shared" si="1"/>
        <v>🠉</v>
      </c>
      <c r="I22" s="47" t="str">
        <f t="array" ref="I22">IFERROR(INDEX(L_DATA_CHNG_PCT_FML,$B22),)</f>
        <v>8.21%</v>
      </c>
      <c r="J22" s="43">
        <f t="array" ref="J22">IFERROR(INDEX(L_DATA_CHANGEPCT,$B22),)</f>
        <v>8.21</v>
      </c>
      <c r="K22" s="48">
        <f>IFERROR(__xludf.DUMMYFUNCTION("IFERROR(GOOGLEFINANCE(C22,""MARKETCAP""),)"),3.0274244E8)</f>
        <v>302742440</v>
      </c>
      <c r="L22" s="43" t="str">
        <f>IFERROR(__xludf.DUMMYFUNCTION("IFERROR(GOOGLEFINANCE(C22,""PE""),)"),"")</f>
        <v/>
      </c>
      <c r="M22" s="49">
        <f>IFERROR(__xludf.DUMMYFUNCTION("IFERROR(GOOGLEFINANCE(C22,""LOW52""),)"),32.6)</f>
        <v>32.6</v>
      </c>
      <c r="N22" s="50" t="str">
        <f t="shared" si="2"/>
        <v>-▼--------</v>
      </c>
      <c r="O22" s="49">
        <f>IFERROR(__xludf.DUMMYFUNCTION("IFERROR(GOOGLEFINANCE(C22,""HIGH52""),)"),53.88)</f>
        <v>53.88</v>
      </c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</sheetData>
  <conditionalFormatting sqref="H3:H22">
    <cfRule type="expression" dxfId="1" priority="1">
      <formula>$J3&lt;0</formula>
    </cfRule>
  </conditionalFormatting>
  <conditionalFormatting sqref="H3:H22">
    <cfRule type="expression" dxfId="6" priority="2">
      <formula>$J3&lt;0.05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hidden="1" min="2" max="2" width="12.63"/>
    <col customWidth="1" min="3" max="3" width="15.13"/>
    <col customWidth="1" min="4" max="4" width="28.88"/>
    <col customWidth="1" min="8" max="8" width="4.25"/>
    <col customWidth="1" hidden="1" min="10" max="10" width="5.75"/>
    <col customWidth="1" min="11" max="11" width="19.0"/>
    <col customWidth="1" min="13" max="13" width="13.88"/>
    <col customWidth="1" min="14" max="14" width="15.88"/>
    <col customWidth="1" min="15" max="15" width="13.75"/>
  </cols>
  <sheetData>
    <row r="1" ht="25.5" customHeight="1">
      <c r="A1" s="30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31" t="s">
        <v>15</v>
      </c>
      <c r="B2" s="31" t="s">
        <v>16</v>
      </c>
      <c r="C2" s="31" t="s">
        <v>17</v>
      </c>
      <c r="D2" s="31" t="s">
        <v>18</v>
      </c>
      <c r="E2" s="32" t="s">
        <v>12</v>
      </c>
      <c r="F2" s="32" t="s">
        <v>9</v>
      </c>
      <c r="G2" s="32" t="s">
        <v>10</v>
      </c>
      <c r="H2" s="31"/>
      <c r="I2" s="31" t="s">
        <v>11</v>
      </c>
      <c r="J2" s="31"/>
      <c r="K2" s="32" t="s">
        <v>19</v>
      </c>
      <c r="L2" s="32" t="s">
        <v>20</v>
      </c>
      <c r="M2" s="31" t="s">
        <v>21</v>
      </c>
      <c r="N2" s="32" t="s">
        <v>22</v>
      </c>
      <c r="O2" s="31" t="s">
        <v>23</v>
      </c>
      <c r="P2" s="1"/>
      <c r="Q2" s="1"/>
      <c r="R2" s="1"/>
      <c r="S2" s="1"/>
    </row>
    <row r="3">
      <c r="A3" s="33">
        <v>1.0</v>
      </c>
      <c r="B3" s="34">
        <f>MATCH(A3,L_DATA_TOP_DECLINE_PCT,0)</f>
        <v>1229</v>
      </c>
      <c r="C3" s="34" t="str">
        <f t="array" ref="C3">IFERROR(INDEX(L_DATA_SYMBOL,B3),)</f>
        <v>NSE:SARLAPOLY</v>
      </c>
      <c r="D3" s="34" t="str">
        <f>IFERROR(__xludf.DUMMYFUNCTION("IFERROR(GOOGLEFINANCE(C3,""NAME""),)"),"Sarla Performance Fibers Ltd")</f>
        <v>Sarla Performance Fibers Ltd</v>
      </c>
      <c r="E3" s="35">
        <f t="array" ref="E3">IFERROR(INDEX(L_DATA_VOL,$B3),)</f>
        <v>94735</v>
      </c>
      <c r="F3" s="34">
        <f t="array" ref="F3">IFERROR(INDEX(L_DATA_PRICE,$B3),)</f>
        <v>80.95</v>
      </c>
      <c r="G3" s="36">
        <f t="array" ref="G3">IFERROR(INDEX(L_DATA_CHANGE,$B3),)</f>
        <v>-0.01</v>
      </c>
      <c r="H3" s="37" t="str">
        <f t="shared" ref="H3:H22" si="1">IFERROR(IF($J3="","",IFS($J3&gt;=0.05,CHAR(129033),$J3&lt;0,CHAR(129035),$J3&lt;0.05,CHAR(129034))),)</f>
        <v>🠋</v>
      </c>
      <c r="I3" s="38" t="str">
        <f t="array" ref="I3">IFERROR(INDEX(L_DATA_CHNG_PCT_FML,$B3),)</f>
        <v>-0.01%</v>
      </c>
      <c r="J3" s="34">
        <f t="array" ref="J3">IFERROR(INDEX(L_DATA_CHANGEPCT,$B3),)</f>
        <v>-0.01</v>
      </c>
      <c r="K3" s="39">
        <f>IFERROR(__xludf.DUMMYFUNCTION("IFERROR(GOOGLEFINANCE(C3,""MARKETCAP""),)"),6.759567595E9)</f>
        <v>6759567595</v>
      </c>
      <c r="L3" s="34" t="str">
        <f>IFERROR(__xludf.DUMMYFUNCTION("IFERROR(GOOGLEFINANCE(C3,""PE""),)"),"")</f>
        <v/>
      </c>
      <c r="M3" s="40">
        <f>IFERROR(__xludf.DUMMYFUNCTION("IFERROR(GOOGLEFINANCE(C3,""LOW52""),)"),71.37)</f>
        <v>71.37</v>
      </c>
      <c r="N3" s="41" t="str">
        <f t="shared" ref="N3:N22" si="2">IFERROR(REPT(CHAR(45),QUOTIENT(($F3 -$M3),ROUND( ($O3-$M3) /10,2)))
&amp;CHAR(9660)&amp;REPT(CHAR(45),9-QUOTIENT(($F3 -$M3),ROUND( ($O3-$M3) /10,2))),"")</f>
        <v>-▼--------</v>
      </c>
      <c r="O3" s="40">
        <f>IFERROR(__xludf.DUMMYFUNCTION("IFERROR(GOOGLEFINANCE(C3,""HIGH52""),)"),127.5)</f>
        <v>127.5</v>
      </c>
      <c r="P3" s="1"/>
      <c r="Q3" s="1"/>
      <c r="R3" s="1"/>
      <c r="S3" s="1"/>
    </row>
    <row r="4">
      <c r="A4" s="33">
        <v>2.0</v>
      </c>
      <c r="B4" s="34">
        <f>MATCH(A4,L_DATA_TOP_DECLINE_PCT,0)</f>
        <v>323</v>
      </c>
      <c r="C4" s="34" t="str">
        <f t="array" ref="C4">IFERROR(INDEX(L_DATA_SYMBOL,B4),)</f>
        <v>NSE:CYIENT</v>
      </c>
      <c r="D4" s="34" t="str">
        <f>IFERROR(__xludf.DUMMYFUNCTION("IFERROR(GOOGLEFINANCE(C4,""NAME""),)"),"Cyient Ltd")</f>
        <v>Cyient Ltd</v>
      </c>
      <c r="E4" s="35">
        <f t="array" ref="E4">IFERROR(INDEX(L_DATA_VOL,$B4),)</f>
        <v>195904</v>
      </c>
      <c r="F4" s="34">
        <f t="array" ref="F4">IFERROR(INDEX(L_DATA_PRICE,$B4),)</f>
        <v>882.1</v>
      </c>
      <c r="G4" s="36">
        <f t="array" ref="G4">IFERROR(INDEX(L_DATA_CHANGE,$B4),)</f>
        <v>-0.15</v>
      </c>
      <c r="H4" s="37" t="str">
        <f t="shared" si="1"/>
        <v>🠋</v>
      </c>
      <c r="I4" s="38" t="str">
        <f t="array" ref="I4">IFERROR(INDEX(L_DATA_CHNG_PCT_FML,$B4),)</f>
        <v>-0.02%</v>
      </c>
      <c r="J4" s="34">
        <f t="array" ref="J4">IFERROR(INDEX(L_DATA_CHANGEPCT,$B4),)</f>
        <v>-0.02</v>
      </c>
      <c r="K4" s="39">
        <f>IFERROR(__xludf.DUMMYFUNCTION("IFERROR(GOOGLEFINANCE(C4,""MARKETCAP""),)"),9.75613584E10)</f>
        <v>97561358400</v>
      </c>
      <c r="L4" s="34" t="str">
        <f>IFERROR(__xludf.DUMMYFUNCTION("IFERROR(GOOGLEFINANCE(C4,""PE""),)"),"")</f>
        <v/>
      </c>
      <c r="M4" s="40">
        <f>IFERROR(__xludf.DUMMYFUNCTION("IFERROR(GOOGLEFINANCE(C4,""LOW52""),)"),872.95)</f>
        <v>872.95</v>
      </c>
      <c r="N4" s="41" t="str">
        <f t="shared" si="2"/>
        <v>▼---------</v>
      </c>
      <c r="O4" s="40">
        <f>IFERROR(__xludf.DUMMYFUNCTION("IFERROR(GOOGLEFINANCE(C4,""HIGH52""),)"),1376.0)</f>
        <v>1376</v>
      </c>
      <c r="P4" s="1"/>
      <c r="Q4" s="1"/>
      <c r="R4" s="1"/>
      <c r="S4" s="1"/>
    </row>
    <row r="5">
      <c r="A5" s="33">
        <v>3.0</v>
      </c>
      <c r="B5" s="34">
        <f>MATCH(A5,L_DATA_TOP_DECLINE_PCT,0)</f>
        <v>711</v>
      </c>
      <c r="C5" s="34" t="str">
        <f t="array" ref="C5">IFERROR(INDEX(L_DATA_SYMBOL,B5),)</f>
        <v>NSE:JINDALSAW</v>
      </c>
      <c r="D5" s="34" t="str">
        <f>IFERROR(__xludf.DUMMYFUNCTION("IFERROR(GOOGLEFINANCE(C5,""NAME""),)"),"Jindal SAW Ltd")</f>
        <v>Jindal SAW Ltd</v>
      </c>
      <c r="E5" s="35">
        <f t="array" ref="E5">IFERROR(INDEX(L_DATA_VOL,$B5),)</f>
        <v>1857754</v>
      </c>
      <c r="F5" s="34">
        <f t="array" ref="F5">IFERROR(INDEX(L_DATA_PRICE,$B5),)</f>
        <v>169.35</v>
      </c>
      <c r="G5" s="36">
        <f t="array" ref="G5">IFERROR(INDEX(L_DATA_CHANGE,$B5),)</f>
        <v>-0.04</v>
      </c>
      <c r="H5" s="37" t="str">
        <f t="shared" si="1"/>
        <v>🠋</v>
      </c>
      <c r="I5" s="38" t="str">
        <f t="array" ref="I5">IFERROR(INDEX(L_DATA_CHNG_PCT_FML,$B5),)</f>
        <v>-0.02%</v>
      </c>
      <c r="J5" s="34">
        <f t="array" ref="J5">IFERROR(INDEX(L_DATA_CHANGEPCT,$B5),)</f>
        <v>-0.02</v>
      </c>
      <c r="K5" s="39">
        <f>IFERROR(__xludf.DUMMYFUNCTION("IFERROR(GOOGLEFINANCE(C5,""MARKETCAP""),)"),1.08130515608E11)</f>
        <v>108130515608</v>
      </c>
      <c r="L5" s="34" t="str">
        <f>IFERROR(__xludf.DUMMYFUNCTION("IFERROR(GOOGLEFINANCE(C5,""PE""),)"),"")</f>
        <v/>
      </c>
      <c r="M5" s="40">
        <f>IFERROR(__xludf.DUMMYFUNCTION("IFERROR(GOOGLEFINANCE(C5,""LOW52""),)"),153.0)</f>
        <v>153</v>
      </c>
      <c r="N5" s="41" t="str">
        <f t="shared" si="2"/>
        <v>-▼--------</v>
      </c>
      <c r="O5" s="40">
        <f>IFERROR(__xludf.DUMMYFUNCTION("IFERROR(GOOGLEFINANCE(C5,""HIGH52""),)"),286.4)</f>
        <v>286.4</v>
      </c>
      <c r="P5" s="1"/>
      <c r="Q5" s="1"/>
      <c r="R5" s="1"/>
      <c r="S5" s="1"/>
    </row>
    <row r="6">
      <c r="A6" s="33">
        <v>4.0</v>
      </c>
      <c r="B6" s="34">
        <f>MATCH(A6,L_DATA_TOP_DECLINE_PCT,0)</f>
        <v>952</v>
      </c>
      <c r="C6" s="34" t="str">
        <f t="array" ref="C6">IFERROR(INDEX(L_DATA_SYMBOL,B6),)</f>
        <v>NSE:NAHARINDUS</v>
      </c>
      <c r="D6" s="34" t="str">
        <f>IFERROR(__xludf.DUMMYFUNCTION("IFERROR(GOOGLEFINANCE(C6,""NAME""),)"),"Nahar Industrial Enterprises Ltd")</f>
        <v>Nahar Industrial Enterprises Ltd</v>
      </c>
      <c r="E6" s="35">
        <f t="array" ref="E6">IFERROR(INDEX(L_DATA_VOL,$B6),)</f>
        <v>18148</v>
      </c>
      <c r="F6" s="34">
        <f t="array" ref="F6">IFERROR(INDEX(L_DATA_PRICE,$B6),)</f>
        <v>92.7</v>
      </c>
      <c r="G6" s="36">
        <f t="array" ref="G6">IFERROR(INDEX(L_DATA_CHANGE,$B6),)</f>
        <v>-0.02</v>
      </c>
      <c r="H6" s="37" t="str">
        <f t="shared" si="1"/>
        <v>🠋</v>
      </c>
      <c r="I6" s="38" t="str">
        <f t="array" ref="I6">IFERROR(INDEX(L_DATA_CHNG_PCT_FML,$B6),)</f>
        <v>-0.02%</v>
      </c>
      <c r="J6" s="34">
        <f t="array" ref="J6">IFERROR(INDEX(L_DATA_CHANGEPCT,$B6),)</f>
        <v>-0.02</v>
      </c>
      <c r="K6" s="39">
        <f>IFERROR(__xludf.DUMMYFUNCTION("IFERROR(GOOGLEFINANCE(C6,""MARKETCAP""),)"),4.01811801E9)</f>
        <v>4018118010</v>
      </c>
      <c r="L6" s="34" t="str">
        <f>IFERROR(__xludf.DUMMYFUNCTION("IFERROR(GOOGLEFINANCE(C6,""PE""),)"),"")</f>
        <v/>
      </c>
      <c r="M6" s="40">
        <f>IFERROR(__xludf.DUMMYFUNCTION("IFERROR(GOOGLEFINANCE(C6,""LOW52""),)"),88.8)</f>
        <v>88.8</v>
      </c>
      <c r="N6" s="41" t="str">
        <f t="shared" si="2"/>
        <v>▼---------</v>
      </c>
      <c r="O6" s="40">
        <f>IFERROR(__xludf.DUMMYFUNCTION("IFERROR(GOOGLEFINANCE(C6,""HIGH52""),)"),150.0)</f>
        <v>150</v>
      </c>
      <c r="P6" s="1"/>
      <c r="Q6" s="1"/>
      <c r="R6" s="1"/>
      <c r="S6" s="1"/>
    </row>
    <row r="7">
      <c r="A7" s="33">
        <v>5.0</v>
      </c>
      <c r="B7" s="34">
        <f>MATCH(A7,L_DATA_TOP_DECLINE_PCT,0)</f>
        <v>1187</v>
      </c>
      <c r="C7" s="34" t="str">
        <f t="array" ref="C7">IFERROR(INDEX(L_DATA_SYMBOL,B7),)</f>
        <v>NSE:SANGAMIND</v>
      </c>
      <c r="D7" s="34" t="str">
        <f>IFERROR(__xludf.DUMMYFUNCTION("IFERROR(GOOGLEFINANCE(C7,""NAME""),)"),"Sangam (India) Ltd")</f>
        <v>Sangam (India) Ltd</v>
      </c>
      <c r="E7" s="35">
        <f t="array" ref="E7">IFERROR(INDEX(L_DATA_VOL,$B7),)</f>
        <v>15666</v>
      </c>
      <c r="F7" s="34">
        <f t="array" ref="F7">IFERROR(INDEX(L_DATA_PRICE,$B7),)</f>
        <v>437.9</v>
      </c>
      <c r="G7" s="36">
        <f t="array" ref="G7">IFERROR(INDEX(L_DATA_CHANGE,$B7),)</f>
        <v>-2.85</v>
      </c>
      <c r="H7" s="37" t="str">
        <f t="shared" si="1"/>
        <v>🠋</v>
      </c>
      <c r="I7" s="38" t="str">
        <f t="array" ref="I7">IFERROR(INDEX(L_DATA_CHNG_PCT_FML,$B7),)</f>
        <v>-0.02%</v>
      </c>
      <c r="J7" s="34">
        <f t="array" ref="J7">IFERROR(INDEX(L_DATA_CHANGEPCT,$B7),)</f>
        <v>-0.02</v>
      </c>
      <c r="K7" s="39">
        <f>IFERROR(__xludf.DUMMYFUNCTION("IFERROR(GOOGLEFINANCE(C7,""MARKETCAP""),)"),2.170582307E10)</f>
        <v>21705823070</v>
      </c>
      <c r="L7" s="34" t="str">
        <f>IFERROR(__xludf.DUMMYFUNCTION("IFERROR(GOOGLEFINANCE(C7,""PE""),)"),"")</f>
        <v/>
      </c>
      <c r="M7" s="40">
        <f>IFERROR(__xludf.DUMMYFUNCTION("IFERROR(GOOGLEFINANCE(C7,""LOW52""),)"),300.2)</f>
        <v>300.2</v>
      </c>
      <c r="N7" s="41" t="str">
        <f t="shared" si="2"/>
        <v>------▼---</v>
      </c>
      <c r="O7" s="40">
        <f>IFERROR(__xludf.DUMMYFUNCTION("IFERROR(GOOGLEFINANCE(C7,""HIGH52""),)"),524.0)</f>
        <v>524</v>
      </c>
      <c r="P7" s="1"/>
      <c r="Q7" s="1"/>
      <c r="R7" s="1"/>
      <c r="S7" s="1"/>
    </row>
    <row r="8">
      <c r="A8" s="33">
        <v>6.0</v>
      </c>
      <c r="B8" s="34">
        <f>MATCH(A8,L_DATA_TOP_DECLINE_PCT,0)</f>
        <v>1382</v>
      </c>
      <c r="C8" s="34" t="str">
        <f t="array" ref="C8">IFERROR(INDEX(L_DATA_SYMBOL,B8),)</f>
        <v>NSE:TAJGVK</v>
      </c>
      <c r="D8" s="34" t="str">
        <f>IFERROR(__xludf.DUMMYFUNCTION("IFERROR(GOOGLEFINANCE(C8,""NAME""),)"),"TAJ GVK Hotels and Resorts Ltd")</f>
        <v>TAJ GVK Hotels and Resorts Ltd</v>
      </c>
      <c r="E8" s="35">
        <f t="array" ref="E8">IFERROR(INDEX(L_DATA_VOL,$B8),)</f>
        <v>174236</v>
      </c>
      <c r="F8" s="34">
        <f t="array" ref="F8">IFERROR(INDEX(L_DATA_PRICE,$B8),)</f>
        <v>332.85</v>
      </c>
      <c r="G8" s="36">
        <f t="array" ref="G8">IFERROR(INDEX(L_DATA_CHANGE,$B8),)</f>
        <v>-0.05</v>
      </c>
      <c r="H8" s="37" t="str">
        <f t="shared" si="1"/>
        <v>🠋</v>
      </c>
      <c r="I8" s="38" t="str">
        <f t="array" ref="I8">IFERROR(INDEX(L_DATA_CHNG_PCT_FML,$B8),)</f>
        <v>-0.02%</v>
      </c>
      <c r="J8" s="34">
        <f t="array" ref="J8">IFERROR(INDEX(L_DATA_CHANGEPCT,$B8),)</f>
        <v>-0.02</v>
      </c>
      <c r="K8" s="39">
        <f>IFERROR(__xludf.DUMMYFUNCTION("IFERROR(GOOGLEFINANCE(C8,""MARKETCAP""),)"),2.0870184672E10)</f>
        <v>20870184672</v>
      </c>
      <c r="L8" s="34" t="str">
        <f>IFERROR(__xludf.DUMMYFUNCTION("IFERROR(GOOGLEFINANCE(C8,""PE""),)"),"")</f>
        <v/>
      </c>
      <c r="M8" s="40">
        <f>IFERROR(__xludf.DUMMYFUNCTION("IFERROR(GOOGLEFINANCE(C8,""LOW52""),)"),326.8)</f>
        <v>326.8</v>
      </c>
      <c r="N8" s="41" t="str">
        <f t="shared" si="2"/>
        <v>▼---------</v>
      </c>
      <c r="O8" s="40">
        <f>IFERROR(__xludf.DUMMYFUNCTION("IFERROR(GOOGLEFINANCE(C8,""HIGH52""),)"),528.1)</f>
        <v>528.1</v>
      </c>
      <c r="P8" s="1"/>
      <c r="Q8" s="1"/>
      <c r="R8" s="1"/>
      <c r="S8" s="1"/>
    </row>
    <row r="9">
      <c r="A9" s="33">
        <v>7.0</v>
      </c>
      <c r="B9" s="34">
        <f>MATCH(A9,L_DATA_TOP_DECLINE_PCT,0)</f>
        <v>348</v>
      </c>
      <c r="C9" s="34" t="str">
        <f t="array" ref="C9">IFERROR(INDEX(L_DATA_SYMBOL,B9),)</f>
        <v>NSE:DEN</v>
      </c>
      <c r="D9" s="34" t="str">
        <f>IFERROR(__xludf.DUMMYFUNCTION("IFERROR(GOOGLEFINANCE(C9,""NAME""),)"),"DEN Networks Ltd")</f>
        <v>DEN Networks Ltd</v>
      </c>
      <c r="E9" s="35">
        <f t="array" ref="E9">IFERROR(INDEX(L_DATA_VOL,$B9),)</f>
        <v>1299654</v>
      </c>
      <c r="F9" s="34">
        <f t="array" ref="F9">IFERROR(INDEX(L_DATA_PRICE,$B9),)</f>
        <v>27.05</v>
      </c>
      <c r="G9" s="36">
        <f t="array" ref="G9">IFERROR(INDEX(L_DATA_CHANGE,$B9),)</f>
        <v>-0.01</v>
      </c>
      <c r="H9" s="37" t="str">
        <f t="shared" si="1"/>
        <v>🠋</v>
      </c>
      <c r="I9" s="38" t="str">
        <f t="array" ref="I9">IFERROR(INDEX(L_DATA_CHNG_PCT_FML,$B9),)</f>
        <v>-0.04%</v>
      </c>
      <c r="J9" s="34">
        <f t="array" ref="J9">IFERROR(INDEX(L_DATA_CHANGEPCT,$B9),)</f>
        <v>-0.04</v>
      </c>
      <c r="K9" s="39">
        <f>IFERROR(__xludf.DUMMYFUNCTION("IFERROR(GOOGLEFINANCE(C9,""MARKETCAP""),)"),1.2920483908E10)</f>
        <v>12920483908</v>
      </c>
      <c r="L9" s="34" t="str">
        <f>IFERROR(__xludf.DUMMYFUNCTION("IFERROR(GOOGLEFINANCE(C9,""PE""),)"),"")</f>
        <v/>
      </c>
      <c r="M9" s="40">
        <f>IFERROR(__xludf.DUMMYFUNCTION("IFERROR(GOOGLEFINANCE(C9,""LOW52""),)"),26.2)</f>
        <v>26.2</v>
      </c>
      <c r="N9" s="41" t="str">
        <f t="shared" si="2"/>
        <v>▼---------</v>
      </c>
      <c r="O9" s="40">
        <f>IFERROR(__xludf.DUMMYFUNCTION("IFERROR(GOOGLEFINANCE(C9,""HIGH52""),)"),42.6)</f>
        <v>42.6</v>
      </c>
      <c r="P9" s="1"/>
      <c r="Q9" s="1"/>
      <c r="R9" s="1"/>
      <c r="S9" s="1"/>
    </row>
    <row r="10">
      <c r="A10" s="33">
        <v>8.0</v>
      </c>
      <c r="B10" s="34">
        <f>MATCH(A10,L_DATA_TOP_DECLINE_PCT,0)</f>
        <v>641</v>
      </c>
      <c r="C10" s="34" t="str">
        <f t="array" ref="C10">IFERROR(INDEX(L_DATA_SYMBOL,B10),)</f>
        <v>NSE:INDIAMART</v>
      </c>
      <c r="D10" s="34" t="str">
        <f>IFERROR(__xludf.DUMMYFUNCTION("IFERROR(GOOGLEFINANCE(C10,""NAME""),)"),"IndiaMART InterMESH Ltd")</f>
        <v>IndiaMART InterMESH Ltd</v>
      </c>
      <c r="E10" s="35">
        <f t="array" ref="E10">IFERROR(INDEX(L_DATA_VOL,$B10),)</f>
        <v>89858</v>
      </c>
      <c r="F10" s="34">
        <f t="array" ref="F10">IFERROR(INDEX(L_DATA_PRICE,$B10),)</f>
        <v>2080</v>
      </c>
      <c r="G10" s="36">
        <f t="array" ref="G10">IFERROR(INDEX(L_DATA_CHANGE,$B10),)</f>
        <v>-0.5</v>
      </c>
      <c r="H10" s="37" t="str">
        <f t="shared" si="1"/>
        <v>🠋</v>
      </c>
      <c r="I10" s="38" t="str">
        <f t="array" ref="I10">IFERROR(INDEX(L_DATA_CHNG_PCT_FML,$B10),)</f>
        <v>-0.04%</v>
      </c>
      <c r="J10" s="34">
        <f t="array" ref="J10">IFERROR(INDEX(L_DATA_CHANGEPCT,$B10),)</f>
        <v>-0.04</v>
      </c>
      <c r="K10" s="39">
        <f>IFERROR(__xludf.DUMMYFUNCTION("IFERROR(GOOGLEFINANCE(C10,""MARKETCAP""),)"),1.249169792E11)</f>
        <v>124916979200</v>
      </c>
      <c r="L10" s="34" t="str">
        <f>IFERROR(__xludf.DUMMYFUNCTION("IFERROR(GOOGLEFINANCE(C10,""PE""),)"),"")</f>
        <v/>
      </c>
      <c r="M10" s="40">
        <f>IFERROR(__xludf.DUMMYFUNCTION("IFERROR(GOOGLEFINANCE(C10,""LOW52""),)"),1900.1)</f>
        <v>1900.1</v>
      </c>
      <c r="N10" s="41" t="str">
        <f t="shared" si="2"/>
        <v>--▼-------</v>
      </c>
      <c r="O10" s="40">
        <f>IFERROR(__xludf.DUMMYFUNCTION("IFERROR(GOOGLEFINANCE(C10,""HIGH52""),)"),2799.0)</f>
        <v>2799</v>
      </c>
      <c r="P10" s="1"/>
      <c r="Q10" s="1"/>
      <c r="R10" s="1"/>
      <c r="S10" s="1"/>
    </row>
    <row r="11">
      <c r="A11" s="33">
        <v>9.0</v>
      </c>
      <c r="B11" s="34">
        <f>MATCH(A11,L_DATA_TOP_DECLINE_PCT,0)</f>
        <v>1342</v>
      </c>
      <c r="C11" s="34" t="str">
        <f t="array" ref="C11">IFERROR(INDEX(L_DATA_SYMBOL,B11),)</f>
        <v>NSE:STERTOOLS</v>
      </c>
      <c r="D11" s="34" t="str">
        <f>IFERROR(__xludf.DUMMYFUNCTION("IFERROR(GOOGLEFINANCE(C11,""NAME""),)"),"Sterling Tools Ltd")</f>
        <v>Sterling Tools Ltd</v>
      </c>
      <c r="E11" s="35">
        <f t="array" ref="E11">IFERROR(INDEX(L_DATA_VOL,$B11),)</f>
        <v>75742</v>
      </c>
      <c r="F11" s="34">
        <f t="array" ref="F11">IFERROR(INDEX(L_DATA_PRICE,$B11),)</f>
        <v>206.4</v>
      </c>
      <c r="G11" s="36">
        <f t="array" ref="G11">IFERROR(INDEX(L_DATA_CHANGE,$B11),)</f>
        <v>0.73</v>
      </c>
      <c r="H11" s="37" t="str">
        <f t="shared" si="1"/>
        <v>🠋</v>
      </c>
      <c r="I11" s="38" t="str">
        <f t="array" ref="I11">IFERROR(INDEX(L_DATA_CHNG_PCT_FML,$B11),)</f>
        <v>-0.04%</v>
      </c>
      <c r="J11" s="34">
        <f t="array" ref="J11">IFERROR(INDEX(L_DATA_CHANGEPCT,$B11),)</f>
        <v>-0.04</v>
      </c>
      <c r="K11" s="39">
        <f>IFERROR(__xludf.DUMMYFUNCTION("IFERROR(GOOGLEFINANCE(C11,""MARKETCAP""),)"),7.38614795E9)</f>
        <v>7386147950</v>
      </c>
      <c r="L11" s="34" t="str">
        <f>IFERROR(__xludf.DUMMYFUNCTION("IFERROR(GOOGLEFINANCE(C11,""PE""),)"),"")</f>
        <v/>
      </c>
      <c r="M11" s="40">
        <f>IFERROR(__xludf.DUMMYFUNCTION("IFERROR(GOOGLEFINANCE(C11,""LOW52""),)"),200.0)</f>
        <v>200</v>
      </c>
      <c r="N11" s="41" t="str">
        <f t="shared" si="2"/>
        <v>▼---------</v>
      </c>
      <c r="O11" s="40">
        <f>IFERROR(__xludf.DUMMYFUNCTION("IFERROR(GOOGLEFINANCE(C11,""HIGH52""),)"),393.45)</f>
        <v>393.45</v>
      </c>
      <c r="P11" s="1"/>
      <c r="Q11" s="1"/>
      <c r="R11" s="1"/>
      <c r="S11" s="1"/>
    </row>
    <row r="12">
      <c r="A12" s="33">
        <v>10.0</v>
      </c>
      <c r="B12" s="34">
        <f>MATCH(A12,L_DATA_TOP_DECLINE_PCT,0)</f>
        <v>196</v>
      </c>
      <c r="C12" s="34" t="str">
        <f t="array" ref="C12">IFERROR(INDEX(L_DATA_SYMBOL,B12),)</f>
        <v>NSE:BEPL</v>
      </c>
      <c r="D12" s="34" t="str">
        <f>IFERROR(__xludf.DUMMYFUNCTION("IFERROR(GOOGLEFINANCE(C12,""NAME""),)"),"Bhansali Engineering Polymers Ltd")</f>
        <v>Bhansali Engineering Polymers Ltd</v>
      </c>
      <c r="E12" s="35">
        <f t="array" ref="E12">IFERROR(INDEX(L_DATA_VOL,$B12),)</f>
        <v>378455</v>
      </c>
      <c r="F12" s="34">
        <f t="array" ref="F12">IFERROR(INDEX(L_DATA_PRICE,$B12),)</f>
        <v>78</v>
      </c>
      <c r="G12" s="36">
        <f t="array" ref="G12">IFERROR(INDEX(L_DATA_CHANGE,$B12),)</f>
        <v>0.11</v>
      </c>
      <c r="H12" s="37" t="str">
        <f t="shared" si="1"/>
        <v>🠋</v>
      </c>
      <c r="I12" s="38" t="str">
        <f t="array" ref="I12">IFERROR(INDEX(L_DATA_CHNG_PCT_FML,$B12),)</f>
        <v>-0.05%</v>
      </c>
      <c r="J12" s="34">
        <f t="array" ref="J12">IFERROR(INDEX(L_DATA_CHANGEPCT,$B12),)</f>
        <v>-0.05</v>
      </c>
      <c r="K12" s="39">
        <f>IFERROR(__xludf.DUMMYFUNCTION("IFERROR(GOOGLEFINANCE(C12,""MARKETCAP""),)"),1.94109552E10)</f>
        <v>19410955200</v>
      </c>
      <c r="L12" s="34" t="str">
        <f>IFERROR(__xludf.DUMMYFUNCTION("IFERROR(GOOGLEFINANCE(C12,""PE""),)"),"")</f>
        <v/>
      </c>
      <c r="M12" s="40">
        <f>IFERROR(__xludf.DUMMYFUNCTION("IFERROR(GOOGLEFINANCE(C12,""LOW52""),)"),77.34)</f>
        <v>77.34</v>
      </c>
      <c r="N12" s="41" t="str">
        <f t="shared" si="2"/>
        <v>▼---------</v>
      </c>
      <c r="O12" s="40">
        <f>IFERROR(__xludf.DUMMYFUNCTION("IFERROR(GOOGLEFINANCE(C12,""HIGH52""),)"),123.8)</f>
        <v>123.8</v>
      </c>
      <c r="P12" s="1"/>
      <c r="Q12" s="1"/>
      <c r="R12" s="1"/>
      <c r="S12" s="1"/>
    </row>
    <row r="13">
      <c r="A13" s="33">
        <v>11.0</v>
      </c>
      <c r="B13" s="34">
        <f>MATCH(A13,L_DATA_TOP_DECLINE_PCT,0)</f>
        <v>700</v>
      </c>
      <c r="C13" s="34" t="str">
        <f t="array" ref="C13">IFERROR(INDEX(L_DATA_SYMBOL,B13),)</f>
        <v>NSE:JAYNECOIND</v>
      </c>
      <c r="D13" s="34" t="str">
        <f>IFERROR(__xludf.DUMMYFUNCTION("IFERROR(GOOGLEFINANCE(C13,""NAME""),)"),"Jayaswal Neco Industries Ltd")</f>
        <v>Jayaswal Neco Industries Ltd</v>
      </c>
      <c r="E13" s="35">
        <f t="array" ref="E13">IFERROR(INDEX(L_DATA_VOL,$B13),)</f>
        <v>2072577</v>
      </c>
      <c r="F13" s="34">
        <f t="array" ref="F13">IFERROR(INDEX(L_DATA_PRICE,$B13),)</f>
        <v>74.5</v>
      </c>
      <c r="G13" s="36">
        <f t="array" ref="G13">IFERROR(INDEX(L_DATA_CHANGE,$B13),)</f>
        <v>-0.04</v>
      </c>
      <c r="H13" s="37" t="str">
        <f t="shared" si="1"/>
        <v>🠋</v>
      </c>
      <c r="I13" s="38" t="str">
        <f t="array" ref="I13">IFERROR(INDEX(L_DATA_CHNG_PCT_FML,$B13),)</f>
        <v>-0.05%</v>
      </c>
      <c r="J13" s="34">
        <f t="array" ref="J13">IFERROR(INDEX(L_DATA_CHANGEPCT,$B13),)</f>
        <v>-0.05</v>
      </c>
      <c r="K13" s="39">
        <f>IFERROR(__xludf.DUMMYFUNCTION("IFERROR(GOOGLEFINANCE(C13,""MARKETCAP""),)"),7.23393659E10)</f>
        <v>72339365900</v>
      </c>
      <c r="L13" s="34" t="str">
        <f>IFERROR(__xludf.DUMMYFUNCTION("IFERROR(GOOGLEFINANCE(C13,""PE""),)"),"")</f>
        <v/>
      </c>
      <c r="M13" s="40">
        <f>IFERROR(__xludf.DUMMYFUNCTION("IFERROR(GOOGLEFINANCE(C13,""LOW52""),)"),28.8)</f>
        <v>28.8</v>
      </c>
      <c r="N13" s="41" t="str">
        <f t="shared" si="2"/>
        <v>------▼---</v>
      </c>
      <c r="O13" s="40">
        <f>IFERROR(__xludf.DUMMYFUNCTION("IFERROR(GOOGLEFINANCE(C13,""HIGH52""),)"),94.3)</f>
        <v>94.3</v>
      </c>
      <c r="P13" s="1"/>
      <c r="Q13" s="1"/>
      <c r="R13" s="1"/>
      <c r="S13" s="1"/>
    </row>
    <row r="14">
      <c r="A14" s="33">
        <v>12.0</v>
      </c>
      <c r="B14" s="34">
        <f>MATCH(A14,L_DATA_TOP_DECLINE_PCT,0)</f>
        <v>882</v>
      </c>
      <c r="C14" s="34" t="str">
        <f t="array" ref="C14">IFERROR(INDEX(L_DATA_SYMBOL,B14),)</f>
        <v>NSE:MATRIMONY</v>
      </c>
      <c r="D14" s="34" t="str">
        <f>IFERROR(__xludf.DUMMYFUNCTION("IFERROR(GOOGLEFINANCE(C14,""NAME""),)"),"MATRIMONY.COM Ltd")</f>
        <v>MATRIMONY.COM Ltd</v>
      </c>
      <c r="E14" s="35">
        <f t="array" ref="E14">IFERROR(INDEX(L_DATA_VOL,$B14),)</f>
        <v>13838</v>
      </c>
      <c r="F14" s="34">
        <f t="array" ref="F14">IFERROR(INDEX(L_DATA_PRICE,$B14),)</f>
        <v>406.5</v>
      </c>
      <c r="G14" s="36">
        <f t="array" ref="G14">IFERROR(INDEX(L_DATA_CHANGE,$B14),)</f>
        <v>-0.2</v>
      </c>
      <c r="H14" s="37" t="str">
        <f t="shared" si="1"/>
        <v>🠋</v>
      </c>
      <c r="I14" s="38" t="str">
        <f t="array" ref="I14">IFERROR(INDEX(L_DATA_CHNG_PCT_FML,$B14),)</f>
        <v>-0.05%</v>
      </c>
      <c r="J14" s="34">
        <f t="array" ref="J14">IFERROR(INDEX(L_DATA_CHANGEPCT,$B14),)</f>
        <v>-0.05</v>
      </c>
      <c r="K14" s="39">
        <f>IFERROR(__xludf.DUMMYFUNCTION("IFERROR(GOOGLEFINANCE(C14,""MARKETCAP""),)"),8.402472885E9)</f>
        <v>8402472885</v>
      </c>
      <c r="L14" s="34" t="str">
        <f>IFERROR(__xludf.DUMMYFUNCTION("IFERROR(GOOGLEFINANCE(C14,""PE""),)"),"")</f>
        <v/>
      </c>
      <c r="M14" s="40">
        <f>IFERROR(__xludf.DUMMYFUNCTION("IFERROR(GOOGLEFINANCE(C14,""LOW52""),)"),386.85)</f>
        <v>386.85</v>
      </c>
      <c r="N14" s="41" t="str">
        <f t="shared" si="2"/>
        <v>▼---------</v>
      </c>
      <c r="O14" s="40">
        <f>IFERROR(__xludf.DUMMYFUNCTION("IFERROR(GOOGLEFINANCE(C14,""HIGH52""),)"),589.8)</f>
        <v>589.8</v>
      </c>
      <c r="P14" s="1"/>
      <c r="Q14" s="1"/>
      <c r="R14" s="1"/>
      <c r="S14" s="1"/>
    </row>
    <row r="15">
      <c r="A15" s="33">
        <v>13.0</v>
      </c>
      <c r="B15" s="34">
        <f>MATCH(A15,L_DATA_TOP_DECLINE_PCT,0)</f>
        <v>1561</v>
      </c>
      <c r="C15" s="34" t="str">
        <f t="array" ref="C15">IFERROR(INDEX(L_DATA_SYMBOL,B15),)</f>
        <v>NSE:WENDT</v>
      </c>
      <c r="D15" s="34" t="str">
        <f>IFERROR(__xludf.DUMMYFUNCTION("IFERROR(GOOGLEFINANCE(C15,""NAME""),)"),"Wendt (India) Limited")</f>
        <v>Wendt (India) Limited</v>
      </c>
      <c r="E15" s="35">
        <f t="array" ref="E15">IFERROR(INDEX(L_DATA_VOL,$B15),)</f>
        <v>8294</v>
      </c>
      <c r="F15" s="34">
        <f t="array" ref="F15">IFERROR(INDEX(L_DATA_PRICE,$B15),)</f>
        <v>6622</v>
      </c>
      <c r="G15" s="36">
        <f t="array" ref="G15">IFERROR(INDEX(L_DATA_CHANGE,$B15),)</f>
        <v>-3.5</v>
      </c>
      <c r="H15" s="37" t="str">
        <f t="shared" si="1"/>
        <v>🠋</v>
      </c>
      <c r="I15" s="38" t="str">
        <f t="array" ref="I15">IFERROR(INDEX(L_DATA_CHNG_PCT_FML,$B15),)</f>
        <v>-0.05%</v>
      </c>
      <c r="J15" s="34">
        <f t="array" ref="J15">IFERROR(INDEX(L_DATA_CHANGEPCT,$B15),)</f>
        <v>-0.05</v>
      </c>
      <c r="K15" s="39">
        <f>IFERROR(__xludf.DUMMYFUNCTION("IFERROR(GOOGLEFINANCE(C15,""MARKETCAP""),)"),1.3155397312E10)</f>
        <v>13155397312</v>
      </c>
      <c r="L15" s="34" t="str">
        <f>IFERROR(__xludf.DUMMYFUNCTION("IFERROR(GOOGLEFINANCE(C15,""PE""),)"),"")</f>
        <v/>
      </c>
      <c r="M15" s="40">
        <f>IFERROR(__xludf.DUMMYFUNCTION("IFERROR(GOOGLEFINANCE(C15,""LOW52""),)"),6447.0)</f>
        <v>6447</v>
      </c>
      <c r="N15" s="41" t="str">
        <f t="shared" si="2"/>
        <v>▼---------</v>
      </c>
      <c r="O15" s="40">
        <f>IFERROR(__xludf.DUMMYFUNCTION("IFERROR(GOOGLEFINANCE(C15,""HIGH52""),)"),12990.0)</f>
        <v>12990</v>
      </c>
      <c r="P15" s="1"/>
      <c r="Q15" s="1"/>
      <c r="R15" s="1"/>
      <c r="S15" s="1"/>
    </row>
    <row r="16">
      <c r="A16" s="33">
        <v>14.0</v>
      </c>
      <c r="B16" s="34">
        <f>MATCH(A16,L_DATA_TOP_DECLINE_PCT,0)</f>
        <v>1611</v>
      </c>
      <c r="C16" s="34" t="str">
        <f t="array" ref="C16">IFERROR(INDEX(L_DATA_SYMBOL,B16),)</f>
        <v>BOM:500312</v>
      </c>
      <c r="D16" s="34" t="str">
        <f>IFERROR(__xludf.DUMMYFUNCTION("IFERROR(GOOGLEFINANCE(C16,""NAME""),)"),"Oil and Natural Gas Corporation Ltd")</f>
        <v>Oil and Natural Gas Corporation Ltd</v>
      </c>
      <c r="E16" s="35">
        <f t="array" ref="E16">IFERROR(INDEX(L_DATA_VOL,$B16),)</f>
        <v>4979471</v>
      </c>
      <c r="F16" s="34">
        <f t="array" ref="F16">IFERROR(INDEX(L_DATA_PRICE,$B16),)</f>
        <v>276.9</v>
      </c>
      <c r="G16" s="36">
        <f t="array" ref="G16">IFERROR(INDEX(L_DATA_CHANGE,$B16),)</f>
        <v>-0.15</v>
      </c>
      <c r="H16" s="37" t="str">
        <f t="shared" si="1"/>
        <v>🠋</v>
      </c>
      <c r="I16" s="38" t="str">
        <f t="array" ref="I16">IFERROR(INDEX(L_DATA_CHNG_PCT_FML,$B16),)</f>
        <v>-0.05%</v>
      </c>
      <c r="J16" s="34">
        <f t="array" ref="J16">IFERROR(INDEX(L_DATA_CHANGEPCT,$B16),)</f>
        <v>-0.05</v>
      </c>
      <c r="K16" s="39">
        <f>IFERROR(__xludf.DUMMYFUNCTION("IFERROR(GOOGLEFINANCE(C16,""MARKETCAP""),)"),3.4815897225E12)</f>
        <v>3481589722500</v>
      </c>
      <c r="L16" s="34" t="str">
        <f>IFERROR(__xludf.DUMMYFUNCTION("IFERROR(GOOGLEFINANCE(C16,""PE""),)"),"")</f>
        <v/>
      </c>
      <c r="M16" s="40">
        <f>IFERROR(__xludf.DUMMYFUNCTION("IFERROR(GOOGLEFINANCE(C16,""LOW52""),)"),205.0)</f>
        <v>205</v>
      </c>
      <c r="N16" s="41" t="str">
        <f t="shared" si="2"/>
        <v>--------▼-</v>
      </c>
      <c r="O16" s="40">
        <f>IFERROR(__xludf.DUMMYFUNCTION("IFERROR(GOOGLEFINANCE(C16,""HIGH52""),)"),293.15)</f>
        <v>293.15</v>
      </c>
      <c r="P16" s="1"/>
      <c r="Q16" s="1"/>
      <c r="R16" s="1"/>
      <c r="S16" s="1"/>
    </row>
    <row r="17">
      <c r="A17" s="33">
        <v>15.0</v>
      </c>
      <c r="B17" s="34">
        <f>MATCH(A17,L_DATA_TOP_DECLINE_PCT,0)</f>
        <v>146</v>
      </c>
      <c r="C17" s="34" t="str">
        <f t="array" ref="C17">IFERROR(INDEX(L_DATA_SYMBOL,B17),)</f>
        <v>NSE:AUTOIND</v>
      </c>
      <c r="D17" s="34" t="str">
        <f>IFERROR(__xludf.DUMMYFUNCTION("IFERROR(GOOGLEFINANCE(C17,""NAME""),)"),"Autoline Industries Ltd")</f>
        <v>Autoline Industries Ltd</v>
      </c>
      <c r="E17" s="35">
        <f t="array" ref="E17">IFERROR(INDEX(L_DATA_VOL,$B17),)</f>
        <v>52148</v>
      </c>
      <c r="F17" s="34">
        <f t="array" ref="F17">IFERROR(INDEX(L_DATA_PRICE,$B17),)</f>
        <v>71.5</v>
      </c>
      <c r="G17" s="36">
        <f t="array" ref="G17">IFERROR(INDEX(L_DATA_CHANGE,$B17),)</f>
        <v>-0.04</v>
      </c>
      <c r="H17" s="37" t="str">
        <f t="shared" si="1"/>
        <v>🠋</v>
      </c>
      <c r="I17" s="38" t="str">
        <f t="array" ref="I17">IFERROR(INDEX(L_DATA_CHNG_PCT_FML,$B17),)</f>
        <v>-0.06%</v>
      </c>
      <c r="J17" s="34">
        <f t="array" ref="J17">IFERROR(INDEX(L_DATA_CHANGEPCT,$B17),)</f>
        <v>-0.06</v>
      </c>
      <c r="K17" s="39">
        <f>IFERROR(__xludf.DUMMYFUNCTION("IFERROR(GOOGLEFINANCE(C17,""MARKETCAP""),)"),3.25690851E9)</f>
        <v>3256908510</v>
      </c>
      <c r="L17" s="34" t="str">
        <f>IFERROR(__xludf.DUMMYFUNCTION("IFERROR(GOOGLEFINANCE(C17,""PE""),)"),"")</f>
        <v/>
      </c>
      <c r="M17" s="40">
        <f>IFERROR(__xludf.DUMMYFUNCTION("IFERROR(GOOGLEFINANCE(C17,""LOW52""),)"),62.81)</f>
        <v>62.81</v>
      </c>
      <c r="N17" s="41" t="str">
        <f t="shared" si="2"/>
        <v>--▼-------</v>
      </c>
      <c r="O17" s="40">
        <f>IFERROR(__xludf.DUMMYFUNCTION("IFERROR(GOOGLEFINANCE(C17,""HIGH52""),)"),96.39)</f>
        <v>96.39</v>
      </c>
      <c r="P17" s="1"/>
      <c r="Q17" s="1"/>
      <c r="R17" s="1"/>
      <c r="S17" s="1"/>
    </row>
    <row r="18">
      <c r="A18" s="33">
        <v>16.0</v>
      </c>
      <c r="B18" s="34">
        <f>MATCH(A18,L_DATA_TOP_DECLINE_PCT,0)</f>
        <v>402</v>
      </c>
      <c r="C18" s="34" t="str">
        <f t="array" ref="C18">IFERROR(INDEX(L_DATA_SYMBOL,B18),)</f>
        <v>NSE:ENDURANCE</v>
      </c>
      <c r="D18" s="34" t="str">
        <f>IFERROR(__xludf.DUMMYFUNCTION("IFERROR(GOOGLEFINANCE(C18,""NAME""),)"),"Endurance Technologies Ltd")</f>
        <v>Endurance Technologies Ltd</v>
      </c>
      <c r="E18" s="35">
        <f t="array" ref="E18">IFERROR(INDEX(L_DATA_VOL,$B18),)</f>
        <v>76467</v>
      </c>
      <c r="F18" s="34">
        <f t="array" ref="F18">IFERROR(INDEX(L_DATA_PRICE,$B18),)</f>
        <v>2507.4</v>
      </c>
      <c r="G18" s="36">
        <f t="array" ref="G18">IFERROR(INDEX(L_DATA_CHANGE,$B18),)</f>
        <v>2.4</v>
      </c>
      <c r="H18" s="37" t="str">
        <f t="shared" si="1"/>
        <v>🠋</v>
      </c>
      <c r="I18" s="38" t="str">
        <f t="array" ref="I18">IFERROR(INDEX(L_DATA_CHNG_PCT_FML,$B18),)</f>
        <v>-0.06%</v>
      </c>
      <c r="J18" s="34">
        <f t="array" ref="J18">IFERROR(INDEX(L_DATA_CHANGEPCT,$B18),)</f>
        <v>-0.06</v>
      </c>
      <c r="K18" s="39">
        <f>IFERROR(__xludf.DUMMYFUNCTION("IFERROR(GOOGLEFINANCE(C18,""MARKETCAP""),)"),3.52657466697E11)</f>
        <v>352657466697</v>
      </c>
      <c r="L18" s="34" t="str">
        <f>IFERROR(__xludf.DUMMYFUNCTION("IFERROR(GOOGLEFINANCE(C18,""PE""),)"),"")</f>
        <v/>
      </c>
      <c r="M18" s="40">
        <f>IFERROR(__xludf.DUMMYFUNCTION("IFERROR(GOOGLEFINANCE(C18,""LOW52""),)"),1700.0)</f>
        <v>1700</v>
      </c>
      <c r="N18" s="41" t="str">
        <f t="shared" si="2"/>
        <v>-----▼----</v>
      </c>
      <c r="O18" s="40">
        <f>IFERROR(__xludf.DUMMYFUNCTION("IFERROR(GOOGLEFINANCE(C18,""HIGH52""),)"),3079.9)</f>
        <v>3079.9</v>
      </c>
      <c r="P18" s="1"/>
      <c r="Q18" s="1"/>
      <c r="R18" s="1"/>
      <c r="S18" s="1"/>
    </row>
    <row r="19">
      <c r="A19" s="33">
        <v>17.0</v>
      </c>
      <c r="B19" s="34">
        <f>MATCH(A19,L_DATA_TOP_DECLINE_PCT,0)</f>
        <v>1387</v>
      </c>
      <c r="C19" s="34" t="str">
        <f t="array" ref="C19">IFERROR(INDEX(L_DATA_SYMBOL,B19),)</f>
        <v>NSE:TARC</v>
      </c>
      <c r="D19" s="34" t="str">
        <f>IFERROR(__xludf.DUMMYFUNCTION("IFERROR(GOOGLEFINANCE(C19,""NAME""),)"),"Tarc Ltd")</f>
        <v>Tarc Ltd</v>
      </c>
      <c r="E19" s="35">
        <f t="array" ref="E19">IFERROR(INDEX(L_DATA_VOL,$B19),)</f>
        <v>325382</v>
      </c>
      <c r="F19" s="34">
        <f t="array" ref="F19">IFERROR(INDEX(L_DATA_PRICE,$B19),)</f>
        <v>139</v>
      </c>
      <c r="G19" s="36">
        <f t="array" ref="G19">IFERROR(INDEX(L_DATA_CHANGE,$B19),)</f>
        <v>-0.08</v>
      </c>
      <c r="H19" s="37" t="str">
        <f t="shared" si="1"/>
        <v>🠋</v>
      </c>
      <c r="I19" s="38" t="str">
        <f t="array" ref="I19">IFERROR(INDEX(L_DATA_CHNG_PCT_FML,$B19),)</f>
        <v>-0.06%</v>
      </c>
      <c r="J19" s="34">
        <f t="array" ref="J19">IFERROR(INDEX(L_DATA_CHANGEPCT,$B19),)</f>
        <v>-0.06</v>
      </c>
      <c r="K19" s="39">
        <f>IFERROR(__xludf.DUMMYFUNCTION("IFERROR(GOOGLEFINANCE(C19,""MARKETCAP""),)"),4.1207845249E10)</f>
        <v>41207845249</v>
      </c>
      <c r="L19" s="34" t="str">
        <f>IFERROR(__xludf.DUMMYFUNCTION("IFERROR(GOOGLEFINANCE(C19,""PE""),)"),"")</f>
        <v/>
      </c>
      <c r="M19" s="40">
        <f>IFERROR(__xludf.DUMMYFUNCTION("IFERROR(GOOGLEFINANCE(C19,""LOW52""),)"),103.22)</f>
        <v>103.22</v>
      </c>
      <c r="N19" s="41" t="str">
        <f t="shared" si="2"/>
        <v>---▼------</v>
      </c>
      <c r="O19" s="40">
        <f>IFERROR(__xludf.DUMMYFUNCTION("IFERROR(GOOGLEFINANCE(C19,""HIGH52""),)"),206.1)</f>
        <v>206.1</v>
      </c>
      <c r="P19" s="1"/>
      <c r="Q19" s="1"/>
      <c r="R19" s="1"/>
      <c r="S19" s="1"/>
    </row>
    <row r="20">
      <c r="A20" s="33">
        <v>18.0</v>
      </c>
      <c r="B20" s="34">
        <f>MATCH(A20,L_DATA_TOP_DECLINE_PCT,0)</f>
        <v>1389</v>
      </c>
      <c r="C20" s="34" t="str">
        <f t="array" ref="C20">IFERROR(INDEX(L_DATA_SYMBOL,B20),)</f>
        <v>NSE:TASTYBITE</v>
      </c>
      <c r="D20" s="34" t="str">
        <f>IFERROR(__xludf.DUMMYFUNCTION("IFERROR(GOOGLEFINANCE(C20,""NAME""),)"),"Tasty Bite Eatables Ltd")</f>
        <v>Tasty Bite Eatables Ltd</v>
      </c>
      <c r="E20" s="35">
        <f t="array" ref="E20">IFERROR(INDEX(L_DATA_VOL,$B20),)</f>
        <v>1168</v>
      </c>
      <c r="F20" s="34">
        <f t="array" ref="F20">IFERROR(INDEX(L_DATA_PRICE,$B20),)</f>
        <v>7064</v>
      </c>
      <c r="G20" s="36">
        <f t="array" ref="G20">IFERROR(INDEX(L_DATA_CHANGE,$B20),)</f>
        <v>-4.5</v>
      </c>
      <c r="H20" s="37" t="str">
        <f t="shared" si="1"/>
        <v>🠋</v>
      </c>
      <c r="I20" s="38" t="str">
        <f t="array" ref="I20">IFERROR(INDEX(L_DATA_CHNG_PCT_FML,$B20),)</f>
        <v>-0.06%</v>
      </c>
      <c r="J20" s="34">
        <f t="array" ref="J20">IFERROR(INDEX(L_DATA_CHANGEPCT,$B20),)</f>
        <v>-0.06</v>
      </c>
      <c r="K20" s="39">
        <f>IFERROR(__xludf.DUMMYFUNCTION("IFERROR(GOOGLEFINANCE(C20,""MARKETCAP""),)"),1.7938899009E10)</f>
        <v>17938899009</v>
      </c>
      <c r="L20" s="34" t="str">
        <f>IFERROR(__xludf.DUMMYFUNCTION("IFERROR(GOOGLEFINANCE(C20,""PE""),)"),"")</f>
        <v/>
      </c>
      <c r="M20" s="40">
        <f>IFERROR(__xludf.DUMMYFUNCTION("IFERROR(GOOGLEFINANCE(C20,""LOW52""),)"),6563.5)</f>
        <v>6563.5</v>
      </c>
      <c r="N20" s="41" t="str">
        <f t="shared" si="2"/>
        <v>▼---------</v>
      </c>
      <c r="O20" s="40">
        <f>IFERROR(__xludf.DUMMYFUNCTION("IFERROR(GOOGLEFINANCE(C20,""HIGH52""),)"),11958.0)</f>
        <v>11958</v>
      </c>
      <c r="P20" s="1"/>
      <c r="Q20" s="1"/>
      <c r="R20" s="1"/>
      <c r="S20" s="1"/>
    </row>
    <row r="21">
      <c r="A21" s="33">
        <v>19.0</v>
      </c>
      <c r="B21" s="34">
        <f>MATCH(A21,L_DATA_TOP_DECLINE_PCT,0)</f>
        <v>1022</v>
      </c>
      <c r="C21" s="34" t="str">
        <f t="array" ref="C21">IFERROR(INDEX(L_DATA_SYMBOL,B21),)</f>
        <v>NSE:ONGC</v>
      </c>
      <c r="D21" s="34" t="str">
        <f>IFERROR(__xludf.DUMMYFUNCTION("IFERROR(GOOGLEFINANCE(C21,""NAME""),)"),"Oil and Natural Gas Corporation Ltd")</f>
        <v>Oil and Natural Gas Corporation Ltd</v>
      </c>
      <c r="E21" s="35">
        <f t="array" ref="E21">IFERROR(INDEX(L_DATA_VOL,$B21),)</f>
        <v>40566322</v>
      </c>
      <c r="F21" s="34">
        <f t="array" ref="F21">IFERROR(INDEX(L_DATA_PRICE,$B21),)</f>
        <v>276.75</v>
      </c>
      <c r="G21" s="36">
        <f t="array" ref="G21">IFERROR(INDEX(L_DATA_CHANGE,$B21),)</f>
        <v>-0.2</v>
      </c>
      <c r="H21" s="37" t="str">
        <f t="shared" si="1"/>
        <v>🠋</v>
      </c>
      <c r="I21" s="38" t="str">
        <f t="array" ref="I21">IFERROR(INDEX(L_DATA_CHNG_PCT_FML,$B21),)</f>
        <v>-0.07%</v>
      </c>
      <c r="J21" s="34">
        <f t="array" ref="J21">IFERROR(INDEX(L_DATA_CHANGEPCT,$B21),)</f>
        <v>-0.07</v>
      </c>
      <c r="K21" s="39">
        <f>IFERROR(__xludf.DUMMYFUNCTION("IFERROR(GOOGLEFINANCE(C21,""MARKETCAP""),)"),3.4815897225E12)</f>
        <v>3481589722500</v>
      </c>
      <c r="L21" s="34" t="str">
        <f>IFERROR(__xludf.DUMMYFUNCTION("IFERROR(GOOGLEFINANCE(C21,""PE""),)"),"")</f>
        <v/>
      </c>
      <c r="M21" s="40">
        <f>IFERROR(__xludf.DUMMYFUNCTION("IFERROR(GOOGLEFINANCE(C21,""LOW52""),)"),205.0)</f>
        <v>205</v>
      </c>
      <c r="N21" s="41" t="str">
        <f t="shared" si="2"/>
        <v>--------▼-</v>
      </c>
      <c r="O21" s="40">
        <f>IFERROR(__xludf.DUMMYFUNCTION("IFERROR(GOOGLEFINANCE(C21,""HIGH52""),)"),293.0)</f>
        <v>293</v>
      </c>
      <c r="P21" s="1"/>
      <c r="Q21" s="1"/>
      <c r="R21" s="1"/>
      <c r="S21" s="1"/>
    </row>
    <row r="22">
      <c r="A22" s="42">
        <v>20.0</v>
      </c>
      <c r="B22" s="43">
        <f>MATCH(A22,L_DATA_TOP_DECLINE_PCT,0)</f>
        <v>1072</v>
      </c>
      <c r="C22" s="43" t="str">
        <f t="array" ref="C22">IFERROR(INDEX(L_DATA_SYMBOL,B22),)</f>
        <v>NSE:PHOENIXLTD</v>
      </c>
      <c r="D22" s="43" t="str">
        <f>IFERROR(__xludf.DUMMYFUNCTION("IFERROR(GOOGLEFINANCE(C22,""NAME""),)"),"Phoenix Mills Ltd")</f>
        <v>Phoenix Mills Ltd</v>
      </c>
      <c r="E22" s="44">
        <f t="array" ref="E22">IFERROR(INDEX(L_DATA_VOL,$B22),)</f>
        <v>619771</v>
      </c>
      <c r="F22" s="43">
        <f t="array" ref="F22">IFERROR(INDEX(L_DATA_PRICE,$B22),)</f>
        <v>1609.9</v>
      </c>
      <c r="G22" s="45">
        <f t="array" ref="G22">IFERROR(INDEX(L_DATA_CHANGE,$B22),)</f>
        <v>-1.1</v>
      </c>
      <c r="H22" s="46" t="str">
        <f t="shared" si="1"/>
        <v>🠋</v>
      </c>
      <c r="I22" s="47" t="str">
        <f t="array" ref="I22">IFERROR(INDEX(L_DATA_CHNG_PCT_FML,$B22),)</f>
        <v>-0.07%</v>
      </c>
      <c r="J22" s="43">
        <f t="array" ref="J22">IFERROR(INDEX(L_DATA_CHANGEPCT,$B22),)</f>
        <v>-0.07</v>
      </c>
      <c r="K22" s="48">
        <f>IFERROR(__xludf.DUMMYFUNCTION("IFERROR(GOOGLEFINANCE(C22,""MARKETCAP""),)"),5.78225484225E11)</f>
        <v>578225484225</v>
      </c>
      <c r="L22" s="43" t="str">
        <f>IFERROR(__xludf.DUMMYFUNCTION("IFERROR(GOOGLEFINANCE(C22,""PE""),)"),"")</f>
        <v/>
      </c>
      <c r="M22" s="49">
        <f>IFERROR(__xludf.DUMMYFUNCTION("IFERROR(GOOGLEFINANCE(C22,""LOW52""),)"),1402.5)</f>
        <v>1402.5</v>
      </c>
      <c r="N22" s="50" t="str">
        <f t="shared" si="2"/>
        <v>---▼------</v>
      </c>
      <c r="O22" s="49">
        <f>IFERROR(__xludf.DUMMYFUNCTION("IFERROR(GOOGLEFINANCE(C22,""HIGH52""),)"),1993.0)</f>
        <v>1993</v>
      </c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</sheetData>
  <conditionalFormatting sqref="H3:H22">
    <cfRule type="expression" dxfId="1" priority="1">
      <formula>$J3&lt;0</formula>
    </cfRule>
  </conditionalFormatting>
  <conditionalFormatting sqref="H3:H22">
    <cfRule type="expression" dxfId="6" priority="2">
      <formula>$J3&lt;0.05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hidden="1" min="2" max="2" width="12.63"/>
    <col customWidth="1" min="3" max="3" width="15.13"/>
    <col customWidth="1" min="4" max="4" width="28.88"/>
    <col customWidth="1" min="8" max="8" width="4.25"/>
    <col customWidth="1" hidden="1" min="10" max="10" width="5.75"/>
    <col customWidth="1" min="11" max="11" width="19.0"/>
    <col customWidth="1" min="13" max="13" width="13.88"/>
    <col customWidth="1" min="14" max="14" width="15.88"/>
    <col customWidth="1" min="15" max="15" width="13.75"/>
  </cols>
  <sheetData>
    <row r="1" ht="25.5" customHeight="1">
      <c r="A1" s="30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31" t="s">
        <v>15</v>
      </c>
      <c r="B2" s="31" t="s">
        <v>16</v>
      </c>
      <c r="C2" s="31" t="s">
        <v>17</v>
      </c>
      <c r="D2" s="31" t="s">
        <v>18</v>
      </c>
      <c r="E2" s="32" t="s">
        <v>12</v>
      </c>
      <c r="F2" s="32" t="s">
        <v>9</v>
      </c>
      <c r="G2" s="32" t="s">
        <v>10</v>
      </c>
      <c r="H2" s="31"/>
      <c r="I2" s="31" t="s">
        <v>11</v>
      </c>
      <c r="J2" s="31"/>
      <c r="K2" s="32" t="s">
        <v>19</v>
      </c>
      <c r="L2" s="32" t="s">
        <v>20</v>
      </c>
      <c r="M2" s="31" t="s">
        <v>21</v>
      </c>
      <c r="N2" s="32" t="s">
        <v>22</v>
      </c>
      <c r="O2" s="31" t="s">
        <v>23</v>
      </c>
      <c r="P2" s="1"/>
      <c r="Q2" s="1"/>
      <c r="R2" s="1"/>
      <c r="S2" s="1"/>
    </row>
    <row r="3">
      <c r="A3" s="33">
        <v>1.0</v>
      </c>
      <c r="B3" s="34">
        <f>MATCH(A3,L_DATA_TOP_ACTIVES,0)</f>
        <v>616</v>
      </c>
      <c r="C3" s="34" t="str">
        <f t="array" ref="C3">IFERROR(INDEX(L_DATA_SYMBOL,B3),)</f>
        <v>NSE:IDEA</v>
      </c>
      <c r="D3" s="34" t="str">
        <f>IFERROR(__xludf.DUMMYFUNCTION("IFERROR(GOOGLEFINANCE(C3,""NAME""),)"),"Vodafone Idea Ltd")</f>
        <v>Vodafone Idea Ltd</v>
      </c>
      <c r="E3" s="35">
        <f t="array" ref="E3">IFERROR(INDEX(L_DATA_VOL,$B3),)</f>
        <v>569460486</v>
      </c>
      <c r="F3" s="34">
        <f t="array" ref="F3">IFERROR(INDEX(L_DATA_PRICE,$B3),)</f>
        <v>10.25</v>
      </c>
      <c r="G3" s="36">
        <f t="array" ref="G3">IFERROR(INDEX(L_DATA_CHANGE,$B3),)</f>
        <v>0.26</v>
      </c>
      <c r="H3" s="37" t="str">
        <f t="shared" ref="H3:H22" si="1">IFERROR(IF($J3="","",IFS($J3&gt;=0.05,CHAR(129033),$J3&lt;0,CHAR(129035),$J3&lt;0.05,CHAR(129034))),)</f>
        <v>🠉</v>
      </c>
      <c r="I3" s="38" t="str">
        <f t="array" ref="I3">IFERROR(INDEX(L_DATA_CHNG_PCT_FML,$B3),)</f>
        <v>2.6%</v>
      </c>
      <c r="J3" s="34">
        <f t="array" ref="J3">IFERROR(INDEX(L_DATA_CHANGEPCT,$B3),)</f>
        <v>2.6</v>
      </c>
      <c r="K3" s="39">
        <f>IFERROR(__xludf.DUMMYFUNCTION("IFERROR(GOOGLEFINANCE(C3,""MARKETCAP""),)"),1.111599204797E12)</f>
        <v>1111599204797</v>
      </c>
      <c r="L3" s="34" t="str">
        <f>IFERROR(__xludf.DUMMYFUNCTION("IFERROR(GOOGLEFINANCE(C3,""PE""),)"),"")</f>
        <v/>
      </c>
      <c r="M3" s="40">
        <f>IFERROR(__xludf.DUMMYFUNCTION("IFERROR(GOOGLEFINANCE(C3,""LOW52""),)"),6.12)</f>
        <v>6.12</v>
      </c>
      <c r="N3" s="41" t="str">
        <f t="shared" ref="N3:N22" si="2">IFERROR(REPT(CHAR(45),QUOTIENT(($F3 -$M3),ROUND( ($O3-$M3) /10,2)))
&amp;CHAR(9660)&amp;REPT(CHAR(45),9-QUOTIENT(($F3 -$M3),ROUND( ($O3-$M3) /10,2))),"")</f>
        <v>------▼---</v>
      </c>
      <c r="O3" s="40">
        <f>IFERROR(__xludf.DUMMYFUNCTION("IFERROR(GOOGLEFINANCE(C3,""HIGH52""),)"),12.8)</f>
        <v>12.8</v>
      </c>
      <c r="P3" s="1"/>
      <c r="Q3" s="1"/>
      <c r="R3" s="1"/>
      <c r="S3" s="1"/>
    </row>
    <row r="4">
      <c r="A4" s="33">
        <v>2.0</v>
      </c>
      <c r="B4" s="34">
        <f>MATCH(A4,L_DATA_TOP_ACTIVES,0)</f>
        <v>1374</v>
      </c>
      <c r="C4" s="34" t="str">
        <f t="array" ref="C4">IFERROR(INDEX(L_DATA_SYMBOL,B4),)</f>
        <v>NSE:SUZLON</v>
      </c>
      <c r="D4" s="34" t="str">
        <f>IFERROR(__xludf.DUMMYFUNCTION("IFERROR(GOOGLEFINANCE(C4,""NAME""),)"),"Suzlon Energy Ltd")</f>
        <v>Suzlon Energy Ltd</v>
      </c>
      <c r="E4" s="35">
        <f t="array" ref="E4">IFERROR(INDEX(L_DATA_VOL,$B4),)</f>
        <v>89160740</v>
      </c>
      <c r="F4" s="34">
        <f t="array" ref="F4">IFERROR(INDEX(L_DATA_PRICE,$B4),)</f>
        <v>40.3</v>
      </c>
      <c r="G4" s="36">
        <f t="array" ref="G4">IFERROR(INDEX(L_DATA_CHANGE,$B4),)</f>
        <v>0.29</v>
      </c>
      <c r="H4" s="37" t="str">
        <f t="shared" si="1"/>
        <v>🠉</v>
      </c>
      <c r="I4" s="38" t="str">
        <f t="array" ref="I4">IFERROR(INDEX(L_DATA_CHNG_PCT_FML,$B4),)</f>
        <v>0.63%</v>
      </c>
      <c r="J4" s="34">
        <f t="array" ref="J4">IFERROR(INDEX(L_DATA_CHANGEPCT,$B4),)</f>
        <v>0.63</v>
      </c>
      <c r="K4" s="39">
        <f>IFERROR(__xludf.DUMMYFUNCTION("IFERROR(GOOGLEFINANCE(C4,""MARKETCAP""),)"),5.52698369536E11)</f>
        <v>552698369536</v>
      </c>
      <c r="L4" s="34" t="str">
        <f>IFERROR(__xludf.DUMMYFUNCTION("IFERROR(GOOGLEFINANCE(C4,""PE""),)"),"")</f>
        <v/>
      </c>
      <c r="M4" s="40">
        <f>IFERROR(__xludf.DUMMYFUNCTION("IFERROR(GOOGLEFINANCE(C4,""LOW52""),)"),39.13)</f>
        <v>39.13</v>
      </c>
      <c r="N4" s="41" t="str">
        <f t="shared" si="2"/>
        <v>▼---------</v>
      </c>
      <c r="O4" s="40">
        <f>IFERROR(__xludf.DUMMYFUNCTION("IFERROR(GOOGLEFINANCE(C4,""HIGH52""),)"),74.3)</f>
        <v>74.3</v>
      </c>
      <c r="P4" s="1"/>
      <c r="Q4" s="1"/>
      <c r="R4" s="1"/>
      <c r="S4" s="1"/>
    </row>
    <row r="5">
      <c r="A5" s="33">
        <v>3.0</v>
      </c>
      <c r="B5" s="34">
        <f>MATCH(A5,L_DATA_TOP_ACTIVES,0)</f>
        <v>1578</v>
      </c>
      <c r="C5" s="34" t="str">
        <f t="array" ref="C5">IFERROR(INDEX(L_DATA_SYMBOL,B5),)</f>
        <v>NSE:YESBANK</v>
      </c>
      <c r="D5" s="34" t="str">
        <f>IFERROR(__xludf.DUMMYFUNCTION("IFERROR(GOOGLEFINANCE(C5,""NAME""),)"),"Yes Bank Ltd")</f>
        <v>Yes Bank Ltd</v>
      </c>
      <c r="E5" s="35">
        <f t="array" ref="E5">IFERROR(INDEX(L_DATA_VOL,$B5),)</f>
        <v>70831696</v>
      </c>
      <c r="F5" s="34">
        <f t="array" ref="F5">IFERROR(INDEX(L_DATA_PRICE,$B5),)</f>
        <v>20.25</v>
      </c>
      <c r="G5" s="36">
        <f t="array" ref="G5">IFERROR(INDEX(L_DATA_CHANGE,$B5),)</f>
        <v>0.24</v>
      </c>
      <c r="H5" s="37" t="str">
        <f t="shared" si="1"/>
        <v>🠉</v>
      </c>
      <c r="I5" s="38" t="str">
        <f t="array" ref="I5">IFERROR(INDEX(L_DATA_CHNG_PCT_FML,$B5),)</f>
        <v>1.05%</v>
      </c>
      <c r="J5" s="34">
        <f t="array" ref="J5">IFERROR(INDEX(L_DATA_CHANGEPCT,$B5),)</f>
        <v>1.05</v>
      </c>
      <c r="K5" s="39">
        <f>IFERROR(__xludf.DUMMYFUNCTION("IFERROR(GOOGLEFINANCE(C5,""MARKETCAP""),)"),6.354338625E11)</f>
        <v>635433862500</v>
      </c>
      <c r="L5" s="34" t="str">
        <f>IFERROR(__xludf.DUMMYFUNCTION("IFERROR(GOOGLEFINANCE(C5,""PE""),)"),"")</f>
        <v/>
      </c>
      <c r="M5" s="40">
        <f>IFERROR(__xludf.DUMMYFUNCTION("IFERROR(GOOGLEFINANCE(C5,""LOW52""),)"),16.02)</f>
        <v>16.02</v>
      </c>
      <c r="N5" s="41" t="str">
        <f t="shared" si="2"/>
        <v>-----▼----</v>
      </c>
      <c r="O5" s="40">
        <f>IFERROR(__xludf.DUMMYFUNCTION("IFERROR(GOOGLEFINANCE(C5,""HIGH52""),)"),24.3)</f>
        <v>24.3</v>
      </c>
      <c r="P5" s="1"/>
      <c r="Q5" s="1"/>
      <c r="R5" s="1"/>
      <c r="S5" s="1"/>
    </row>
    <row r="6">
      <c r="A6" s="33">
        <v>4.0</v>
      </c>
      <c r="B6" s="34">
        <f>MATCH(A6,L_DATA_TOP_ACTIVES,0)</f>
        <v>1185</v>
      </c>
      <c r="C6" s="34" t="str">
        <f t="array" ref="C6">IFERROR(INDEX(L_DATA_SYMBOL,B6),)</f>
        <v>NSE:RPOWER</v>
      </c>
      <c r="D6" s="34" t="str">
        <f>IFERROR(__xludf.DUMMYFUNCTION("IFERROR(GOOGLEFINANCE(C6,""NAME""),)"),"Reliance Power Ltd")</f>
        <v>Reliance Power Ltd</v>
      </c>
      <c r="E6" s="35">
        <f t="array" ref="E6">IFERROR(INDEX(L_DATA_VOL,$B6),)</f>
        <v>54074960</v>
      </c>
      <c r="F6" s="34">
        <f t="array" ref="F6">IFERROR(INDEX(L_DATA_PRICE,$B6),)</f>
        <v>22.65</v>
      </c>
      <c r="G6" s="36">
        <f t="array" ref="G6">IFERROR(INDEX(L_DATA_CHANGE,$B6),)</f>
        <v>-0.52</v>
      </c>
      <c r="H6" s="37" t="str">
        <f t="shared" si="1"/>
        <v>🠋</v>
      </c>
      <c r="I6" s="38" t="str">
        <f t="array" ref="I6">IFERROR(INDEX(L_DATA_CHNG_PCT_FML,$B6),)</f>
        <v>-2.2%</v>
      </c>
      <c r="J6" s="34">
        <f t="array" ref="J6">IFERROR(INDEX(L_DATA_CHANGEPCT,$B6),)</f>
        <v>-2.2</v>
      </c>
      <c r="K6" s="39">
        <f>IFERROR(__xludf.DUMMYFUNCTION("IFERROR(GOOGLEFINANCE(C6,""MARKETCAP""),)"),9.3982451224E10)</f>
        <v>93982451224</v>
      </c>
      <c r="L6" s="34" t="str">
        <f>IFERROR(__xludf.DUMMYFUNCTION("IFERROR(GOOGLEFINANCE(C6,""PE""),)"),"")</f>
        <v/>
      </c>
      <c r="M6" s="40">
        <f>IFERROR(__xludf.DUMMYFUNCTION("IFERROR(GOOGLEFINANCE(C6,""LOW52""),)"),22.11)</f>
        <v>22.11</v>
      </c>
      <c r="N6" s="41" t="str">
        <f t="shared" si="2"/>
        <v>▼---------</v>
      </c>
      <c r="O6" s="40">
        <f>IFERROR(__xludf.DUMMYFUNCTION("IFERROR(GOOGLEFINANCE(C6,""HIGH52""),)"),76.49)</f>
        <v>76.49</v>
      </c>
      <c r="P6" s="1"/>
      <c r="Q6" s="1"/>
      <c r="R6" s="1"/>
      <c r="S6" s="1"/>
    </row>
    <row r="7">
      <c r="A7" s="33">
        <v>5.0</v>
      </c>
      <c r="B7" s="34">
        <f>MATCH(A7,L_DATA_TOP_ACTIVES,0)</f>
        <v>1414</v>
      </c>
      <c r="C7" s="34" t="str">
        <f t="array" ref="C7">IFERROR(INDEX(L_DATA_SYMBOL,B7),)</f>
        <v>NSE:TEJASNET</v>
      </c>
      <c r="D7" s="34" t="str">
        <f>IFERROR(__xludf.DUMMYFUNCTION("IFERROR(GOOGLEFINANCE(C7,""NAME""),)"),"Tejas Networks Ltd")</f>
        <v>Tejas Networks Ltd</v>
      </c>
      <c r="E7" s="35">
        <f t="array" ref="E7">IFERROR(INDEX(L_DATA_VOL,$B7),)</f>
        <v>48670589</v>
      </c>
      <c r="F7" s="34">
        <f t="array" ref="F7">IFERROR(INDEX(L_DATA_PRICE,$B7),)</f>
        <v>493</v>
      </c>
      <c r="G7" s="36">
        <f t="array" ref="G7">IFERROR(INDEX(L_DATA_CHANGE,$B7),)</f>
        <v>-6.65</v>
      </c>
      <c r="H7" s="37" t="str">
        <f t="shared" si="1"/>
        <v>🠋</v>
      </c>
      <c r="I7" s="38" t="str">
        <f t="array" ref="I7">IFERROR(INDEX(L_DATA_CHNG_PCT_FML,$B7),)</f>
        <v>-1.33%</v>
      </c>
      <c r="J7" s="34">
        <f t="array" ref="J7">IFERROR(INDEX(L_DATA_CHANGEPCT,$B7),)</f>
        <v>-1.33</v>
      </c>
      <c r="K7" s="39">
        <f>IFERROR(__xludf.DUMMYFUNCTION("IFERROR(GOOGLEFINANCE(C7,""MARKETCAP""),)"),8.5609978022E10)</f>
        <v>85609978022</v>
      </c>
      <c r="L7" s="34" t="str">
        <f>IFERROR(__xludf.DUMMYFUNCTION("IFERROR(GOOGLEFINANCE(C7,""PE""),)"),"")</f>
        <v/>
      </c>
      <c r="M7" s="40">
        <f>IFERROR(__xludf.DUMMYFUNCTION("IFERROR(GOOGLEFINANCE(C7,""LOW52""),)"),294.0)</f>
        <v>294</v>
      </c>
      <c r="N7" s="41" t="str">
        <f t="shared" si="2"/>
        <v>---▼------</v>
      </c>
      <c r="O7" s="40">
        <f>IFERROR(__xludf.DUMMYFUNCTION("IFERROR(GOOGLEFINANCE(C7,""HIGH52""),)"),914.4)</f>
        <v>914.4</v>
      </c>
      <c r="P7" s="1"/>
      <c r="Q7" s="1"/>
      <c r="R7" s="1"/>
      <c r="S7" s="1"/>
    </row>
    <row r="8">
      <c r="A8" s="33">
        <v>6.0</v>
      </c>
      <c r="B8" s="34">
        <f>MATCH(A8,L_DATA_TOP_ACTIVES,0)</f>
        <v>958</v>
      </c>
      <c r="C8" s="34" t="str">
        <f t="array" ref="C8">IFERROR(INDEX(L_DATA_SYMBOL,B8),)</f>
        <v>NSE:NATIONALUM</v>
      </c>
      <c r="D8" s="34" t="str">
        <f>IFERROR(__xludf.DUMMYFUNCTION("IFERROR(GOOGLEFINANCE(C8,""NAME""),)"),"National Aluminium Co Ltd")</f>
        <v>National Aluminium Co Ltd</v>
      </c>
      <c r="E8" s="35">
        <f t="array" ref="E8">IFERROR(INDEX(L_DATA_VOL,$B8),)</f>
        <v>45531510</v>
      </c>
      <c r="F8" s="34">
        <f t="array" ref="F8">IFERROR(INDEX(L_DATA_PRICE,$B8),)</f>
        <v>397.95</v>
      </c>
      <c r="G8" s="36">
        <f t="array" ref="G8">IFERROR(INDEX(L_DATA_CHANGE,$B8),)</f>
        <v>24.45</v>
      </c>
      <c r="H8" s="37" t="str">
        <f t="shared" si="1"/>
        <v>🠉</v>
      </c>
      <c r="I8" s="38" t="str">
        <f t="array" ref="I8">IFERROR(INDEX(L_DATA_CHNG_PCT_FML,$B8),)</f>
        <v>6.55%</v>
      </c>
      <c r="J8" s="34">
        <f t="array" ref="J8">IFERROR(INDEX(L_DATA_CHANGEPCT,$B8),)</f>
        <v>6.55</v>
      </c>
      <c r="K8" s="39">
        <f>IFERROR(__xludf.DUMMYFUNCTION("IFERROR(GOOGLEFINANCE(C8,""MARKETCAP""),)"),7.31346486619E11)</f>
        <v>731346486619</v>
      </c>
      <c r="L8" s="34" t="str">
        <f>IFERROR(__xludf.DUMMYFUNCTION("IFERROR(GOOGLEFINANCE(C8,""PE""),)"),"")</f>
        <v/>
      </c>
      <c r="M8" s="40">
        <f>IFERROR(__xludf.DUMMYFUNCTION("IFERROR(GOOGLEFINANCE(C8,""LOW52""),)"),137.75)</f>
        <v>137.75</v>
      </c>
      <c r="N8" s="41" t="str">
        <f t="shared" si="2"/>
        <v>--------▼-</v>
      </c>
      <c r="O8" s="40">
        <f>IFERROR(__xludf.DUMMYFUNCTION("IFERROR(GOOGLEFINANCE(C8,""HIGH52""),)"),431.5)</f>
        <v>431.5</v>
      </c>
      <c r="P8" s="1"/>
      <c r="Q8" s="1"/>
      <c r="R8" s="1"/>
      <c r="S8" s="1"/>
    </row>
    <row r="9">
      <c r="A9" s="33">
        <v>7.0</v>
      </c>
      <c r="B9" s="34">
        <f>MATCH(A9,L_DATA_TOP_ACTIVES,0)</f>
        <v>1400</v>
      </c>
      <c r="C9" s="34" t="str">
        <f t="array" ref="C9">IFERROR(INDEX(L_DATA_SYMBOL,B9),)</f>
        <v>NSE:TATASTEEL</v>
      </c>
      <c r="D9" s="34" t="str">
        <f>IFERROR(__xludf.DUMMYFUNCTION("IFERROR(GOOGLEFINANCE(C9,""NAME""),)"),"Tata Steel Ltd")</f>
        <v>Tata Steel Ltd</v>
      </c>
      <c r="E9" s="35">
        <f t="array" ref="E9">IFERROR(INDEX(L_DATA_VOL,$B9),)</f>
        <v>41027644</v>
      </c>
      <c r="F9" s="34">
        <f t="array" ref="F9">IFERROR(INDEX(L_DATA_PRICE,$B9),)</f>
        <v>200.72</v>
      </c>
      <c r="G9" s="36">
        <f t="array" ref="G9">IFERROR(INDEX(L_DATA_CHANGE,$B9),)</f>
        <v>3.87</v>
      </c>
      <c r="H9" s="37" t="str">
        <f t="shared" si="1"/>
        <v>🠉</v>
      </c>
      <c r="I9" s="38" t="str">
        <f t="array" ref="I9">IFERROR(INDEX(L_DATA_CHNG_PCT_FML,$B9),)</f>
        <v>2.03%</v>
      </c>
      <c r="J9" s="34">
        <f t="array" ref="J9">IFERROR(INDEX(L_DATA_CHANGEPCT,$B9),)</f>
        <v>2.03</v>
      </c>
      <c r="K9" s="39">
        <f>IFERROR(__xludf.DUMMYFUNCTION("IFERROR(GOOGLEFINANCE(C9,""MARKETCAP""),)"),2.505694156838E12)</f>
        <v>2505694156838</v>
      </c>
      <c r="L9" s="34" t="str">
        <f>IFERROR(__xludf.DUMMYFUNCTION("IFERROR(GOOGLEFINANCE(C9,""PE""),)"),"")</f>
        <v/>
      </c>
      <c r="M9" s="40">
        <f>IFERROR(__xludf.DUMMYFUNCTION("IFERROR(GOOGLEFINANCE(C9,""LOW52""),)"),125.3)</f>
        <v>125.3</v>
      </c>
      <c r="N9" s="41" t="str">
        <f t="shared" si="2"/>
        <v>--------▼-</v>
      </c>
      <c r="O9" s="40">
        <f>IFERROR(__xludf.DUMMYFUNCTION("IFERROR(GOOGLEFINANCE(C9,""HIGH52""),)"),216.45)</f>
        <v>216.45</v>
      </c>
      <c r="P9" s="1"/>
      <c r="Q9" s="1"/>
      <c r="R9" s="1"/>
      <c r="S9" s="1"/>
    </row>
    <row r="10">
      <c r="A10" s="33">
        <v>8.0</v>
      </c>
      <c r="B10" s="34">
        <f>MATCH(A10,L_DATA_TOP_ACTIVES,0)</f>
        <v>1022</v>
      </c>
      <c r="C10" s="34" t="str">
        <f t="array" ref="C10">IFERROR(INDEX(L_DATA_SYMBOL,B10),)</f>
        <v>NSE:ONGC</v>
      </c>
      <c r="D10" s="34" t="str">
        <f>IFERROR(__xludf.DUMMYFUNCTION("IFERROR(GOOGLEFINANCE(C10,""NAME""),)"),"Oil and Natural Gas Corporation Ltd")</f>
        <v>Oil and Natural Gas Corporation Ltd</v>
      </c>
      <c r="E10" s="35">
        <f t="array" ref="E10">IFERROR(INDEX(L_DATA_VOL,$B10),)</f>
        <v>40566322</v>
      </c>
      <c r="F10" s="34">
        <f t="array" ref="F10">IFERROR(INDEX(L_DATA_PRICE,$B10),)</f>
        <v>276.75</v>
      </c>
      <c r="G10" s="36">
        <f t="array" ref="G10">IFERROR(INDEX(L_DATA_CHANGE,$B10),)</f>
        <v>-0.2</v>
      </c>
      <c r="H10" s="37" t="str">
        <f t="shared" si="1"/>
        <v>🠋</v>
      </c>
      <c r="I10" s="38" t="str">
        <f t="array" ref="I10">IFERROR(INDEX(L_DATA_CHNG_PCT_FML,$B10),)</f>
        <v>-0.07%</v>
      </c>
      <c r="J10" s="34">
        <f t="array" ref="J10">IFERROR(INDEX(L_DATA_CHANGEPCT,$B10),)</f>
        <v>-0.07</v>
      </c>
      <c r="K10" s="39">
        <f>IFERROR(__xludf.DUMMYFUNCTION("IFERROR(GOOGLEFINANCE(C10,""MARKETCAP""),)"),3.4815897225E12)</f>
        <v>3481589722500</v>
      </c>
      <c r="L10" s="34" t="str">
        <f>IFERROR(__xludf.DUMMYFUNCTION("IFERROR(GOOGLEFINANCE(C10,""PE""),)"),"")</f>
        <v/>
      </c>
      <c r="M10" s="40">
        <f>IFERROR(__xludf.DUMMYFUNCTION("IFERROR(GOOGLEFINANCE(C10,""LOW52""),)"),205.0)</f>
        <v>205</v>
      </c>
      <c r="N10" s="41" t="str">
        <f t="shared" si="2"/>
        <v>--------▼-</v>
      </c>
      <c r="O10" s="40">
        <f>IFERROR(__xludf.DUMMYFUNCTION("IFERROR(GOOGLEFINANCE(C10,""HIGH52""),)"),293.0)</f>
        <v>293</v>
      </c>
      <c r="P10" s="1"/>
      <c r="Q10" s="1"/>
      <c r="R10" s="1"/>
      <c r="S10" s="1"/>
    </row>
    <row r="11">
      <c r="A11" s="33">
        <v>9.0</v>
      </c>
      <c r="B11" s="34">
        <f>MATCH(A11,L_DATA_TOP_ACTIVES,0)</f>
        <v>194</v>
      </c>
      <c r="C11" s="34" t="str">
        <f t="array" ref="C11">IFERROR(INDEX(L_DATA_SYMBOL,B11),)</f>
        <v>NSE:BEL</v>
      </c>
      <c r="D11" s="34" t="str">
        <f>IFERROR(__xludf.DUMMYFUNCTION("IFERROR(GOOGLEFINANCE(C11,""NAME""),)"),"Bharat Electronics Ltd")</f>
        <v>Bharat Electronics Ltd</v>
      </c>
      <c r="E11" s="35">
        <f t="array" ref="E11">IFERROR(INDEX(L_DATA_VOL,$B11),)</f>
        <v>38019323</v>
      </c>
      <c r="F11" s="34">
        <f t="array" ref="F11">IFERROR(INDEX(L_DATA_PRICE,$B11),)</f>
        <v>462</v>
      </c>
      <c r="G11" s="36">
        <f t="array" ref="G11">IFERROR(INDEX(L_DATA_CHANGE,$B11),)</f>
        <v>15.15</v>
      </c>
      <c r="H11" s="37" t="str">
        <f t="shared" si="1"/>
        <v>🠉</v>
      </c>
      <c r="I11" s="38" t="str">
        <f t="array" ref="I11">IFERROR(INDEX(L_DATA_CHNG_PCT_FML,$B11),)</f>
        <v>3.39%</v>
      </c>
      <c r="J11" s="34">
        <f t="array" ref="J11">IFERROR(INDEX(L_DATA_CHANGEPCT,$B11),)</f>
        <v>3.39</v>
      </c>
      <c r="K11" s="39">
        <f>IFERROR(__xludf.DUMMYFUNCTION("IFERROR(GOOGLEFINANCE(C11,""MARKETCAP""),)"),3.377117436E12)</f>
        <v>3377117436000</v>
      </c>
      <c r="L11" s="34" t="str">
        <f>IFERROR(__xludf.DUMMYFUNCTION("IFERROR(GOOGLEFINANCE(C11,""PE""),)"),"")</f>
        <v/>
      </c>
      <c r="M11" s="40">
        <f>IFERROR(__xludf.DUMMYFUNCTION("IFERROR(GOOGLEFINANCE(C11,""LOW52""),)"),256.2)</f>
        <v>256.2</v>
      </c>
      <c r="N11" s="41" t="str">
        <f t="shared" si="2"/>
        <v>---------▼</v>
      </c>
      <c r="O11" s="40">
        <f>IFERROR(__xludf.DUMMYFUNCTION("IFERROR(GOOGLEFINANCE(C11,""HIGH52""),)"),467.9)</f>
        <v>467.9</v>
      </c>
      <c r="P11" s="1"/>
      <c r="Q11" s="1"/>
      <c r="R11" s="1"/>
      <c r="S11" s="1"/>
    </row>
    <row r="12">
      <c r="A12" s="33">
        <v>10.0</v>
      </c>
      <c r="B12" s="34">
        <f>MATCH(A12,L_DATA_TOP_ACTIVES,0)</f>
        <v>1281</v>
      </c>
      <c r="C12" s="34" t="str">
        <f t="array" ref="C12">IFERROR(INDEX(L_DATA_SYMBOL,B12),)</f>
        <v>NSE:SEPC</v>
      </c>
      <c r="D12" s="34" t="str">
        <f>IFERROR(__xludf.DUMMYFUNCTION("IFERROR(GOOGLEFINANCE(C12,""NAME""),)"),"Sepc Ltd")</f>
        <v>Sepc Ltd</v>
      </c>
      <c r="E12" s="35">
        <f t="array" ref="E12">IFERROR(INDEX(L_DATA_VOL,$B12),)</f>
        <v>33490604</v>
      </c>
      <c r="F12" s="34">
        <f t="array" ref="F12">IFERROR(INDEX(L_DATA_PRICE,$B12),)</f>
        <v>6.9</v>
      </c>
      <c r="G12" s="36">
        <f t="array" ref="G12">IFERROR(INDEX(L_DATA_CHANGE,$B12),)</f>
        <v>-0.16</v>
      </c>
      <c r="H12" s="37" t="str">
        <f t="shared" si="1"/>
        <v>🠋</v>
      </c>
      <c r="I12" s="38" t="str">
        <f t="array" ref="I12">IFERROR(INDEX(L_DATA_CHNG_PCT_FML,$B12),)</f>
        <v>-2.26%</v>
      </c>
      <c r="J12" s="34">
        <f t="array" ref="J12">IFERROR(INDEX(L_DATA_CHANGEPCT,$B12),)</f>
        <v>-2.26</v>
      </c>
      <c r="K12" s="39">
        <f>IFERROR(__xludf.DUMMYFUNCTION("IFERROR(GOOGLEFINANCE(C12,""MARKETCAP""),)"),1.3312356483E10)</f>
        <v>13312356483</v>
      </c>
      <c r="L12" s="34" t="str">
        <f>IFERROR(__xludf.DUMMYFUNCTION("IFERROR(GOOGLEFINANCE(C12,""PE""),)"),"")</f>
        <v/>
      </c>
      <c r="M12" s="40">
        <f>IFERROR(__xludf.DUMMYFUNCTION("IFERROR(GOOGLEFINANCE(C12,""LOW52""),)"),6.86)</f>
        <v>6.86</v>
      </c>
      <c r="N12" s="41" t="str">
        <f t="shared" si="2"/>
        <v>▼---------</v>
      </c>
      <c r="O12" s="40">
        <f>IFERROR(__xludf.DUMMYFUNCTION("IFERROR(GOOGLEFINANCE(C12,""HIGH52""),)"),16.49)</f>
        <v>16.49</v>
      </c>
      <c r="P12" s="1"/>
      <c r="Q12" s="1"/>
      <c r="R12" s="1"/>
      <c r="S12" s="1"/>
    </row>
    <row r="13">
      <c r="A13" s="33">
        <v>11.0</v>
      </c>
      <c r="B13" s="34">
        <f>MATCH(A13,L_DATA_TOP_ACTIVES,0)</f>
        <v>618</v>
      </c>
      <c r="C13" s="34" t="str">
        <f t="array" ref="C13">IFERROR(INDEX(L_DATA_SYMBOL,B13),)</f>
        <v>NSE:IDFCFIRSTB</v>
      </c>
      <c r="D13" s="34" t="str">
        <f>IFERROR(__xludf.DUMMYFUNCTION("IFERROR(GOOGLEFINANCE(C13,""NAME""),)"),"IDFC First Bank Ltd")</f>
        <v>IDFC First Bank Ltd</v>
      </c>
      <c r="E13" s="35">
        <f t="array" ref="E13">IFERROR(INDEX(L_DATA_VOL,$B13),)</f>
        <v>33309626</v>
      </c>
      <c r="F13" s="34">
        <f t="array" ref="F13">IFERROR(INDEX(L_DATA_PRICE,$B13),)</f>
        <v>70.5</v>
      </c>
      <c r="G13" s="36">
        <f t="array" ref="G13">IFERROR(INDEX(L_DATA_CHANGE,$B13),)</f>
        <v>0.32</v>
      </c>
      <c r="H13" s="37" t="str">
        <f t="shared" si="1"/>
        <v>🠉</v>
      </c>
      <c r="I13" s="38" t="str">
        <f t="array" ref="I13">IFERROR(INDEX(L_DATA_CHNG_PCT_FML,$B13),)</f>
        <v>0.63%</v>
      </c>
      <c r="J13" s="34">
        <f t="array" ref="J13">IFERROR(INDEX(L_DATA_CHANGEPCT,$B13),)</f>
        <v>0.63</v>
      </c>
      <c r="K13" s="39">
        <f>IFERROR(__xludf.DUMMYFUNCTION("IFERROR(GOOGLEFINANCE(C13,""MARKETCAP""),)"),6.06140952E11)</f>
        <v>606140952000</v>
      </c>
      <c r="L13" s="34" t="str">
        <f>IFERROR(__xludf.DUMMYFUNCTION("IFERROR(GOOGLEFINANCE(C13,""PE""),)"),"")</f>
        <v/>
      </c>
      <c r="M13" s="40">
        <f>IFERROR(__xludf.DUMMYFUNCTION("IFERROR(GOOGLEFINANCE(C13,""LOW52""),)"),52.46)</f>
        <v>52.46</v>
      </c>
      <c r="N13" s="41" t="str">
        <f t="shared" si="2"/>
        <v>-----▼----</v>
      </c>
      <c r="O13" s="40">
        <f>IFERROR(__xludf.DUMMYFUNCTION("IFERROR(GOOGLEFINANCE(C13,""HIGH52""),)"),87.0)</f>
        <v>87</v>
      </c>
      <c r="P13" s="1"/>
      <c r="Q13" s="1"/>
      <c r="R13" s="1"/>
      <c r="S13" s="1"/>
    </row>
    <row r="14">
      <c r="A14" s="33">
        <v>12.0</v>
      </c>
      <c r="B14" s="34">
        <f>MATCH(A14,L_DATA_TOP_ACTIVES,0)</f>
        <v>674</v>
      </c>
      <c r="C14" s="34" t="str">
        <f t="array" ref="C14">IFERROR(INDEX(L_DATA_SYMBOL,B14),)</f>
        <v>NSE:IOC</v>
      </c>
      <c r="D14" s="34" t="str">
        <f>IFERROR(__xludf.DUMMYFUNCTION("IFERROR(GOOGLEFINANCE(C14,""NAME""),)"),"Indian Oil Corporation Ltd")</f>
        <v>Indian Oil Corporation Ltd</v>
      </c>
      <c r="E14" s="35">
        <f t="array" ref="E14">IFERROR(INDEX(L_DATA_VOL,$B14),)</f>
        <v>32353650</v>
      </c>
      <c r="F14" s="34">
        <f t="array" ref="F14">IFERROR(INDEX(L_DATA_PRICE,$B14),)</f>
        <v>171.93</v>
      </c>
      <c r="G14" s="36">
        <f t="array" ref="G14">IFERROR(INDEX(L_DATA_CHANGE,$B14),)</f>
        <v>1.49</v>
      </c>
      <c r="H14" s="37" t="str">
        <f t="shared" si="1"/>
        <v>🠉</v>
      </c>
      <c r="I14" s="38" t="str">
        <f t="array" ref="I14">IFERROR(INDEX(L_DATA_CHNG_PCT_FML,$B14),)</f>
        <v>0.87%</v>
      </c>
      <c r="J14" s="34">
        <f t="array" ref="J14">IFERROR(INDEX(L_DATA_CHANGEPCT,$B14),)</f>
        <v>0.87</v>
      </c>
      <c r="K14" s="39">
        <f>IFERROR(__xludf.DUMMYFUNCTION("IFERROR(GOOGLEFINANCE(C14,""MARKETCAP""),)"),2.427862970473E12)</f>
        <v>2427862970473</v>
      </c>
      <c r="L14" s="34" t="str">
        <f>IFERROR(__xludf.DUMMYFUNCTION("IFERROR(GOOGLEFINANCE(C14,""PE""),)"),"")</f>
        <v/>
      </c>
      <c r="M14" s="40">
        <f>IFERROR(__xludf.DUMMYFUNCTION("IFERROR(GOOGLEFINANCE(C14,""LOW52""),)"),117.75)</f>
        <v>117.75</v>
      </c>
      <c r="N14" s="41" t="str">
        <f t="shared" si="2"/>
        <v>-------▼--</v>
      </c>
      <c r="O14" s="40">
        <f>IFERROR(__xludf.DUMMYFUNCTION("IFERROR(GOOGLEFINANCE(C14,""HIGH52""),)"),188.96)</f>
        <v>188.96</v>
      </c>
      <c r="P14" s="1"/>
      <c r="Q14" s="1"/>
      <c r="R14" s="1"/>
      <c r="S14" s="1"/>
    </row>
    <row r="15">
      <c r="A15" s="33">
        <v>13.0</v>
      </c>
      <c r="B15" s="34">
        <f>MATCH(A15,L_DATA_TOP_ACTIVES,0)</f>
        <v>560</v>
      </c>
      <c r="C15" s="34" t="str">
        <f t="array" ref="C15">IFERROR(INDEX(L_DATA_SYMBOL,B15),)</f>
        <v>NSE:HDFCBANK</v>
      </c>
      <c r="D15" s="34" t="str">
        <f>IFERROR(__xludf.DUMMYFUNCTION("IFERROR(GOOGLEFINANCE(C15,""NAME""),)"),"HDFC Bank Ltd")</f>
        <v>HDFC Bank Ltd</v>
      </c>
      <c r="E15" s="35">
        <f t="array" ref="E15">IFERROR(INDEX(L_DATA_VOL,$B15),)</f>
        <v>30209028</v>
      </c>
      <c r="F15" s="34">
        <f t="array" ref="F15">IFERROR(INDEX(L_DATA_PRICE,$B15),)</f>
        <v>875.1</v>
      </c>
      <c r="G15" s="36">
        <f t="array" ref="G15">IFERROR(INDEX(L_DATA_CHANGE,$B15),)</f>
        <v>6.45</v>
      </c>
      <c r="H15" s="37" t="str">
        <f t="shared" si="1"/>
        <v>🠉</v>
      </c>
      <c r="I15" s="38" t="str">
        <f t="array" ref="I15">IFERROR(INDEX(L_DATA_CHNG_PCT_FML,$B15),)</f>
        <v>0.74%</v>
      </c>
      <c r="J15" s="34">
        <f t="array" ref="J15">IFERROR(INDEX(L_DATA_CHANGEPCT,$B15),)</f>
        <v>0.74</v>
      </c>
      <c r="K15" s="39">
        <f>IFERROR(__xludf.DUMMYFUNCTION("IFERROR(GOOGLEFINANCE(C15,""MARKETCAP""),)"),1.346802490126E13)</f>
        <v>13468024901260</v>
      </c>
      <c r="L15" s="34" t="str">
        <f>IFERROR(__xludf.DUMMYFUNCTION("IFERROR(GOOGLEFINANCE(C15,""PE""),)"),"")</f>
        <v/>
      </c>
      <c r="M15" s="40">
        <f>IFERROR(__xludf.DUMMYFUNCTION("IFERROR(GOOGLEFINANCE(C15,""LOW52""),)"),835.03)</f>
        <v>835.03</v>
      </c>
      <c r="N15" s="41" t="str">
        <f t="shared" si="2"/>
        <v>--▼-------</v>
      </c>
      <c r="O15" s="40">
        <f>IFERROR(__xludf.DUMMYFUNCTION("IFERROR(GOOGLEFINANCE(C15,""HIGH52""),)"),1020.5)</f>
        <v>1020.5</v>
      </c>
      <c r="P15" s="1"/>
      <c r="Q15" s="1"/>
      <c r="R15" s="1"/>
      <c r="S15" s="1"/>
    </row>
    <row r="16">
      <c r="A16" s="33">
        <v>14.0</v>
      </c>
      <c r="B16" s="34">
        <f>MATCH(A16,L_DATA_TOP_ACTIVES,0)</f>
        <v>294</v>
      </c>
      <c r="C16" s="34" t="str">
        <f t="array" ref="C16">IFERROR(INDEX(L_DATA_SYMBOL,B16),)</f>
        <v>NSE:COALINDIA</v>
      </c>
      <c r="D16" s="34" t="str">
        <f>IFERROR(__xludf.DUMMYFUNCTION("IFERROR(GOOGLEFINANCE(C16,""NAME""),)"),"Coal India Ltd")</f>
        <v>Coal India Ltd</v>
      </c>
      <c r="E16" s="35">
        <f t="array" ref="E16">IFERROR(INDEX(L_DATA_VOL,$B16),)</f>
        <v>30098864</v>
      </c>
      <c r="F16" s="34">
        <f t="array" ref="F16">IFERROR(INDEX(L_DATA_PRICE,$B16),)</f>
        <v>448</v>
      </c>
      <c r="G16" s="36">
        <f t="array" ref="G16">IFERROR(INDEX(L_DATA_CHANGE,$B16),)</f>
        <v>12.85</v>
      </c>
      <c r="H16" s="37" t="str">
        <f t="shared" si="1"/>
        <v>🠉</v>
      </c>
      <c r="I16" s="38" t="str">
        <f t="array" ref="I16">IFERROR(INDEX(L_DATA_CHNG_PCT_FML,$B16),)</f>
        <v>2.95%</v>
      </c>
      <c r="J16" s="34">
        <f t="array" ref="J16">IFERROR(INDEX(L_DATA_CHANGEPCT,$B16),)</f>
        <v>2.95</v>
      </c>
      <c r="K16" s="39">
        <f>IFERROR(__xludf.DUMMYFUNCTION("IFERROR(GOOGLEFINANCE(C16,""MARKETCAP""),)"),2.760209536E12)</f>
        <v>2760209536000</v>
      </c>
      <c r="L16" s="34" t="str">
        <f>IFERROR(__xludf.DUMMYFUNCTION("IFERROR(GOOGLEFINANCE(C16,""PE""),)"),"")</f>
        <v/>
      </c>
      <c r="M16" s="40">
        <f>IFERROR(__xludf.DUMMYFUNCTION("IFERROR(GOOGLEFINANCE(C16,""LOW52""),)"),356.0)</f>
        <v>356</v>
      </c>
      <c r="N16" s="41" t="str">
        <f t="shared" si="2"/>
        <v>--------▼-</v>
      </c>
      <c r="O16" s="40">
        <f>IFERROR(__xludf.DUMMYFUNCTION("IFERROR(GOOGLEFINANCE(C16,""HIGH52""),)"),461.55)</f>
        <v>461.55</v>
      </c>
      <c r="P16" s="1"/>
      <c r="Q16" s="1"/>
      <c r="R16" s="1"/>
      <c r="S16" s="1"/>
    </row>
    <row r="17">
      <c r="A17" s="33">
        <v>15.0</v>
      </c>
      <c r="B17" s="34">
        <f>MATCH(A17,L_DATA_TOP_ACTIVES,0)</f>
        <v>1054</v>
      </c>
      <c r="C17" s="34" t="str">
        <f t="array" ref="C17">IFERROR(INDEX(L_DATA_SYMBOL,B17),)</f>
        <v>NSE:PCJEWELLER</v>
      </c>
      <c r="D17" s="34" t="str">
        <f>IFERROR(__xludf.DUMMYFUNCTION("IFERROR(GOOGLEFINANCE(C17,""NAME""),)"),"PC Jeweller Ltd")</f>
        <v>PC Jeweller Ltd</v>
      </c>
      <c r="E17" s="35">
        <f t="array" ref="E17">IFERROR(INDEX(L_DATA_VOL,$B17),)</f>
        <v>27134972</v>
      </c>
      <c r="F17" s="34">
        <f t="array" ref="F17">IFERROR(INDEX(L_DATA_PRICE,$B17),)</f>
        <v>9.08</v>
      </c>
      <c r="G17" s="36">
        <f t="array" ref="G17">IFERROR(INDEX(L_DATA_CHANGE,$B17),)</f>
        <v>0.05</v>
      </c>
      <c r="H17" s="37" t="str">
        <f t="shared" si="1"/>
        <v>🠉</v>
      </c>
      <c r="I17" s="38" t="str">
        <f t="array" ref="I17">IFERROR(INDEX(L_DATA_CHNG_PCT_FML,$B17),)</f>
        <v>0.55%</v>
      </c>
      <c r="J17" s="34">
        <f t="array" ref="J17">IFERROR(INDEX(L_DATA_CHANGEPCT,$B17),)</f>
        <v>0.55</v>
      </c>
      <c r="K17" s="39">
        <f>IFERROR(__xludf.DUMMYFUNCTION("IFERROR(GOOGLEFINANCE(C17,""MARKETCAP""),)"),7.2792089388E10)</f>
        <v>72792089388</v>
      </c>
      <c r="L17" s="34" t="str">
        <f>IFERROR(__xludf.DUMMYFUNCTION("IFERROR(GOOGLEFINANCE(C17,""PE""),)"),"")</f>
        <v/>
      </c>
      <c r="M17" s="40">
        <f>IFERROR(__xludf.DUMMYFUNCTION("IFERROR(GOOGLEFINANCE(C17,""LOW52""),)"),8.67)</f>
        <v>8.67</v>
      </c>
      <c r="N17" s="41" t="str">
        <f t="shared" si="2"/>
        <v>▼---------</v>
      </c>
      <c r="O17" s="40">
        <f>IFERROR(__xludf.DUMMYFUNCTION("IFERROR(GOOGLEFINANCE(C17,""HIGH52""),)"),19.65)</f>
        <v>19.65</v>
      </c>
      <c r="P17" s="1"/>
      <c r="Q17" s="1"/>
      <c r="R17" s="1"/>
      <c r="S17" s="1"/>
    </row>
    <row r="18">
      <c r="A18" s="33">
        <v>16.0</v>
      </c>
      <c r="B18" s="34">
        <f>MATCH(A18,L_DATA_TOP_ACTIVES,0)</f>
        <v>729</v>
      </c>
      <c r="C18" s="34" t="str">
        <f t="array" ref="C18">IFERROR(INDEX(L_DATA_SYMBOL,B18),)</f>
        <v>NSE:JPPOWER</v>
      </c>
      <c r="D18" s="34" t="str">
        <f>IFERROR(__xludf.DUMMYFUNCTION("IFERROR(GOOGLEFINANCE(C18,""NAME""),)"),"Jaiprakash Power Ventures Ltd")</f>
        <v>Jaiprakash Power Ventures Ltd</v>
      </c>
      <c r="E18" s="35">
        <f t="array" ref="E18">IFERROR(INDEX(L_DATA_VOL,$B18),)</f>
        <v>26823453</v>
      </c>
      <c r="F18" s="34">
        <f t="array" ref="F18">IFERROR(INDEX(L_DATA_PRICE,$B18),)</f>
        <v>13.96</v>
      </c>
      <c r="G18" s="36">
        <f t="array" ref="G18">IFERROR(INDEX(L_DATA_CHANGE,$B18),)</f>
        <v>0.01</v>
      </c>
      <c r="H18" s="37" t="str">
        <f t="shared" si="1"/>
        <v>🠉</v>
      </c>
      <c r="I18" s="38" t="str">
        <f t="array" ref="I18">IFERROR(INDEX(L_DATA_CHNG_PCT_FML,$B18),)</f>
        <v>0.07%</v>
      </c>
      <c r="J18" s="34">
        <f t="array" ref="J18">IFERROR(INDEX(L_DATA_CHANGEPCT,$B18),)</f>
        <v>0.07</v>
      </c>
      <c r="K18" s="39">
        <f>IFERROR(__xludf.DUMMYFUNCTION("IFERROR(GOOGLEFINANCE(C18,""MARKETCAP""),)"),9.7195519694E10)</f>
        <v>97195519694</v>
      </c>
      <c r="L18" s="34" t="str">
        <f>IFERROR(__xludf.DUMMYFUNCTION("IFERROR(GOOGLEFINANCE(C18,""PE""),)"),"")</f>
        <v/>
      </c>
      <c r="M18" s="40">
        <f>IFERROR(__xludf.DUMMYFUNCTION("IFERROR(GOOGLEFINANCE(C18,""LOW52""),)"),12.52)</f>
        <v>12.52</v>
      </c>
      <c r="N18" s="41" t="str">
        <f t="shared" si="2"/>
        <v>▼---------</v>
      </c>
      <c r="O18" s="40">
        <f>IFERROR(__xludf.DUMMYFUNCTION("IFERROR(GOOGLEFINANCE(C18,""HIGH52""),)"),27.7)</f>
        <v>27.7</v>
      </c>
      <c r="P18" s="1"/>
      <c r="Q18" s="1"/>
      <c r="R18" s="1"/>
      <c r="S18" s="1"/>
    </row>
    <row r="19">
      <c r="A19" s="33">
        <v>17.0</v>
      </c>
      <c r="B19" s="34">
        <f>MATCH(A19,L_DATA_TOP_ACTIVES,0)</f>
        <v>1156</v>
      </c>
      <c r="C19" s="34" t="str">
        <f t="array" ref="C19">IFERROR(INDEX(L_DATA_SYMBOL,B19),)</f>
        <v>NSE:RELIANCE</v>
      </c>
      <c r="D19" s="34" t="str">
        <f>IFERROR(__xludf.DUMMYFUNCTION("IFERROR(GOOGLEFINANCE(C19,""NAME""),)"),"Reliance Industries Ltd")</f>
        <v>Reliance Industries Ltd</v>
      </c>
      <c r="E19" s="35">
        <f t="array" ref="E19">IFERROR(INDEX(L_DATA_VOL,$B19),)</f>
        <v>25954590</v>
      </c>
      <c r="F19" s="34">
        <f t="array" ref="F19">IFERROR(INDEX(L_DATA_PRICE,$B19),)</f>
        <v>1386.4</v>
      </c>
      <c r="G19" s="36">
        <f t="array" ref="G19">IFERROR(INDEX(L_DATA_CHANGE,$B19),)</f>
        <v>41.4</v>
      </c>
      <c r="H19" s="37" t="str">
        <f t="shared" si="1"/>
        <v>🠉</v>
      </c>
      <c r="I19" s="38" t="str">
        <f t="array" ref="I19">IFERROR(INDEX(L_DATA_CHNG_PCT_FML,$B19),)</f>
        <v>3.08%</v>
      </c>
      <c r="J19" s="34">
        <f t="array" ref="J19">IFERROR(INDEX(L_DATA_CHANGEPCT,$B19),)</f>
        <v>3.08</v>
      </c>
      <c r="K19" s="39">
        <f>IFERROR(__xludf.DUMMYFUNCTION("IFERROR(GOOGLEFINANCE(C19,""MARKETCAP""),)"),1.8761416738382E13)</f>
        <v>18761416738382</v>
      </c>
      <c r="L19" s="34" t="str">
        <f>IFERROR(__xludf.DUMMYFUNCTION("IFERROR(GOOGLEFINANCE(C19,""PE""),)"),"")</f>
        <v/>
      </c>
      <c r="M19" s="40">
        <f>IFERROR(__xludf.DUMMYFUNCTION("IFERROR(GOOGLEFINANCE(C19,""LOW52""),)"),1114.85)</f>
        <v>1114.85</v>
      </c>
      <c r="N19" s="41" t="str">
        <f t="shared" si="2"/>
        <v>-----▼----</v>
      </c>
      <c r="O19" s="40">
        <f>IFERROR(__xludf.DUMMYFUNCTION("IFERROR(GOOGLEFINANCE(C19,""HIGH52""),)"),1611.8)</f>
        <v>1611.8</v>
      </c>
      <c r="P19" s="1"/>
      <c r="Q19" s="1"/>
      <c r="R19" s="1"/>
      <c r="S19" s="1"/>
    </row>
    <row r="20">
      <c r="A20" s="33">
        <v>18.0</v>
      </c>
      <c r="B20" s="34">
        <f>MATCH(A20,L_DATA_TOP_ACTIVES,0)</f>
        <v>534</v>
      </c>
      <c r="C20" s="34" t="str">
        <f t="array" ref="C20">IFERROR(INDEX(L_DATA_SYMBOL,B20),)</f>
        <v>NSE:GTLINFRA</v>
      </c>
      <c r="D20" s="34" t="str">
        <f>IFERROR(__xludf.DUMMYFUNCTION("IFERROR(GOOGLEFINANCE(C20,""NAME""),)"),"GTL Infrastructure Limited")</f>
        <v>GTL Infrastructure Limited</v>
      </c>
      <c r="E20" s="35">
        <f t="array" ref="E20">IFERROR(INDEX(L_DATA_VOL,$B20),)</f>
        <v>25815135</v>
      </c>
      <c r="F20" s="34">
        <f t="array" ref="F20">IFERROR(INDEX(L_DATA_PRICE,$B20),)</f>
        <v>1.1</v>
      </c>
      <c r="G20" s="36">
        <f t="array" ref="G20">IFERROR(INDEX(L_DATA_CHANGE,$B20),)</f>
        <v>0.01</v>
      </c>
      <c r="H20" s="37" t="str">
        <f t="shared" si="1"/>
        <v>🠉</v>
      </c>
      <c r="I20" s="38" t="str">
        <f t="array" ref="I20">IFERROR(INDEX(L_DATA_CHNG_PCT_FML,$B20),)</f>
        <v>0.92%</v>
      </c>
      <c r="J20" s="34">
        <f t="array" ref="J20">IFERROR(INDEX(L_DATA_CHANGEPCT,$B20),)</f>
        <v>0.92</v>
      </c>
      <c r="K20" s="39">
        <f>IFERROR(__xludf.DUMMYFUNCTION("IFERROR(GOOGLEFINANCE(C20,""MARKETCAP""),)"),1.4093392681E10)</f>
        <v>14093392681</v>
      </c>
      <c r="L20" s="34" t="str">
        <f>IFERROR(__xludf.DUMMYFUNCTION("IFERROR(GOOGLEFINANCE(C20,""PE""),)"),"")</f>
        <v/>
      </c>
      <c r="M20" s="40">
        <f>IFERROR(__xludf.DUMMYFUNCTION("IFERROR(GOOGLEFINANCE(C20,""LOW52""),)"),0.98)</f>
        <v>0.98</v>
      </c>
      <c r="N20" s="41" t="str">
        <f t="shared" si="2"/>
        <v>-▼--------</v>
      </c>
      <c r="O20" s="40">
        <f>IFERROR(__xludf.DUMMYFUNCTION("IFERROR(GOOGLEFINANCE(C20,""HIGH52""),)"),2.17)</f>
        <v>2.17</v>
      </c>
      <c r="P20" s="1"/>
      <c r="Q20" s="1"/>
      <c r="R20" s="1"/>
      <c r="S20" s="1"/>
    </row>
    <row r="21">
      <c r="A21" s="33">
        <v>19.0</v>
      </c>
      <c r="B21" s="34">
        <f>MATCH(A21,L_DATA_TOP_ACTIVES,0)</f>
        <v>571</v>
      </c>
      <c r="C21" s="34" t="str">
        <f t="array" ref="C21">IFERROR(INDEX(L_DATA_SYMBOL,B21),)</f>
        <v>NSE:HFCL</v>
      </c>
      <c r="D21" s="34" t="str">
        <f>IFERROR(__xludf.DUMMYFUNCTION("IFERROR(GOOGLEFINANCE(C21,""NAME""),)"),"HFCL Ltd")</f>
        <v>HFCL Ltd</v>
      </c>
      <c r="E21" s="35">
        <f t="array" ref="E21">IFERROR(INDEX(L_DATA_VOL,$B21),)</f>
        <v>25139352</v>
      </c>
      <c r="F21" s="34">
        <f t="array" ref="F21">IFERROR(INDEX(L_DATA_PRICE,$B21),)</f>
        <v>69.85</v>
      </c>
      <c r="G21" s="36">
        <f t="array" ref="G21">IFERROR(INDEX(L_DATA_CHANGE,$B21),)</f>
        <v>3.35</v>
      </c>
      <c r="H21" s="37" t="str">
        <f t="shared" si="1"/>
        <v>🠉</v>
      </c>
      <c r="I21" s="38" t="str">
        <f t="array" ref="I21">IFERROR(INDEX(L_DATA_CHNG_PCT_FML,$B21),)</f>
        <v>5.04%</v>
      </c>
      <c r="J21" s="34">
        <f t="array" ref="J21">IFERROR(INDEX(L_DATA_CHANGEPCT,$B21),)</f>
        <v>5.04</v>
      </c>
      <c r="K21" s="39">
        <f>IFERROR(__xludf.DUMMYFUNCTION("IFERROR(GOOGLEFINANCE(C21,""MARKETCAP""),)"),1.0064527425E11)</f>
        <v>100645274250</v>
      </c>
      <c r="L21" s="34" t="str">
        <f>IFERROR(__xludf.DUMMYFUNCTION("IFERROR(GOOGLEFINANCE(C21,""PE""),)"),"")</f>
        <v/>
      </c>
      <c r="M21" s="40">
        <f>IFERROR(__xludf.DUMMYFUNCTION("IFERROR(GOOGLEFINANCE(C21,""LOW52""),)"),59.82)</f>
        <v>59.82</v>
      </c>
      <c r="N21" s="41" t="str">
        <f t="shared" si="2"/>
        <v>--▼-------</v>
      </c>
      <c r="O21" s="40">
        <f>IFERROR(__xludf.DUMMYFUNCTION("IFERROR(GOOGLEFINANCE(C21,""HIGH52""),)"),93.96)</f>
        <v>93.96</v>
      </c>
      <c r="P21" s="1"/>
      <c r="Q21" s="1"/>
      <c r="R21" s="1"/>
      <c r="S21" s="1"/>
    </row>
    <row r="22">
      <c r="A22" s="42">
        <v>20.0</v>
      </c>
      <c r="B22" s="43">
        <f>MATCH(A22,L_DATA_TOP_ACTIVES,0)</f>
        <v>848</v>
      </c>
      <c r="C22" s="43" t="str">
        <f t="array" ref="C22">IFERROR(INDEX(L_DATA_SYMBOL,B22),)</f>
        <v>NSE:MAHABANK</v>
      </c>
      <c r="D22" s="43" t="str">
        <f>IFERROR(__xludf.DUMMYFUNCTION("IFERROR(GOOGLEFINANCE(C22,""NAME""),)"),"Bank of Maharashtra Ltd")</f>
        <v>Bank of Maharashtra Ltd</v>
      </c>
      <c r="E22" s="44">
        <f t="array" ref="E22">IFERROR(INDEX(L_DATA_VOL,$B22),)</f>
        <v>25083895</v>
      </c>
      <c r="F22" s="43">
        <f t="array" ref="F22">IFERROR(INDEX(L_DATA_PRICE,$B22),)</f>
        <v>71.36</v>
      </c>
      <c r="G22" s="45">
        <f t="array" ref="G22">IFERROR(INDEX(L_DATA_CHANGE,$B22),)</f>
        <v>2.94</v>
      </c>
      <c r="H22" s="46" t="str">
        <f t="shared" si="1"/>
        <v>🠉</v>
      </c>
      <c r="I22" s="47" t="str">
        <f t="array" ref="I22">IFERROR(INDEX(L_DATA_CHNG_PCT_FML,$B22),)</f>
        <v>4.3%</v>
      </c>
      <c r="J22" s="43">
        <f t="array" ref="J22">IFERROR(INDEX(L_DATA_CHANGEPCT,$B22),)</f>
        <v>4.3</v>
      </c>
      <c r="K22" s="48">
        <f>IFERROR(__xludf.DUMMYFUNCTION("IFERROR(GOOGLEFINANCE(C22,""MARKETCAP""),)"),5.49993065384E11)</f>
        <v>549993065384</v>
      </c>
      <c r="L22" s="43" t="str">
        <f>IFERROR(__xludf.DUMMYFUNCTION("IFERROR(GOOGLEFINANCE(C22,""PE""),)"),"")</f>
        <v/>
      </c>
      <c r="M22" s="49">
        <f>IFERROR(__xludf.DUMMYFUNCTION("IFERROR(GOOGLEFINANCE(C22,""LOW52""),)"),42.0)</f>
        <v>42</v>
      </c>
      <c r="N22" s="50" t="str">
        <f t="shared" si="2"/>
        <v>--------▼-</v>
      </c>
      <c r="O22" s="49">
        <f>IFERROR(__xludf.DUMMYFUNCTION("IFERROR(GOOGLEFINANCE(C22,""HIGH52""),)"),77.0)</f>
        <v>77</v>
      </c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</sheetData>
  <conditionalFormatting sqref="H3:H22">
    <cfRule type="expression" dxfId="1" priority="1">
      <formula>$J3&lt;0</formula>
    </cfRule>
  </conditionalFormatting>
  <conditionalFormatting sqref="H3:H22">
    <cfRule type="expression" dxfId="6" priority="2">
      <formula>$J3&lt;0.05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16.88"/>
    <col customWidth="1" min="8" max="8" width="16.38"/>
  </cols>
  <sheetData>
    <row r="1">
      <c r="A1" s="51"/>
      <c r="B1" s="52" t="s">
        <v>26</v>
      </c>
      <c r="C1" s="52" t="s">
        <v>27</v>
      </c>
      <c r="D1" s="52" t="s">
        <v>28</v>
      </c>
      <c r="E1" s="52" t="s">
        <v>9</v>
      </c>
      <c r="F1" s="52" t="s">
        <v>10</v>
      </c>
      <c r="G1" s="52" t="s">
        <v>11</v>
      </c>
      <c r="H1" s="52" t="s">
        <v>29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2" t="s">
        <v>30</v>
      </c>
      <c r="C2" s="53" t="str">
        <f>IFERROR(__xludf.DUMMYFUNCTION("GOOGLEFINANCE(""INDEXNSE:NIFTY_50"",""NAME"")"),"NIFTY 50")</f>
        <v>NIFTY 50</v>
      </c>
      <c r="D2" s="52" t="s">
        <v>31</v>
      </c>
      <c r="E2" s="53">
        <f>IFERROR(__xludf.DUMMYFUNCTION("GOOGLEFINANCE(D2,""PRICE"")"),24765.9)</f>
        <v>24765.9</v>
      </c>
      <c r="F2" s="53">
        <f>IFERROR(__xludf.DUMMYFUNCTION("ROUND(GOOGLEFINANCE(D2,""CHANGE""),2)"),285.4)</f>
        <v>285.4</v>
      </c>
      <c r="G2" s="53">
        <f>IFERROR(__xludf.DUMMYFUNCTION("ROUND(GOOGLEFINANCE(D2,""CHANGEPCT""),2)"),1.17)</f>
        <v>1.17</v>
      </c>
      <c r="H2" s="53" t="str">
        <f t="shared" ref="H2:H3" si="1">F2&amp;" ("&amp;G2&amp;"%)"</f>
        <v>285.4 (1.17%)</v>
      </c>
      <c r="I2" s="51"/>
      <c r="J2" s="51"/>
      <c r="K2" s="51"/>
      <c r="L2" s="54"/>
      <c r="M2" s="54"/>
      <c r="N2" s="54"/>
      <c r="O2" s="54"/>
      <c r="P2" s="55" t="s">
        <v>32</v>
      </c>
      <c r="Q2" s="54"/>
      <c r="R2" s="54"/>
      <c r="S2" s="51"/>
      <c r="T2" s="51"/>
      <c r="U2" s="51"/>
      <c r="V2" s="51"/>
      <c r="W2" s="51"/>
      <c r="X2" s="51"/>
      <c r="Y2" s="51"/>
      <c r="Z2" s="51"/>
    </row>
    <row r="3">
      <c r="A3" s="51"/>
      <c r="B3" s="52" t="s">
        <v>33</v>
      </c>
      <c r="C3" s="53" t="str">
        <f>IFERROR(__xludf.DUMMYFUNCTION("GOOGLEFINANCE(""INDEXBOM:SENSEX"",""NAME"")"),"BSE SENSEX")</f>
        <v>BSE SENSEX</v>
      </c>
      <c r="D3" s="52" t="s">
        <v>34</v>
      </c>
      <c r="E3" s="53">
        <f>IFERROR(__xludf.DUMMYFUNCTION("GOOGLEFINANCE(D3,""PRICE"")"),79927.4)</f>
        <v>79927.4</v>
      </c>
      <c r="F3" s="53">
        <f>IFERROR(__xludf.DUMMYFUNCTION("ROUND(GOOGLEFINANCE(D3,""CHANGE""),2)"),811.21)</f>
        <v>811.21</v>
      </c>
      <c r="G3" s="53">
        <f>IFERROR(__xludf.DUMMYFUNCTION("ROUND(GOOGLEFINANCE(D3,""CHANGEPCT""),2)"),1.03)</f>
        <v>1.03</v>
      </c>
      <c r="H3" s="53" t="str">
        <f t="shared" si="1"/>
        <v>811.21 (1.03%)</v>
      </c>
      <c r="I3" s="51"/>
      <c r="J3" s="51"/>
      <c r="K3" s="51"/>
      <c r="L3" s="55" t="s">
        <v>35</v>
      </c>
      <c r="M3" s="55" t="s">
        <v>36</v>
      </c>
      <c r="N3" s="55" t="s">
        <v>37</v>
      </c>
      <c r="O3" s="54" t="str">
        <f>IFERROR(__xludf.DUMMYFUNCTION("GOOGLEFINANCE(""INDEXBOM:SENSEX"",""NAME"")"),"BSE SENSEX")</f>
        <v>BSE SENSEX</v>
      </c>
      <c r="P3" s="55" t="s">
        <v>38</v>
      </c>
      <c r="Q3" s="54"/>
      <c r="R3" s="54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5" t="s">
        <v>30</v>
      </c>
      <c r="M4" s="55" t="s">
        <v>39</v>
      </c>
      <c r="N4" s="54"/>
      <c r="O4" s="54" t="str">
        <f>IFERROR(__xludf.DUMMYFUNCTION("GOOGLEFINANCE(""INDEXNSE:NIFTY_50"",""NAME"")"),"NIFTY 50")</f>
        <v>NIFTY 50</v>
      </c>
      <c r="P4" s="54"/>
      <c r="Q4" s="54"/>
      <c r="R4" s="54"/>
      <c r="S4" s="51"/>
      <c r="T4" s="51"/>
      <c r="U4" s="51"/>
      <c r="V4" s="51"/>
      <c r="W4" s="51"/>
      <c r="X4" s="51"/>
      <c r="Y4" s="51"/>
      <c r="Z4" s="51"/>
    </row>
    <row r="5">
      <c r="A5" s="51"/>
      <c r="B5" s="51"/>
      <c r="C5" s="56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5" max="5" width="7.88"/>
    <col customWidth="1" min="6" max="6" width="13.88"/>
    <col customWidth="1" min="7" max="7" width="15.88"/>
    <col customWidth="1" min="14" max="14" width="16.13"/>
  </cols>
  <sheetData>
    <row r="1" ht="23.25" customHeight="1">
      <c r="A1" s="57" t="s">
        <v>40</v>
      </c>
      <c r="B1" s="57"/>
      <c r="C1" s="57" t="s">
        <v>41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8" t="s">
        <v>42</v>
      </c>
      <c r="B3" s="58" t="s">
        <v>18</v>
      </c>
      <c r="C3" s="58" t="s">
        <v>10</v>
      </c>
      <c r="D3" s="58" t="s">
        <v>29</v>
      </c>
      <c r="E3" s="58" t="s">
        <v>43</v>
      </c>
      <c r="F3" s="58" t="s">
        <v>44</v>
      </c>
      <c r="G3" s="58" t="s">
        <v>45</v>
      </c>
      <c r="H3" s="58" t="s">
        <v>9</v>
      </c>
      <c r="I3" s="58" t="s">
        <v>12</v>
      </c>
      <c r="J3" s="58" t="s">
        <v>46</v>
      </c>
      <c r="K3" s="58" t="s">
        <v>47</v>
      </c>
      <c r="L3" s="58" t="s">
        <v>48</v>
      </c>
      <c r="M3" s="58" t="s">
        <v>49</v>
      </c>
      <c r="N3" s="58" t="s">
        <v>50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9" t="s">
        <v>51</v>
      </c>
      <c r="B4" s="60" t="str">
        <f>IFERROR(__xludf.DUMMYFUNCTION("IFERROR(GOOGLEFINANCE(A4,""NAME""),)"),"20 Microns Ltd")</f>
        <v>20 Microns Ltd</v>
      </c>
      <c r="C4" s="60">
        <f>IFERROR(__xludf.DUMMYFUNCTION("IFERROR(GOOGLEFINANCE(A4,""CHANGE""),)"),-1.82)</f>
        <v>-1.82</v>
      </c>
      <c r="D4" s="60">
        <f>IFERROR(__xludf.DUMMYFUNCTION("IFERROR(GOOGLEFINANCE(A4,""CHANGEPCT""),)"),-1.08)</f>
        <v>-1.08</v>
      </c>
      <c r="E4" s="60" t="str">
        <f t="shared" ref="E4:E1624" si="1">D4&amp;"%"</f>
        <v>-1.08%</v>
      </c>
      <c r="F4" s="60" t="str">
        <f t="shared" ref="F4:F1624" si="2">IFERROR(IF(D4&gt;0,D4,""),)</f>
        <v/>
      </c>
      <c r="G4" s="60">
        <f t="shared" ref="G4:G1624" si="3">IFERROR(IF(D4&lt;0,D4,""),)</f>
        <v>-1.08</v>
      </c>
      <c r="H4" s="60">
        <f>IFERROR(__xludf.DUMMYFUNCTION("IFERROR(GOOGLEFINANCE(A4,""PRICE""),)"),167.99)</f>
        <v>167.99</v>
      </c>
      <c r="I4" s="61">
        <f>IFERROR(__xludf.DUMMYFUNCTION("IFERROR(GOOGLEFINANCE(A4,""VOLUME""),)"),64756.0)</f>
        <v>64756</v>
      </c>
      <c r="J4" s="60" t="str">
        <f>IFERROR(__xludf.DUMMYFUNCTION("IFERROR(INDEX(SPLIT(A4,"":""),1,2),)"),"20MICRONS")</f>
        <v>20MICRONS</v>
      </c>
      <c r="K4" s="60" t="str">
        <f t="shared" ref="K4:K1624" si="4">IFERROR(RANK(F4,$F$4:F1624,0)+COUNTIF($F$3:$F3,F4),"")</f>
        <v/>
      </c>
      <c r="L4" s="60">
        <f t="shared" ref="L4:L1624" si="5">IFERROR(RANK(G4,$G$4:G1624,0)+COUNTIF($G$3:$G3,G4),"")</f>
        <v>226</v>
      </c>
      <c r="M4" s="60">
        <f t="shared" ref="M4:M1624" si="6">IFERROR(RANK(I4,$I$4:I1624,0)+COUNTIF($I$3:$I3,I4),"")</f>
        <v>859</v>
      </c>
      <c r="N4" s="62">
        <f>IFERROR(__xludf.DUMMYFUNCTION("IFERROR(GOOGLEFINANCE(A4,""TRADETIME""),)"),46086.64583333333)</f>
        <v>46086.64583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63" t="s">
        <v>52</v>
      </c>
      <c r="B5" s="64" t="str">
        <f>IFERROR(__xludf.DUMMYFUNCTION("IFERROR(GOOGLEFINANCE(A5,""NAME""),)"),"Twentyfirst Century Management Srvcs Ltd")</f>
        <v>Twentyfirst Century Management Srvcs Ltd</v>
      </c>
      <c r="C5" s="64">
        <f>IFERROR(__xludf.DUMMYFUNCTION("IFERROR(GOOGLEFINANCE(A5,""CHANGE""),)"),-0.46)</f>
        <v>-0.46</v>
      </c>
      <c r="D5" s="64">
        <f>IFERROR(__xludf.DUMMYFUNCTION("IFERROR(GOOGLEFINANCE(A5,""CHANGEPCT""),)"),-1.32)</f>
        <v>-1.32</v>
      </c>
      <c r="E5" s="64" t="str">
        <f t="shared" si="1"/>
        <v>-1.32%</v>
      </c>
      <c r="F5" s="64" t="str">
        <f t="shared" si="2"/>
        <v/>
      </c>
      <c r="G5" s="64">
        <f t="shared" si="3"/>
        <v>-1.32</v>
      </c>
      <c r="H5" s="64">
        <f>IFERROR(__xludf.DUMMYFUNCTION("IFERROR(GOOGLEFINANCE(A5,""PRICE""),)"),34.45)</f>
        <v>34.45</v>
      </c>
      <c r="I5" s="65">
        <f>IFERROR(__xludf.DUMMYFUNCTION("IFERROR(GOOGLEFINANCE(A5,""VOLUME""),)"),859.0)</f>
        <v>859</v>
      </c>
      <c r="J5" s="64" t="str">
        <f>IFERROR(__xludf.DUMMYFUNCTION("IFERROR(INDEX(SPLIT(A5,"":""),1,2),)"),"21STCENMGM")</f>
        <v>21STCENMGM</v>
      </c>
      <c r="K5" s="64" t="str">
        <f t="shared" si="4"/>
        <v/>
      </c>
      <c r="L5" s="64">
        <f t="shared" si="5"/>
        <v>268</v>
      </c>
      <c r="M5" s="64">
        <f t="shared" si="6"/>
        <v>1433</v>
      </c>
      <c r="N5" s="66">
        <f>IFERROR(__xludf.DUMMYFUNCTION("IFERROR(GOOGLEFINANCE(A5,""TRADETIME""),)"),46086.64583333333)</f>
        <v>46086.64583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67" t="s">
        <v>53</v>
      </c>
      <c r="B6" s="60" t="str">
        <f>IFERROR(__xludf.DUMMYFUNCTION("IFERROR(GOOGLEFINANCE(A6,""NAME""),)"),"3i Infotech Ltd")</f>
        <v>3i Infotech Ltd</v>
      </c>
      <c r="C6" s="60">
        <f>IFERROR(__xludf.DUMMYFUNCTION("IFERROR(GOOGLEFINANCE(A6,""CHANGE""),)"),-0.03)</f>
        <v>-0.03</v>
      </c>
      <c r="D6" s="60">
        <f>IFERROR(__xludf.DUMMYFUNCTION("IFERROR(GOOGLEFINANCE(A6,""CHANGEPCT""),)"),0.3)</f>
        <v>0.3</v>
      </c>
      <c r="E6" s="60" t="str">
        <f t="shared" si="1"/>
        <v>0.3%</v>
      </c>
      <c r="F6" s="60">
        <f t="shared" si="2"/>
        <v>0.3</v>
      </c>
      <c r="G6" s="60" t="str">
        <f t="shared" si="3"/>
        <v/>
      </c>
      <c r="H6" s="60">
        <f>IFERROR(__xludf.DUMMYFUNCTION("IFERROR(GOOGLEFINANCE(A6,""PRICE""),)"),13.35)</f>
        <v>13.35</v>
      </c>
      <c r="I6" s="61">
        <f>IFERROR(__xludf.DUMMYFUNCTION("IFERROR(GOOGLEFINANCE(A6,""VOLUME""),)"),287754.0)</f>
        <v>287754</v>
      </c>
      <c r="J6" s="60" t="str">
        <f>IFERROR(__xludf.DUMMYFUNCTION("IFERROR(INDEX(SPLIT(A6,"":""),1,2),)"),"3IINFOLTD")</f>
        <v>3IINFOLTD</v>
      </c>
      <c r="K6" s="60">
        <f t="shared" si="4"/>
        <v>929</v>
      </c>
      <c r="L6" s="60" t="str">
        <f t="shared" si="5"/>
        <v/>
      </c>
      <c r="M6" s="60">
        <f t="shared" si="6"/>
        <v>518</v>
      </c>
      <c r="N6" s="62">
        <f>IFERROR(__xludf.DUMMYFUNCTION("IFERROR(GOOGLEFINANCE(A6,""TRADETIME""),)"),46086.64583333333)</f>
        <v>46086.64583</v>
      </c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68" t="s">
        <v>54</v>
      </c>
      <c r="B7" s="64" t="str">
        <f>IFERROR(__xludf.DUMMYFUNCTION("IFERROR(GOOGLEFINANCE(A7,""NAME""),)"),"3M India Ltd")</f>
        <v>3M India Ltd</v>
      </c>
      <c r="C7" s="64">
        <f>IFERROR(__xludf.DUMMYFUNCTION("IFERROR(GOOGLEFINANCE(A7,""CHANGE""),)"),-140.0)</f>
        <v>-140</v>
      </c>
      <c r="D7" s="64">
        <f>IFERROR(__xludf.DUMMYFUNCTION("IFERROR(GOOGLEFINANCE(A7,""CHANGEPCT""),)"),0.76)</f>
        <v>0.76</v>
      </c>
      <c r="E7" s="64" t="str">
        <f t="shared" si="1"/>
        <v>0.76%</v>
      </c>
      <c r="F7" s="64">
        <f t="shared" si="2"/>
        <v>0.76</v>
      </c>
      <c r="G7" s="64" t="str">
        <f t="shared" si="3"/>
        <v/>
      </c>
      <c r="H7" s="64">
        <f>IFERROR(__xludf.DUMMYFUNCTION("IFERROR(GOOGLEFINANCE(A7,""PRICE""),)"),34140.0)</f>
        <v>34140</v>
      </c>
      <c r="I7" s="65">
        <f>IFERROR(__xludf.DUMMYFUNCTION("IFERROR(GOOGLEFINANCE(A7,""VOLUME""),)"),3452.0)</f>
        <v>3452</v>
      </c>
      <c r="J7" s="64" t="str">
        <f>IFERROR(__xludf.DUMMYFUNCTION("IFERROR(INDEX(SPLIT(A7,"":""),1,2),)"),"3MINDIA")</f>
        <v>3MINDIA</v>
      </c>
      <c r="K7" s="64">
        <f t="shared" si="4"/>
        <v>800</v>
      </c>
      <c r="L7" s="64" t="str">
        <f t="shared" si="5"/>
        <v/>
      </c>
      <c r="M7" s="64">
        <f t="shared" si="6"/>
        <v>1377</v>
      </c>
      <c r="N7" s="66">
        <f>IFERROR(__xludf.DUMMYFUNCTION("IFERROR(GOOGLEFINANCE(A7,""TRADETIME""),)"),46086.64584490741)</f>
        <v>46086.64584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67" t="s">
        <v>55</v>
      </c>
      <c r="B8" s="60" t="str">
        <f>IFERROR(__xludf.DUMMYFUNCTION("IFERROR(GOOGLEFINANCE(A8,""NAME""),)"),"3P Land Holdings Ltd")</f>
        <v>3P Land Holdings Ltd</v>
      </c>
      <c r="C8" s="60">
        <f>IFERROR(__xludf.DUMMYFUNCTION("IFERROR(GOOGLEFINANCE(A8,""CHANGE""),)"),0.43)</f>
        <v>0.43</v>
      </c>
      <c r="D8" s="60">
        <f>IFERROR(__xludf.DUMMYFUNCTION("IFERROR(GOOGLEFINANCE(A8,""CHANGEPCT""),)"),1.38)</f>
        <v>1.38</v>
      </c>
      <c r="E8" s="60" t="str">
        <f t="shared" si="1"/>
        <v>1.38%</v>
      </c>
      <c r="F8" s="60">
        <f t="shared" si="2"/>
        <v>1.38</v>
      </c>
      <c r="G8" s="60" t="str">
        <f t="shared" si="3"/>
        <v/>
      </c>
      <c r="H8" s="60">
        <f>IFERROR(__xludf.DUMMYFUNCTION("IFERROR(GOOGLEFINANCE(A8,""PRICE""),)"),31.5)</f>
        <v>31.5</v>
      </c>
      <c r="I8" s="61">
        <f>IFERROR(__xludf.DUMMYFUNCTION("IFERROR(GOOGLEFINANCE(A8,""VOLUME""),)"),6572.0)</f>
        <v>6572</v>
      </c>
      <c r="J8" s="60" t="str">
        <f>IFERROR(__xludf.DUMMYFUNCTION("IFERROR(INDEX(SPLIT(A8,"":""),1,2),)"),"3PLAND")</f>
        <v>3PLAND</v>
      </c>
      <c r="K8" s="60">
        <f t="shared" si="4"/>
        <v>608</v>
      </c>
      <c r="L8" s="60" t="str">
        <f t="shared" si="5"/>
        <v/>
      </c>
      <c r="M8" s="60">
        <f t="shared" si="6"/>
        <v>1315</v>
      </c>
      <c r="N8" s="62">
        <f>IFERROR(__xludf.DUMMYFUNCTION("IFERROR(GOOGLEFINANCE(A8,""TRADETIME""),)"),46086.64583333333)</f>
        <v>46086.64583</v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68" t="s">
        <v>56</v>
      </c>
      <c r="B9" s="64" t="str">
        <f>IFERROR(__xludf.DUMMYFUNCTION("IFERROR(GOOGLEFINANCE(A9,""NAME""),)"),"5Paisa Capital Ltd")</f>
        <v>5Paisa Capital Ltd</v>
      </c>
      <c r="C9" s="64">
        <f>IFERROR(__xludf.DUMMYFUNCTION("IFERROR(GOOGLEFINANCE(A9,""CHANGE""),)"),4.7)</f>
        <v>4.7</v>
      </c>
      <c r="D9" s="64">
        <f>IFERROR(__xludf.DUMMYFUNCTION("IFERROR(GOOGLEFINANCE(A9,""CHANGEPCT""),)"),1.55)</f>
        <v>1.55</v>
      </c>
      <c r="E9" s="64" t="str">
        <f t="shared" si="1"/>
        <v>1.55%</v>
      </c>
      <c r="F9" s="64">
        <f t="shared" si="2"/>
        <v>1.55</v>
      </c>
      <c r="G9" s="64" t="str">
        <f t="shared" si="3"/>
        <v/>
      </c>
      <c r="H9" s="64">
        <f>IFERROR(__xludf.DUMMYFUNCTION("IFERROR(GOOGLEFINANCE(A9,""PRICE""),)"),308.5)</f>
        <v>308.5</v>
      </c>
      <c r="I9" s="65">
        <f>IFERROR(__xludf.DUMMYFUNCTION("IFERROR(GOOGLEFINANCE(A9,""VOLUME""),)"),23914.0)</f>
        <v>23914</v>
      </c>
      <c r="J9" s="64" t="str">
        <f>IFERROR(__xludf.DUMMYFUNCTION("IFERROR(INDEX(SPLIT(A9,"":""),1,2),)"),"5PAISA")</f>
        <v>5PAISA</v>
      </c>
      <c r="K9" s="64">
        <f t="shared" si="4"/>
        <v>553</v>
      </c>
      <c r="L9" s="64" t="str">
        <f t="shared" si="5"/>
        <v/>
      </c>
      <c r="M9" s="64">
        <f t="shared" si="6"/>
        <v>1111</v>
      </c>
      <c r="N9" s="66">
        <f>IFERROR(__xludf.DUMMYFUNCTION("IFERROR(GOOGLEFINANCE(A9,""TRADETIME""),)"),46086.64583333333)</f>
        <v>46086.64583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67" t="s">
        <v>57</v>
      </c>
      <c r="B10" s="60" t="str">
        <f>IFERROR(__xludf.DUMMYFUNCTION("IFERROR(GOOGLEFINANCE(A10,""NAME""),)"),"63 Moons Technologies Ltd")</f>
        <v>63 Moons Technologies Ltd</v>
      </c>
      <c r="C10" s="60">
        <f>IFERROR(__xludf.DUMMYFUNCTION("IFERROR(GOOGLEFINANCE(A10,""CHANGE""),)"),25.85)</f>
        <v>25.85</v>
      </c>
      <c r="D10" s="60">
        <f>IFERROR(__xludf.DUMMYFUNCTION("IFERROR(GOOGLEFINANCE(A10,""CHANGEPCT""),)"),3.83)</f>
        <v>3.83</v>
      </c>
      <c r="E10" s="60" t="str">
        <f t="shared" si="1"/>
        <v>3.83%</v>
      </c>
      <c r="F10" s="60">
        <f t="shared" si="2"/>
        <v>3.83</v>
      </c>
      <c r="G10" s="60" t="str">
        <f t="shared" si="3"/>
        <v/>
      </c>
      <c r="H10" s="60">
        <f>IFERROR(__xludf.DUMMYFUNCTION("IFERROR(GOOGLEFINANCE(A10,""PRICE""),)"),586.1)</f>
        <v>586.1</v>
      </c>
      <c r="I10" s="61">
        <f>IFERROR(__xludf.DUMMYFUNCTION("IFERROR(GOOGLEFINANCE(A10,""VOLUME""),)"),153510.0)</f>
        <v>153510</v>
      </c>
      <c r="J10" s="60" t="str">
        <f>IFERROR(__xludf.DUMMYFUNCTION("IFERROR(INDEX(SPLIT(A10,"":""),1,2),)"),"63MOONS")</f>
        <v>63MOONS</v>
      </c>
      <c r="K10" s="60">
        <f t="shared" si="4"/>
        <v>155</v>
      </c>
      <c r="L10" s="60" t="str">
        <f t="shared" si="5"/>
        <v/>
      </c>
      <c r="M10" s="60">
        <f t="shared" si="6"/>
        <v>667</v>
      </c>
      <c r="N10" s="62">
        <f>IFERROR(__xludf.DUMMYFUNCTION("IFERROR(GOOGLEFINANCE(A10,""TRADETIME""),)"),46086.64583333333)</f>
        <v>46086.64583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68" t="s">
        <v>58</v>
      </c>
      <c r="B11" s="64" t="str">
        <f>IFERROR(__xludf.DUMMYFUNCTION("IFERROR(GOOGLEFINANCE(A11,""NAME""),)"),"A2z Infra Engineering Ltd")</f>
        <v>A2z Infra Engineering Ltd</v>
      </c>
      <c r="C11" s="64">
        <f>IFERROR(__xludf.DUMMYFUNCTION("IFERROR(GOOGLEFINANCE(A11,""CHANGE""),)"),0.01)</f>
        <v>0.01</v>
      </c>
      <c r="D11" s="64">
        <f>IFERROR(__xludf.DUMMYFUNCTION("IFERROR(GOOGLEFINANCE(A11,""CHANGEPCT""),)"),0.06)</f>
        <v>0.06</v>
      </c>
      <c r="E11" s="64" t="str">
        <f t="shared" si="1"/>
        <v>0.06%</v>
      </c>
      <c r="F11" s="64">
        <f t="shared" si="2"/>
        <v>0.06</v>
      </c>
      <c r="G11" s="64" t="str">
        <f t="shared" si="3"/>
        <v/>
      </c>
      <c r="H11" s="64">
        <f>IFERROR(__xludf.DUMMYFUNCTION("IFERROR(GOOGLEFINANCE(A11,""PRICE""),)"),16.2)</f>
        <v>16.2</v>
      </c>
      <c r="I11" s="65">
        <f>IFERROR(__xludf.DUMMYFUNCTION("IFERROR(GOOGLEFINANCE(A11,""VOLUME""),)"),450942.0)</f>
        <v>450942</v>
      </c>
      <c r="J11" s="64" t="str">
        <f>IFERROR(__xludf.DUMMYFUNCTION("IFERROR(INDEX(SPLIT(A11,"":""),1,2),)"),"A2ZINFRA")</f>
        <v>A2ZINFRA</v>
      </c>
      <c r="K11" s="64">
        <f t="shared" si="4"/>
        <v>986</v>
      </c>
      <c r="L11" s="64" t="str">
        <f t="shared" si="5"/>
        <v/>
      </c>
      <c r="M11" s="64">
        <f t="shared" si="6"/>
        <v>415</v>
      </c>
      <c r="N11" s="66">
        <f>IFERROR(__xludf.DUMMYFUNCTION("IFERROR(GOOGLEFINANCE(A11,""TRADETIME""),)"),46086.639502314814)</f>
        <v>46086.6395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67" t="s">
        <v>59</v>
      </c>
      <c r="B12" s="60" t="str">
        <f>IFERROR(__xludf.DUMMYFUNCTION("IFERROR(GOOGLEFINANCE(A12,""NAME""),)"),"Aakash Exploration Services Ltd")</f>
        <v>Aakash Exploration Services Ltd</v>
      </c>
      <c r="C12" s="60">
        <f>IFERROR(__xludf.DUMMYFUNCTION("IFERROR(GOOGLEFINANCE(A12,""CHANGE""),)"),1.98)</f>
        <v>1.98</v>
      </c>
      <c r="D12" s="60">
        <f>IFERROR(__xludf.DUMMYFUNCTION("IFERROR(GOOGLEFINANCE(A12,""CHANGEPCT""),)"),19.96)</f>
        <v>19.96</v>
      </c>
      <c r="E12" s="60" t="str">
        <f t="shared" si="1"/>
        <v>19.96%</v>
      </c>
      <c r="F12" s="60">
        <f t="shared" si="2"/>
        <v>19.96</v>
      </c>
      <c r="G12" s="60" t="str">
        <f t="shared" si="3"/>
        <v/>
      </c>
      <c r="H12" s="60">
        <f>IFERROR(__xludf.DUMMYFUNCTION("IFERROR(GOOGLEFINANCE(A12,""PRICE""),)"),11.9)</f>
        <v>11.9</v>
      </c>
      <c r="I12" s="61">
        <f>IFERROR(__xludf.DUMMYFUNCTION("IFERROR(GOOGLEFINANCE(A12,""VOLUME""),)"),5693099.0)</f>
        <v>5693099</v>
      </c>
      <c r="J12" s="60" t="str">
        <f>IFERROR(__xludf.DUMMYFUNCTION("IFERROR(INDEX(SPLIT(A12,"":""),1,2),)"),"AAKASH")</f>
        <v>AAKASH</v>
      </c>
      <c r="K12" s="60">
        <f t="shared" si="4"/>
        <v>3</v>
      </c>
      <c r="L12" s="60" t="str">
        <f t="shared" si="5"/>
        <v/>
      </c>
      <c r="M12" s="60">
        <f t="shared" si="6"/>
        <v>98</v>
      </c>
      <c r="N12" s="62">
        <f>IFERROR(__xludf.DUMMYFUNCTION("IFERROR(GOOGLEFINANCE(A12,""TRADETIME""),)"),46086.64583333333)</f>
        <v>46086.64583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68" t="s">
        <v>60</v>
      </c>
      <c r="B13" s="64" t="str">
        <f>IFERROR(__xludf.DUMMYFUNCTION("IFERROR(GOOGLEFINANCE(A13,""NAME""),)"),"AARON INDUSTRIES Ltd")</f>
        <v>AARON INDUSTRIES Ltd</v>
      </c>
      <c r="C13" s="64">
        <f>IFERROR(__xludf.DUMMYFUNCTION("IFERROR(GOOGLEFINANCE(A13,""CHANGE""),)"),6.6)</f>
        <v>6.6</v>
      </c>
      <c r="D13" s="64">
        <f>IFERROR(__xludf.DUMMYFUNCTION("IFERROR(GOOGLEFINANCE(A13,""CHANGEPCT""),)"),4.68)</f>
        <v>4.68</v>
      </c>
      <c r="E13" s="64" t="str">
        <f t="shared" si="1"/>
        <v>4.68%</v>
      </c>
      <c r="F13" s="64">
        <f t="shared" si="2"/>
        <v>4.68</v>
      </c>
      <c r="G13" s="64" t="str">
        <f t="shared" si="3"/>
        <v/>
      </c>
      <c r="H13" s="64">
        <f>IFERROR(__xludf.DUMMYFUNCTION("IFERROR(GOOGLEFINANCE(A13,""PRICE""),)"),147.5)</f>
        <v>147.5</v>
      </c>
      <c r="I13" s="65">
        <f>IFERROR(__xludf.DUMMYFUNCTION("IFERROR(GOOGLEFINANCE(A13,""VOLUME""),)"),40840.0)</f>
        <v>40840</v>
      </c>
      <c r="J13" s="64" t="str">
        <f>IFERROR(__xludf.DUMMYFUNCTION("IFERROR(INDEX(SPLIT(A13,"":""),1,2),)"),"AARON")</f>
        <v>AARON</v>
      </c>
      <c r="K13" s="64">
        <f t="shared" si="4"/>
        <v>98</v>
      </c>
      <c r="L13" s="64" t="str">
        <f t="shared" si="5"/>
        <v/>
      </c>
      <c r="M13" s="64">
        <f t="shared" si="6"/>
        <v>988</v>
      </c>
      <c r="N13" s="66">
        <f>IFERROR(__xludf.DUMMYFUNCTION("IFERROR(GOOGLEFINANCE(A13,""TRADETIME""),)"),46086.64583333333)</f>
        <v>46086.64583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67" t="s">
        <v>61</v>
      </c>
      <c r="B14" s="60" t="str">
        <f>IFERROR(__xludf.DUMMYFUNCTION("IFERROR(GOOGLEFINANCE(A14,""NAME""),)"),"Aarti Drugs Ltd")</f>
        <v>Aarti Drugs Ltd</v>
      </c>
      <c r="C14" s="60">
        <f>IFERROR(__xludf.DUMMYFUNCTION("IFERROR(GOOGLEFINANCE(A14,""CHANGE""),)"),4.35)</f>
        <v>4.35</v>
      </c>
      <c r="D14" s="60">
        <f>IFERROR(__xludf.DUMMYFUNCTION("IFERROR(GOOGLEFINANCE(A14,""CHANGEPCT""),)"),1.21)</f>
        <v>1.21</v>
      </c>
      <c r="E14" s="60" t="str">
        <f t="shared" si="1"/>
        <v>1.21%</v>
      </c>
      <c r="F14" s="60">
        <f t="shared" si="2"/>
        <v>1.21</v>
      </c>
      <c r="G14" s="60" t="str">
        <f t="shared" si="3"/>
        <v/>
      </c>
      <c r="H14" s="60">
        <f>IFERROR(__xludf.DUMMYFUNCTION("IFERROR(GOOGLEFINANCE(A14,""PRICE""),)"),364.8)</f>
        <v>364.8</v>
      </c>
      <c r="I14" s="61">
        <f>IFERROR(__xludf.DUMMYFUNCTION("IFERROR(GOOGLEFINANCE(A14,""VOLUME""),)"),69114.0)</f>
        <v>69114</v>
      </c>
      <c r="J14" s="60" t="str">
        <f>IFERROR(__xludf.DUMMYFUNCTION("IFERROR(INDEX(SPLIT(A14,"":""),1,2),)"),"AARTIDRUGS")</f>
        <v>AARTIDRUGS</v>
      </c>
      <c r="K14" s="60">
        <f t="shared" si="4"/>
        <v>669</v>
      </c>
      <c r="L14" s="60" t="str">
        <f t="shared" si="5"/>
        <v/>
      </c>
      <c r="M14" s="60">
        <f t="shared" si="6"/>
        <v>851</v>
      </c>
      <c r="N14" s="62">
        <f>IFERROR(__xludf.DUMMYFUNCTION("IFERROR(GOOGLEFINANCE(A14,""TRADETIME""),)"),46086.6425)</f>
        <v>46086.6425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68" t="s">
        <v>62</v>
      </c>
      <c r="B15" s="64" t="str">
        <f>IFERROR(__xludf.DUMMYFUNCTION("IFERROR(GOOGLEFINANCE(A15,""NAME""),)"),"Aarti Industries Ltd")</f>
        <v>Aarti Industries Ltd</v>
      </c>
      <c r="C15" s="64">
        <f>IFERROR(__xludf.DUMMYFUNCTION("IFERROR(GOOGLEFINANCE(A15,""CHANGE""),)"),6.5)</f>
        <v>6.5</v>
      </c>
      <c r="D15" s="64">
        <f>IFERROR(__xludf.DUMMYFUNCTION("IFERROR(GOOGLEFINANCE(A15,""CHANGEPCT""),)"),1.58)</f>
        <v>1.58</v>
      </c>
      <c r="E15" s="64" t="str">
        <f t="shared" si="1"/>
        <v>1.58%</v>
      </c>
      <c r="F15" s="64">
        <f t="shared" si="2"/>
        <v>1.58</v>
      </c>
      <c r="G15" s="64" t="str">
        <f t="shared" si="3"/>
        <v/>
      </c>
      <c r="H15" s="64">
        <f>IFERROR(__xludf.DUMMYFUNCTION("IFERROR(GOOGLEFINANCE(A15,""PRICE""),)"),420.9)</f>
        <v>420.9</v>
      </c>
      <c r="I15" s="65">
        <f>IFERROR(__xludf.DUMMYFUNCTION("IFERROR(GOOGLEFINANCE(A15,""VOLUME""),)"),1123989.0)</f>
        <v>1123989</v>
      </c>
      <c r="J15" s="64" t="str">
        <f>IFERROR(__xludf.DUMMYFUNCTION("IFERROR(INDEX(SPLIT(A15,"":""),1,2),)"),"AARTIIND")</f>
        <v>AARTIIND</v>
      </c>
      <c r="K15" s="64">
        <f t="shared" si="4"/>
        <v>542</v>
      </c>
      <c r="L15" s="64" t="str">
        <f t="shared" si="5"/>
        <v/>
      </c>
      <c r="M15" s="64">
        <f t="shared" si="6"/>
        <v>270</v>
      </c>
      <c r="N15" s="66">
        <f>IFERROR(__xludf.DUMMYFUNCTION("IFERROR(GOOGLEFINANCE(A15,""TRADETIME""),)"),46086.64583333333)</f>
        <v>46086.64583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67" t="s">
        <v>63</v>
      </c>
      <c r="B16" s="60" t="str">
        <f>IFERROR(__xludf.DUMMYFUNCTION("IFERROR(GOOGLEFINANCE(A16,""NAME""),)"),"Aarti Surfactants Ltd")</f>
        <v>Aarti Surfactants Ltd</v>
      </c>
      <c r="C16" s="60">
        <f>IFERROR(__xludf.DUMMYFUNCTION("IFERROR(GOOGLEFINANCE(A16,""CHANGE""),)"),4.9)</f>
        <v>4.9</v>
      </c>
      <c r="D16" s="60">
        <f>IFERROR(__xludf.DUMMYFUNCTION("IFERROR(GOOGLEFINANCE(A16,""CHANGEPCT""),)"),1.31)</f>
        <v>1.31</v>
      </c>
      <c r="E16" s="60" t="str">
        <f t="shared" si="1"/>
        <v>1.31%</v>
      </c>
      <c r="F16" s="60">
        <f t="shared" si="2"/>
        <v>1.31</v>
      </c>
      <c r="G16" s="60" t="str">
        <f t="shared" si="3"/>
        <v/>
      </c>
      <c r="H16" s="60">
        <f>IFERROR(__xludf.DUMMYFUNCTION("IFERROR(GOOGLEFINANCE(A16,""PRICE""),)"),380.0)</f>
        <v>380</v>
      </c>
      <c r="I16" s="61">
        <f>IFERROR(__xludf.DUMMYFUNCTION("IFERROR(GOOGLEFINANCE(A16,""VOLUME""),)"),7852.0)</f>
        <v>7852</v>
      </c>
      <c r="J16" s="60" t="str">
        <f>IFERROR(__xludf.DUMMYFUNCTION("IFERROR(INDEX(SPLIT(A16,"":""),1,2),)"),"AARTISURF")</f>
        <v>AARTISURF</v>
      </c>
      <c r="K16" s="60">
        <f t="shared" si="4"/>
        <v>636</v>
      </c>
      <c r="L16" s="60" t="str">
        <f t="shared" si="5"/>
        <v/>
      </c>
      <c r="M16" s="60">
        <f t="shared" si="6"/>
        <v>1301</v>
      </c>
      <c r="N16" s="62">
        <f>IFERROR(__xludf.DUMMYFUNCTION("IFERROR(GOOGLEFINANCE(A16,""TRADETIME""),)"),46086.64583333333)</f>
        <v>46086.64583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68" t="s">
        <v>64</v>
      </c>
      <c r="B17" s="64" t="str">
        <f>IFERROR(__xludf.DUMMYFUNCTION("IFERROR(GOOGLEFINANCE(A17,""NAME""),)"),"")</f>
        <v/>
      </c>
      <c r="C17" s="64" t="str">
        <f>IFERROR(__xludf.DUMMYFUNCTION("IFERROR(GOOGLEFINANCE(A17,""CHANGE""),)"),"")</f>
        <v/>
      </c>
      <c r="D17" s="64" t="str">
        <f>IFERROR(__xludf.DUMMYFUNCTION("IFERROR(GOOGLEFINANCE(A17,""CHANGEPCT""),)"),"")</f>
        <v/>
      </c>
      <c r="E17" s="64" t="str">
        <f t="shared" si="1"/>
        <v>%</v>
      </c>
      <c r="F17" s="64" t="str">
        <f t="shared" si="2"/>
        <v/>
      </c>
      <c r="G17" s="64" t="str">
        <f t="shared" si="3"/>
        <v/>
      </c>
      <c r="H17" s="64" t="str">
        <f>IFERROR(__xludf.DUMMYFUNCTION("IFERROR(GOOGLEFINANCE(A17,""PRICE""),)"),"")</f>
        <v/>
      </c>
      <c r="I17" s="65" t="str">
        <f>IFERROR(__xludf.DUMMYFUNCTION("IFERROR(GOOGLEFINANCE(A17,""VOLUME""),)"),"")</f>
        <v/>
      </c>
      <c r="J17" s="64" t="str">
        <f>IFERROR(__xludf.DUMMYFUNCTION("IFERROR(INDEX(SPLIT(A17,"":""),1,2),)"),"AARVEEDEN")</f>
        <v>AARVEEDEN</v>
      </c>
      <c r="K17" s="64" t="str">
        <f t="shared" si="4"/>
        <v/>
      </c>
      <c r="L17" s="64" t="str">
        <f t="shared" si="5"/>
        <v/>
      </c>
      <c r="M17" s="64" t="str">
        <f t="shared" si="6"/>
        <v/>
      </c>
      <c r="N17" s="66" t="str">
        <f>IFERROR(__xludf.DUMMYFUNCTION("IFERROR(GOOGLEFINANCE(A17,""TRADETIME""),)"),"")</f>
        <v/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67" t="s">
        <v>65</v>
      </c>
      <c r="B18" s="60" t="str">
        <f>IFERROR(__xludf.DUMMYFUNCTION("IFERROR(GOOGLEFINANCE(A18,""NAME""),)"),"Aarvi Encon Ltd")</f>
        <v>Aarvi Encon Ltd</v>
      </c>
      <c r="C18" s="60">
        <f>IFERROR(__xludf.DUMMYFUNCTION("IFERROR(GOOGLEFINANCE(A18,""CHANGE""),)"),12.74)</f>
        <v>12.74</v>
      </c>
      <c r="D18" s="60">
        <f>IFERROR(__xludf.DUMMYFUNCTION("IFERROR(GOOGLEFINANCE(A18,""CHANGEPCT""),)"),10.86)</f>
        <v>10.86</v>
      </c>
      <c r="E18" s="60" t="str">
        <f t="shared" si="1"/>
        <v>10.86%</v>
      </c>
      <c r="F18" s="60">
        <f t="shared" si="2"/>
        <v>10.86</v>
      </c>
      <c r="G18" s="60" t="str">
        <f t="shared" si="3"/>
        <v/>
      </c>
      <c r="H18" s="60">
        <f>IFERROR(__xludf.DUMMYFUNCTION("IFERROR(GOOGLEFINANCE(A18,""PRICE""),)"),130.0)</f>
        <v>130</v>
      </c>
      <c r="I18" s="61">
        <f>IFERROR(__xludf.DUMMYFUNCTION("IFERROR(GOOGLEFINANCE(A18,""VOLUME""),)"),80259.0)</f>
        <v>80259</v>
      </c>
      <c r="J18" s="60" t="str">
        <f>IFERROR(__xludf.DUMMYFUNCTION("IFERROR(INDEX(SPLIT(A18,"":""),1,2),)"),"AARVI")</f>
        <v>AARVI</v>
      </c>
      <c r="K18" s="60">
        <f t="shared" si="4"/>
        <v>9</v>
      </c>
      <c r="L18" s="60" t="str">
        <f t="shared" si="5"/>
        <v/>
      </c>
      <c r="M18" s="60">
        <f t="shared" si="6"/>
        <v>811</v>
      </c>
      <c r="N18" s="62">
        <f>IFERROR(__xludf.DUMMYFUNCTION("IFERROR(GOOGLEFINANCE(A18,""TRADETIME""),)"),46086.64583333333)</f>
        <v>46086.64583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68" t="s">
        <v>66</v>
      </c>
      <c r="B19" s="64" t="str">
        <f>IFERROR(__xludf.DUMMYFUNCTION("IFERROR(GOOGLEFINANCE(A19,""NAME""),)"),"Aavas Financiers Ltd")</f>
        <v>Aavas Financiers Ltd</v>
      </c>
      <c r="C19" s="64">
        <f>IFERROR(__xludf.DUMMYFUNCTION("IFERROR(GOOGLEFINANCE(A19,""CHANGE""),)"),-7.0)</f>
        <v>-7</v>
      </c>
      <c r="D19" s="64">
        <f>IFERROR(__xludf.DUMMYFUNCTION("IFERROR(GOOGLEFINANCE(A19,""CHANGEPCT""),)"),-0.57)</f>
        <v>-0.57</v>
      </c>
      <c r="E19" s="64" t="str">
        <f t="shared" si="1"/>
        <v>-0.57%</v>
      </c>
      <c r="F19" s="64" t="str">
        <f t="shared" si="2"/>
        <v/>
      </c>
      <c r="G19" s="64">
        <f t="shared" si="3"/>
        <v>-0.57</v>
      </c>
      <c r="H19" s="64">
        <f>IFERROR(__xludf.DUMMYFUNCTION("IFERROR(GOOGLEFINANCE(A19,""PRICE""),)"),1226.2)</f>
        <v>1226.2</v>
      </c>
      <c r="I19" s="65">
        <f>IFERROR(__xludf.DUMMYFUNCTION("IFERROR(GOOGLEFINANCE(A19,""VOLUME""),)"),159054.0)</f>
        <v>159054</v>
      </c>
      <c r="J19" s="64" t="str">
        <f>IFERROR(__xludf.DUMMYFUNCTION("IFERROR(INDEX(SPLIT(A19,"":""),1,2),)"),"AAVAS")</f>
        <v>AAVAS</v>
      </c>
      <c r="K19" s="64" t="str">
        <f t="shared" si="4"/>
        <v/>
      </c>
      <c r="L19" s="64">
        <f t="shared" si="5"/>
        <v>134</v>
      </c>
      <c r="M19" s="64">
        <f t="shared" si="6"/>
        <v>660</v>
      </c>
      <c r="N19" s="66">
        <f>IFERROR(__xludf.DUMMYFUNCTION("IFERROR(GOOGLEFINANCE(A19,""TRADETIME""),)"),46086.64583333333)</f>
        <v>46086.64583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67" t="s">
        <v>67</v>
      </c>
      <c r="B20" s="60" t="str">
        <f>IFERROR(__xludf.DUMMYFUNCTION("IFERROR(GOOGLEFINANCE(A20,""NAME""),)"),"Aban Offshore Ltd Fully Paid Ord. Shrs")</f>
        <v>Aban Offshore Ltd Fully Paid Ord. Shrs</v>
      </c>
      <c r="C20" s="60">
        <f>IFERROR(__xludf.DUMMYFUNCTION("IFERROR(GOOGLEFINANCE(A20,""CHANGE""),)"),1.01)</f>
        <v>1.01</v>
      </c>
      <c r="D20" s="60">
        <f>IFERROR(__xludf.DUMMYFUNCTION("IFERROR(GOOGLEFINANCE(A20,""CHANGEPCT""),)"),4.99)</f>
        <v>4.99</v>
      </c>
      <c r="E20" s="60" t="str">
        <f t="shared" si="1"/>
        <v>4.99%</v>
      </c>
      <c r="F20" s="60">
        <f t="shared" si="2"/>
        <v>4.99</v>
      </c>
      <c r="G20" s="60" t="str">
        <f t="shared" si="3"/>
        <v/>
      </c>
      <c r="H20" s="60">
        <f>IFERROR(__xludf.DUMMYFUNCTION("IFERROR(GOOGLEFINANCE(A20,""PRICE""),)"),21.24)</f>
        <v>21.24</v>
      </c>
      <c r="I20" s="61">
        <f>IFERROR(__xludf.DUMMYFUNCTION("IFERROR(GOOGLEFINANCE(A20,""VOLUME""),)"),32511.0)</f>
        <v>32511</v>
      </c>
      <c r="J20" s="60" t="str">
        <f>IFERROR(__xludf.DUMMYFUNCTION("IFERROR(INDEX(SPLIT(A20,"":""),1,2),)"),"ABAN")</f>
        <v>ABAN</v>
      </c>
      <c r="K20" s="60">
        <f t="shared" si="4"/>
        <v>73</v>
      </c>
      <c r="L20" s="60" t="str">
        <f t="shared" si="5"/>
        <v/>
      </c>
      <c r="M20" s="60">
        <f t="shared" si="6"/>
        <v>1039</v>
      </c>
      <c r="N20" s="62">
        <f>IFERROR(__xludf.DUMMYFUNCTION("IFERROR(GOOGLEFINANCE(A20,""TRADETIME""),)"),46086.64583333333)</f>
        <v>46086.64583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68" t="s">
        <v>68</v>
      </c>
      <c r="B21" s="64" t="str">
        <f>IFERROR(__xludf.DUMMYFUNCTION("IFERROR(GOOGLEFINANCE(A21,""NAME""),)"),"ABB India Ltd")</f>
        <v>ABB India Ltd</v>
      </c>
      <c r="C21" s="64">
        <f>IFERROR(__xludf.DUMMYFUNCTION("IFERROR(GOOGLEFINANCE(A21,""CHANGE""),)"),84.5)</f>
        <v>84.5</v>
      </c>
      <c r="D21" s="64">
        <f>IFERROR(__xludf.DUMMYFUNCTION("IFERROR(GOOGLEFINANCE(A21,""CHANGEPCT""),)"),1.45)</f>
        <v>1.45</v>
      </c>
      <c r="E21" s="64" t="str">
        <f t="shared" si="1"/>
        <v>1.45%</v>
      </c>
      <c r="F21" s="64">
        <f t="shared" si="2"/>
        <v>1.45</v>
      </c>
      <c r="G21" s="64" t="str">
        <f t="shared" si="3"/>
        <v/>
      </c>
      <c r="H21" s="64">
        <f>IFERROR(__xludf.DUMMYFUNCTION("IFERROR(GOOGLEFINANCE(A21,""PRICE""),)"),5915.0)</f>
        <v>5915</v>
      </c>
      <c r="I21" s="65">
        <f>IFERROR(__xludf.DUMMYFUNCTION("IFERROR(GOOGLEFINANCE(A21,""VOLUME""),)"),268337.0)</f>
        <v>268337</v>
      </c>
      <c r="J21" s="64" t="str">
        <f>IFERROR(__xludf.DUMMYFUNCTION("IFERROR(INDEX(SPLIT(A21,"":""),1,2),)"),"ABB")</f>
        <v>ABB</v>
      </c>
      <c r="K21" s="64">
        <f t="shared" si="4"/>
        <v>588</v>
      </c>
      <c r="L21" s="64" t="str">
        <f t="shared" si="5"/>
        <v/>
      </c>
      <c r="M21" s="64">
        <f t="shared" si="6"/>
        <v>536</v>
      </c>
      <c r="N21" s="66">
        <f>IFERROR(__xludf.DUMMYFUNCTION("IFERROR(GOOGLEFINANCE(A21,""TRADETIME""),)"),46086.64583333333)</f>
        <v>46086.64583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67" t="s">
        <v>69</v>
      </c>
      <c r="B22" s="60" t="str">
        <f>IFERROR(__xludf.DUMMYFUNCTION("IFERROR(GOOGLEFINANCE(A22,""NAME""),)"),"Abbott India Ltd")</f>
        <v>Abbott India Ltd</v>
      </c>
      <c r="C22" s="60">
        <f>IFERROR(__xludf.DUMMYFUNCTION("IFERROR(GOOGLEFINANCE(A22,""CHANGE""),)"),-245.0)</f>
        <v>-245</v>
      </c>
      <c r="D22" s="60">
        <f>IFERROR(__xludf.DUMMYFUNCTION("IFERROR(GOOGLEFINANCE(A22,""CHANGEPCT""),)"),-0.88)</f>
        <v>-0.88</v>
      </c>
      <c r="E22" s="60" t="str">
        <f t="shared" si="1"/>
        <v>-0.88%</v>
      </c>
      <c r="F22" s="60" t="str">
        <f t="shared" si="2"/>
        <v/>
      </c>
      <c r="G22" s="60">
        <f t="shared" si="3"/>
        <v>-0.88</v>
      </c>
      <c r="H22" s="60">
        <f>IFERROR(__xludf.DUMMYFUNCTION("IFERROR(GOOGLEFINANCE(A22,""PRICE""),)"),27580.0)</f>
        <v>27580</v>
      </c>
      <c r="I22" s="61">
        <f>IFERROR(__xludf.DUMMYFUNCTION("IFERROR(GOOGLEFINANCE(A22,""VOLUME""),)"),18830.0)</f>
        <v>18830</v>
      </c>
      <c r="J22" s="60" t="str">
        <f>IFERROR(__xludf.DUMMYFUNCTION("IFERROR(INDEX(SPLIT(A22,"":""),1,2),)"),"ABBOTINDIA")</f>
        <v>ABBOTINDIA</v>
      </c>
      <c r="K22" s="60" t="str">
        <f t="shared" si="4"/>
        <v/>
      </c>
      <c r="L22" s="60">
        <f t="shared" si="5"/>
        <v>196</v>
      </c>
      <c r="M22" s="60">
        <f t="shared" si="6"/>
        <v>1157</v>
      </c>
      <c r="N22" s="62">
        <f>IFERROR(__xludf.DUMMYFUNCTION("IFERROR(GOOGLEFINANCE(A22,""TRADETIME""),)"),46086.64583333333)</f>
        <v>46086.64583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68" t="s">
        <v>70</v>
      </c>
      <c r="B23" s="64" t="str">
        <f>IFERROR(__xludf.DUMMYFUNCTION("IFERROR(GOOGLEFINANCE(A23,""NAME""),)"),"Aditya Birla Capital Ltd")</f>
        <v>Aditya Birla Capital Ltd</v>
      </c>
      <c r="C23" s="64">
        <f>IFERROR(__xludf.DUMMYFUNCTION("IFERROR(GOOGLEFINANCE(A23,""CHANGE""),)"),6.55)</f>
        <v>6.55</v>
      </c>
      <c r="D23" s="64">
        <f>IFERROR(__xludf.DUMMYFUNCTION("IFERROR(GOOGLEFINANCE(A23,""CHANGEPCT""),)"),2.13)</f>
        <v>2.13</v>
      </c>
      <c r="E23" s="64" t="str">
        <f t="shared" si="1"/>
        <v>2.13%</v>
      </c>
      <c r="F23" s="64">
        <f t="shared" si="2"/>
        <v>2.13</v>
      </c>
      <c r="G23" s="64" t="str">
        <f t="shared" si="3"/>
        <v/>
      </c>
      <c r="H23" s="64">
        <f>IFERROR(__xludf.DUMMYFUNCTION("IFERROR(GOOGLEFINANCE(A23,""PRICE""),)"),328.4)</f>
        <v>328.4</v>
      </c>
      <c r="I23" s="65">
        <f>IFERROR(__xludf.DUMMYFUNCTION("IFERROR(GOOGLEFINANCE(A23,""VOLUME""),)"),3696834.0)</f>
        <v>3696834</v>
      </c>
      <c r="J23" s="64" t="str">
        <f>IFERROR(__xludf.DUMMYFUNCTION("IFERROR(INDEX(SPLIT(A23,"":""),1,2),)"),"ABCAPITAL")</f>
        <v>ABCAPITAL</v>
      </c>
      <c r="K23" s="64">
        <f t="shared" si="4"/>
        <v>411</v>
      </c>
      <c r="L23" s="64" t="str">
        <f t="shared" si="5"/>
        <v/>
      </c>
      <c r="M23" s="64">
        <f t="shared" si="6"/>
        <v>133</v>
      </c>
      <c r="N23" s="66">
        <f>IFERROR(__xludf.DUMMYFUNCTION("IFERROR(GOOGLEFINANCE(A23,""TRADETIME""),)"),46086.64583333333)</f>
        <v>46086.64583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67" t="s">
        <v>71</v>
      </c>
      <c r="B24" s="60" t="str">
        <f>IFERROR(__xludf.DUMMYFUNCTION("IFERROR(GOOGLEFINANCE(A24,""NAME""),)"),"Aditya Birla Fashion and Retail Ltd")</f>
        <v>Aditya Birla Fashion and Retail Ltd</v>
      </c>
      <c r="C24" s="60">
        <f>IFERROR(__xludf.DUMMYFUNCTION("IFERROR(GOOGLEFINANCE(A24,""CHANGE""),)"),0.01)</f>
        <v>0.01</v>
      </c>
      <c r="D24" s="60">
        <f>IFERROR(__xludf.DUMMYFUNCTION("IFERROR(GOOGLEFINANCE(A24,""CHANGEPCT""),)"),0.02)</f>
        <v>0.02</v>
      </c>
      <c r="E24" s="60" t="str">
        <f t="shared" si="1"/>
        <v>0.02%</v>
      </c>
      <c r="F24" s="60">
        <f t="shared" si="2"/>
        <v>0.02</v>
      </c>
      <c r="G24" s="60" t="str">
        <f t="shared" si="3"/>
        <v/>
      </c>
      <c r="H24" s="60">
        <f>IFERROR(__xludf.DUMMYFUNCTION("IFERROR(GOOGLEFINANCE(A24,""PRICE""),)"),64.1)</f>
        <v>64.1</v>
      </c>
      <c r="I24" s="61">
        <f>IFERROR(__xludf.DUMMYFUNCTION("IFERROR(GOOGLEFINANCE(A24,""VOLUME""),)"),4809340.0)</f>
        <v>4809340</v>
      </c>
      <c r="J24" s="60" t="str">
        <f>IFERROR(__xludf.DUMMYFUNCTION("IFERROR(INDEX(SPLIT(A24,"":""),1,2),)"),"ABFRL")</f>
        <v>ABFRL</v>
      </c>
      <c r="K24" s="60">
        <f t="shared" si="4"/>
        <v>996</v>
      </c>
      <c r="L24" s="60" t="str">
        <f t="shared" si="5"/>
        <v/>
      </c>
      <c r="M24" s="60">
        <f t="shared" si="6"/>
        <v>112</v>
      </c>
      <c r="N24" s="62">
        <f>IFERROR(__xludf.DUMMYFUNCTION("IFERROR(GOOGLEFINANCE(A24,""TRADETIME""),)"),46086.64583333333)</f>
        <v>46086.64583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68" t="s">
        <v>72</v>
      </c>
      <c r="B25" s="64" t="str">
        <f>IFERROR(__xludf.DUMMYFUNCTION("IFERROR(GOOGLEFINANCE(A25,""NAME""),)"),"ACC Ltd")</f>
        <v>ACC Ltd</v>
      </c>
      <c r="C25" s="64">
        <f>IFERROR(__xludf.DUMMYFUNCTION("IFERROR(GOOGLEFINANCE(A25,""CHANGE""),)"),-4.7)</f>
        <v>-4.7</v>
      </c>
      <c r="D25" s="64">
        <f>IFERROR(__xludf.DUMMYFUNCTION("IFERROR(GOOGLEFINANCE(A25,""CHANGEPCT""),)"),-0.31)</f>
        <v>-0.31</v>
      </c>
      <c r="E25" s="64" t="str">
        <f t="shared" si="1"/>
        <v>-0.31%</v>
      </c>
      <c r="F25" s="64" t="str">
        <f t="shared" si="2"/>
        <v/>
      </c>
      <c r="G25" s="64">
        <f t="shared" si="3"/>
        <v>-0.31</v>
      </c>
      <c r="H25" s="64">
        <f>IFERROR(__xludf.DUMMYFUNCTION("IFERROR(GOOGLEFINANCE(A25,""PRICE""),)"),1525.0)</f>
        <v>1525</v>
      </c>
      <c r="I25" s="65">
        <f>IFERROR(__xludf.DUMMYFUNCTION("IFERROR(GOOGLEFINANCE(A25,""VOLUME""),)"),165110.0)</f>
        <v>165110</v>
      </c>
      <c r="J25" s="64" t="str">
        <f>IFERROR(__xludf.DUMMYFUNCTION("IFERROR(INDEX(SPLIT(A25,"":""),1,2),)"),"ACC")</f>
        <v>ACC</v>
      </c>
      <c r="K25" s="64" t="str">
        <f t="shared" si="4"/>
        <v/>
      </c>
      <c r="L25" s="64">
        <f t="shared" si="5"/>
        <v>80</v>
      </c>
      <c r="M25" s="64">
        <f t="shared" si="6"/>
        <v>647</v>
      </c>
      <c r="N25" s="66">
        <f>IFERROR(__xludf.DUMMYFUNCTION("IFERROR(GOOGLEFINANCE(A25,""TRADETIME""),)"),46086.64583333333)</f>
        <v>46086.64583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67" t="s">
        <v>73</v>
      </c>
      <c r="B26" s="60" t="str">
        <f>IFERROR(__xludf.DUMMYFUNCTION("IFERROR(GOOGLEFINANCE(A26,""NAME""),)"),"Accelya Solutions India Ltd")</f>
        <v>Accelya Solutions India Ltd</v>
      </c>
      <c r="C26" s="60">
        <f>IFERROR(__xludf.DUMMYFUNCTION("IFERROR(GOOGLEFINANCE(A26,""CHANGE""),)"),28.1)</f>
        <v>28.1</v>
      </c>
      <c r="D26" s="60">
        <f>IFERROR(__xludf.DUMMYFUNCTION("IFERROR(GOOGLEFINANCE(A26,""CHANGEPCT""),)"),2.39)</f>
        <v>2.39</v>
      </c>
      <c r="E26" s="60" t="str">
        <f t="shared" si="1"/>
        <v>2.39%</v>
      </c>
      <c r="F26" s="60">
        <f t="shared" si="2"/>
        <v>2.39</v>
      </c>
      <c r="G26" s="60" t="str">
        <f t="shared" si="3"/>
        <v/>
      </c>
      <c r="H26" s="60">
        <f>IFERROR(__xludf.DUMMYFUNCTION("IFERROR(GOOGLEFINANCE(A26,""PRICE""),)"),1206.0)</f>
        <v>1206</v>
      </c>
      <c r="I26" s="61">
        <f>IFERROR(__xludf.DUMMYFUNCTION("IFERROR(GOOGLEFINANCE(A26,""VOLUME""),)"),11539.0)</f>
        <v>11539</v>
      </c>
      <c r="J26" s="60" t="str">
        <f>IFERROR(__xludf.DUMMYFUNCTION("IFERROR(INDEX(SPLIT(A26,"":""),1,2),)"),"ACCELYA")</f>
        <v>ACCELYA</v>
      </c>
      <c r="K26" s="60">
        <f t="shared" si="4"/>
        <v>355</v>
      </c>
      <c r="L26" s="60" t="str">
        <f t="shared" si="5"/>
        <v/>
      </c>
      <c r="M26" s="60">
        <f t="shared" si="6"/>
        <v>1238</v>
      </c>
      <c r="N26" s="62">
        <f>IFERROR(__xludf.DUMMYFUNCTION("IFERROR(GOOGLEFINANCE(A26,""TRADETIME""),)"),46086.64583333333)</f>
        <v>46086.64583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68" t="s">
        <v>74</v>
      </c>
      <c r="B27" s="64" t="str">
        <f>IFERROR(__xludf.DUMMYFUNCTION("IFERROR(GOOGLEFINANCE(A27,""NAME""),)"),"Accuracy Shipping Ltd")</f>
        <v>Accuracy Shipping Ltd</v>
      </c>
      <c r="C27" s="64">
        <f>IFERROR(__xludf.DUMMYFUNCTION("IFERROR(GOOGLEFINANCE(A27,""CHANGE""),)"),0.3)</f>
        <v>0.3</v>
      </c>
      <c r="D27" s="64">
        <f>IFERROR(__xludf.DUMMYFUNCTION("IFERROR(GOOGLEFINANCE(A27,""CHANGEPCT""),)"),7.11)</f>
        <v>7.11</v>
      </c>
      <c r="E27" s="64" t="str">
        <f t="shared" si="1"/>
        <v>7.11%</v>
      </c>
      <c r="F27" s="64">
        <f t="shared" si="2"/>
        <v>7.11</v>
      </c>
      <c r="G27" s="64" t="str">
        <f t="shared" si="3"/>
        <v/>
      </c>
      <c r="H27" s="64">
        <f>IFERROR(__xludf.DUMMYFUNCTION("IFERROR(GOOGLEFINANCE(A27,""PRICE""),)"),4.52)</f>
        <v>4.52</v>
      </c>
      <c r="I27" s="65">
        <f>IFERROR(__xludf.DUMMYFUNCTION("IFERROR(GOOGLEFINANCE(A27,""VOLUME""),)"),116771.0)</f>
        <v>116771</v>
      </c>
      <c r="J27" s="64" t="str">
        <f>IFERROR(__xludf.DUMMYFUNCTION("IFERROR(INDEX(SPLIT(A27,"":""),1,2),)"),"ACCURACY")</f>
        <v>ACCURACY</v>
      </c>
      <c r="K27" s="64">
        <f t="shared" si="4"/>
        <v>26</v>
      </c>
      <c r="L27" s="64" t="str">
        <f t="shared" si="5"/>
        <v/>
      </c>
      <c r="M27" s="64">
        <f t="shared" si="6"/>
        <v>730</v>
      </c>
      <c r="N27" s="66">
        <f>IFERROR(__xludf.DUMMYFUNCTION("IFERROR(GOOGLEFINANCE(A27,""TRADETIME""),)"),46086.64583333333)</f>
        <v>46086.64583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67" t="s">
        <v>75</v>
      </c>
      <c r="B28" s="60" t="str">
        <f>IFERROR(__xludf.DUMMYFUNCTION("IFERROR(GOOGLEFINANCE(A28,""NAME""),)"),"Action Construction Equipment Ltd")</f>
        <v>Action Construction Equipment Ltd</v>
      </c>
      <c r="C28" s="60">
        <f>IFERROR(__xludf.DUMMYFUNCTION("IFERROR(GOOGLEFINANCE(A28,""CHANGE""),)"),20.4)</f>
        <v>20.4</v>
      </c>
      <c r="D28" s="60">
        <f>IFERROR(__xludf.DUMMYFUNCTION("IFERROR(GOOGLEFINANCE(A28,""CHANGEPCT""),)"),2.39)</f>
        <v>2.39</v>
      </c>
      <c r="E28" s="60" t="str">
        <f t="shared" si="1"/>
        <v>2.39%</v>
      </c>
      <c r="F28" s="60">
        <f t="shared" si="2"/>
        <v>2.39</v>
      </c>
      <c r="G28" s="60" t="str">
        <f t="shared" si="3"/>
        <v/>
      </c>
      <c r="H28" s="60">
        <f>IFERROR(__xludf.DUMMYFUNCTION("IFERROR(GOOGLEFINANCE(A28,""PRICE""),)"),873.0)</f>
        <v>873</v>
      </c>
      <c r="I28" s="61">
        <f>IFERROR(__xludf.DUMMYFUNCTION("IFERROR(GOOGLEFINANCE(A28,""VOLUME""),)"),162696.0)</f>
        <v>162696</v>
      </c>
      <c r="J28" s="60" t="str">
        <f>IFERROR(__xludf.DUMMYFUNCTION("IFERROR(INDEX(SPLIT(A28,"":""),1,2),)"),"ACE")</f>
        <v>ACE</v>
      </c>
      <c r="K28" s="60">
        <f t="shared" si="4"/>
        <v>356</v>
      </c>
      <c r="L28" s="60" t="str">
        <f t="shared" si="5"/>
        <v/>
      </c>
      <c r="M28" s="60">
        <f t="shared" si="6"/>
        <v>651</v>
      </c>
      <c r="N28" s="62">
        <f>IFERROR(__xludf.DUMMYFUNCTION("IFERROR(GOOGLEFINANCE(A28,""TRADETIME""),)"),46086.64583333333)</f>
        <v>46086.64583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68" t="s">
        <v>76</v>
      </c>
      <c r="B29" s="64" t="str">
        <f>IFERROR(__xludf.DUMMYFUNCTION("IFERROR(GOOGLEFINANCE(A29,""NAME""),)"),"Carysil Ltd")</f>
        <v>Carysil Ltd</v>
      </c>
      <c r="C29" s="64">
        <f>IFERROR(__xludf.DUMMYFUNCTION("IFERROR(GOOGLEFINANCE(A29,""CHANGE""),)"),24.8)</f>
        <v>24.8</v>
      </c>
      <c r="D29" s="64">
        <f>IFERROR(__xludf.DUMMYFUNCTION("IFERROR(GOOGLEFINANCE(A29,""CHANGEPCT""),)"),2.9)</f>
        <v>2.9</v>
      </c>
      <c r="E29" s="64" t="str">
        <f t="shared" si="1"/>
        <v>2.9%</v>
      </c>
      <c r="F29" s="64">
        <f t="shared" si="2"/>
        <v>2.9</v>
      </c>
      <c r="G29" s="64" t="str">
        <f t="shared" si="3"/>
        <v/>
      </c>
      <c r="H29" s="64">
        <f>IFERROR(__xludf.DUMMYFUNCTION("IFERROR(GOOGLEFINANCE(A29,""PRICE""),)"),881.4)</f>
        <v>881.4</v>
      </c>
      <c r="I29" s="65">
        <f>IFERROR(__xludf.DUMMYFUNCTION("IFERROR(GOOGLEFINANCE(A29,""VOLUME""),)"),2240.0)</f>
        <v>2240</v>
      </c>
      <c r="J29" s="64">
        <f>IFERROR(__xludf.DUMMYFUNCTION("IFERROR(INDEX(SPLIT(A29,"":""),1,2),)"),524091.0)</f>
        <v>524091</v>
      </c>
      <c r="K29" s="64">
        <f t="shared" si="4"/>
        <v>276</v>
      </c>
      <c r="L29" s="64" t="str">
        <f t="shared" si="5"/>
        <v/>
      </c>
      <c r="M29" s="64">
        <f t="shared" si="6"/>
        <v>1399</v>
      </c>
      <c r="N29" s="66">
        <f>IFERROR(__xludf.DUMMYFUNCTION("IFERROR(GOOGLEFINANCE(A29,""TRADETIME""),)"),46086.64583333333)</f>
        <v>46086.64583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67" t="s">
        <v>77</v>
      </c>
      <c r="B30" s="60" t="str">
        <f>IFERROR(__xludf.DUMMYFUNCTION("IFERROR(GOOGLEFINANCE(A30,""NAME""),)"),"Adani Enterprises Ltd")</f>
        <v>Adani Enterprises Ltd</v>
      </c>
      <c r="C30" s="60">
        <f>IFERROR(__xludf.DUMMYFUNCTION("IFERROR(GOOGLEFINANCE(A30,""CHANGE""),)"),8.5)</f>
        <v>8.5</v>
      </c>
      <c r="D30" s="60">
        <f>IFERROR(__xludf.DUMMYFUNCTION("IFERROR(GOOGLEFINANCE(A30,""CHANGEPCT""),)"),0.41)</f>
        <v>0.41</v>
      </c>
      <c r="E30" s="60" t="str">
        <f t="shared" si="1"/>
        <v>0.41%</v>
      </c>
      <c r="F30" s="60">
        <f t="shared" si="2"/>
        <v>0.41</v>
      </c>
      <c r="G30" s="60" t="str">
        <f t="shared" si="3"/>
        <v/>
      </c>
      <c r="H30" s="60">
        <f>IFERROR(__xludf.DUMMYFUNCTION("IFERROR(GOOGLEFINANCE(A30,""PRICE""),)"),2085.0)</f>
        <v>2085</v>
      </c>
      <c r="I30" s="61">
        <f>IFERROR(__xludf.DUMMYFUNCTION("IFERROR(GOOGLEFINANCE(A30,""VOLUME""),)"),1231149.0)</f>
        <v>1231149</v>
      </c>
      <c r="J30" s="60" t="str">
        <f>IFERROR(__xludf.DUMMYFUNCTION("IFERROR(INDEX(SPLIT(A30,"":""),1,2),)"),"ADANIENT")</f>
        <v>ADANIENT</v>
      </c>
      <c r="K30" s="60">
        <f t="shared" si="4"/>
        <v>899</v>
      </c>
      <c r="L30" s="60" t="str">
        <f t="shared" si="5"/>
        <v/>
      </c>
      <c r="M30" s="60">
        <f t="shared" si="6"/>
        <v>260</v>
      </c>
      <c r="N30" s="62">
        <f>IFERROR(__xludf.DUMMYFUNCTION("IFERROR(GOOGLEFINANCE(A30,""TRADETIME""),)"),46086.64583333333)</f>
        <v>46086.64583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68" t="s">
        <v>78</v>
      </c>
      <c r="B31" s="64" t="str">
        <f>IFERROR(__xludf.DUMMYFUNCTION("IFERROR(GOOGLEFINANCE(A31,""NAME""),)"),"Adani Green Energy Ltd")</f>
        <v>Adani Green Energy Ltd</v>
      </c>
      <c r="C31" s="64">
        <f>IFERROR(__xludf.DUMMYFUNCTION("IFERROR(GOOGLEFINANCE(A31,""CHANGE""),)"),11.65)</f>
        <v>11.65</v>
      </c>
      <c r="D31" s="64">
        <f>IFERROR(__xludf.DUMMYFUNCTION("IFERROR(GOOGLEFINANCE(A31,""CHANGEPCT""),)"),1.34)</f>
        <v>1.34</v>
      </c>
      <c r="E31" s="64" t="str">
        <f t="shared" si="1"/>
        <v>1.34%</v>
      </c>
      <c r="F31" s="64">
        <f t="shared" si="2"/>
        <v>1.34</v>
      </c>
      <c r="G31" s="64" t="str">
        <f t="shared" si="3"/>
        <v/>
      </c>
      <c r="H31" s="64">
        <f>IFERROR(__xludf.DUMMYFUNCTION("IFERROR(GOOGLEFINANCE(A31,""PRICE""),)"),883.6)</f>
        <v>883.6</v>
      </c>
      <c r="I31" s="65">
        <f>IFERROR(__xludf.DUMMYFUNCTION("IFERROR(GOOGLEFINANCE(A31,""VOLUME""),)"),4654738.0)</f>
        <v>4654738</v>
      </c>
      <c r="J31" s="64" t="str">
        <f>IFERROR(__xludf.DUMMYFUNCTION("IFERROR(INDEX(SPLIT(A31,"":""),1,2),)"),"ADANIGREEN")</f>
        <v>ADANIGREEN</v>
      </c>
      <c r="K31" s="64">
        <f t="shared" si="4"/>
        <v>620</v>
      </c>
      <c r="L31" s="64" t="str">
        <f t="shared" si="5"/>
        <v/>
      </c>
      <c r="M31" s="64">
        <f t="shared" si="6"/>
        <v>115</v>
      </c>
      <c r="N31" s="66">
        <f>IFERROR(__xludf.DUMMYFUNCTION("IFERROR(GOOGLEFINANCE(A31,""TRADETIME""),)"),46086.64583333333)</f>
        <v>46086.64583</v>
      </c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67" t="s">
        <v>79</v>
      </c>
      <c r="B32" s="60" t="str">
        <f>IFERROR(__xludf.DUMMYFUNCTION("IFERROR(GOOGLEFINANCE(A32,""NAME""),)"),"Adani Ports and Special Economic Zone Ld")</f>
        <v>Adani Ports and Special Economic Zone Ld</v>
      </c>
      <c r="C32" s="60">
        <f>IFERROR(__xludf.DUMMYFUNCTION("IFERROR(GOOGLEFINANCE(A32,""CHANGE""),)"),54.8)</f>
        <v>54.8</v>
      </c>
      <c r="D32" s="60">
        <f>IFERROR(__xludf.DUMMYFUNCTION("IFERROR(GOOGLEFINANCE(A32,""CHANGEPCT""),)"),3.82)</f>
        <v>3.82</v>
      </c>
      <c r="E32" s="60" t="str">
        <f t="shared" si="1"/>
        <v>3.82%</v>
      </c>
      <c r="F32" s="60">
        <f t="shared" si="2"/>
        <v>3.82</v>
      </c>
      <c r="G32" s="60" t="str">
        <f t="shared" si="3"/>
        <v/>
      </c>
      <c r="H32" s="60">
        <f>IFERROR(__xludf.DUMMYFUNCTION("IFERROR(GOOGLEFINANCE(A32,""PRICE""),)"),1489.2)</f>
        <v>1489.2</v>
      </c>
      <c r="I32" s="61">
        <f>IFERROR(__xludf.DUMMYFUNCTION("IFERROR(GOOGLEFINANCE(A32,""VOLUME""),)"),3236005.0)</f>
        <v>3236005</v>
      </c>
      <c r="J32" s="60" t="str">
        <f>IFERROR(__xludf.DUMMYFUNCTION("IFERROR(INDEX(SPLIT(A32,"":""),1,2),)"),"ADANIPORTS")</f>
        <v>ADANIPORTS</v>
      </c>
      <c r="K32" s="60">
        <f t="shared" si="4"/>
        <v>157</v>
      </c>
      <c r="L32" s="60" t="str">
        <f t="shared" si="5"/>
        <v/>
      </c>
      <c r="M32" s="60">
        <f t="shared" si="6"/>
        <v>142</v>
      </c>
      <c r="N32" s="62">
        <f>IFERROR(__xludf.DUMMYFUNCTION("IFERROR(GOOGLEFINANCE(A32,""TRADETIME""),)"),46086.64583333333)</f>
        <v>46086.64583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68" t="s">
        <v>80</v>
      </c>
      <c r="B33" s="64" t="str">
        <f>IFERROR(__xludf.DUMMYFUNCTION("IFERROR(GOOGLEFINANCE(A33,""NAME""),)"),"Adani Power Ltd")</f>
        <v>Adani Power Ltd</v>
      </c>
      <c r="C33" s="64">
        <f>IFERROR(__xludf.DUMMYFUNCTION("IFERROR(GOOGLEFINANCE(A33,""CHANGE""),)"),2.33)</f>
        <v>2.33</v>
      </c>
      <c r="D33" s="64">
        <f>IFERROR(__xludf.DUMMYFUNCTION("IFERROR(GOOGLEFINANCE(A33,""CHANGEPCT""),)"),1.75)</f>
        <v>1.75</v>
      </c>
      <c r="E33" s="64" t="str">
        <f t="shared" si="1"/>
        <v>1.75%</v>
      </c>
      <c r="F33" s="64">
        <f t="shared" si="2"/>
        <v>1.75</v>
      </c>
      <c r="G33" s="64" t="str">
        <f t="shared" si="3"/>
        <v/>
      </c>
      <c r="H33" s="64">
        <f>IFERROR(__xludf.DUMMYFUNCTION("IFERROR(GOOGLEFINANCE(A33,""PRICE""),)"),140.39)</f>
        <v>140.39</v>
      </c>
      <c r="I33" s="65">
        <f>IFERROR(__xludf.DUMMYFUNCTION("IFERROR(GOOGLEFINANCE(A33,""VOLUME""),)"),8260438.0)</f>
        <v>8260438</v>
      </c>
      <c r="J33" s="64" t="str">
        <f>IFERROR(__xludf.DUMMYFUNCTION("IFERROR(INDEX(SPLIT(A33,"":""),1,2),)"),"ADANIPOWER")</f>
        <v>ADANIPOWER</v>
      </c>
      <c r="K33" s="64">
        <f t="shared" si="4"/>
        <v>507</v>
      </c>
      <c r="L33" s="64" t="str">
        <f t="shared" si="5"/>
        <v/>
      </c>
      <c r="M33" s="64">
        <f t="shared" si="6"/>
        <v>72</v>
      </c>
      <c r="N33" s="66">
        <f>IFERROR(__xludf.DUMMYFUNCTION("IFERROR(GOOGLEFINANCE(A33,""TRADETIME""),)"),46086.64583333333)</f>
        <v>46086.64583</v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67" t="s">
        <v>81</v>
      </c>
      <c r="B34" s="60" t="str">
        <f>IFERROR(__xludf.DUMMYFUNCTION("IFERROR(GOOGLEFINANCE(A34,""NAME""),)"),"")</f>
        <v/>
      </c>
      <c r="C34" s="60" t="str">
        <f>IFERROR(__xludf.DUMMYFUNCTION("IFERROR(GOOGLEFINANCE(A34,""CHANGE""),)"),"")</f>
        <v/>
      </c>
      <c r="D34" s="60" t="str">
        <f>IFERROR(__xludf.DUMMYFUNCTION("IFERROR(GOOGLEFINANCE(A34,""CHANGEPCT""),)"),"")</f>
        <v/>
      </c>
      <c r="E34" s="60" t="str">
        <f t="shared" si="1"/>
        <v>%</v>
      </c>
      <c r="F34" s="60" t="str">
        <f t="shared" si="2"/>
        <v/>
      </c>
      <c r="G34" s="60" t="str">
        <f t="shared" si="3"/>
        <v/>
      </c>
      <c r="H34" s="60" t="str">
        <f>IFERROR(__xludf.DUMMYFUNCTION("IFERROR(GOOGLEFINANCE(A34,""PRICE""),)"),"")</f>
        <v/>
      </c>
      <c r="I34" s="61" t="str">
        <f>IFERROR(__xludf.DUMMYFUNCTION("IFERROR(GOOGLEFINANCE(A34,""VOLUME""),)"),"")</f>
        <v/>
      </c>
      <c r="J34" s="60" t="str">
        <f>IFERROR(__xludf.DUMMYFUNCTION("IFERROR(INDEX(SPLIT(A34,"":""),1,2),)"),"ADANITRANS")</f>
        <v>ADANITRANS</v>
      </c>
      <c r="K34" s="60" t="str">
        <f t="shared" si="4"/>
        <v/>
      </c>
      <c r="L34" s="60" t="str">
        <f t="shared" si="5"/>
        <v/>
      </c>
      <c r="M34" s="60" t="str">
        <f t="shared" si="6"/>
        <v/>
      </c>
      <c r="N34" s="62" t="str">
        <f>IFERROR(__xludf.DUMMYFUNCTION("IFERROR(GOOGLEFINANCE(A34,""TRADETIME""),)"),"")</f>
        <v/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68" t="s">
        <v>82</v>
      </c>
      <c r="B35" s="64" t="str">
        <f>IFERROR(__xludf.DUMMYFUNCTION("IFERROR(GOOGLEFINANCE(A35,""NAME""),)"),"ADF Foods Ltd")</f>
        <v>ADF Foods Ltd</v>
      </c>
      <c r="C35" s="64">
        <f>IFERROR(__xludf.DUMMYFUNCTION("IFERROR(GOOGLEFINANCE(A35,""CHANGE""),)"),-1.39)</f>
        <v>-1.39</v>
      </c>
      <c r="D35" s="64">
        <f>IFERROR(__xludf.DUMMYFUNCTION("IFERROR(GOOGLEFINANCE(A35,""CHANGEPCT""),)"),-0.73)</f>
        <v>-0.73</v>
      </c>
      <c r="E35" s="64" t="str">
        <f t="shared" si="1"/>
        <v>-0.73%</v>
      </c>
      <c r="F35" s="64" t="str">
        <f t="shared" si="2"/>
        <v/>
      </c>
      <c r="G35" s="64">
        <f t="shared" si="3"/>
        <v>-0.73</v>
      </c>
      <c r="H35" s="64">
        <f>IFERROR(__xludf.DUMMYFUNCTION("IFERROR(GOOGLEFINANCE(A35,""PRICE""),)"),188.84)</f>
        <v>188.84</v>
      </c>
      <c r="I35" s="65">
        <f>IFERROR(__xludf.DUMMYFUNCTION("IFERROR(GOOGLEFINANCE(A35,""VOLUME""),)"),75424.0)</f>
        <v>75424</v>
      </c>
      <c r="J35" s="64" t="str">
        <f>IFERROR(__xludf.DUMMYFUNCTION("IFERROR(INDEX(SPLIT(A35,"":""),1,2),)"),"ADFFOODS")</f>
        <v>ADFFOODS</v>
      </c>
      <c r="K35" s="64" t="str">
        <f t="shared" si="4"/>
        <v/>
      </c>
      <c r="L35" s="64">
        <f t="shared" si="5"/>
        <v>173</v>
      </c>
      <c r="M35" s="64">
        <f t="shared" si="6"/>
        <v>828</v>
      </c>
      <c r="N35" s="66">
        <f>IFERROR(__xludf.DUMMYFUNCTION("IFERROR(GOOGLEFINANCE(A35,""TRADETIME""),)"),46086.64583333333)</f>
        <v>46086.64583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67" t="s">
        <v>83</v>
      </c>
      <c r="B36" s="60" t="str">
        <f>IFERROR(__xludf.DUMMYFUNCTION("IFERROR(GOOGLEFINANCE(A36,""NAME""),)"),"Incredible Industries Ltd")</f>
        <v>Incredible Industries Ltd</v>
      </c>
      <c r="C36" s="60">
        <f>IFERROR(__xludf.DUMMYFUNCTION("IFERROR(GOOGLEFINANCE(A36,""CHANGE""),)"),-0.27)</f>
        <v>-0.27</v>
      </c>
      <c r="D36" s="60">
        <f>IFERROR(__xludf.DUMMYFUNCTION("IFERROR(GOOGLEFINANCE(A36,""CHANGEPCT""),)"),-0.82)</f>
        <v>-0.82</v>
      </c>
      <c r="E36" s="60" t="str">
        <f t="shared" si="1"/>
        <v>-0.82%</v>
      </c>
      <c r="F36" s="60" t="str">
        <f t="shared" si="2"/>
        <v/>
      </c>
      <c r="G36" s="60">
        <f t="shared" si="3"/>
        <v>-0.82</v>
      </c>
      <c r="H36" s="60">
        <f>IFERROR(__xludf.DUMMYFUNCTION("IFERROR(GOOGLEFINANCE(A36,""PRICE""),)"),32.51)</f>
        <v>32.51</v>
      </c>
      <c r="I36" s="61">
        <f>IFERROR(__xludf.DUMMYFUNCTION("IFERROR(GOOGLEFINANCE(A36,""VOLUME""),)"),466406.0)</f>
        <v>466406</v>
      </c>
      <c r="J36" s="60" t="str">
        <f>IFERROR(__xludf.DUMMYFUNCTION("IFERROR(INDEX(SPLIT(A36,"":""),1,2),)"),"INCREDIBLE")</f>
        <v>INCREDIBLE</v>
      </c>
      <c r="K36" s="60" t="str">
        <f t="shared" si="4"/>
        <v/>
      </c>
      <c r="L36" s="60">
        <f t="shared" si="5"/>
        <v>184</v>
      </c>
      <c r="M36" s="60">
        <f t="shared" si="6"/>
        <v>411</v>
      </c>
      <c r="N36" s="62">
        <f>IFERROR(__xludf.DUMMYFUNCTION("IFERROR(GOOGLEFINANCE(A36,""TRADETIME""),)"),46086.64583333333)</f>
        <v>46086.64583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68" t="s">
        <v>84</v>
      </c>
      <c r="B37" s="64" t="str">
        <f>IFERROR(__xludf.DUMMYFUNCTION("IFERROR(GOOGLEFINANCE(A37,""NAME""),)"),"Archidply Decor Ltd")</f>
        <v>Archidply Decor Ltd</v>
      </c>
      <c r="C37" s="64">
        <f>IFERROR(__xludf.DUMMYFUNCTION("IFERROR(GOOGLEFINANCE(A37,""CHANGE""),)"),4.38)</f>
        <v>4.38</v>
      </c>
      <c r="D37" s="64">
        <f>IFERROR(__xludf.DUMMYFUNCTION("IFERROR(GOOGLEFINANCE(A37,""CHANGEPCT""),)"),6.48)</f>
        <v>6.48</v>
      </c>
      <c r="E37" s="64" t="str">
        <f t="shared" si="1"/>
        <v>6.48%</v>
      </c>
      <c r="F37" s="64">
        <f t="shared" si="2"/>
        <v>6.48</v>
      </c>
      <c r="G37" s="64" t="str">
        <f t="shared" si="3"/>
        <v/>
      </c>
      <c r="H37" s="64">
        <f>IFERROR(__xludf.DUMMYFUNCTION("IFERROR(GOOGLEFINANCE(A37,""PRICE""),)"),67.1)</f>
        <v>67.1</v>
      </c>
      <c r="I37" s="65">
        <f>IFERROR(__xludf.DUMMYFUNCTION("IFERROR(GOOGLEFINANCE(A37,""VOLUME""),)"),565.0)</f>
        <v>565</v>
      </c>
      <c r="J37" s="64" t="str">
        <f>IFERROR(__xludf.DUMMYFUNCTION("IFERROR(INDEX(SPLIT(A37,"":""),1,2),)"),"ADL")</f>
        <v>ADL</v>
      </c>
      <c r="K37" s="64">
        <f t="shared" si="4"/>
        <v>36</v>
      </c>
      <c r="L37" s="64" t="str">
        <f t="shared" si="5"/>
        <v/>
      </c>
      <c r="M37" s="64">
        <f t="shared" si="6"/>
        <v>1441</v>
      </c>
      <c r="N37" s="66">
        <f>IFERROR(__xludf.DUMMYFUNCTION("IFERROR(GOOGLEFINANCE(A37,""TRADETIME""),)"),46086.64583333333)</f>
        <v>46086.64583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67" t="s">
        <v>85</v>
      </c>
      <c r="B38" s="60" t="str">
        <f>IFERROR(__xludf.DUMMYFUNCTION("IFERROR(GOOGLEFINANCE(A38,""NAME""),)"),"")</f>
        <v/>
      </c>
      <c r="C38" s="60" t="str">
        <f>IFERROR(__xludf.DUMMYFUNCTION("IFERROR(GOOGLEFINANCE(A38,""CHANGE""),)"),"")</f>
        <v/>
      </c>
      <c r="D38" s="60" t="str">
        <f>IFERROR(__xludf.DUMMYFUNCTION("IFERROR(GOOGLEFINANCE(A38,""CHANGEPCT""),)"),"")</f>
        <v/>
      </c>
      <c r="E38" s="60" t="str">
        <f t="shared" si="1"/>
        <v>%</v>
      </c>
      <c r="F38" s="60" t="str">
        <f t="shared" si="2"/>
        <v/>
      </c>
      <c r="G38" s="60" t="str">
        <f t="shared" si="3"/>
        <v/>
      </c>
      <c r="H38" s="60" t="str">
        <f>IFERROR(__xludf.DUMMYFUNCTION("IFERROR(GOOGLEFINANCE(A38,""PRICE""),)"),"")</f>
        <v/>
      </c>
      <c r="I38" s="61" t="str">
        <f>IFERROR(__xludf.DUMMYFUNCTION("IFERROR(GOOGLEFINANCE(A38,""VOLUME""),)"),"")</f>
        <v/>
      </c>
      <c r="J38" s="60" t="str">
        <f>IFERROR(__xludf.DUMMYFUNCTION("IFERROR(INDEX(SPLIT(A38,"":""),1,2),)"),"ADORWELD")</f>
        <v>ADORWELD</v>
      </c>
      <c r="K38" s="60" t="str">
        <f t="shared" si="4"/>
        <v/>
      </c>
      <c r="L38" s="60" t="str">
        <f t="shared" si="5"/>
        <v/>
      </c>
      <c r="M38" s="60" t="str">
        <f t="shared" si="6"/>
        <v/>
      </c>
      <c r="N38" s="62" t="str">
        <f>IFERROR(__xludf.DUMMYFUNCTION("IFERROR(GOOGLEFINANCE(A38,""TRADETIME""),)"),"")</f>
        <v/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68" t="s">
        <v>86</v>
      </c>
      <c r="B39" s="64" t="str">
        <f>IFERROR(__xludf.DUMMYFUNCTION("IFERROR(GOOGLEFINANCE(A39,""NAME""),)"),"Adroit Infotech Ltd")</f>
        <v>Adroit Infotech Ltd</v>
      </c>
      <c r="C39" s="64">
        <f>IFERROR(__xludf.DUMMYFUNCTION("IFERROR(GOOGLEFINANCE(A39,""CHANGE""),)"),0.39)</f>
        <v>0.39</v>
      </c>
      <c r="D39" s="64">
        <f>IFERROR(__xludf.DUMMYFUNCTION("IFERROR(GOOGLEFINANCE(A39,""CHANGEPCT""),)"),4.08)</f>
        <v>4.08</v>
      </c>
      <c r="E39" s="64" t="str">
        <f t="shared" si="1"/>
        <v>4.08%</v>
      </c>
      <c r="F39" s="64">
        <f t="shared" si="2"/>
        <v>4.08</v>
      </c>
      <c r="G39" s="64" t="str">
        <f t="shared" si="3"/>
        <v/>
      </c>
      <c r="H39" s="64">
        <f>IFERROR(__xludf.DUMMYFUNCTION("IFERROR(GOOGLEFINANCE(A39,""PRICE""),)"),9.95)</f>
        <v>9.95</v>
      </c>
      <c r="I39" s="65">
        <f>IFERROR(__xludf.DUMMYFUNCTION("IFERROR(GOOGLEFINANCE(A39,""VOLUME""),)"),160615.0)</f>
        <v>160615</v>
      </c>
      <c r="J39" s="64" t="str">
        <f>IFERROR(__xludf.DUMMYFUNCTION("IFERROR(INDEX(SPLIT(A39,"":""),1,2),)"),"ADROITINFO")</f>
        <v>ADROITINFO</v>
      </c>
      <c r="K39" s="64">
        <f t="shared" si="4"/>
        <v>135</v>
      </c>
      <c r="L39" s="64" t="str">
        <f t="shared" si="5"/>
        <v/>
      </c>
      <c r="M39" s="64">
        <f t="shared" si="6"/>
        <v>658</v>
      </c>
      <c r="N39" s="66">
        <f>IFERROR(__xludf.DUMMYFUNCTION("IFERROR(GOOGLEFINANCE(A39,""TRADETIME""),)"),46086.64583333333)</f>
        <v>46086.64583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67" t="s">
        <v>87</v>
      </c>
      <c r="B40" s="60" t="str">
        <f>IFERROR(__xludf.DUMMYFUNCTION("IFERROR(GOOGLEFINANCE(A40,""NAME""),)"),"Allied Digital Services Ltd.")</f>
        <v>Allied Digital Services Ltd.</v>
      </c>
      <c r="C40" s="60">
        <f>IFERROR(__xludf.DUMMYFUNCTION("IFERROR(GOOGLEFINANCE(A40,""CHANGE""),)"),-0.76)</f>
        <v>-0.76</v>
      </c>
      <c r="D40" s="60">
        <f>IFERROR(__xludf.DUMMYFUNCTION("IFERROR(GOOGLEFINANCE(A40,""CHANGEPCT""),)"),-0.7)</f>
        <v>-0.7</v>
      </c>
      <c r="E40" s="60" t="str">
        <f t="shared" si="1"/>
        <v>-0.7%</v>
      </c>
      <c r="F40" s="60" t="str">
        <f t="shared" si="2"/>
        <v/>
      </c>
      <c r="G40" s="60">
        <f t="shared" si="3"/>
        <v>-0.7</v>
      </c>
      <c r="H40" s="60">
        <f>IFERROR(__xludf.DUMMYFUNCTION("IFERROR(GOOGLEFINANCE(A40,""PRICE""),)"),107.59)</f>
        <v>107.59</v>
      </c>
      <c r="I40" s="61">
        <f>IFERROR(__xludf.DUMMYFUNCTION("IFERROR(GOOGLEFINANCE(A40,""VOLUME""),)"),248705.0)</f>
        <v>248705</v>
      </c>
      <c r="J40" s="60" t="str">
        <f>IFERROR(__xludf.DUMMYFUNCTION("IFERROR(INDEX(SPLIT(A40,"":""),1,2),)"),"ADSL")</f>
        <v>ADSL</v>
      </c>
      <c r="K40" s="60" t="str">
        <f t="shared" si="4"/>
        <v/>
      </c>
      <c r="L40" s="60">
        <f t="shared" si="5"/>
        <v>168</v>
      </c>
      <c r="M40" s="60">
        <f t="shared" si="6"/>
        <v>558</v>
      </c>
      <c r="N40" s="62">
        <f>IFERROR(__xludf.DUMMYFUNCTION("IFERROR(GOOGLEFINANCE(A40,""TRADETIME""),)"),46086.64583333333)</f>
        <v>46086.64583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63" t="s">
        <v>88</v>
      </c>
      <c r="B41" s="64" t="str">
        <f>IFERROR(__xludf.DUMMYFUNCTION("IFERROR(GOOGLEFINANCE(A41,""NAME""),)"),"Advani Hotels and Resorts (India) Ltd")</f>
        <v>Advani Hotels and Resorts (India) Ltd</v>
      </c>
      <c r="C41" s="64">
        <f>IFERROR(__xludf.DUMMYFUNCTION("IFERROR(GOOGLEFINANCE(A41,""CHANGE""),)"),1.46)</f>
        <v>1.46</v>
      </c>
      <c r="D41" s="64">
        <f>IFERROR(__xludf.DUMMYFUNCTION("IFERROR(GOOGLEFINANCE(A41,""CHANGEPCT""),)"),2.77)</f>
        <v>2.77</v>
      </c>
      <c r="E41" s="64" t="str">
        <f t="shared" si="1"/>
        <v>2.77%</v>
      </c>
      <c r="F41" s="64">
        <f t="shared" si="2"/>
        <v>2.77</v>
      </c>
      <c r="G41" s="64" t="str">
        <f t="shared" si="3"/>
        <v/>
      </c>
      <c r="H41" s="64">
        <f>IFERROR(__xludf.DUMMYFUNCTION("IFERROR(GOOGLEFINANCE(A41,""PRICE""),)"),54.25)</f>
        <v>54.25</v>
      </c>
      <c r="I41" s="65">
        <f>IFERROR(__xludf.DUMMYFUNCTION("IFERROR(GOOGLEFINANCE(A41,""VOLUME""),)"),45215.0)</f>
        <v>45215</v>
      </c>
      <c r="J41" s="64" t="str">
        <f>IFERROR(__xludf.DUMMYFUNCTION("IFERROR(INDEX(SPLIT(A41,"":""),1,2),)"),"ADVANIHOTR")</f>
        <v>ADVANIHOTR</v>
      </c>
      <c r="K41" s="64">
        <f t="shared" si="4"/>
        <v>294</v>
      </c>
      <c r="L41" s="64" t="str">
        <f t="shared" si="5"/>
        <v/>
      </c>
      <c r="M41" s="64">
        <f t="shared" si="6"/>
        <v>963</v>
      </c>
      <c r="N41" s="66">
        <f>IFERROR(__xludf.DUMMYFUNCTION("IFERROR(GOOGLEFINANCE(A41,""TRADETIME""),)"),46086.64583333333)</f>
        <v>46086.64583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67" t="s">
        <v>89</v>
      </c>
      <c r="B42" s="60" t="str">
        <f>IFERROR(__xludf.DUMMYFUNCTION("IFERROR(GOOGLEFINANCE(A42,""NAME""),)"),"Advanced Enzyme Technologies Ltd")</f>
        <v>Advanced Enzyme Technologies Ltd</v>
      </c>
      <c r="C42" s="60">
        <f>IFERROR(__xludf.DUMMYFUNCTION("IFERROR(GOOGLEFINANCE(A42,""CHANGE""),)"),8.35)</f>
        <v>8.35</v>
      </c>
      <c r="D42" s="60">
        <f>IFERROR(__xludf.DUMMYFUNCTION("IFERROR(GOOGLEFINANCE(A42,""CHANGEPCT""),)"),2.63)</f>
        <v>2.63</v>
      </c>
      <c r="E42" s="60" t="str">
        <f t="shared" si="1"/>
        <v>2.63%</v>
      </c>
      <c r="F42" s="60">
        <f t="shared" si="2"/>
        <v>2.63</v>
      </c>
      <c r="G42" s="60" t="str">
        <f t="shared" si="3"/>
        <v/>
      </c>
      <c r="H42" s="60">
        <f>IFERROR(__xludf.DUMMYFUNCTION("IFERROR(GOOGLEFINANCE(A42,""PRICE""),)"),293.05)</f>
        <v>293.05</v>
      </c>
      <c r="I42" s="61">
        <f>IFERROR(__xludf.DUMMYFUNCTION("IFERROR(GOOGLEFINANCE(A42,""VOLUME""),)"),147761.0)</f>
        <v>147761</v>
      </c>
      <c r="J42" s="60" t="str">
        <f>IFERROR(__xludf.DUMMYFUNCTION("IFERROR(INDEX(SPLIT(A42,"":""),1,2),)"),"ADVENZYMES")</f>
        <v>ADVENZYMES</v>
      </c>
      <c r="K42" s="60">
        <f t="shared" si="4"/>
        <v>319</v>
      </c>
      <c r="L42" s="60" t="str">
        <f t="shared" si="5"/>
        <v/>
      </c>
      <c r="M42" s="60">
        <f t="shared" si="6"/>
        <v>678</v>
      </c>
      <c r="N42" s="62">
        <f>IFERROR(__xludf.DUMMYFUNCTION("IFERROR(GOOGLEFINANCE(A42,""TRADETIME""),)"),46086.6397337963)</f>
        <v>46086.63973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68" t="s">
        <v>90</v>
      </c>
      <c r="B43" s="64" t="str">
        <f>IFERROR(__xludf.DUMMYFUNCTION("IFERROR(GOOGLEFINANCE(A43,""NAME""),)"),"")</f>
        <v/>
      </c>
      <c r="C43" s="64" t="str">
        <f>IFERROR(__xludf.DUMMYFUNCTION("IFERROR(GOOGLEFINANCE(A43,""CHANGE""),)"),"")</f>
        <v/>
      </c>
      <c r="D43" s="64" t="str">
        <f>IFERROR(__xludf.DUMMYFUNCTION("IFERROR(GOOGLEFINANCE(A43,""CHANGEPCT""),)"),"")</f>
        <v/>
      </c>
      <c r="E43" s="64" t="str">
        <f t="shared" si="1"/>
        <v>%</v>
      </c>
      <c r="F43" s="64" t="str">
        <f t="shared" si="2"/>
        <v/>
      </c>
      <c r="G43" s="64" t="str">
        <f t="shared" si="3"/>
        <v/>
      </c>
      <c r="H43" s="64" t="str">
        <f>IFERROR(__xludf.DUMMYFUNCTION("IFERROR(GOOGLEFINANCE(A43,""PRICE""),)"),"")</f>
        <v/>
      </c>
      <c r="I43" s="65" t="str">
        <f>IFERROR(__xludf.DUMMYFUNCTION("IFERROR(GOOGLEFINANCE(A43,""VOLUME""),)"),"")</f>
        <v/>
      </c>
      <c r="J43" s="64" t="str">
        <f>IFERROR(__xludf.DUMMYFUNCTION("IFERROR(INDEX(SPLIT(A43,"":""),1,2),)"),"AEGISCHEM")</f>
        <v>AEGISCHEM</v>
      </c>
      <c r="K43" s="64" t="str">
        <f t="shared" si="4"/>
        <v/>
      </c>
      <c r="L43" s="64" t="str">
        <f t="shared" si="5"/>
        <v/>
      </c>
      <c r="M43" s="64" t="str">
        <f t="shared" si="6"/>
        <v/>
      </c>
      <c r="N43" s="66" t="str">
        <f>IFERROR(__xludf.DUMMYFUNCTION("IFERROR(GOOGLEFINANCE(A43,""TRADETIME""),)"),"")</f>
        <v/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9" t="s">
        <v>91</v>
      </c>
      <c r="B44" s="60" t="str">
        <f>IFERROR(__xludf.DUMMYFUNCTION("IFERROR(GOOGLEFINANCE(A44,""NAME""),)"),"Affle 3i Ltd")</f>
        <v>Affle 3i Ltd</v>
      </c>
      <c r="C44" s="60">
        <f>IFERROR(__xludf.DUMMYFUNCTION("IFERROR(GOOGLEFINANCE(A44,""CHANGE""),)"),-41.8)</f>
        <v>-41.8</v>
      </c>
      <c r="D44" s="60">
        <f>IFERROR(__xludf.DUMMYFUNCTION("IFERROR(GOOGLEFINANCE(A44,""CHANGEPCT""),)"),-2.98)</f>
        <v>-2.98</v>
      </c>
      <c r="E44" s="60" t="str">
        <f t="shared" si="1"/>
        <v>-2.98%</v>
      </c>
      <c r="F44" s="60" t="str">
        <f t="shared" si="2"/>
        <v/>
      </c>
      <c r="G44" s="60">
        <f t="shared" si="3"/>
        <v>-2.98</v>
      </c>
      <c r="H44" s="60">
        <f>IFERROR(__xludf.DUMMYFUNCTION("IFERROR(GOOGLEFINANCE(A44,""PRICE""),)"),1360.1)</f>
        <v>1360.1</v>
      </c>
      <c r="I44" s="61">
        <f>IFERROR(__xludf.DUMMYFUNCTION("IFERROR(GOOGLEFINANCE(A44,""VOLUME""),)"),246123.0)</f>
        <v>246123</v>
      </c>
      <c r="J44" s="60" t="str">
        <f>IFERROR(__xludf.DUMMYFUNCTION("IFERROR(INDEX(SPLIT(A44,"":""),1,2),)"),"AFFLE")</f>
        <v>AFFLE</v>
      </c>
      <c r="K44" s="60" t="str">
        <f t="shared" si="4"/>
        <v/>
      </c>
      <c r="L44" s="60">
        <f t="shared" si="5"/>
        <v>406</v>
      </c>
      <c r="M44" s="60">
        <f t="shared" si="6"/>
        <v>559</v>
      </c>
      <c r="N44" s="62">
        <f>IFERROR(__xludf.DUMMYFUNCTION("IFERROR(GOOGLEFINANCE(A44,""TRADETIME""),)"),46086.64583333333)</f>
        <v>46086.64583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68" t="s">
        <v>92</v>
      </c>
      <c r="B45" s="64" t="str">
        <f>IFERROR(__xludf.DUMMYFUNCTION("IFERROR(GOOGLEFINANCE(A45,""NAME""),)"),"Arvind Ltd")</f>
        <v>Arvind Ltd</v>
      </c>
      <c r="C45" s="64">
        <f>IFERROR(__xludf.DUMMYFUNCTION("IFERROR(GOOGLEFINANCE(A45,""CHANGE""),)"),6.5)</f>
        <v>6.5</v>
      </c>
      <c r="D45" s="64">
        <f>IFERROR(__xludf.DUMMYFUNCTION("IFERROR(GOOGLEFINANCE(A45,""CHANGEPCT""),)"),2.24)</f>
        <v>2.24</v>
      </c>
      <c r="E45" s="64" t="str">
        <f t="shared" si="1"/>
        <v>2.24%</v>
      </c>
      <c r="F45" s="64">
        <f t="shared" si="2"/>
        <v>2.24</v>
      </c>
      <c r="G45" s="64" t="str">
        <f t="shared" si="3"/>
        <v/>
      </c>
      <c r="H45" s="64">
        <f>IFERROR(__xludf.DUMMYFUNCTION("IFERROR(GOOGLEFINANCE(A45,""PRICE""),)"),347.5)</f>
        <v>347.5</v>
      </c>
      <c r="I45" s="65">
        <f>IFERROR(__xludf.DUMMYFUNCTION("IFERROR(GOOGLEFINANCE(A45,""VOLUME""),)"),378551.0)</f>
        <v>378551</v>
      </c>
      <c r="J45" s="64" t="str">
        <f>IFERROR(__xludf.DUMMYFUNCTION("IFERROR(INDEX(SPLIT(A45,"":""),1,2),)"),"ARVIND")</f>
        <v>ARVIND</v>
      </c>
      <c r="K45" s="64">
        <f t="shared" si="4"/>
        <v>388</v>
      </c>
      <c r="L45" s="64" t="str">
        <f t="shared" si="5"/>
        <v/>
      </c>
      <c r="M45" s="64">
        <f t="shared" si="6"/>
        <v>453</v>
      </c>
      <c r="N45" s="66">
        <f>IFERROR(__xludf.DUMMYFUNCTION("IFERROR(GOOGLEFINANCE(A45,""TRADETIME""),)"),46086.64583333333)</f>
        <v>46086.64583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67" t="s">
        <v>93</v>
      </c>
      <c r="B46" s="60" t="str">
        <f>IFERROR(__xludf.DUMMYFUNCTION("IFERROR(GOOGLEFINANCE(A46,""NAME""),)"),"Agarwal Industrial Corporation Ltd")</f>
        <v>Agarwal Industrial Corporation Ltd</v>
      </c>
      <c r="C46" s="60">
        <f>IFERROR(__xludf.DUMMYFUNCTION("IFERROR(GOOGLEFINANCE(A46,""CHANGE""),)"),-30.1)</f>
        <v>-30.1</v>
      </c>
      <c r="D46" s="60">
        <f>IFERROR(__xludf.DUMMYFUNCTION("IFERROR(GOOGLEFINANCE(A46,""CHANGEPCT""),)"),-5.96)</f>
        <v>-5.96</v>
      </c>
      <c r="E46" s="60" t="str">
        <f t="shared" si="1"/>
        <v>-5.96%</v>
      </c>
      <c r="F46" s="60" t="str">
        <f t="shared" si="2"/>
        <v/>
      </c>
      <c r="G46" s="60">
        <f t="shared" si="3"/>
        <v>-5.96</v>
      </c>
      <c r="H46" s="60">
        <f>IFERROR(__xludf.DUMMYFUNCTION("IFERROR(GOOGLEFINANCE(A46,""PRICE""),)"),474.75)</f>
        <v>474.75</v>
      </c>
      <c r="I46" s="61">
        <f>IFERROR(__xludf.DUMMYFUNCTION("IFERROR(GOOGLEFINANCE(A46,""VOLUME""),)"),100167.0)</f>
        <v>100167</v>
      </c>
      <c r="J46" s="60" t="str">
        <f>IFERROR(__xludf.DUMMYFUNCTION("IFERROR(INDEX(SPLIT(A46,"":""),1,2),)"),"AGARIND")</f>
        <v>AGARIND</v>
      </c>
      <c r="K46" s="60" t="str">
        <f t="shared" si="4"/>
        <v/>
      </c>
      <c r="L46" s="60">
        <f t="shared" si="5"/>
        <v>448</v>
      </c>
      <c r="M46" s="60">
        <f t="shared" si="6"/>
        <v>756</v>
      </c>
      <c r="N46" s="62">
        <f>IFERROR(__xludf.DUMMYFUNCTION("IFERROR(GOOGLEFINANCE(A46,""TRADETIME""),)"),46086.64585648148)</f>
        <v>46086.64586</v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68" t="s">
        <v>94</v>
      </c>
      <c r="B47" s="64" t="str">
        <f>IFERROR(__xludf.DUMMYFUNCTION("IFERROR(GOOGLEFINANCE(A47,""NAME""),)"),"Black Box Ltd")</f>
        <v>Black Box Ltd</v>
      </c>
      <c r="C47" s="64">
        <f>IFERROR(__xludf.DUMMYFUNCTION("IFERROR(GOOGLEFINANCE(A47,""CHANGE""),)"),8.6)</f>
        <v>8.6</v>
      </c>
      <c r="D47" s="64">
        <f>IFERROR(__xludf.DUMMYFUNCTION("IFERROR(GOOGLEFINANCE(A47,""CHANGEPCT""),)"),1.7)</f>
        <v>1.7</v>
      </c>
      <c r="E47" s="64" t="str">
        <f t="shared" si="1"/>
        <v>1.7%</v>
      </c>
      <c r="F47" s="64">
        <f t="shared" si="2"/>
        <v>1.7</v>
      </c>
      <c r="G47" s="64" t="str">
        <f t="shared" si="3"/>
        <v/>
      </c>
      <c r="H47" s="64">
        <f>IFERROR(__xludf.DUMMYFUNCTION("IFERROR(GOOGLEFINANCE(A47,""PRICE""),)"),515.1)</f>
        <v>515.1</v>
      </c>
      <c r="I47" s="65">
        <f>IFERROR(__xludf.DUMMYFUNCTION("IFERROR(GOOGLEFINANCE(A47,""VOLUME""),)"),609028.0)</f>
        <v>609028</v>
      </c>
      <c r="J47" s="64" t="str">
        <f>IFERROR(__xludf.DUMMYFUNCTION("IFERROR(INDEX(SPLIT(A47,"":""),1,2),)"),"BBOX")</f>
        <v>BBOX</v>
      </c>
      <c r="K47" s="64">
        <f t="shared" si="4"/>
        <v>515</v>
      </c>
      <c r="L47" s="64" t="str">
        <f t="shared" si="5"/>
        <v/>
      </c>
      <c r="M47" s="64">
        <f t="shared" si="6"/>
        <v>362</v>
      </c>
      <c r="N47" s="66">
        <f>IFERROR(__xludf.DUMMYFUNCTION("IFERROR(GOOGLEFINANCE(A47,""TRADETIME""),)"),46086.64583333333)</f>
        <v>46086.64583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9" t="s">
        <v>95</v>
      </c>
      <c r="B48" s="60" t="str">
        <f>IFERROR(__xludf.DUMMYFUNCTION("IFERROR(GOOGLEFINANCE(A48,""NAME""),)"),"Agri-Tech (India) Ltd")</f>
        <v>Agri-Tech (India) Ltd</v>
      </c>
      <c r="C48" s="60">
        <f>IFERROR(__xludf.DUMMYFUNCTION("IFERROR(GOOGLEFINANCE(A48,""CHANGE""),)"),-2.51)</f>
        <v>-2.51</v>
      </c>
      <c r="D48" s="60">
        <f>IFERROR(__xludf.DUMMYFUNCTION("IFERROR(GOOGLEFINANCE(A48,""CHANGEPCT""),)"),-2.16)</f>
        <v>-2.16</v>
      </c>
      <c r="E48" s="60" t="str">
        <f t="shared" si="1"/>
        <v>-2.16%</v>
      </c>
      <c r="F48" s="60" t="str">
        <f t="shared" si="2"/>
        <v/>
      </c>
      <c r="G48" s="60">
        <f t="shared" si="3"/>
        <v>-2.16</v>
      </c>
      <c r="H48" s="60">
        <f>IFERROR(__xludf.DUMMYFUNCTION("IFERROR(GOOGLEFINANCE(A48,""PRICE""),)"),113.49)</f>
        <v>113.49</v>
      </c>
      <c r="I48" s="61">
        <f>IFERROR(__xludf.DUMMYFUNCTION("IFERROR(GOOGLEFINANCE(A48,""VOLUME""),)"),3040.0)</f>
        <v>3040</v>
      </c>
      <c r="J48" s="60" t="str">
        <f>IFERROR(__xludf.DUMMYFUNCTION("IFERROR(INDEX(SPLIT(A48,"":""),1,2),)"),"AGRITECH")</f>
        <v>AGRITECH</v>
      </c>
      <c r="K48" s="60" t="str">
        <f t="shared" si="4"/>
        <v/>
      </c>
      <c r="L48" s="60">
        <f t="shared" si="5"/>
        <v>365</v>
      </c>
      <c r="M48" s="60">
        <f t="shared" si="6"/>
        <v>1385</v>
      </c>
      <c r="N48" s="62">
        <f>IFERROR(__xludf.DUMMYFUNCTION("IFERROR(GOOGLEFINANCE(A48,""TRADETIME""),)"),46086.64583333333)</f>
        <v>46086.64583</v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63" t="s">
        <v>96</v>
      </c>
      <c r="B49" s="64" t="str">
        <f>IFERROR(__xludf.DUMMYFUNCTION("IFERROR(GOOGLEFINANCE(A49,""NAME""),)"),"Agro Phos (India) Ltd")</f>
        <v>Agro Phos (India) Ltd</v>
      </c>
      <c r="C49" s="64">
        <f>IFERROR(__xludf.DUMMYFUNCTION("IFERROR(GOOGLEFINANCE(A49,""CHANGE""),)"),0.56)</f>
        <v>0.56</v>
      </c>
      <c r="D49" s="64">
        <f>IFERROR(__xludf.DUMMYFUNCTION("IFERROR(GOOGLEFINANCE(A49,""CHANGEPCT""),)"),1.77)</f>
        <v>1.77</v>
      </c>
      <c r="E49" s="64" t="str">
        <f t="shared" si="1"/>
        <v>1.77%</v>
      </c>
      <c r="F49" s="64">
        <f t="shared" si="2"/>
        <v>1.77</v>
      </c>
      <c r="G49" s="64" t="str">
        <f t="shared" si="3"/>
        <v/>
      </c>
      <c r="H49" s="64">
        <f>IFERROR(__xludf.DUMMYFUNCTION("IFERROR(GOOGLEFINANCE(A49,""PRICE""),)"),32.27)</f>
        <v>32.27</v>
      </c>
      <c r="I49" s="65">
        <f>IFERROR(__xludf.DUMMYFUNCTION("IFERROR(GOOGLEFINANCE(A49,""VOLUME""),)"),16440.0)</f>
        <v>16440</v>
      </c>
      <c r="J49" s="64" t="str">
        <f>IFERROR(__xludf.DUMMYFUNCTION("IFERROR(INDEX(SPLIT(A49,"":""),1,2),)"),"AGROPHOS")</f>
        <v>AGROPHOS</v>
      </c>
      <c r="K49" s="64">
        <f t="shared" si="4"/>
        <v>503</v>
      </c>
      <c r="L49" s="64" t="str">
        <f t="shared" si="5"/>
        <v/>
      </c>
      <c r="M49" s="64">
        <f t="shared" si="6"/>
        <v>1181</v>
      </c>
      <c r="N49" s="66">
        <f>IFERROR(__xludf.DUMMYFUNCTION("IFERROR(GOOGLEFINANCE(A49,""TRADETIME""),)"),46086.64583333333)</f>
        <v>46086.64583</v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67" t="s">
        <v>97</v>
      </c>
      <c r="B50" s="60" t="str">
        <f>IFERROR(__xludf.DUMMYFUNCTION("IFERROR(GOOGLEFINANCE(A50,""NAME""),)"),"Ahlada Engineers Ltd")</f>
        <v>Ahlada Engineers Ltd</v>
      </c>
      <c r="C50" s="60">
        <f>IFERROR(__xludf.DUMMYFUNCTION("IFERROR(GOOGLEFINANCE(A50,""CHANGE""),)"),-0.19)</f>
        <v>-0.19</v>
      </c>
      <c r="D50" s="60">
        <f>IFERROR(__xludf.DUMMYFUNCTION("IFERROR(GOOGLEFINANCE(A50,""CHANGEPCT""),)"),-0.45)</f>
        <v>-0.45</v>
      </c>
      <c r="E50" s="60" t="str">
        <f t="shared" si="1"/>
        <v>-0.45%</v>
      </c>
      <c r="F50" s="60" t="str">
        <f t="shared" si="2"/>
        <v/>
      </c>
      <c r="G50" s="60">
        <f t="shared" si="3"/>
        <v>-0.45</v>
      </c>
      <c r="H50" s="60">
        <f>IFERROR(__xludf.DUMMYFUNCTION("IFERROR(GOOGLEFINANCE(A50,""PRICE""),)"),41.77)</f>
        <v>41.77</v>
      </c>
      <c r="I50" s="61">
        <f>IFERROR(__xludf.DUMMYFUNCTION("IFERROR(GOOGLEFINANCE(A50,""VOLUME""),)"),24557.0)</f>
        <v>24557</v>
      </c>
      <c r="J50" s="60" t="str">
        <f>IFERROR(__xludf.DUMMYFUNCTION("IFERROR(INDEX(SPLIT(A50,"":""),1,2),)"),"AHLADA")</f>
        <v>AHLADA</v>
      </c>
      <c r="K50" s="60" t="str">
        <f t="shared" si="4"/>
        <v/>
      </c>
      <c r="L50" s="60">
        <f t="shared" si="5"/>
        <v>110</v>
      </c>
      <c r="M50" s="60">
        <f t="shared" si="6"/>
        <v>1101</v>
      </c>
      <c r="N50" s="62">
        <f>IFERROR(__xludf.DUMMYFUNCTION("IFERROR(GOOGLEFINANCE(A50,""TRADETIME""),)"),46086.64583333333)</f>
        <v>46086.64583</v>
      </c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69" t="s">
        <v>98</v>
      </c>
      <c r="B51" s="64" t="str">
        <f>IFERROR(__xludf.DUMMYFUNCTION("IFERROR(GOOGLEFINANCE(A51,""NAME""),)"),"Asian Hotels (East) Ltd")</f>
        <v>Asian Hotels (East) Ltd</v>
      </c>
      <c r="C51" s="64">
        <f>IFERROR(__xludf.DUMMYFUNCTION("IFERROR(GOOGLEFINANCE(A51,""CHANGE""),)"),-0.29)</f>
        <v>-0.29</v>
      </c>
      <c r="D51" s="64">
        <f>IFERROR(__xludf.DUMMYFUNCTION("IFERROR(GOOGLEFINANCE(A51,""CHANGEPCT""),)"),-0.18)</f>
        <v>-0.18</v>
      </c>
      <c r="E51" s="64" t="str">
        <f t="shared" si="1"/>
        <v>-0.18%</v>
      </c>
      <c r="F51" s="64" t="str">
        <f t="shared" si="2"/>
        <v/>
      </c>
      <c r="G51" s="64">
        <f t="shared" si="3"/>
        <v>-0.18</v>
      </c>
      <c r="H51" s="64">
        <f>IFERROR(__xludf.DUMMYFUNCTION("IFERROR(GOOGLEFINANCE(A51,""PRICE""),)"),160.05)</f>
        <v>160.05</v>
      </c>
      <c r="I51" s="65">
        <f>IFERROR(__xludf.DUMMYFUNCTION("IFERROR(GOOGLEFINANCE(A51,""VOLUME""),)"),13087.0)</f>
        <v>13087</v>
      </c>
      <c r="J51" s="64" t="str">
        <f>IFERROR(__xludf.DUMMYFUNCTION("IFERROR(INDEX(SPLIT(A51,"":""),1,2),)"),"AHLEAST")</f>
        <v>AHLEAST</v>
      </c>
      <c r="K51" s="64" t="str">
        <f t="shared" si="4"/>
        <v/>
      </c>
      <c r="L51" s="64">
        <f t="shared" si="5"/>
        <v>44</v>
      </c>
      <c r="M51" s="64">
        <f t="shared" si="6"/>
        <v>1212</v>
      </c>
      <c r="N51" s="66">
        <f>IFERROR(__xludf.DUMMYFUNCTION("IFERROR(GOOGLEFINANCE(A51,""TRADETIME""),)"),46086.64140046296)</f>
        <v>46086.6414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9" t="s">
        <v>99</v>
      </c>
      <c r="B52" s="60" t="str">
        <f>IFERROR(__xludf.DUMMYFUNCTION("IFERROR(GOOGLEFINANCE(A52,""NAME""),)"),"Ahluwalia Contracts (India) Ltd")</f>
        <v>Ahluwalia Contracts (India) Ltd</v>
      </c>
      <c r="C52" s="60">
        <f>IFERROR(__xludf.DUMMYFUNCTION("IFERROR(GOOGLEFINANCE(A52,""CHANGE""),)"),22.0)</f>
        <v>22</v>
      </c>
      <c r="D52" s="60">
        <f>IFERROR(__xludf.DUMMYFUNCTION("IFERROR(GOOGLEFINANCE(A52,""CHANGEPCT""),)"),3.0)</f>
        <v>3</v>
      </c>
      <c r="E52" s="60" t="str">
        <f t="shared" si="1"/>
        <v>3%</v>
      </c>
      <c r="F52" s="60">
        <f t="shared" si="2"/>
        <v>3</v>
      </c>
      <c r="G52" s="60" t="str">
        <f t="shared" si="3"/>
        <v/>
      </c>
      <c r="H52" s="60">
        <f>IFERROR(__xludf.DUMMYFUNCTION("IFERROR(GOOGLEFINANCE(A52,""PRICE""),)"),755.2)</f>
        <v>755.2</v>
      </c>
      <c r="I52" s="61">
        <f>IFERROR(__xludf.DUMMYFUNCTION("IFERROR(GOOGLEFINANCE(A52,""VOLUME""),)"),99065.0)</f>
        <v>99065</v>
      </c>
      <c r="J52" s="60" t="str">
        <f>IFERROR(__xludf.DUMMYFUNCTION("IFERROR(INDEX(SPLIT(A52,"":""),1,2),)"),"AHLUCONT")</f>
        <v>AHLUCONT</v>
      </c>
      <c r="K52" s="60">
        <f t="shared" si="4"/>
        <v>256</v>
      </c>
      <c r="L52" s="60" t="str">
        <f t="shared" si="5"/>
        <v/>
      </c>
      <c r="M52" s="60">
        <f t="shared" si="6"/>
        <v>758</v>
      </c>
      <c r="N52" s="62">
        <f>IFERROR(__xludf.DUMMYFUNCTION("IFERROR(GOOGLEFINANCE(A52,""TRADETIME""),)"),46086.64583333333)</f>
        <v>46086.64583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63" t="s">
        <v>100</v>
      </c>
      <c r="B53" s="64" t="str">
        <f>IFERROR(__xludf.DUMMYFUNCTION("IFERROR(GOOGLEFINANCE(A53,""NAME""),)"),"")</f>
        <v/>
      </c>
      <c r="C53" s="64" t="str">
        <f>IFERROR(__xludf.DUMMYFUNCTION("IFERROR(GOOGLEFINANCE(A53,""CHANGE""),)"),"")</f>
        <v/>
      </c>
      <c r="D53" s="64" t="str">
        <f>IFERROR(__xludf.DUMMYFUNCTION("IFERROR(GOOGLEFINANCE(A53,""CHANGEPCT""),)"),"")</f>
        <v/>
      </c>
      <c r="E53" s="64" t="str">
        <f t="shared" si="1"/>
        <v>%</v>
      </c>
      <c r="F53" s="64" t="str">
        <f t="shared" si="2"/>
        <v/>
      </c>
      <c r="G53" s="64" t="str">
        <f t="shared" si="3"/>
        <v/>
      </c>
      <c r="H53" s="64" t="str">
        <f>IFERROR(__xludf.DUMMYFUNCTION("IFERROR(GOOGLEFINANCE(A53,""PRICE""),)"),"")</f>
        <v/>
      </c>
      <c r="I53" s="65" t="str">
        <f>IFERROR(__xludf.DUMMYFUNCTION("IFERROR(GOOGLEFINANCE(A53,""VOLUME""),)"),"")</f>
        <v/>
      </c>
      <c r="J53" s="64" t="str">
        <f>IFERROR(__xludf.DUMMYFUNCTION("IFERROR(INDEX(SPLIT(A53,"":""),1,2),)"),"AHLWEST")</f>
        <v>AHLWEST</v>
      </c>
      <c r="K53" s="64" t="str">
        <f t="shared" si="4"/>
        <v/>
      </c>
      <c r="L53" s="64" t="str">
        <f t="shared" si="5"/>
        <v/>
      </c>
      <c r="M53" s="64" t="str">
        <f t="shared" si="6"/>
        <v/>
      </c>
      <c r="N53" s="66" t="str">
        <f>IFERROR(__xludf.DUMMYFUNCTION("IFERROR(GOOGLEFINANCE(A53,""TRADETIME""),)"),"")</f>
        <v/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67" t="s">
        <v>101</v>
      </c>
      <c r="B54" s="60" t="str">
        <f>IFERROR(__xludf.DUMMYFUNCTION("IFERROR(GOOGLEFINANCE(A54,""NAME""),)"),"AIA Engineering Ltd")</f>
        <v>AIA Engineering Ltd</v>
      </c>
      <c r="C54" s="60">
        <f>IFERROR(__xludf.DUMMYFUNCTION("IFERROR(GOOGLEFINANCE(A54,""CHANGE""),)"),-10.0)</f>
        <v>-10</v>
      </c>
      <c r="D54" s="60">
        <f>IFERROR(__xludf.DUMMYFUNCTION("IFERROR(GOOGLEFINANCE(A54,""CHANGEPCT""),)"),-0.33)</f>
        <v>-0.33</v>
      </c>
      <c r="E54" s="60" t="str">
        <f t="shared" si="1"/>
        <v>-0.33%</v>
      </c>
      <c r="F54" s="60" t="str">
        <f t="shared" si="2"/>
        <v/>
      </c>
      <c r="G54" s="60">
        <f t="shared" si="3"/>
        <v>-0.33</v>
      </c>
      <c r="H54" s="60">
        <f>IFERROR(__xludf.DUMMYFUNCTION("IFERROR(GOOGLEFINANCE(A54,""PRICE""),)"),3613.0)</f>
        <v>3613</v>
      </c>
      <c r="I54" s="61">
        <f>IFERROR(__xludf.DUMMYFUNCTION("IFERROR(GOOGLEFINANCE(A54,""VOLUME""),)"),26801.0)</f>
        <v>26801</v>
      </c>
      <c r="J54" s="60" t="str">
        <f>IFERROR(__xludf.DUMMYFUNCTION("IFERROR(INDEX(SPLIT(A54,"":""),1,2),)"),"AIAENG")</f>
        <v>AIAENG</v>
      </c>
      <c r="K54" s="60" t="str">
        <f t="shared" si="4"/>
        <v/>
      </c>
      <c r="L54" s="60">
        <f t="shared" si="5"/>
        <v>84</v>
      </c>
      <c r="M54" s="60">
        <f t="shared" si="6"/>
        <v>1080</v>
      </c>
      <c r="N54" s="62">
        <f>IFERROR(__xludf.DUMMYFUNCTION("IFERROR(GOOGLEFINANCE(A54,""TRADETIME""),)"),46086.64583333333)</f>
        <v>46086.64583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68" t="s">
        <v>102</v>
      </c>
      <c r="B55" s="64" t="str">
        <f>IFERROR(__xludf.DUMMYFUNCTION("IFERROR(GOOGLEFINANCE(A55,""NAME""),)"),"Airan Ltd")</f>
        <v>Airan Ltd</v>
      </c>
      <c r="C55" s="64">
        <f>IFERROR(__xludf.DUMMYFUNCTION("IFERROR(GOOGLEFINANCE(A55,""CHANGE""),)"),0.36)</f>
        <v>0.36</v>
      </c>
      <c r="D55" s="64">
        <f>IFERROR(__xludf.DUMMYFUNCTION("IFERROR(GOOGLEFINANCE(A55,""CHANGEPCT""),)"),2.32)</f>
        <v>2.32</v>
      </c>
      <c r="E55" s="64" t="str">
        <f t="shared" si="1"/>
        <v>2.32%</v>
      </c>
      <c r="F55" s="64">
        <f t="shared" si="2"/>
        <v>2.32</v>
      </c>
      <c r="G55" s="64" t="str">
        <f t="shared" si="3"/>
        <v/>
      </c>
      <c r="H55" s="64">
        <f>IFERROR(__xludf.DUMMYFUNCTION("IFERROR(GOOGLEFINANCE(A55,""PRICE""),)"),15.88)</f>
        <v>15.88</v>
      </c>
      <c r="I55" s="65">
        <f>IFERROR(__xludf.DUMMYFUNCTION("IFERROR(GOOGLEFINANCE(A55,""VOLUME""),)"),70184.0)</f>
        <v>70184</v>
      </c>
      <c r="J55" s="64" t="str">
        <f>IFERROR(__xludf.DUMMYFUNCTION("IFERROR(INDEX(SPLIT(A55,"":""),1,2),)"),"AIRAN")</f>
        <v>AIRAN</v>
      </c>
      <c r="K55" s="64">
        <f t="shared" si="4"/>
        <v>370</v>
      </c>
      <c r="L55" s="64" t="str">
        <f t="shared" si="5"/>
        <v/>
      </c>
      <c r="M55" s="64">
        <f t="shared" si="6"/>
        <v>847</v>
      </c>
      <c r="N55" s="66">
        <f>IFERROR(__xludf.DUMMYFUNCTION("IFERROR(GOOGLEFINANCE(A55,""TRADETIME""),)"),46086.64583333333)</f>
        <v>46086.64583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67" t="s">
        <v>103</v>
      </c>
      <c r="B56" s="60" t="str">
        <f>IFERROR(__xludf.DUMMYFUNCTION("IFERROR(GOOGLEFINANCE(A56,""NAME""),)"),"Ajanta Pharma Ltd")</f>
        <v>Ajanta Pharma Ltd</v>
      </c>
      <c r="C56" s="60">
        <f>IFERROR(__xludf.DUMMYFUNCTION("IFERROR(GOOGLEFINANCE(A56,""CHANGE""),)"),58.7)</f>
        <v>58.7</v>
      </c>
      <c r="D56" s="60">
        <f>IFERROR(__xludf.DUMMYFUNCTION("IFERROR(GOOGLEFINANCE(A56,""CHANGEPCT""),)"),2.01)</f>
        <v>2.01</v>
      </c>
      <c r="E56" s="60" t="str">
        <f t="shared" si="1"/>
        <v>2.01%</v>
      </c>
      <c r="F56" s="60">
        <f t="shared" si="2"/>
        <v>2.01</v>
      </c>
      <c r="G56" s="60" t="str">
        <f t="shared" si="3"/>
        <v/>
      </c>
      <c r="H56" s="60">
        <f>IFERROR(__xludf.DUMMYFUNCTION("IFERROR(GOOGLEFINANCE(A56,""PRICE""),)"),2975.0)</f>
        <v>2975</v>
      </c>
      <c r="I56" s="61">
        <f>IFERROR(__xludf.DUMMYFUNCTION("IFERROR(GOOGLEFINANCE(A56,""VOLUME""),)"),106808.0)</f>
        <v>106808</v>
      </c>
      <c r="J56" s="60" t="str">
        <f>IFERROR(__xludf.DUMMYFUNCTION("IFERROR(INDEX(SPLIT(A56,"":""),1,2),)"),"AJANTPHARM")</f>
        <v>AJANTPHARM</v>
      </c>
      <c r="K56" s="60">
        <f t="shared" si="4"/>
        <v>437</v>
      </c>
      <c r="L56" s="60" t="str">
        <f t="shared" si="5"/>
        <v/>
      </c>
      <c r="M56" s="60">
        <f t="shared" si="6"/>
        <v>747</v>
      </c>
      <c r="N56" s="62">
        <f>IFERROR(__xludf.DUMMYFUNCTION("IFERROR(GOOGLEFINANCE(A56,""TRADETIME""),)"),46086.64349537037)</f>
        <v>46086.6435</v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68" t="s">
        <v>104</v>
      </c>
      <c r="B57" s="64" t="str">
        <f>IFERROR(__xludf.DUMMYFUNCTION("IFERROR(GOOGLEFINANCE(A57,""NAME""),)"),"Ajmera Realty &amp; Infra India Ltd")</f>
        <v>Ajmera Realty &amp; Infra India Ltd</v>
      </c>
      <c r="C57" s="64">
        <f>IFERROR(__xludf.DUMMYFUNCTION("IFERROR(GOOGLEFINANCE(A57,""CHANGE""),)"),-2.96)</f>
        <v>-2.96</v>
      </c>
      <c r="D57" s="64">
        <f>IFERROR(__xludf.DUMMYFUNCTION("IFERROR(GOOGLEFINANCE(A57,""CHANGEPCT""),)"),-2.35)</f>
        <v>-2.35</v>
      </c>
      <c r="E57" s="64" t="str">
        <f t="shared" si="1"/>
        <v>-2.35%</v>
      </c>
      <c r="F57" s="64" t="str">
        <f t="shared" si="2"/>
        <v/>
      </c>
      <c r="G57" s="64">
        <f t="shared" si="3"/>
        <v>-2.35</v>
      </c>
      <c r="H57" s="64">
        <f>IFERROR(__xludf.DUMMYFUNCTION("IFERROR(GOOGLEFINANCE(A57,""PRICE""),)"),122.96)</f>
        <v>122.96</v>
      </c>
      <c r="I57" s="65">
        <f>IFERROR(__xludf.DUMMYFUNCTION("IFERROR(GOOGLEFINANCE(A57,""VOLUME""),)"),304113.0)</f>
        <v>304113</v>
      </c>
      <c r="J57" s="64" t="str">
        <f>IFERROR(__xludf.DUMMYFUNCTION("IFERROR(INDEX(SPLIT(A57,"":""),1,2),)"),"AJMERA")</f>
        <v>AJMERA</v>
      </c>
      <c r="K57" s="64" t="str">
        <f t="shared" si="4"/>
        <v/>
      </c>
      <c r="L57" s="64">
        <f t="shared" si="5"/>
        <v>377</v>
      </c>
      <c r="M57" s="64">
        <f t="shared" si="6"/>
        <v>503</v>
      </c>
      <c r="N57" s="66">
        <f>IFERROR(__xludf.DUMMYFUNCTION("IFERROR(GOOGLEFINANCE(A57,""TRADETIME""),)"),46086.64584490741)</f>
        <v>46086.64584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67" t="s">
        <v>105</v>
      </c>
      <c r="B58" s="60" t="str">
        <f>IFERROR(__xludf.DUMMYFUNCTION("IFERROR(GOOGLEFINANCE(A58,""NAME""),)"),"Akash Infra-Projects Ltd")</f>
        <v>Akash Infra-Projects Ltd</v>
      </c>
      <c r="C58" s="60">
        <f>IFERROR(__xludf.DUMMYFUNCTION("IFERROR(GOOGLEFINANCE(A58,""CHANGE""),)"),0.08)</f>
        <v>0.08</v>
      </c>
      <c r="D58" s="60">
        <f>IFERROR(__xludf.DUMMYFUNCTION("IFERROR(GOOGLEFINANCE(A58,""CHANGEPCT""),)"),2.31)</f>
        <v>2.31</v>
      </c>
      <c r="E58" s="60" t="str">
        <f t="shared" si="1"/>
        <v>2.31%</v>
      </c>
      <c r="F58" s="60">
        <f t="shared" si="2"/>
        <v>2.31</v>
      </c>
      <c r="G58" s="60" t="str">
        <f t="shared" si="3"/>
        <v/>
      </c>
      <c r="H58" s="60">
        <f>IFERROR(__xludf.DUMMYFUNCTION("IFERROR(GOOGLEFINANCE(A58,""PRICE""),)"),24.8)</f>
        <v>24.8</v>
      </c>
      <c r="I58" s="61">
        <f>IFERROR(__xludf.DUMMYFUNCTION("IFERROR(GOOGLEFINANCE(A58,""VOLUME""),)"),8598.0)</f>
        <v>8598</v>
      </c>
      <c r="J58" s="60" t="str">
        <f>IFERROR(__xludf.DUMMYFUNCTION("IFERROR(INDEX(SPLIT(A58,"":""),1,2),)"),"AKASH")</f>
        <v>AKASH</v>
      </c>
      <c r="K58" s="60">
        <f t="shared" si="4"/>
        <v>373</v>
      </c>
      <c r="L58" s="60" t="str">
        <f t="shared" si="5"/>
        <v/>
      </c>
      <c r="M58" s="60">
        <f t="shared" si="6"/>
        <v>1286</v>
      </c>
      <c r="N58" s="62">
        <f>IFERROR(__xludf.DUMMYFUNCTION("IFERROR(GOOGLEFINANCE(A58,""TRADETIME""),)"),46086.64583333333)</f>
        <v>46086.64583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68" t="s">
        <v>106</v>
      </c>
      <c r="B59" s="64" t="str">
        <f>IFERROR(__xludf.DUMMYFUNCTION("IFERROR(GOOGLEFINANCE(A59,""NAME""),)"),"Akg Exim Ltd")</f>
        <v>Akg Exim Ltd</v>
      </c>
      <c r="C59" s="64">
        <f>IFERROR(__xludf.DUMMYFUNCTION("IFERROR(GOOGLEFINANCE(A59,""CHANGE""),)"),0.31)</f>
        <v>0.31</v>
      </c>
      <c r="D59" s="64">
        <f>IFERROR(__xludf.DUMMYFUNCTION("IFERROR(GOOGLEFINANCE(A59,""CHANGEPCT""),)"),2.91)</f>
        <v>2.91</v>
      </c>
      <c r="E59" s="64" t="str">
        <f t="shared" si="1"/>
        <v>2.91%</v>
      </c>
      <c r="F59" s="64">
        <f t="shared" si="2"/>
        <v>2.91</v>
      </c>
      <c r="G59" s="64" t="str">
        <f t="shared" si="3"/>
        <v/>
      </c>
      <c r="H59" s="64">
        <f>IFERROR(__xludf.DUMMYFUNCTION("IFERROR(GOOGLEFINANCE(A59,""PRICE""),)"),10.98)</f>
        <v>10.98</v>
      </c>
      <c r="I59" s="65">
        <f>IFERROR(__xludf.DUMMYFUNCTION("IFERROR(GOOGLEFINANCE(A59,""VOLUME""),)"),14650.0)</f>
        <v>14650</v>
      </c>
      <c r="J59" s="64" t="str">
        <f>IFERROR(__xludf.DUMMYFUNCTION("IFERROR(INDEX(SPLIT(A59,"":""),1,2),)"),"AKG")</f>
        <v>AKG</v>
      </c>
      <c r="K59" s="64">
        <f t="shared" si="4"/>
        <v>272</v>
      </c>
      <c r="L59" s="64" t="str">
        <f t="shared" si="5"/>
        <v/>
      </c>
      <c r="M59" s="64">
        <f t="shared" si="6"/>
        <v>1199</v>
      </c>
      <c r="N59" s="66">
        <f>IFERROR(__xludf.DUMMYFUNCTION("IFERROR(GOOGLEFINANCE(A59,""TRADETIME""),)"),46086.64583333333)</f>
        <v>46086.64583</v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9" t="s">
        <v>107</v>
      </c>
      <c r="B60" s="60" t="str">
        <f>IFERROR(__xludf.DUMMYFUNCTION("IFERROR(GOOGLEFINANCE(A60,""NAME""),)"),"Alphageo (India) Ltd")</f>
        <v>Alphageo (India) Ltd</v>
      </c>
      <c r="C60" s="60">
        <f>IFERROR(__xludf.DUMMYFUNCTION("IFERROR(GOOGLEFINANCE(A60,""CHANGE""),)"),8.29)</f>
        <v>8.29</v>
      </c>
      <c r="D60" s="60">
        <f>IFERROR(__xludf.DUMMYFUNCTION("IFERROR(GOOGLEFINANCE(A60,""CHANGEPCT""),)"),4.26)</f>
        <v>4.26</v>
      </c>
      <c r="E60" s="60" t="str">
        <f t="shared" si="1"/>
        <v>4.26%</v>
      </c>
      <c r="F60" s="60">
        <f t="shared" si="2"/>
        <v>4.26</v>
      </c>
      <c r="G60" s="60" t="str">
        <f t="shared" si="3"/>
        <v/>
      </c>
      <c r="H60" s="60">
        <f>IFERROR(__xludf.DUMMYFUNCTION("IFERROR(GOOGLEFINANCE(A60,""PRICE""),)"),203.05)</f>
        <v>203.05</v>
      </c>
      <c r="I60" s="61">
        <f>IFERROR(__xludf.DUMMYFUNCTION("IFERROR(GOOGLEFINANCE(A60,""VOLUME""),)"),6835.0)</f>
        <v>6835</v>
      </c>
      <c r="J60" s="60" t="str">
        <f>IFERROR(__xludf.DUMMYFUNCTION("IFERROR(INDEX(SPLIT(A60,"":""),1,2),)"),"ALPHAGEO")</f>
        <v>ALPHAGEO</v>
      </c>
      <c r="K60" s="60">
        <f t="shared" si="4"/>
        <v>126</v>
      </c>
      <c r="L60" s="60" t="str">
        <f t="shared" si="5"/>
        <v/>
      </c>
      <c r="M60" s="60">
        <f t="shared" si="6"/>
        <v>1311</v>
      </c>
      <c r="N60" s="62">
        <f>IFERROR(__xludf.DUMMYFUNCTION("IFERROR(GOOGLEFINANCE(A60,""TRADETIME""),)"),46086.639606481476)</f>
        <v>46086.63961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68" t="s">
        <v>108</v>
      </c>
      <c r="B61" s="64" t="str">
        <f>IFERROR(__xludf.DUMMYFUNCTION("IFERROR(GOOGLEFINANCE(A61,""NAME""),)"),"Aksh Optifibre Limited")</f>
        <v>Aksh Optifibre Limited</v>
      </c>
      <c r="C61" s="64">
        <f>IFERROR(__xludf.DUMMYFUNCTION("IFERROR(GOOGLEFINANCE(A61,""CHANGE""),)"),-0.03)</f>
        <v>-0.03</v>
      </c>
      <c r="D61" s="64">
        <f>IFERROR(__xludf.DUMMYFUNCTION("IFERROR(GOOGLEFINANCE(A61,""CHANGEPCT""),)"),-0.67)</f>
        <v>-0.67</v>
      </c>
      <c r="E61" s="64" t="str">
        <f t="shared" si="1"/>
        <v>-0.67%</v>
      </c>
      <c r="F61" s="64" t="str">
        <f t="shared" si="2"/>
        <v/>
      </c>
      <c r="G61" s="64">
        <f t="shared" si="3"/>
        <v>-0.67</v>
      </c>
      <c r="H61" s="64">
        <f>IFERROR(__xludf.DUMMYFUNCTION("IFERROR(GOOGLEFINANCE(A61,""PRICE""),)"),4.43)</f>
        <v>4.43</v>
      </c>
      <c r="I61" s="65">
        <f>IFERROR(__xludf.DUMMYFUNCTION("IFERROR(GOOGLEFINANCE(A61,""VOLUME""),)"),197518.0)</f>
        <v>197518</v>
      </c>
      <c r="J61" s="64" t="str">
        <f>IFERROR(__xludf.DUMMYFUNCTION("IFERROR(INDEX(SPLIT(A61,"":""),1,2),)"),"AKSHOPTFBR")</f>
        <v>AKSHOPTFBR</v>
      </c>
      <c r="K61" s="64" t="str">
        <f t="shared" si="4"/>
        <v/>
      </c>
      <c r="L61" s="64">
        <f t="shared" si="5"/>
        <v>161</v>
      </c>
      <c r="M61" s="64">
        <f t="shared" si="6"/>
        <v>609</v>
      </c>
      <c r="N61" s="66">
        <f>IFERROR(__xludf.DUMMYFUNCTION("IFERROR(GOOGLEFINANCE(A61,""TRADETIME""),)"),46086.64583333333)</f>
        <v>46086.64583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67" t="s">
        <v>109</v>
      </c>
      <c r="B62" s="60" t="str">
        <f>IFERROR(__xludf.DUMMYFUNCTION("IFERROR(GOOGLEFINANCE(A62,""NAME""),)"),"Akzo Nobel India Ltd")</f>
        <v>Akzo Nobel India Ltd</v>
      </c>
      <c r="C62" s="60">
        <f>IFERROR(__xludf.DUMMYFUNCTION("IFERROR(GOOGLEFINANCE(A62,""CHANGE""),)"),-62.5)</f>
        <v>-62.5</v>
      </c>
      <c r="D62" s="60">
        <f>IFERROR(__xludf.DUMMYFUNCTION("IFERROR(GOOGLEFINANCE(A62,""CHANGEPCT""),)"),-2.16)</f>
        <v>-2.16</v>
      </c>
      <c r="E62" s="60" t="str">
        <f t="shared" si="1"/>
        <v>-2.16%</v>
      </c>
      <c r="F62" s="60" t="str">
        <f t="shared" si="2"/>
        <v/>
      </c>
      <c r="G62" s="60">
        <f t="shared" si="3"/>
        <v>-2.16</v>
      </c>
      <c r="H62" s="60">
        <f>IFERROR(__xludf.DUMMYFUNCTION("IFERROR(GOOGLEFINANCE(A62,""PRICE""),)"),2832.0)</f>
        <v>2832</v>
      </c>
      <c r="I62" s="61">
        <f>IFERROR(__xludf.DUMMYFUNCTION("IFERROR(GOOGLEFINANCE(A62,""VOLUME""),)"),31387.0)</f>
        <v>31387</v>
      </c>
      <c r="J62" s="60" t="str">
        <f>IFERROR(__xludf.DUMMYFUNCTION("IFERROR(INDEX(SPLIT(A62,"":""),1,2),)"),"AKZOINDIA")</f>
        <v>AKZOINDIA</v>
      </c>
      <c r="K62" s="60" t="str">
        <f t="shared" si="4"/>
        <v/>
      </c>
      <c r="L62" s="60">
        <f t="shared" si="5"/>
        <v>366</v>
      </c>
      <c r="M62" s="60">
        <f t="shared" si="6"/>
        <v>1048</v>
      </c>
      <c r="N62" s="62">
        <f>IFERROR(__xludf.DUMMYFUNCTION("IFERROR(GOOGLEFINANCE(A62,""TRADETIME""),)"),46086.64585648148)</f>
        <v>46086.64586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68" t="s">
        <v>110</v>
      </c>
      <c r="B63" s="64" t="str">
        <f>IFERROR(__xludf.DUMMYFUNCTION("IFERROR(GOOGLEFINANCE(A63,""NAME""),)"),"Alankit Ltd")</f>
        <v>Alankit Ltd</v>
      </c>
      <c r="C63" s="64">
        <f>IFERROR(__xludf.DUMMYFUNCTION("IFERROR(GOOGLEFINANCE(A63,""CHANGE""),)"),0.3)</f>
        <v>0.3</v>
      </c>
      <c r="D63" s="64">
        <f>IFERROR(__xludf.DUMMYFUNCTION("IFERROR(GOOGLEFINANCE(A63,""CHANGEPCT""),)"),4.9)</f>
        <v>4.9</v>
      </c>
      <c r="E63" s="64" t="str">
        <f t="shared" si="1"/>
        <v>4.9%</v>
      </c>
      <c r="F63" s="64">
        <f t="shared" si="2"/>
        <v>4.9</v>
      </c>
      <c r="G63" s="64" t="str">
        <f t="shared" si="3"/>
        <v/>
      </c>
      <c r="H63" s="64">
        <f>IFERROR(__xludf.DUMMYFUNCTION("IFERROR(GOOGLEFINANCE(A63,""PRICE""),)"),7.85)</f>
        <v>7.85</v>
      </c>
      <c r="I63" s="65">
        <f>IFERROR(__xludf.DUMMYFUNCTION("IFERROR(GOOGLEFINANCE(A63,""VOLUME""),)"),335912.0)</f>
        <v>335912</v>
      </c>
      <c r="J63" s="64" t="str">
        <f>IFERROR(__xludf.DUMMYFUNCTION("IFERROR(INDEX(SPLIT(A63,"":""),1,2),)"),"ALANKIT")</f>
        <v>ALANKIT</v>
      </c>
      <c r="K63" s="64">
        <f t="shared" si="4"/>
        <v>85</v>
      </c>
      <c r="L63" s="64" t="str">
        <f t="shared" si="5"/>
        <v/>
      </c>
      <c r="M63" s="64">
        <f t="shared" si="6"/>
        <v>487</v>
      </c>
      <c r="N63" s="66">
        <f>IFERROR(__xludf.DUMMYFUNCTION("IFERROR(GOOGLEFINANCE(A63,""TRADETIME""),)"),46086.64583333333)</f>
        <v>46086.64583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67" t="s">
        <v>111</v>
      </c>
      <c r="B64" s="60" t="str">
        <f>IFERROR(__xludf.DUMMYFUNCTION("IFERROR(GOOGLEFINANCE(A64,""NAME""),)"),"Albert David Ltd")</f>
        <v>Albert David Ltd</v>
      </c>
      <c r="C64" s="60">
        <f>IFERROR(__xludf.DUMMYFUNCTION("IFERROR(GOOGLEFINANCE(A64,""CHANGE""),)"),-15.9)</f>
        <v>-15.9</v>
      </c>
      <c r="D64" s="60">
        <f>IFERROR(__xludf.DUMMYFUNCTION("IFERROR(GOOGLEFINANCE(A64,""CHANGEPCT""),)"),-2.83)</f>
        <v>-2.83</v>
      </c>
      <c r="E64" s="60" t="str">
        <f t="shared" si="1"/>
        <v>-2.83%</v>
      </c>
      <c r="F64" s="60" t="str">
        <f t="shared" si="2"/>
        <v/>
      </c>
      <c r="G64" s="60">
        <f t="shared" si="3"/>
        <v>-2.83</v>
      </c>
      <c r="H64" s="60">
        <f>IFERROR(__xludf.DUMMYFUNCTION("IFERROR(GOOGLEFINANCE(A64,""PRICE""),)"),675.0)</f>
        <v>675</v>
      </c>
      <c r="I64" s="61">
        <f>IFERROR(__xludf.DUMMYFUNCTION("IFERROR(GOOGLEFINANCE(A64,""VOLUME""),)"),5099.0)</f>
        <v>5099</v>
      </c>
      <c r="J64" s="60" t="str">
        <f>IFERROR(__xludf.DUMMYFUNCTION("IFERROR(INDEX(SPLIT(A64,"":""),1,2),)"),"ALBERTDAVD")</f>
        <v>ALBERTDAVD</v>
      </c>
      <c r="K64" s="60" t="str">
        <f t="shared" si="4"/>
        <v/>
      </c>
      <c r="L64" s="60">
        <f t="shared" si="5"/>
        <v>401</v>
      </c>
      <c r="M64" s="60">
        <f t="shared" si="6"/>
        <v>1341</v>
      </c>
      <c r="N64" s="62">
        <f>IFERROR(__xludf.DUMMYFUNCTION("IFERROR(GOOGLEFINANCE(A64,""TRADETIME""),)"),46086.63856481481)</f>
        <v>46086.63856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68" t="s">
        <v>112</v>
      </c>
      <c r="B65" s="64" t="str">
        <f>IFERROR(__xludf.DUMMYFUNCTION("IFERROR(GOOGLEFINANCE(A65,""NAME""),)"),"Alembic Ltd")</f>
        <v>Alembic Ltd</v>
      </c>
      <c r="C65" s="64">
        <f>IFERROR(__xludf.DUMMYFUNCTION("IFERROR(GOOGLEFINANCE(A65,""CHANGE""),)"),2.22)</f>
        <v>2.22</v>
      </c>
      <c r="D65" s="64">
        <f>IFERROR(__xludf.DUMMYFUNCTION("IFERROR(GOOGLEFINANCE(A65,""CHANGEPCT""),)"),2.57)</f>
        <v>2.57</v>
      </c>
      <c r="E65" s="64" t="str">
        <f t="shared" si="1"/>
        <v>2.57%</v>
      </c>
      <c r="F65" s="64">
        <f t="shared" si="2"/>
        <v>2.57</v>
      </c>
      <c r="G65" s="64" t="str">
        <f t="shared" si="3"/>
        <v/>
      </c>
      <c r="H65" s="64">
        <f>IFERROR(__xludf.DUMMYFUNCTION("IFERROR(GOOGLEFINANCE(A65,""PRICE""),)"),88.52)</f>
        <v>88.52</v>
      </c>
      <c r="I65" s="65">
        <f>IFERROR(__xludf.DUMMYFUNCTION("IFERROR(GOOGLEFINANCE(A65,""VOLUME""),)"),278065.0)</f>
        <v>278065</v>
      </c>
      <c r="J65" s="64" t="str">
        <f>IFERROR(__xludf.DUMMYFUNCTION("IFERROR(INDEX(SPLIT(A65,"":""),1,2),)"),"ALEMBICLTD")</f>
        <v>ALEMBICLTD</v>
      </c>
      <c r="K65" s="64">
        <f t="shared" si="4"/>
        <v>328</v>
      </c>
      <c r="L65" s="64" t="str">
        <f t="shared" si="5"/>
        <v/>
      </c>
      <c r="M65" s="64">
        <f t="shared" si="6"/>
        <v>530</v>
      </c>
      <c r="N65" s="66">
        <f>IFERROR(__xludf.DUMMYFUNCTION("IFERROR(GOOGLEFINANCE(A65,""TRADETIME""),)"),46086.639814814815)</f>
        <v>46086.63981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67" t="s">
        <v>113</v>
      </c>
      <c r="B66" s="60" t="str">
        <f>IFERROR(__xludf.DUMMYFUNCTION("IFERROR(GOOGLEFINANCE(A66,""NAME""),)"),"Alicon Castalloy Ltd")</f>
        <v>Alicon Castalloy Ltd</v>
      </c>
      <c r="C66" s="60">
        <f>IFERROR(__xludf.DUMMYFUNCTION("IFERROR(GOOGLEFINANCE(A66,""CHANGE""),)"),22.05)</f>
        <v>22.05</v>
      </c>
      <c r="D66" s="60">
        <f>IFERROR(__xludf.DUMMYFUNCTION("IFERROR(GOOGLEFINANCE(A66,""CHANGEPCT""),)"),3.08)</f>
        <v>3.08</v>
      </c>
      <c r="E66" s="60" t="str">
        <f t="shared" si="1"/>
        <v>3.08%</v>
      </c>
      <c r="F66" s="60">
        <f t="shared" si="2"/>
        <v>3.08</v>
      </c>
      <c r="G66" s="60" t="str">
        <f t="shared" si="3"/>
        <v/>
      </c>
      <c r="H66" s="60">
        <f>IFERROR(__xludf.DUMMYFUNCTION("IFERROR(GOOGLEFINANCE(A66,""PRICE""),)"),738.0)</f>
        <v>738</v>
      </c>
      <c r="I66" s="61">
        <f>IFERROR(__xludf.DUMMYFUNCTION("IFERROR(GOOGLEFINANCE(A66,""VOLUME""),)"),4786.0)</f>
        <v>4786</v>
      </c>
      <c r="J66" s="60" t="str">
        <f>IFERROR(__xludf.DUMMYFUNCTION("IFERROR(INDEX(SPLIT(A66,"":""),1,2),)"),"ALICON")</f>
        <v>ALICON</v>
      </c>
      <c r="K66" s="60">
        <f t="shared" si="4"/>
        <v>241</v>
      </c>
      <c r="L66" s="60" t="str">
        <f t="shared" si="5"/>
        <v/>
      </c>
      <c r="M66" s="60">
        <f t="shared" si="6"/>
        <v>1349</v>
      </c>
      <c r="N66" s="62">
        <f>IFERROR(__xludf.DUMMYFUNCTION("IFERROR(GOOGLEFINANCE(A66,""TRADETIME""),)"),46086.64304398149)</f>
        <v>46086.64304</v>
      </c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68" t="s">
        <v>114</v>
      </c>
      <c r="B67" s="64" t="str">
        <f>IFERROR(__xludf.DUMMYFUNCTION("IFERROR(GOOGLEFINANCE(A67,""NAME""),)"),"Alkali Metals Limited")</f>
        <v>Alkali Metals Limited</v>
      </c>
      <c r="C67" s="64">
        <f>IFERROR(__xludf.DUMMYFUNCTION("IFERROR(GOOGLEFINANCE(A67,""CHANGE""),)"),1.37)</f>
        <v>1.37</v>
      </c>
      <c r="D67" s="64">
        <f>IFERROR(__xludf.DUMMYFUNCTION("IFERROR(GOOGLEFINANCE(A67,""CHANGEPCT""),)"),2.36)</f>
        <v>2.36</v>
      </c>
      <c r="E67" s="64" t="str">
        <f t="shared" si="1"/>
        <v>2.36%</v>
      </c>
      <c r="F67" s="64">
        <f t="shared" si="2"/>
        <v>2.36</v>
      </c>
      <c r="G67" s="64" t="str">
        <f t="shared" si="3"/>
        <v/>
      </c>
      <c r="H67" s="64">
        <f>IFERROR(__xludf.DUMMYFUNCTION("IFERROR(GOOGLEFINANCE(A67,""PRICE""),)"),59.52)</f>
        <v>59.52</v>
      </c>
      <c r="I67" s="65">
        <f>IFERROR(__xludf.DUMMYFUNCTION("IFERROR(GOOGLEFINANCE(A67,""VOLUME""),)"),6488.0)</f>
        <v>6488</v>
      </c>
      <c r="J67" s="64" t="str">
        <f>IFERROR(__xludf.DUMMYFUNCTION("IFERROR(INDEX(SPLIT(A67,"":""),1,2),)"),"ALKALI")</f>
        <v>ALKALI</v>
      </c>
      <c r="K67" s="64">
        <f t="shared" si="4"/>
        <v>364</v>
      </c>
      <c r="L67" s="64" t="str">
        <f t="shared" si="5"/>
        <v/>
      </c>
      <c r="M67" s="64">
        <f t="shared" si="6"/>
        <v>1318</v>
      </c>
      <c r="N67" s="66">
        <f>IFERROR(__xludf.DUMMYFUNCTION("IFERROR(GOOGLEFINANCE(A67,""TRADETIME""),)"),46086.64583333333)</f>
        <v>46086.64583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67" t="s">
        <v>115</v>
      </c>
      <c r="B68" s="60" t="str">
        <f>IFERROR(__xludf.DUMMYFUNCTION("IFERROR(GOOGLEFINANCE(A68,""NAME""),)"),"Alkem Laboratories Ltd")</f>
        <v>Alkem Laboratories Ltd</v>
      </c>
      <c r="C68" s="60">
        <f>IFERROR(__xludf.DUMMYFUNCTION("IFERROR(GOOGLEFINANCE(A68,""CHANGE""),)"),75.0)</f>
        <v>75</v>
      </c>
      <c r="D68" s="60">
        <f>IFERROR(__xludf.DUMMYFUNCTION("IFERROR(GOOGLEFINANCE(A68,""CHANGEPCT""),)"),1.37)</f>
        <v>1.37</v>
      </c>
      <c r="E68" s="60" t="str">
        <f t="shared" si="1"/>
        <v>1.37%</v>
      </c>
      <c r="F68" s="60">
        <f t="shared" si="2"/>
        <v>1.37</v>
      </c>
      <c r="G68" s="60" t="str">
        <f t="shared" si="3"/>
        <v/>
      </c>
      <c r="H68" s="60">
        <f>IFERROR(__xludf.DUMMYFUNCTION("IFERROR(GOOGLEFINANCE(A68,""PRICE""),)"),5541.5)</f>
        <v>5541.5</v>
      </c>
      <c r="I68" s="61">
        <f>IFERROR(__xludf.DUMMYFUNCTION("IFERROR(GOOGLEFINANCE(A68,""VOLUME""),)"),96348.0)</f>
        <v>96348</v>
      </c>
      <c r="J68" s="60" t="str">
        <f>IFERROR(__xludf.DUMMYFUNCTION("IFERROR(INDEX(SPLIT(A68,"":""),1,2),)"),"ALKEM")</f>
        <v>ALKEM</v>
      </c>
      <c r="K68" s="60">
        <f t="shared" si="4"/>
        <v>611</v>
      </c>
      <c r="L68" s="60" t="str">
        <f t="shared" si="5"/>
        <v/>
      </c>
      <c r="M68" s="60">
        <f t="shared" si="6"/>
        <v>763</v>
      </c>
      <c r="N68" s="62">
        <f>IFERROR(__xludf.DUMMYFUNCTION("IFERROR(GOOGLEFINANCE(A68,""TRADETIME""),)"),46086.64583333333)</f>
        <v>46086.64583</v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68" t="s">
        <v>116</v>
      </c>
      <c r="B69" s="64" t="str">
        <f>IFERROR(__xludf.DUMMYFUNCTION("IFERROR(GOOGLEFINANCE(A69,""NAME""),)"),"Alkyl Amines Chemicals Ltd")</f>
        <v>Alkyl Amines Chemicals Ltd</v>
      </c>
      <c r="C69" s="64">
        <f>IFERROR(__xludf.DUMMYFUNCTION("IFERROR(GOOGLEFINANCE(A69,""CHANGE""),)"),3.2)</f>
        <v>3.2</v>
      </c>
      <c r="D69" s="64">
        <f>IFERROR(__xludf.DUMMYFUNCTION("IFERROR(GOOGLEFINANCE(A69,""CHANGEPCT""),)"),0.12)</f>
        <v>0.12</v>
      </c>
      <c r="E69" s="64" t="str">
        <f t="shared" si="1"/>
        <v>0.12%</v>
      </c>
      <c r="F69" s="64">
        <f t="shared" si="2"/>
        <v>0.12</v>
      </c>
      <c r="G69" s="64" t="str">
        <f t="shared" si="3"/>
        <v/>
      </c>
      <c r="H69" s="64">
        <f>IFERROR(__xludf.DUMMYFUNCTION("IFERROR(GOOGLEFINANCE(A69,""PRICE""),)"),1405.0)</f>
        <v>1405</v>
      </c>
      <c r="I69" s="65">
        <f>IFERROR(__xludf.DUMMYFUNCTION("IFERROR(GOOGLEFINANCE(A69,""VOLUME""),)"),33096.0)</f>
        <v>33096</v>
      </c>
      <c r="J69" s="64" t="str">
        <f>IFERROR(__xludf.DUMMYFUNCTION("IFERROR(INDEX(SPLIT(A69,"":""),1,2),)"),"ALKYLAMINE")</f>
        <v>ALKYLAMINE</v>
      </c>
      <c r="K69" s="64">
        <f t="shared" si="4"/>
        <v>969</v>
      </c>
      <c r="L69" s="64" t="str">
        <f t="shared" si="5"/>
        <v/>
      </c>
      <c r="M69" s="64">
        <f t="shared" si="6"/>
        <v>1032</v>
      </c>
      <c r="N69" s="66">
        <f>IFERROR(__xludf.DUMMYFUNCTION("IFERROR(GOOGLEFINANCE(A69,""TRADETIME""),)"),46086.64584490741)</f>
        <v>46086.64584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67" t="s">
        <v>117</v>
      </c>
      <c r="B70" s="60" t="str">
        <f>IFERROR(__xludf.DUMMYFUNCTION("IFERROR(GOOGLEFINANCE(A70,""NAME""),)"),"Allcargo Logistics Ltd")</f>
        <v>Allcargo Logistics Ltd</v>
      </c>
      <c r="C70" s="60">
        <f>IFERROR(__xludf.DUMMYFUNCTION("IFERROR(GOOGLEFINANCE(A70,""CHANGE""),)"),-0.09)</f>
        <v>-0.09</v>
      </c>
      <c r="D70" s="60">
        <f>IFERROR(__xludf.DUMMYFUNCTION("IFERROR(GOOGLEFINANCE(A70,""CHANGEPCT""),)"),-1.12)</f>
        <v>-1.12</v>
      </c>
      <c r="E70" s="60" t="str">
        <f t="shared" si="1"/>
        <v>-1.12%</v>
      </c>
      <c r="F70" s="60" t="str">
        <f t="shared" si="2"/>
        <v/>
      </c>
      <c r="G70" s="60">
        <f t="shared" si="3"/>
        <v>-1.12</v>
      </c>
      <c r="H70" s="60">
        <f>IFERROR(__xludf.DUMMYFUNCTION("IFERROR(GOOGLEFINANCE(A70,""PRICE""),)"),7.92)</f>
        <v>7.92</v>
      </c>
      <c r="I70" s="61">
        <f>IFERROR(__xludf.DUMMYFUNCTION("IFERROR(GOOGLEFINANCE(A70,""VOLUME""),)"),4512618.0)</f>
        <v>4512618</v>
      </c>
      <c r="J70" s="60" t="str">
        <f>IFERROR(__xludf.DUMMYFUNCTION("IFERROR(INDEX(SPLIT(A70,"":""),1,2),)"),"ALLCARGO")</f>
        <v>ALLCARGO</v>
      </c>
      <c r="K70" s="60" t="str">
        <f t="shared" si="4"/>
        <v/>
      </c>
      <c r="L70" s="60">
        <f t="shared" si="5"/>
        <v>230</v>
      </c>
      <c r="M70" s="60">
        <f t="shared" si="6"/>
        <v>119</v>
      </c>
      <c r="N70" s="62">
        <f>IFERROR(__xludf.DUMMYFUNCTION("IFERROR(GOOGLEFINANCE(A70,""TRADETIME""),)"),46086.64583333333)</f>
        <v>46086.64583</v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68" t="s">
        <v>118</v>
      </c>
      <c r="B71" s="64" t="str">
        <f>IFERROR(__xludf.DUMMYFUNCTION("IFERROR(GOOGLEFINANCE(A71,""NAME""),)"),"")</f>
        <v/>
      </c>
      <c r="C71" s="64" t="str">
        <f>IFERROR(__xludf.DUMMYFUNCTION("IFERROR(GOOGLEFINANCE(A71,""CHANGE""),)"),"")</f>
        <v/>
      </c>
      <c r="D71" s="64" t="str">
        <f>IFERROR(__xludf.DUMMYFUNCTION("IFERROR(GOOGLEFINANCE(A71,""CHANGEPCT""),)"),"")</f>
        <v/>
      </c>
      <c r="E71" s="64" t="str">
        <f t="shared" si="1"/>
        <v>%</v>
      </c>
      <c r="F71" s="64" t="str">
        <f t="shared" si="2"/>
        <v/>
      </c>
      <c r="G71" s="64" t="str">
        <f t="shared" si="3"/>
        <v/>
      </c>
      <c r="H71" s="64" t="str">
        <f>IFERROR(__xludf.DUMMYFUNCTION("IFERROR(GOOGLEFINANCE(A71,""PRICE""),)"),"")</f>
        <v/>
      </c>
      <c r="I71" s="65" t="str">
        <f>IFERROR(__xludf.DUMMYFUNCTION("IFERROR(GOOGLEFINANCE(A71,""VOLUME""),)"),"")</f>
        <v/>
      </c>
      <c r="J71" s="64" t="str">
        <f>IFERROR(__xludf.DUMMYFUNCTION("IFERROR(INDEX(SPLIT(A71,"":""),1,2),)"),"ALLSEC")</f>
        <v>ALLSEC</v>
      </c>
      <c r="K71" s="64" t="str">
        <f t="shared" si="4"/>
        <v/>
      </c>
      <c r="L71" s="64" t="str">
        <f t="shared" si="5"/>
        <v/>
      </c>
      <c r="M71" s="64" t="str">
        <f t="shared" si="6"/>
        <v/>
      </c>
      <c r="N71" s="66" t="str">
        <f>IFERROR(__xludf.DUMMYFUNCTION("IFERROR(GOOGLEFINANCE(A71,""TRADETIME""),)"),"")</f>
        <v/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67" t="s">
        <v>119</v>
      </c>
      <c r="B72" s="60" t="str">
        <f>IFERROR(__xludf.DUMMYFUNCTION("IFERROR(GOOGLEFINANCE(A72,""NAME""),)"),"Almondz Global Securities Ltd")</f>
        <v>Almondz Global Securities Ltd</v>
      </c>
      <c r="C72" s="60">
        <f>IFERROR(__xludf.DUMMYFUNCTION("IFERROR(GOOGLEFINANCE(A72,""CHANGE""),)"),0.22)</f>
        <v>0.22</v>
      </c>
      <c r="D72" s="60">
        <f>IFERROR(__xludf.DUMMYFUNCTION("IFERROR(GOOGLEFINANCE(A72,""CHANGEPCT""),)"),1.52)</f>
        <v>1.52</v>
      </c>
      <c r="E72" s="60" t="str">
        <f t="shared" si="1"/>
        <v>1.52%</v>
      </c>
      <c r="F72" s="60">
        <f t="shared" si="2"/>
        <v>1.52</v>
      </c>
      <c r="G72" s="60" t="str">
        <f t="shared" si="3"/>
        <v/>
      </c>
      <c r="H72" s="60">
        <f>IFERROR(__xludf.DUMMYFUNCTION("IFERROR(GOOGLEFINANCE(A72,""PRICE""),)"),14.7)</f>
        <v>14.7</v>
      </c>
      <c r="I72" s="61">
        <f>IFERROR(__xludf.DUMMYFUNCTION("IFERROR(GOOGLEFINANCE(A72,""VOLUME""),)"),29057.0)</f>
        <v>29057</v>
      </c>
      <c r="J72" s="60" t="str">
        <f>IFERROR(__xludf.DUMMYFUNCTION("IFERROR(INDEX(SPLIT(A72,"":""),1,2),)"),"ALMONDZ")</f>
        <v>ALMONDZ</v>
      </c>
      <c r="K72" s="60">
        <f t="shared" si="4"/>
        <v>566</v>
      </c>
      <c r="L72" s="60" t="str">
        <f t="shared" si="5"/>
        <v/>
      </c>
      <c r="M72" s="60">
        <f t="shared" si="6"/>
        <v>1064</v>
      </c>
      <c r="N72" s="62">
        <f>IFERROR(__xludf.DUMMYFUNCTION("IFERROR(GOOGLEFINANCE(A72,""TRADETIME""),)"),46086.64583333333)</f>
        <v>46086.64583</v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68" t="s">
        <v>120</v>
      </c>
      <c r="B73" s="64" t="str">
        <f>IFERROR(__xludf.DUMMYFUNCTION("IFERROR(GOOGLEFINANCE(A73,""NAME""),)"),"Alok Industries Ltd")</f>
        <v>Alok Industries Ltd</v>
      </c>
      <c r="C73" s="64">
        <f>IFERROR(__xludf.DUMMYFUNCTION("IFERROR(GOOGLEFINANCE(A73,""CHANGE""),)"),0.24)</f>
        <v>0.24</v>
      </c>
      <c r="D73" s="64">
        <f>IFERROR(__xludf.DUMMYFUNCTION("IFERROR(GOOGLEFINANCE(A73,""CHANGEPCT""),)"),2.33)</f>
        <v>2.33</v>
      </c>
      <c r="E73" s="64" t="str">
        <f t="shared" si="1"/>
        <v>2.33%</v>
      </c>
      <c r="F73" s="64">
        <f t="shared" si="2"/>
        <v>2.33</v>
      </c>
      <c r="G73" s="64" t="str">
        <f t="shared" si="3"/>
        <v/>
      </c>
      <c r="H73" s="64">
        <f>IFERROR(__xludf.DUMMYFUNCTION("IFERROR(GOOGLEFINANCE(A73,""PRICE""),)"),13.63)</f>
        <v>13.63</v>
      </c>
      <c r="I73" s="65">
        <f>IFERROR(__xludf.DUMMYFUNCTION("IFERROR(GOOGLEFINANCE(A73,""VOLUME""),)"),3302788.0)</f>
        <v>3302788</v>
      </c>
      <c r="J73" s="64" t="str">
        <f>IFERROR(__xludf.DUMMYFUNCTION("IFERROR(INDEX(SPLIT(A73,"":""),1,2),)"),"ALOKINDS")</f>
        <v>ALOKINDS</v>
      </c>
      <c r="K73" s="64">
        <f t="shared" si="4"/>
        <v>368</v>
      </c>
      <c r="L73" s="64" t="str">
        <f t="shared" si="5"/>
        <v/>
      </c>
      <c r="M73" s="64">
        <f t="shared" si="6"/>
        <v>140</v>
      </c>
      <c r="N73" s="66">
        <f>IFERROR(__xludf.DUMMYFUNCTION("IFERROR(GOOGLEFINANCE(A73,""TRADETIME""),)"),46086.64583333333)</f>
        <v>46086.64583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67" t="s">
        <v>121</v>
      </c>
      <c r="B74" s="60" t="str">
        <f>IFERROR(__xludf.DUMMYFUNCTION("IFERROR(GOOGLEFINANCE(A74,""NAME""),)"),"Alpa Laboratories Limited")</f>
        <v>Alpa Laboratories Limited</v>
      </c>
      <c r="C74" s="60">
        <f>IFERROR(__xludf.DUMMYFUNCTION("IFERROR(GOOGLEFINANCE(A74,""CHANGE""),)"),0.14)</f>
        <v>0.14</v>
      </c>
      <c r="D74" s="60">
        <f>IFERROR(__xludf.DUMMYFUNCTION("IFERROR(GOOGLEFINANCE(A74,""CHANGEPCT""),)"),0.22)</f>
        <v>0.22</v>
      </c>
      <c r="E74" s="60" t="str">
        <f t="shared" si="1"/>
        <v>0.22%</v>
      </c>
      <c r="F74" s="60">
        <f t="shared" si="2"/>
        <v>0.22</v>
      </c>
      <c r="G74" s="60" t="str">
        <f t="shared" si="3"/>
        <v/>
      </c>
      <c r="H74" s="60">
        <f>IFERROR(__xludf.DUMMYFUNCTION("IFERROR(GOOGLEFINANCE(A74,""PRICE""),)"),63.2)</f>
        <v>63.2</v>
      </c>
      <c r="I74" s="61">
        <f>IFERROR(__xludf.DUMMYFUNCTION("IFERROR(GOOGLEFINANCE(A74,""VOLUME""),)"),10360.0)</f>
        <v>10360</v>
      </c>
      <c r="J74" s="60" t="str">
        <f>IFERROR(__xludf.DUMMYFUNCTION("IFERROR(INDEX(SPLIT(A74,"":""),1,2),)"),"ALPA")</f>
        <v>ALPA</v>
      </c>
      <c r="K74" s="60">
        <f t="shared" si="4"/>
        <v>946</v>
      </c>
      <c r="L74" s="60" t="str">
        <f t="shared" si="5"/>
        <v/>
      </c>
      <c r="M74" s="60">
        <f t="shared" si="6"/>
        <v>1258</v>
      </c>
      <c r="N74" s="62">
        <f>IFERROR(__xludf.DUMMYFUNCTION("IFERROR(GOOGLEFINANCE(A74,""TRADETIME""),)"),46086.64583333333)</f>
        <v>46086.64583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63" t="s">
        <v>122</v>
      </c>
      <c r="B75" s="64" t="str">
        <f>IFERROR(__xludf.DUMMYFUNCTION("IFERROR(GOOGLEFINANCE(A75,""NAME""),)"),"Banco Products (India) Ltd")</f>
        <v>Banco Products (India) Ltd</v>
      </c>
      <c r="C75" s="64">
        <f>IFERROR(__xludf.DUMMYFUNCTION("IFERROR(GOOGLEFINANCE(A75,""CHANGE""),)"),12.25)</f>
        <v>12.25</v>
      </c>
      <c r="D75" s="64">
        <f>IFERROR(__xludf.DUMMYFUNCTION("IFERROR(GOOGLEFINANCE(A75,""CHANGEPCT""),)"),2.14)</f>
        <v>2.14</v>
      </c>
      <c r="E75" s="64" t="str">
        <f t="shared" si="1"/>
        <v>2.14%</v>
      </c>
      <c r="F75" s="64">
        <f t="shared" si="2"/>
        <v>2.14</v>
      </c>
      <c r="G75" s="64" t="str">
        <f t="shared" si="3"/>
        <v/>
      </c>
      <c r="H75" s="64">
        <f>IFERROR(__xludf.DUMMYFUNCTION("IFERROR(GOOGLEFINANCE(A75,""PRICE""),)"),584.95)</f>
        <v>584.95</v>
      </c>
      <c r="I75" s="65">
        <f>IFERROR(__xludf.DUMMYFUNCTION("IFERROR(GOOGLEFINANCE(A75,""VOLUME""),)"),152318.0)</f>
        <v>152318</v>
      </c>
      <c r="J75" s="64" t="str">
        <f>IFERROR(__xludf.DUMMYFUNCTION("IFERROR(INDEX(SPLIT(A75,"":""),1,2),)"),"BANCOINDIA")</f>
        <v>BANCOINDIA</v>
      </c>
      <c r="K75" s="64">
        <f t="shared" si="4"/>
        <v>408</v>
      </c>
      <c r="L75" s="64" t="str">
        <f t="shared" si="5"/>
        <v/>
      </c>
      <c r="M75" s="64">
        <f t="shared" si="6"/>
        <v>671</v>
      </c>
      <c r="N75" s="66">
        <f>IFERROR(__xludf.DUMMYFUNCTION("IFERROR(GOOGLEFINANCE(A75,""TRADETIME""),)"),46086.639814814815)</f>
        <v>46086.63981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67" t="s">
        <v>123</v>
      </c>
      <c r="B76" s="60" t="str">
        <f>IFERROR(__xludf.DUMMYFUNCTION("IFERROR(GOOGLEFINANCE(A76,""NAME""),)"),"")</f>
        <v/>
      </c>
      <c r="C76" s="60" t="str">
        <f>IFERROR(__xludf.DUMMYFUNCTION("IFERROR(GOOGLEFINANCE(A76,""CHANGE""),)"),"")</f>
        <v/>
      </c>
      <c r="D76" s="60" t="str">
        <f>IFERROR(__xludf.DUMMYFUNCTION("IFERROR(GOOGLEFINANCE(A76,""CHANGEPCT""),)"),"")</f>
        <v/>
      </c>
      <c r="E76" s="60" t="str">
        <f t="shared" si="1"/>
        <v>%</v>
      </c>
      <c r="F76" s="60" t="str">
        <f t="shared" si="2"/>
        <v/>
      </c>
      <c r="G76" s="60" t="str">
        <f t="shared" si="3"/>
        <v/>
      </c>
      <c r="H76" s="60" t="str">
        <f>IFERROR(__xludf.DUMMYFUNCTION("IFERROR(GOOGLEFINANCE(A76,""PRICE""),)"),"")</f>
        <v/>
      </c>
      <c r="I76" s="61" t="str">
        <f>IFERROR(__xludf.DUMMYFUNCTION("IFERROR(GOOGLEFINANCE(A76,""VOLUME""),)"),"")</f>
        <v/>
      </c>
      <c r="J76" s="60" t="str">
        <f>IFERROR(__xludf.DUMMYFUNCTION("IFERROR(INDEX(SPLIT(A76,"":""),1,2),)"),"ALPSINDUS")</f>
        <v>ALPSINDUS</v>
      </c>
      <c r="K76" s="60" t="str">
        <f t="shared" si="4"/>
        <v/>
      </c>
      <c r="L76" s="60" t="str">
        <f t="shared" si="5"/>
        <v/>
      </c>
      <c r="M76" s="60" t="str">
        <f t="shared" si="6"/>
        <v/>
      </c>
      <c r="N76" s="62" t="str">
        <f>IFERROR(__xludf.DUMMYFUNCTION("IFERROR(GOOGLEFINANCE(A76,""TRADETIME""),)"),"")</f>
        <v/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68" t="s">
        <v>124</v>
      </c>
      <c r="B77" s="64" t="str">
        <f>IFERROR(__xludf.DUMMYFUNCTION("IFERROR(GOOGLEFINANCE(A77,""NAME""),)"),"")</f>
        <v/>
      </c>
      <c r="C77" s="64" t="str">
        <f>IFERROR(__xludf.DUMMYFUNCTION("IFERROR(GOOGLEFINANCE(A77,""CHANGE""),)"),"")</f>
        <v/>
      </c>
      <c r="D77" s="64" t="str">
        <f>IFERROR(__xludf.DUMMYFUNCTION("IFERROR(GOOGLEFINANCE(A77,""CHANGEPCT""),)"),"")</f>
        <v/>
      </c>
      <c r="E77" s="64" t="str">
        <f t="shared" si="1"/>
        <v>%</v>
      </c>
      <c r="F77" s="64" t="str">
        <f t="shared" si="2"/>
        <v/>
      </c>
      <c r="G77" s="64" t="str">
        <f t="shared" si="3"/>
        <v/>
      </c>
      <c r="H77" s="64" t="str">
        <f>IFERROR(__xludf.DUMMYFUNCTION("IFERROR(GOOGLEFINANCE(A77,""PRICE""),)"),"")</f>
        <v/>
      </c>
      <c r="I77" s="65" t="str">
        <f>IFERROR(__xludf.DUMMYFUNCTION("IFERROR(GOOGLEFINANCE(A77,""VOLUME""),)"),"")</f>
        <v/>
      </c>
      <c r="J77" s="64" t="str">
        <f>IFERROR(__xludf.DUMMYFUNCTION("IFERROR(INDEX(SPLIT(A77,"":""),1,2),)"),"AMARAJABAT")</f>
        <v>AMARAJABAT</v>
      </c>
      <c r="K77" s="64" t="str">
        <f t="shared" si="4"/>
        <v/>
      </c>
      <c r="L77" s="64" t="str">
        <f t="shared" si="5"/>
        <v/>
      </c>
      <c r="M77" s="64" t="str">
        <f t="shared" si="6"/>
        <v/>
      </c>
      <c r="N77" s="66" t="str">
        <f>IFERROR(__xludf.DUMMYFUNCTION("IFERROR(GOOGLEFINANCE(A77,""TRADETIME""),)"),"")</f>
        <v/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67" t="s">
        <v>125</v>
      </c>
      <c r="B78" s="60" t="str">
        <f>IFERROR(__xludf.DUMMYFUNCTION("IFERROR(GOOGLEFINANCE(A78,""NAME""),)"),"Amber Enterprises India Ltd")</f>
        <v>Amber Enterprises India Ltd</v>
      </c>
      <c r="C78" s="60">
        <f>IFERROR(__xludf.DUMMYFUNCTION("IFERROR(GOOGLEFINANCE(A78,""CHANGE""),)"),213.5)</f>
        <v>213.5</v>
      </c>
      <c r="D78" s="60">
        <f>IFERROR(__xludf.DUMMYFUNCTION("IFERROR(GOOGLEFINANCE(A78,""CHANGEPCT""),)"),2.59)</f>
        <v>2.59</v>
      </c>
      <c r="E78" s="60" t="str">
        <f t="shared" si="1"/>
        <v>2.59%</v>
      </c>
      <c r="F78" s="60">
        <f t="shared" si="2"/>
        <v>2.59</v>
      </c>
      <c r="G78" s="60" t="str">
        <f t="shared" si="3"/>
        <v/>
      </c>
      <c r="H78" s="60">
        <f>IFERROR(__xludf.DUMMYFUNCTION("IFERROR(GOOGLEFINANCE(A78,""PRICE""),)"),7855.0)</f>
        <v>7855</v>
      </c>
      <c r="I78" s="61">
        <f>IFERROR(__xludf.DUMMYFUNCTION("IFERROR(GOOGLEFINANCE(A78,""VOLUME""),)"),258167.0)</f>
        <v>258167</v>
      </c>
      <c r="J78" s="60" t="str">
        <f>IFERROR(__xludf.DUMMYFUNCTION("IFERROR(INDEX(SPLIT(A78,"":""),1,2),)"),"AMBER")</f>
        <v>AMBER</v>
      </c>
      <c r="K78" s="60">
        <f t="shared" si="4"/>
        <v>325</v>
      </c>
      <c r="L78" s="60" t="str">
        <f t="shared" si="5"/>
        <v/>
      </c>
      <c r="M78" s="60">
        <f t="shared" si="6"/>
        <v>545</v>
      </c>
      <c r="N78" s="62">
        <f>IFERROR(__xludf.DUMMYFUNCTION("IFERROR(GOOGLEFINANCE(A78,""TRADETIME""),)"),46086.64583333333)</f>
        <v>46086.64583</v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68" t="s">
        <v>126</v>
      </c>
      <c r="B79" s="64" t="str">
        <f>IFERROR(__xludf.DUMMYFUNCTION("IFERROR(GOOGLEFINANCE(A79,""NAME""),)"),"Ambika Cotton Mills Ltd")</f>
        <v>Ambika Cotton Mills Ltd</v>
      </c>
      <c r="C79" s="64">
        <f>IFERROR(__xludf.DUMMYFUNCTION("IFERROR(GOOGLEFINANCE(A79,""CHANGE""),)"),43.5)</f>
        <v>43.5</v>
      </c>
      <c r="D79" s="64">
        <f>IFERROR(__xludf.DUMMYFUNCTION("IFERROR(GOOGLEFINANCE(A79,""CHANGEPCT""),)"),3.2)</f>
        <v>3.2</v>
      </c>
      <c r="E79" s="64" t="str">
        <f t="shared" si="1"/>
        <v>3.2%</v>
      </c>
      <c r="F79" s="64">
        <f t="shared" si="2"/>
        <v>3.2</v>
      </c>
      <c r="G79" s="64" t="str">
        <f t="shared" si="3"/>
        <v/>
      </c>
      <c r="H79" s="64">
        <f>IFERROR(__xludf.DUMMYFUNCTION("IFERROR(GOOGLEFINANCE(A79,""PRICE""),)"),1400.2)</f>
        <v>1400.2</v>
      </c>
      <c r="I79" s="65">
        <f>IFERROR(__xludf.DUMMYFUNCTION("IFERROR(GOOGLEFINANCE(A79,""VOLUME""),)"),10974.0)</f>
        <v>10974</v>
      </c>
      <c r="J79" s="64" t="str">
        <f>IFERROR(__xludf.DUMMYFUNCTION("IFERROR(INDEX(SPLIT(A79,"":""),1,2),)"),"AMBIKCO")</f>
        <v>AMBIKCO</v>
      </c>
      <c r="K79" s="64">
        <f t="shared" si="4"/>
        <v>224</v>
      </c>
      <c r="L79" s="64" t="str">
        <f t="shared" si="5"/>
        <v/>
      </c>
      <c r="M79" s="64">
        <f t="shared" si="6"/>
        <v>1247</v>
      </c>
      <c r="N79" s="66">
        <f>IFERROR(__xludf.DUMMYFUNCTION("IFERROR(GOOGLEFINANCE(A79,""TRADETIME""),)"),46086.64583333333)</f>
        <v>46086.64583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67" t="s">
        <v>127</v>
      </c>
      <c r="B80" s="60" t="str">
        <f>IFERROR(__xludf.DUMMYFUNCTION("IFERROR(GOOGLEFINANCE(A80,""NAME""),)"),"Ambuja Cements Ltd")</f>
        <v>Ambuja Cements Ltd</v>
      </c>
      <c r="C80" s="60">
        <f>IFERROR(__xludf.DUMMYFUNCTION("IFERROR(GOOGLEFINANCE(A80,""CHANGE""),)"),3.85)</f>
        <v>3.85</v>
      </c>
      <c r="D80" s="60">
        <f>IFERROR(__xludf.DUMMYFUNCTION("IFERROR(GOOGLEFINANCE(A80,""CHANGEPCT""),)"),0.81)</f>
        <v>0.81</v>
      </c>
      <c r="E80" s="60" t="str">
        <f t="shared" si="1"/>
        <v>0.81%</v>
      </c>
      <c r="F80" s="60">
        <f t="shared" si="2"/>
        <v>0.81</v>
      </c>
      <c r="G80" s="60" t="str">
        <f t="shared" si="3"/>
        <v/>
      </c>
      <c r="H80" s="60">
        <f>IFERROR(__xludf.DUMMYFUNCTION("IFERROR(GOOGLEFINANCE(A80,""PRICE""),)"),480.0)</f>
        <v>480</v>
      </c>
      <c r="I80" s="61">
        <f>IFERROR(__xludf.DUMMYFUNCTION("IFERROR(GOOGLEFINANCE(A80,""VOLUME""),)"),1743949.0)</f>
        <v>1743949</v>
      </c>
      <c r="J80" s="60" t="str">
        <f>IFERROR(__xludf.DUMMYFUNCTION("IFERROR(INDEX(SPLIT(A80,"":""),1,2),)"),"AMBUJACEM")</f>
        <v>AMBUJACEM</v>
      </c>
      <c r="K80" s="60">
        <f t="shared" si="4"/>
        <v>776</v>
      </c>
      <c r="L80" s="60" t="str">
        <f t="shared" si="5"/>
        <v/>
      </c>
      <c r="M80" s="60">
        <f t="shared" si="6"/>
        <v>223</v>
      </c>
      <c r="N80" s="62">
        <f>IFERROR(__xludf.DUMMYFUNCTION("IFERROR(GOOGLEFINANCE(A80,""TRADETIME""),)"),46086.64583333333)</f>
        <v>46086.64583</v>
      </c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68" t="s">
        <v>128</v>
      </c>
      <c r="B81" s="64" t="str">
        <f>IFERROR(__xludf.DUMMYFUNCTION("IFERROR(GOOGLEFINANCE(A81,""NAME""),)"),"AMD Industries Ltd.")</f>
        <v>AMD Industries Ltd.</v>
      </c>
      <c r="C81" s="64">
        <f>IFERROR(__xludf.DUMMYFUNCTION("IFERROR(GOOGLEFINANCE(A81,""CHANGE""),)"),-0.8)</f>
        <v>-0.8</v>
      </c>
      <c r="D81" s="64">
        <f>IFERROR(__xludf.DUMMYFUNCTION("IFERROR(GOOGLEFINANCE(A81,""CHANGEPCT""),)"),-1.3)</f>
        <v>-1.3</v>
      </c>
      <c r="E81" s="64" t="str">
        <f t="shared" si="1"/>
        <v>-1.3%</v>
      </c>
      <c r="F81" s="64" t="str">
        <f t="shared" si="2"/>
        <v/>
      </c>
      <c r="G81" s="64">
        <f t="shared" si="3"/>
        <v>-1.3</v>
      </c>
      <c r="H81" s="64">
        <f>IFERROR(__xludf.DUMMYFUNCTION("IFERROR(GOOGLEFINANCE(A81,""PRICE""),)"),38.69)</f>
        <v>38.69</v>
      </c>
      <c r="I81" s="65">
        <f>IFERROR(__xludf.DUMMYFUNCTION("IFERROR(GOOGLEFINANCE(A81,""VOLUME""),)"),16451.0)</f>
        <v>16451</v>
      </c>
      <c r="J81" s="64" t="str">
        <f>IFERROR(__xludf.DUMMYFUNCTION("IFERROR(INDEX(SPLIT(A81,"":""),1,2),)"),"AMDIND")</f>
        <v>AMDIND</v>
      </c>
      <c r="K81" s="64" t="str">
        <f t="shared" si="4"/>
        <v/>
      </c>
      <c r="L81" s="64">
        <f t="shared" si="5"/>
        <v>263</v>
      </c>
      <c r="M81" s="64">
        <f t="shared" si="6"/>
        <v>1180</v>
      </c>
      <c r="N81" s="66">
        <f>IFERROR(__xludf.DUMMYFUNCTION("IFERROR(GOOGLEFINANCE(A81,""TRADETIME""),)"),46086.64583333333)</f>
        <v>46086.64583</v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67" t="s">
        <v>129</v>
      </c>
      <c r="B82" s="60" t="str">
        <f>IFERROR(__xludf.DUMMYFUNCTION("IFERROR(GOOGLEFINANCE(A82,""NAME""),)"),"AMJ Land Holdings Ltd")</f>
        <v>AMJ Land Holdings Ltd</v>
      </c>
      <c r="C82" s="60">
        <f>IFERROR(__xludf.DUMMYFUNCTION("IFERROR(GOOGLEFINANCE(A82,""CHANGE""),)"),-0.46)</f>
        <v>-0.46</v>
      </c>
      <c r="D82" s="60">
        <f>IFERROR(__xludf.DUMMYFUNCTION("IFERROR(GOOGLEFINANCE(A82,""CHANGEPCT""),)"),-1.16)</f>
        <v>-1.16</v>
      </c>
      <c r="E82" s="60" t="str">
        <f t="shared" si="1"/>
        <v>-1.16%</v>
      </c>
      <c r="F82" s="60" t="str">
        <f t="shared" si="2"/>
        <v/>
      </c>
      <c r="G82" s="60">
        <f t="shared" si="3"/>
        <v>-1.16</v>
      </c>
      <c r="H82" s="60">
        <f>IFERROR(__xludf.DUMMYFUNCTION("IFERROR(GOOGLEFINANCE(A82,""PRICE""),)"),39.05)</f>
        <v>39.05</v>
      </c>
      <c r="I82" s="61">
        <f>IFERROR(__xludf.DUMMYFUNCTION("IFERROR(GOOGLEFINANCE(A82,""VOLUME""),)"),18608.0)</f>
        <v>18608</v>
      </c>
      <c r="J82" s="60" t="str">
        <f>IFERROR(__xludf.DUMMYFUNCTION("IFERROR(INDEX(SPLIT(A82,"":""),1,2),)"),"AMJLAND")</f>
        <v>AMJLAND</v>
      </c>
      <c r="K82" s="60" t="str">
        <f t="shared" si="4"/>
        <v/>
      </c>
      <c r="L82" s="60">
        <f t="shared" si="5"/>
        <v>236</v>
      </c>
      <c r="M82" s="60">
        <f t="shared" si="6"/>
        <v>1161</v>
      </c>
      <c r="N82" s="62">
        <f>IFERROR(__xludf.DUMMYFUNCTION("IFERROR(GOOGLEFINANCE(A82,""TRADETIME""),)"),46086.64583333333)</f>
        <v>46086.64583</v>
      </c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68" t="s">
        <v>130</v>
      </c>
      <c r="B83" s="64" t="str">
        <f>IFERROR(__xludf.DUMMYFUNCTION("IFERROR(GOOGLEFINANCE(A83,""NAME""),)"),"Amrutanjan Health Care Ltd")</f>
        <v>Amrutanjan Health Care Ltd</v>
      </c>
      <c r="C83" s="64">
        <f>IFERROR(__xludf.DUMMYFUNCTION("IFERROR(GOOGLEFINANCE(A83,""CHANGE""),)"),-3.5)</f>
        <v>-3.5</v>
      </c>
      <c r="D83" s="64">
        <f>IFERROR(__xludf.DUMMYFUNCTION("IFERROR(GOOGLEFINANCE(A83,""CHANGEPCT""),)"),-0.61)</f>
        <v>-0.61</v>
      </c>
      <c r="E83" s="64" t="str">
        <f t="shared" si="1"/>
        <v>-0.61%</v>
      </c>
      <c r="F83" s="64" t="str">
        <f t="shared" si="2"/>
        <v/>
      </c>
      <c r="G83" s="64">
        <f t="shared" si="3"/>
        <v>-0.61</v>
      </c>
      <c r="H83" s="64">
        <f>IFERROR(__xludf.DUMMYFUNCTION("IFERROR(GOOGLEFINANCE(A83,""PRICE""),)"),570.5)</f>
        <v>570.5</v>
      </c>
      <c r="I83" s="65">
        <f>IFERROR(__xludf.DUMMYFUNCTION("IFERROR(GOOGLEFINANCE(A83,""VOLUME""),)"),27828.0)</f>
        <v>27828</v>
      </c>
      <c r="J83" s="64" t="str">
        <f>IFERROR(__xludf.DUMMYFUNCTION("IFERROR(INDEX(SPLIT(A83,"":""),1,2),)"),"AMRUTANJAN")</f>
        <v>AMRUTANJAN</v>
      </c>
      <c r="K83" s="64" t="str">
        <f t="shared" si="4"/>
        <v/>
      </c>
      <c r="L83" s="64">
        <f t="shared" si="5"/>
        <v>144</v>
      </c>
      <c r="M83" s="64">
        <f t="shared" si="6"/>
        <v>1072</v>
      </c>
      <c r="N83" s="66">
        <f>IFERROR(__xludf.DUMMYFUNCTION("IFERROR(GOOGLEFINANCE(A83,""TRADETIME""),)"),46086.64583333333)</f>
        <v>46086.64583</v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67" t="s">
        <v>131</v>
      </c>
      <c r="B84" s="60" t="str">
        <f>IFERROR(__xludf.DUMMYFUNCTION("IFERROR(GOOGLEFINANCE(A84,""NAME""),)"),"Anant Raj Ltd")</f>
        <v>Anant Raj Ltd</v>
      </c>
      <c r="C84" s="60">
        <f>IFERROR(__xludf.DUMMYFUNCTION("IFERROR(GOOGLEFINANCE(A84,""CHANGE""),)"),5.0)</f>
        <v>5</v>
      </c>
      <c r="D84" s="60">
        <f>IFERROR(__xludf.DUMMYFUNCTION("IFERROR(GOOGLEFINANCE(A84,""CHANGEPCT""),)"),0.56)</f>
        <v>0.56</v>
      </c>
      <c r="E84" s="60" t="str">
        <f t="shared" si="1"/>
        <v>0.56%</v>
      </c>
      <c r="F84" s="60">
        <f t="shared" si="2"/>
        <v>0.56</v>
      </c>
      <c r="G84" s="60" t="str">
        <f t="shared" si="3"/>
        <v/>
      </c>
      <c r="H84" s="60">
        <f>IFERROR(__xludf.DUMMYFUNCTION("IFERROR(GOOGLEFINANCE(A84,""PRICE""),)"),494.3)</f>
        <v>494.3</v>
      </c>
      <c r="I84" s="61">
        <f>IFERROR(__xludf.DUMMYFUNCTION("IFERROR(GOOGLEFINANCE(A84,""VOLUME""),)"),2217635.0)</f>
        <v>2217635</v>
      </c>
      <c r="J84" s="60" t="str">
        <f>IFERROR(__xludf.DUMMYFUNCTION("IFERROR(INDEX(SPLIT(A84,"":""),1,2),)"),"ANANTRAJ")</f>
        <v>ANANTRAJ</v>
      </c>
      <c r="K84" s="60">
        <f t="shared" si="4"/>
        <v>855</v>
      </c>
      <c r="L84" s="60" t="str">
        <f t="shared" si="5"/>
        <v/>
      </c>
      <c r="M84" s="60">
        <f t="shared" si="6"/>
        <v>184</v>
      </c>
      <c r="N84" s="62">
        <f>IFERROR(__xludf.DUMMYFUNCTION("IFERROR(GOOGLEFINANCE(A84,""TRADETIME""),)"),46086.64583333333)</f>
        <v>46086.64583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68" t="s">
        <v>132</v>
      </c>
      <c r="B85" s="64" t="str">
        <f>IFERROR(__xludf.DUMMYFUNCTION("IFERROR(GOOGLEFINANCE(A85,""NAME""),)"),"")</f>
        <v/>
      </c>
      <c r="C85" s="64" t="str">
        <f>IFERROR(__xludf.DUMMYFUNCTION("IFERROR(GOOGLEFINANCE(A85,""CHANGE""),)"),"")</f>
        <v/>
      </c>
      <c r="D85" s="64" t="str">
        <f>IFERROR(__xludf.DUMMYFUNCTION("IFERROR(GOOGLEFINANCE(A85,""CHANGEPCT""),)"),"")</f>
        <v/>
      </c>
      <c r="E85" s="64" t="str">
        <f t="shared" si="1"/>
        <v>%</v>
      </c>
      <c r="F85" s="64" t="str">
        <f t="shared" si="2"/>
        <v/>
      </c>
      <c r="G85" s="64" t="str">
        <f t="shared" si="3"/>
        <v/>
      </c>
      <c r="H85" s="64" t="str">
        <f>IFERROR(__xludf.DUMMYFUNCTION("IFERROR(GOOGLEFINANCE(A85,""PRICE""),)"),"")</f>
        <v/>
      </c>
      <c r="I85" s="65" t="str">
        <f>IFERROR(__xludf.DUMMYFUNCTION("IFERROR(GOOGLEFINANCE(A85,""VOLUME""),)"),"")</f>
        <v/>
      </c>
      <c r="J85" s="64" t="str">
        <f>IFERROR(__xludf.DUMMYFUNCTION("IFERROR(INDEX(SPLIT(A85,"":""),1,2),)"),"ANDHRACEMT")</f>
        <v>ANDHRACEMT</v>
      </c>
      <c r="K85" s="64" t="str">
        <f t="shared" si="4"/>
        <v/>
      </c>
      <c r="L85" s="64" t="str">
        <f t="shared" si="5"/>
        <v/>
      </c>
      <c r="M85" s="64" t="str">
        <f t="shared" si="6"/>
        <v/>
      </c>
      <c r="N85" s="66" t="str">
        <f>IFERROR(__xludf.DUMMYFUNCTION("IFERROR(GOOGLEFINANCE(A85,""TRADETIME""),)"),"")</f>
        <v/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67" t="s">
        <v>133</v>
      </c>
      <c r="B86" s="60" t="str">
        <f>IFERROR(__xludf.DUMMYFUNCTION("IFERROR(GOOGLEFINANCE(A86,""NAME""),)"),"Andhra Paper Ltd")</f>
        <v>Andhra Paper Ltd</v>
      </c>
      <c r="C86" s="60">
        <f>IFERROR(__xludf.DUMMYFUNCTION("IFERROR(GOOGLEFINANCE(A86,""CHANGE""),)"),-0.35)</f>
        <v>-0.35</v>
      </c>
      <c r="D86" s="60">
        <f>IFERROR(__xludf.DUMMYFUNCTION("IFERROR(GOOGLEFINANCE(A86,""CHANGEPCT""),)"),-0.92)</f>
        <v>-0.92</v>
      </c>
      <c r="E86" s="60" t="str">
        <f t="shared" si="1"/>
        <v>-0.92%</v>
      </c>
      <c r="F86" s="60" t="str">
        <f t="shared" si="2"/>
        <v/>
      </c>
      <c r="G86" s="60">
        <f t="shared" si="3"/>
        <v>-0.92</v>
      </c>
      <c r="H86" s="60">
        <f>IFERROR(__xludf.DUMMYFUNCTION("IFERROR(GOOGLEFINANCE(A86,""PRICE""),)"),65.53)</f>
        <v>65.53</v>
      </c>
      <c r="I86" s="61">
        <f>IFERROR(__xludf.DUMMYFUNCTION("IFERROR(GOOGLEFINANCE(A86,""VOLUME""),)"),79626.0)</f>
        <v>79626</v>
      </c>
      <c r="J86" s="60" t="str">
        <f>IFERROR(__xludf.DUMMYFUNCTION("IFERROR(INDEX(SPLIT(A86,"":""),1,2),)"),"ANDHRAPAP")</f>
        <v>ANDHRAPAP</v>
      </c>
      <c r="K86" s="60" t="str">
        <f t="shared" si="4"/>
        <v/>
      </c>
      <c r="L86" s="60">
        <f t="shared" si="5"/>
        <v>203</v>
      </c>
      <c r="M86" s="60">
        <f t="shared" si="6"/>
        <v>814</v>
      </c>
      <c r="N86" s="62">
        <f>IFERROR(__xludf.DUMMYFUNCTION("IFERROR(GOOGLEFINANCE(A86,""TRADETIME""),)"),46086.64583333333)</f>
        <v>46086.64583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68" t="s">
        <v>134</v>
      </c>
      <c r="B87" s="64" t="str">
        <f>IFERROR(__xludf.DUMMYFUNCTION("IFERROR(GOOGLEFINANCE(A87,""NAME""),)"),"Andhra Sugars Ltd")</f>
        <v>Andhra Sugars Ltd</v>
      </c>
      <c r="C87" s="64">
        <f>IFERROR(__xludf.DUMMYFUNCTION("IFERROR(GOOGLEFINANCE(A87,""CHANGE""),)"),1.88)</f>
        <v>1.88</v>
      </c>
      <c r="D87" s="64">
        <f>IFERROR(__xludf.DUMMYFUNCTION("IFERROR(GOOGLEFINANCE(A87,""CHANGEPCT""),)"),2.56)</f>
        <v>2.56</v>
      </c>
      <c r="E87" s="64" t="str">
        <f t="shared" si="1"/>
        <v>2.56%</v>
      </c>
      <c r="F87" s="64">
        <f t="shared" si="2"/>
        <v>2.56</v>
      </c>
      <c r="G87" s="64" t="str">
        <f t="shared" si="3"/>
        <v/>
      </c>
      <c r="H87" s="64">
        <f>IFERROR(__xludf.DUMMYFUNCTION("IFERROR(GOOGLEFINANCE(A87,""PRICE""),)"),74.97)</f>
        <v>74.97</v>
      </c>
      <c r="I87" s="65">
        <f>IFERROR(__xludf.DUMMYFUNCTION("IFERROR(GOOGLEFINANCE(A87,""VOLUME""),)"),228398.0)</f>
        <v>228398</v>
      </c>
      <c r="J87" s="64" t="str">
        <f>IFERROR(__xludf.DUMMYFUNCTION("IFERROR(INDEX(SPLIT(A87,"":""),1,2),)"),"ANDHRSUGAR")</f>
        <v>ANDHRSUGAR</v>
      </c>
      <c r="K87" s="64">
        <f t="shared" si="4"/>
        <v>329</v>
      </c>
      <c r="L87" s="64" t="str">
        <f t="shared" si="5"/>
        <v/>
      </c>
      <c r="M87" s="64">
        <f t="shared" si="6"/>
        <v>574</v>
      </c>
      <c r="N87" s="66">
        <f>IFERROR(__xludf.DUMMYFUNCTION("IFERROR(GOOGLEFINANCE(A87,""TRADETIME""),)"),46086.64583333333)</f>
        <v>46086.64583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67" t="s">
        <v>135</v>
      </c>
      <c r="B88" s="60" t="str">
        <f>IFERROR(__xludf.DUMMYFUNCTION("IFERROR(GOOGLEFINANCE(A88,""NAME""),)"),"Angel One Ord Shs")</f>
        <v>Angel One Ord Shs</v>
      </c>
      <c r="C88" s="60">
        <f>IFERROR(__xludf.DUMMYFUNCTION("IFERROR(GOOGLEFINANCE(A88,""CHANGE""),)"),3.09)</f>
        <v>3.09</v>
      </c>
      <c r="D88" s="60">
        <f>IFERROR(__xludf.DUMMYFUNCTION("IFERROR(GOOGLEFINANCE(A88,""CHANGEPCT""),)"),1.35)</f>
        <v>1.35</v>
      </c>
      <c r="E88" s="60" t="str">
        <f t="shared" si="1"/>
        <v>1.35%</v>
      </c>
      <c r="F88" s="60">
        <f t="shared" si="2"/>
        <v>1.35</v>
      </c>
      <c r="G88" s="60" t="str">
        <f t="shared" si="3"/>
        <v/>
      </c>
      <c r="H88" s="60">
        <f>IFERROR(__xludf.DUMMYFUNCTION("IFERROR(GOOGLEFINANCE(A88,""PRICE""),)"),224.75)</f>
        <v>224.75</v>
      </c>
      <c r="I88" s="61">
        <f>IFERROR(__xludf.DUMMYFUNCTION("IFERROR(GOOGLEFINANCE(A88,""VOLUME""),)"),4621803.0)</f>
        <v>4621803</v>
      </c>
      <c r="J88" s="60" t="str">
        <f>IFERROR(__xludf.DUMMYFUNCTION("IFERROR(INDEX(SPLIT(A88,"":""),1,2),)"),"ANGELONE")</f>
        <v>ANGELONE</v>
      </c>
      <c r="K88" s="60">
        <f t="shared" si="4"/>
        <v>617</v>
      </c>
      <c r="L88" s="60" t="str">
        <f t="shared" si="5"/>
        <v/>
      </c>
      <c r="M88" s="60">
        <f t="shared" si="6"/>
        <v>117</v>
      </c>
      <c r="N88" s="62">
        <f>IFERROR(__xludf.DUMMYFUNCTION("IFERROR(GOOGLEFINANCE(A88,""TRADETIME""),)"),46086.643437499995)</f>
        <v>46086.64344</v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68" t="s">
        <v>136</v>
      </c>
      <c r="B89" s="64" t="str">
        <f>IFERROR(__xludf.DUMMYFUNCTION("IFERROR(GOOGLEFINANCE(A89,""NAME""),)"),"Anik Industries Ltd")</f>
        <v>Anik Industries Ltd</v>
      </c>
      <c r="C89" s="64">
        <f>IFERROR(__xludf.DUMMYFUNCTION("IFERROR(GOOGLEFINANCE(A89,""CHANGE""),)"),1.31)</f>
        <v>1.31</v>
      </c>
      <c r="D89" s="64">
        <f>IFERROR(__xludf.DUMMYFUNCTION("IFERROR(GOOGLEFINANCE(A89,""CHANGEPCT""),)"),3.03)</f>
        <v>3.03</v>
      </c>
      <c r="E89" s="64" t="str">
        <f t="shared" si="1"/>
        <v>3.03%</v>
      </c>
      <c r="F89" s="64">
        <f t="shared" si="2"/>
        <v>3.03</v>
      </c>
      <c r="G89" s="64" t="str">
        <f t="shared" si="3"/>
        <v/>
      </c>
      <c r="H89" s="64">
        <f>IFERROR(__xludf.DUMMYFUNCTION("IFERROR(GOOGLEFINANCE(A89,""PRICE""),)"),44.58)</f>
        <v>44.58</v>
      </c>
      <c r="I89" s="65">
        <f>IFERROR(__xludf.DUMMYFUNCTION("IFERROR(GOOGLEFINANCE(A89,""VOLUME""),)"),11840.0)</f>
        <v>11840</v>
      </c>
      <c r="J89" s="64" t="str">
        <f>IFERROR(__xludf.DUMMYFUNCTION("IFERROR(INDEX(SPLIT(A89,"":""),1,2),)"),"ANIKINDS")</f>
        <v>ANIKINDS</v>
      </c>
      <c r="K89" s="64">
        <f t="shared" si="4"/>
        <v>252</v>
      </c>
      <c r="L89" s="64" t="str">
        <f t="shared" si="5"/>
        <v/>
      </c>
      <c r="M89" s="64">
        <f t="shared" si="6"/>
        <v>1232</v>
      </c>
      <c r="N89" s="66">
        <f>IFERROR(__xludf.DUMMYFUNCTION("IFERROR(GOOGLEFINANCE(A89,""TRADETIME""),)"),46086.64583333333)</f>
        <v>46086.64583</v>
      </c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67" t="s">
        <v>137</v>
      </c>
      <c r="B90" s="60" t="str">
        <f>IFERROR(__xludf.DUMMYFUNCTION("IFERROR(GOOGLEFINANCE(A90,""NAME""),)"),"Ankit Metal &amp; Power Ltd")</f>
        <v>Ankit Metal &amp; Power Ltd</v>
      </c>
      <c r="C90" s="60">
        <f>IFERROR(__xludf.DUMMYFUNCTION("IFERROR(GOOGLEFINANCE(A90,""CHANGE""),)"),-0.03)</f>
        <v>-0.03</v>
      </c>
      <c r="D90" s="60">
        <f>IFERROR(__xludf.DUMMYFUNCTION("IFERROR(GOOGLEFINANCE(A90,""CHANGEPCT""),)"),-1.8)</f>
        <v>-1.8</v>
      </c>
      <c r="E90" s="60" t="str">
        <f t="shared" si="1"/>
        <v>-1.8%</v>
      </c>
      <c r="F90" s="60" t="str">
        <f t="shared" si="2"/>
        <v/>
      </c>
      <c r="G90" s="60">
        <f t="shared" si="3"/>
        <v>-1.8</v>
      </c>
      <c r="H90" s="60">
        <f>IFERROR(__xludf.DUMMYFUNCTION("IFERROR(GOOGLEFINANCE(A90,""PRICE""),)"),1.64)</f>
        <v>1.64</v>
      </c>
      <c r="I90" s="61">
        <f>IFERROR(__xludf.DUMMYFUNCTION("IFERROR(GOOGLEFINANCE(A90,""VOLUME""),)"),44934.0)</f>
        <v>44934</v>
      </c>
      <c r="J90" s="60" t="str">
        <f>IFERROR(__xludf.DUMMYFUNCTION("IFERROR(INDEX(SPLIT(A90,"":""),1,2),)"),"ANKITMETAL")</f>
        <v>ANKITMETAL</v>
      </c>
      <c r="K90" s="60" t="str">
        <f t="shared" si="4"/>
        <v/>
      </c>
      <c r="L90" s="60">
        <f t="shared" si="5"/>
        <v>321</v>
      </c>
      <c r="M90" s="60">
        <f t="shared" si="6"/>
        <v>967</v>
      </c>
      <c r="N90" s="62">
        <f>IFERROR(__xludf.DUMMYFUNCTION("IFERROR(GOOGLEFINANCE(A90,""TRADETIME""),)"),46086.64583333333)</f>
        <v>46086.64583</v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68" t="s">
        <v>138</v>
      </c>
      <c r="B91" s="64" t="str">
        <f>IFERROR(__xludf.DUMMYFUNCTION("IFERROR(GOOGLEFINANCE(A91,""NAME""),)"),"Ansal Properties and Infrastructure Ltd")</f>
        <v>Ansal Properties and Infrastructure Ltd</v>
      </c>
      <c r="C91" s="64">
        <f>IFERROR(__xludf.DUMMYFUNCTION("IFERROR(GOOGLEFINANCE(A91,""CHANGE""),)"),-0.08)</f>
        <v>-0.08</v>
      </c>
      <c r="D91" s="64">
        <f>IFERROR(__xludf.DUMMYFUNCTION("IFERROR(GOOGLEFINANCE(A91,""CHANGEPCT""),)"),-1.99)</f>
        <v>-1.99</v>
      </c>
      <c r="E91" s="64" t="str">
        <f t="shared" si="1"/>
        <v>-1.99%</v>
      </c>
      <c r="F91" s="64" t="str">
        <f t="shared" si="2"/>
        <v/>
      </c>
      <c r="G91" s="64">
        <f t="shared" si="3"/>
        <v>-1.99</v>
      </c>
      <c r="H91" s="64">
        <f>IFERROR(__xludf.DUMMYFUNCTION("IFERROR(GOOGLEFINANCE(A91,""PRICE""),)"),3.94)</f>
        <v>3.94</v>
      </c>
      <c r="I91" s="65">
        <f>IFERROR(__xludf.DUMMYFUNCTION("IFERROR(GOOGLEFINANCE(A91,""VOLUME""),)"),33467.0)</f>
        <v>33467</v>
      </c>
      <c r="J91" s="64" t="str">
        <f>IFERROR(__xludf.DUMMYFUNCTION("IFERROR(INDEX(SPLIT(A91,"":""),1,2),)"),"ANSALAPI")</f>
        <v>ANSALAPI</v>
      </c>
      <c r="K91" s="64" t="str">
        <f t="shared" si="4"/>
        <v/>
      </c>
      <c r="L91" s="64">
        <f t="shared" si="5"/>
        <v>350</v>
      </c>
      <c r="M91" s="64">
        <f t="shared" si="6"/>
        <v>1029</v>
      </c>
      <c r="N91" s="66">
        <f>IFERROR(__xludf.DUMMYFUNCTION("IFERROR(GOOGLEFINANCE(A91,""TRADETIME""),)"),46086.64583333333)</f>
        <v>46086.64583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9" t="s">
        <v>139</v>
      </c>
      <c r="B92" s="60" t="str">
        <f>IFERROR(__xludf.DUMMYFUNCTION("IFERROR(GOOGLEFINANCE(A92,""NAME""),)"),"Ansal Housing Ltd")</f>
        <v>Ansal Housing Ltd</v>
      </c>
      <c r="C92" s="60">
        <f>IFERROR(__xludf.DUMMYFUNCTION("IFERROR(GOOGLEFINANCE(A92,""CHANGE""),)"),-0.14)</f>
        <v>-0.14</v>
      </c>
      <c r="D92" s="60">
        <f>IFERROR(__xludf.DUMMYFUNCTION("IFERROR(GOOGLEFINANCE(A92,""CHANGEPCT""),)"),-1.96)</f>
        <v>-1.96</v>
      </c>
      <c r="E92" s="60" t="str">
        <f t="shared" si="1"/>
        <v>-1.96%</v>
      </c>
      <c r="F92" s="60" t="str">
        <f t="shared" si="2"/>
        <v/>
      </c>
      <c r="G92" s="60">
        <f t="shared" si="3"/>
        <v>-1.96</v>
      </c>
      <c r="H92" s="60">
        <f>IFERROR(__xludf.DUMMYFUNCTION("IFERROR(GOOGLEFINANCE(A92,""PRICE""),)"),7.0)</f>
        <v>7</v>
      </c>
      <c r="I92" s="61">
        <f>IFERROR(__xludf.DUMMYFUNCTION("IFERROR(GOOGLEFINANCE(A92,""VOLUME""),)"),293709.0)</f>
        <v>293709</v>
      </c>
      <c r="J92" s="60">
        <f>IFERROR(__xludf.DUMMYFUNCTION("IFERROR(INDEX(SPLIT(A92,"":""),1,2),)"),507828.0)</f>
        <v>507828</v>
      </c>
      <c r="K92" s="60" t="str">
        <f t="shared" si="4"/>
        <v/>
      </c>
      <c r="L92" s="60">
        <f t="shared" si="5"/>
        <v>345</v>
      </c>
      <c r="M92" s="60">
        <f t="shared" si="6"/>
        <v>512</v>
      </c>
      <c r="N92" s="62">
        <f>IFERROR(__xludf.DUMMYFUNCTION("IFERROR(GOOGLEFINANCE(A92,""TRADETIME""),)"),46086.639710648145)</f>
        <v>46086.63971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68" t="s">
        <v>140</v>
      </c>
      <c r="B93" s="64" t="str">
        <f>IFERROR(__xludf.DUMMYFUNCTION("IFERROR(GOOGLEFINANCE(A93,""NAME""),)"),"Anup Engineering Ltd")</f>
        <v>Anup Engineering Ltd</v>
      </c>
      <c r="C93" s="64">
        <f>IFERROR(__xludf.DUMMYFUNCTION("IFERROR(GOOGLEFINANCE(A93,""CHANGE""),)"),-18.2)</f>
        <v>-18.2</v>
      </c>
      <c r="D93" s="64">
        <f>IFERROR(__xludf.DUMMYFUNCTION("IFERROR(GOOGLEFINANCE(A93,""CHANGEPCT""),)"),-1.22)</f>
        <v>-1.22</v>
      </c>
      <c r="E93" s="64" t="str">
        <f t="shared" si="1"/>
        <v>-1.22%</v>
      </c>
      <c r="F93" s="64" t="str">
        <f t="shared" si="2"/>
        <v/>
      </c>
      <c r="G93" s="64">
        <f t="shared" si="3"/>
        <v>-1.22</v>
      </c>
      <c r="H93" s="64">
        <f>IFERROR(__xludf.DUMMYFUNCTION("IFERROR(GOOGLEFINANCE(A93,""PRICE""),)"),1472.0)</f>
        <v>1472</v>
      </c>
      <c r="I93" s="65">
        <f>IFERROR(__xludf.DUMMYFUNCTION("IFERROR(GOOGLEFINANCE(A93,""VOLUME""),)"),93089.0)</f>
        <v>93089</v>
      </c>
      <c r="J93" s="64" t="str">
        <f>IFERROR(__xludf.DUMMYFUNCTION("IFERROR(INDEX(SPLIT(A93,"":""),1,2),)"),"ANUP")</f>
        <v>ANUP</v>
      </c>
      <c r="K93" s="64" t="str">
        <f t="shared" si="4"/>
        <v/>
      </c>
      <c r="L93" s="64">
        <f t="shared" si="5"/>
        <v>253</v>
      </c>
      <c r="M93" s="64">
        <f t="shared" si="6"/>
        <v>774</v>
      </c>
      <c r="N93" s="66">
        <f>IFERROR(__xludf.DUMMYFUNCTION("IFERROR(GOOGLEFINANCE(A93,""TRADETIME""),)"),46086.64583333333)</f>
        <v>46086.64583</v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67" t="s">
        <v>141</v>
      </c>
      <c r="B94" s="60" t="str">
        <f>IFERROR(__xludf.DUMMYFUNCTION("IFERROR(GOOGLEFINANCE(A94,""NAME""),)"),"Apar Industries Ltd")</f>
        <v>Apar Industries Ltd</v>
      </c>
      <c r="C94" s="60">
        <f>IFERROR(__xludf.DUMMYFUNCTION("IFERROR(GOOGLEFINANCE(A94,""CHANGE""),)"),483.0)</f>
        <v>483</v>
      </c>
      <c r="D94" s="60">
        <f>IFERROR(__xludf.DUMMYFUNCTION("IFERROR(GOOGLEFINANCE(A94,""CHANGEPCT""),)"),4.03)</f>
        <v>4.03</v>
      </c>
      <c r="E94" s="60" t="str">
        <f t="shared" si="1"/>
        <v>4.03%</v>
      </c>
      <c r="F94" s="60">
        <f t="shared" si="2"/>
        <v>4.03</v>
      </c>
      <c r="G94" s="60" t="str">
        <f t="shared" si="3"/>
        <v/>
      </c>
      <c r="H94" s="60">
        <f>IFERROR(__xludf.DUMMYFUNCTION("IFERROR(GOOGLEFINANCE(A94,""PRICE""),)"),10505.0)</f>
        <v>10505</v>
      </c>
      <c r="I94" s="61">
        <f>IFERROR(__xludf.DUMMYFUNCTION("IFERROR(GOOGLEFINANCE(A94,""VOLUME""),)"),121048.0)</f>
        <v>121048</v>
      </c>
      <c r="J94" s="60" t="str">
        <f>IFERROR(__xludf.DUMMYFUNCTION("IFERROR(INDEX(SPLIT(A94,"":""),1,2),)"),"APARINDS")</f>
        <v>APARINDS</v>
      </c>
      <c r="K94" s="60">
        <f t="shared" si="4"/>
        <v>138</v>
      </c>
      <c r="L94" s="60" t="str">
        <f t="shared" si="5"/>
        <v/>
      </c>
      <c r="M94" s="60">
        <f t="shared" si="6"/>
        <v>722</v>
      </c>
      <c r="N94" s="62">
        <f>IFERROR(__xludf.DUMMYFUNCTION("IFERROR(GOOGLEFINANCE(A94,""TRADETIME""),)"),46086.64583333333)</f>
        <v>46086.64583</v>
      </c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68" t="s">
        <v>142</v>
      </c>
      <c r="B95" s="64" t="str">
        <f>IFERROR(__xludf.DUMMYFUNCTION("IFERROR(GOOGLEFINANCE(A95,""NAME""),)"),"Anjani Portland Cement Ltd")</f>
        <v>Anjani Portland Cement Ltd</v>
      </c>
      <c r="C95" s="64">
        <f>IFERROR(__xludf.DUMMYFUNCTION("IFERROR(GOOGLEFINANCE(A95,""CHANGE""),)"),0.11)</f>
        <v>0.11</v>
      </c>
      <c r="D95" s="64">
        <f>IFERROR(__xludf.DUMMYFUNCTION("IFERROR(GOOGLEFINANCE(A95,""CHANGEPCT""),)"),0.09)</f>
        <v>0.09</v>
      </c>
      <c r="E95" s="64" t="str">
        <f t="shared" si="1"/>
        <v>0.09%</v>
      </c>
      <c r="F95" s="64">
        <f t="shared" si="2"/>
        <v>0.09</v>
      </c>
      <c r="G95" s="64" t="str">
        <f t="shared" si="3"/>
        <v/>
      </c>
      <c r="H95" s="64">
        <f>IFERROR(__xludf.DUMMYFUNCTION("IFERROR(GOOGLEFINANCE(A95,""PRICE""),)"),121.21)</f>
        <v>121.21</v>
      </c>
      <c r="I95" s="65">
        <f>IFERROR(__xludf.DUMMYFUNCTION("IFERROR(GOOGLEFINANCE(A95,""VOLUME""),)"),5111.0)</f>
        <v>5111</v>
      </c>
      <c r="J95" s="64" t="str">
        <f>IFERROR(__xludf.DUMMYFUNCTION("IFERROR(INDEX(SPLIT(A95,"":""),1,2),)"),"APCL")</f>
        <v>APCL</v>
      </c>
      <c r="K95" s="64">
        <f t="shared" si="4"/>
        <v>979</v>
      </c>
      <c r="L95" s="64" t="str">
        <f t="shared" si="5"/>
        <v/>
      </c>
      <c r="M95" s="64">
        <f t="shared" si="6"/>
        <v>1339</v>
      </c>
      <c r="N95" s="66">
        <f>IFERROR(__xludf.DUMMYFUNCTION("IFERROR(GOOGLEFINANCE(A95,""TRADETIME""),)"),46086.64583333333)</f>
        <v>46086.64583</v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67" t="s">
        <v>143</v>
      </c>
      <c r="B96" s="60" t="str">
        <f>IFERROR(__xludf.DUMMYFUNCTION("IFERROR(GOOGLEFINANCE(A96,""NAME""),)"),"Apcotex Industries Ltd")</f>
        <v>Apcotex Industries Ltd</v>
      </c>
      <c r="C96" s="60">
        <f>IFERROR(__xludf.DUMMYFUNCTION("IFERROR(GOOGLEFINANCE(A96,""CHANGE""),)"),-0.6)</f>
        <v>-0.6</v>
      </c>
      <c r="D96" s="60">
        <f>IFERROR(__xludf.DUMMYFUNCTION("IFERROR(GOOGLEFINANCE(A96,""CHANGEPCT""),)"),-0.17)</f>
        <v>-0.17</v>
      </c>
      <c r="E96" s="60" t="str">
        <f t="shared" si="1"/>
        <v>-0.17%</v>
      </c>
      <c r="F96" s="60" t="str">
        <f t="shared" si="2"/>
        <v/>
      </c>
      <c r="G96" s="60">
        <f t="shared" si="3"/>
        <v>-0.17</v>
      </c>
      <c r="H96" s="60">
        <f>IFERROR(__xludf.DUMMYFUNCTION("IFERROR(GOOGLEFINANCE(A96,""PRICE""),)"),360.0)</f>
        <v>360</v>
      </c>
      <c r="I96" s="61">
        <f>IFERROR(__xludf.DUMMYFUNCTION("IFERROR(GOOGLEFINANCE(A96,""VOLUME""),)"),16661.0)</f>
        <v>16661</v>
      </c>
      <c r="J96" s="60" t="str">
        <f>IFERROR(__xludf.DUMMYFUNCTION("IFERROR(INDEX(SPLIT(A96,"":""),1,2),)"),"APCOTEXIND")</f>
        <v>APCOTEXIND</v>
      </c>
      <c r="K96" s="60" t="str">
        <f t="shared" si="4"/>
        <v/>
      </c>
      <c r="L96" s="60">
        <f t="shared" si="5"/>
        <v>41</v>
      </c>
      <c r="M96" s="60">
        <f t="shared" si="6"/>
        <v>1178</v>
      </c>
      <c r="N96" s="62">
        <f>IFERROR(__xludf.DUMMYFUNCTION("IFERROR(GOOGLEFINANCE(A96,""TRADETIME""),)"),46086.64583333333)</f>
        <v>46086.64583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68" t="s">
        <v>144</v>
      </c>
      <c r="B97" s="64" t="str">
        <f>IFERROR(__xludf.DUMMYFUNCTION("IFERROR(GOOGLEFINANCE(A97,""NAME""),)"),"Apex Frozen Foods Ltd")</f>
        <v>Apex Frozen Foods Ltd</v>
      </c>
      <c r="C97" s="64">
        <f>IFERROR(__xludf.DUMMYFUNCTION("IFERROR(GOOGLEFINANCE(A97,""CHANGE""),)"),10.35)</f>
        <v>10.35</v>
      </c>
      <c r="D97" s="64">
        <f>IFERROR(__xludf.DUMMYFUNCTION("IFERROR(GOOGLEFINANCE(A97,""CHANGEPCT""),)"),2.92)</f>
        <v>2.92</v>
      </c>
      <c r="E97" s="64" t="str">
        <f t="shared" si="1"/>
        <v>2.92%</v>
      </c>
      <c r="F97" s="64">
        <f t="shared" si="2"/>
        <v>2.92</v>
      </c>
      <c r="G97" s="64" t="str">
        <f t="shared" si="3"/>
        <v/>
      </c>
      <c r="H97" s="64">
        <f>IFERROR(__xludf.DUMMYFUNCTION("IFERROR(GOOGLEFINANCE(A97,""PRICE""),)"),364.4)</f>
        <v>364.4</v>
      </c>
      <c r="I97" s="65">
        <f>IFERROR(__xludf.DUMMYFUNCTION("IFERROR(GOOGLEFINANCE(A97,""VOLUME""),)"),695822.0)</f>
        <v>695822</v>
      </c>
      <c r="J97" s="64" t="str">
        <f>IFERROR(__xludf.DUMMYFUNCTION("IFERROR(INDEX(SPLIT(A97,"":""),1,2),)"),"APEX")</f>
        <v>APEX</v>
      </c>
      <c r="K97" s="64">
        <f t="shared" si="4"/>
        <v>269</v>
      </c>
      <c r="L97" s="64" t="str">
        <f t="shared" si="5"/>
        <v/>
      </c>
      <c r="M97" s="64">
        <f t="shared" si="6"/>
        <v>340</v>
      </c>
      <c r="N97" s="66">
        <f>IFERROR(__xludf.DUMMYFUNCTION("IFERROR(GOOGLEFINANCE(A97,""TRADETIME""),)"),46086.64583333333)</f>
        <v>46086.64583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67" t="s">
        <v>145</v>
      </c>
      <c r="B98" s="60" t="str">
        <f>IFERROR(__xludf.DUMMYFUNCTION("IFERROR(GOOGLEFINANCE(A98,""NAME""),)"),"Apl Apollo Tubes Ltd")</f>
        <v>Apl Apollo Tubes Ltd</v>
      </c>
      <c r="C98" s="60">
        <f>IFERROR(__xludf.DUMMYFUNCTION("IFERROR(GOOGLEFINANCE(A98,""CHANGE""),)"),34.9)</f>
        <v>34.9</v>
      </c>
      <c r="D98" s="60">
        <f>IFERROR(__xludf.DUMMYFUNCTION("IFERROR(GOOGLEFINANCE(A98,""CHANGEPCT""),)"),2.09)</f>
        <v>2.09</v>
      </c>
      <c r="E98" s="60" t="str">
        <f t="shared" si="1"/>
        <v>2.09%</v>
      </c>
      <c r="F98" s="60">
        <f t="shared" si="2"/>
        <v>2.09</v>
      </c>
      <c r="G98" s="60" t="str">
        <f t="shared" si="3"/>
        <v/>
      </c>
      <c r="H98" s="60">
        <f>IFERROR(__xludf.DUMMYFUNCTION("IFERROR(GOOGLEFINANCE(A98,""PRICE""),)"),2154.6)</f>
        <v>2154.6</v>
      </c>
      <c r="I98" s="61">
        <f>IFERROR(__xludf.DUMMYFUNCTION("IFERROR(GOOGLEFINANCE(A98,""VOLUME""),)"),382084.0)</f>
        <v>382084</v>
      </c>
      <c r="J98" s="60" t="str">
        <f>IFERROR(__xludf.DUMMYFUNCTION("IFERROR(INDEX(SPLIT(A98,"":""),1,2),)"),"APLAPOLLO")</f>
        <v>APLAPOLLO</v>
      </c>
      <c r="K98" s="60">
        <f t="shared" si="4"/>
        <v>421</v>
      </c>
      <c r="L98" s="60" t="str">
        <f t="shared" si="5"/>
        <v/>
      </c>
      <c r="M98" s="60">
        <f t="shared" si="6"/>
        <v>451</v>
      </c>
      <c r="N98" s="62">
        <f>IFERROR(__xludf.DUMMYFUNCTION("IFERROR(GOOGLEFINANCE(A98,""TRADETIME""),)"),46086.639560185184)</f>
        <v>46086.63956</v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68" t="s">
        <v>146</v>
      </c>
      <c r="B99" s="64" t="str">
        <f>IFERROR(__xludf.DUMMYFUNCTION("IFERROR(GOOGLEFINANCE(A99,""NAME""),)"),"Alembic Pharmaceuticals Ltd")</f>
        <v>Alembic Pharmaceuticals Ltd</v>
      </c>
      <c r="C99" s="64">
        <f>IFERROR(__xludf.DUMMYFUNCTION("IFERROR(GOOGLEFINANCE(A99,""CHANGE""),)"),3.9)</f>
        <v>3.9</v>
      </c>
      <c r="D99" s="64">
        <f>IFERROR(__xludf.DUMMYFUNCTION("IFERROR(GOOGLEFINANCE(A99,""CHANGEPCT""),)"),0.56)</f>
        <v>0.56</v>
      </c>
      <c r="E99" s="64" t="str">
        <f t="shared" si="1"/>
        <v>0.56%</v>
      </c>
      <c r="F99" s="64">
        <f t="shared" si="2"/>
        <v>0.56</v>
      </c>
      <c r="G99" s="64" t="str">
        <f t="shared" si="3"/>
        <v/>
      </c>
      <c r="H99" s="64">
        <f>IFERROR(__xludf.DUMMYFUNCTION("IFERROR(GOOGLEFINANCE(A99,""PRICE""),)"),702.2)</f>
        <v>702.2</v>
      </c>
      <c r="I99" s="65">
        <f>IFERROR(__xludf.DUMMYFUNCTION("IFERROR(GOOGLEFINANCE(A99,""VOLUME""),)"),43098.0)</f>
        <v>43098</v>
      </c>
      <c r="J99" s="64" t="str">
        <f>IFERROR(__xludf.DUMMYFUNCTION("IFERROR(INDEX(SPLIT(A99,"":""),1,2),)"),"APLLTD")</f>
        <v>APLLTD</v>
      </c>
      <c r="K99" s="64">
        <f t="shared" si="4"/>
        <v>856</v>
      </c>
      <c r="L99" s="64" t="str">
        <f t="shared" si="5"/>
        <v/>
      </c>
      <c r="M99" s="64">
        <f t="shared" si="6"/>
        <v>977</v>
      </c>
      <c r="N99" s="66">
        <f>IFERROR(__xludf.DUMMYFUNCTION("IFERROR(GOOGLEFINANCE(A99,""TRADETIME""),)"),46086.64583333333)</f>
        <v>46086.64583</v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67" t="s">
        <v>147</v>
      </c>
      <c r="B100" s="60" t="str">
        <f>IFERROR(__xludf.DUMMYFUNCTION("IFERROR(GOOGLEFINANCE(A100,""NAME""),)"),"Apollo Micro Systems Ltd")</f>
        <v>Apollo Micro Systems Ltd</v>
      </c>
      <c r="C100" s="60">
        <f>IFERROR(__xludf.DUMMYFUNCTION("IFERROR(GOOGLEFINANCE(A100,""CHANGE""),)"),2.85)</f>
        <v>2.85</v>
      </c>
      <c r="D100" s="60">
        <f>IFERROR(__xludf.DUMMYFUNCTION("IFERROR(GOOGLEFINANCE(A100,""CHANGEPCT""),)"),1.63)</f>
        <v>1.63</v>
      </c>
      <c r="E100" s="60" t="str">
        <f t="shared" si="1"/>
        <v>1.63%</v>
      </c>
      <c r="F100" s="60">
        <f t="shared" si="2"/>
        <v>1.63</v>
      </c>
      <c r="G100" s="60" t="str">
        <f t="shared" si="3"/>
        <v/>
      </c>
      <c r="H100" s="60">
        <f>IFERROR(__xludf.DUMMYFUNCTION("IFERROR(GOOGLEFINANCE(A100,""PRICE""),)"),215.5)</f>
        <v>215.5</v>
      </c>
      <c r="I100" s="61">
        <f>IFERROR(__xludf.DUMMYFUNCTION("IFERROR(GOOGLEFINANCE(A100,""VOLUME""),)"),6146272.0)</f>
        <v>6146272</v>
      </c>
      <c r="J100" s="60" t="str">
        <f>IFERROR(__xludf.DUMMYFUNCTION("IFERROR(INDEX(SPLIT(A100,"":""),1,2),)"),"APOLLO")</f>
        <v>APOLLO</v>
      </c>
      <c r="K100" s="60">
        <f t="shared" si="4"/>
        <v>532</v>
      </c>
      <c r="L100" s="60" t="str">
        <f t="shared" si="5"/>
        <v/>
      </c>
      <c r="M100" s="60">
        <f t="shared" si="6"/>
        <v>90</v>
      </c>
      <c r="N100" s="62">
        <f>IFERROR(__xludf.DUMMYFUNCTION("IFERROR(GOOGLEFINANCE(A100,""TRADETIME""),)"),46086.64583333333)</f>
        <v>46086.64583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68" t="s">
        <v>148</v>
      </c>
      <c r="B101" s="64" t="str">
        <f>IFERROR(__xludf.DUMMYFUNCTION("IFERROR(GOOGLEFINANCE(A101,""NAME""),)"),"Apollo Hospitals Enterprise Ltd")</f>
        <v>Apollo Hospitals Enterprise Ltd</v>
      </c>
      <c r="C101" s="64">
        <f>IFERROR(__xludf.DUMMYFUNCTION("IFERROR(GOOGLEFINANCE(A101,""CHANGE""),)"),126.5)</f>
        <v>126.5</v>
      </c>
      <c r="D101" s="64">
        <f>IFERROR(__xludf.DUMMYFUNCTION("IFERROR(GOOGLEFINANCE(A101,""CHANGEPCT""),)"),1.49)</f>
        <v>1.49</v>
      </c>
      <c r="E101" s="64" t="str">
        <f t="shared" si="1"/>
        <v>1.49%</v>
      </c>
      <c r="F101" s="64">
        <f t="shared" si="2"/>
        <v>1.49</v>
      </c>
      <c r="G101" s="64" t="str">
        <f t="shared" si="3"/>
        <v/>
      </c>
      <c r="H101" s="64">
        <f>IFERROR(__xludf.DUMMYFUNCTION("IFERROR(GOOGLEFINANCE(A101,""PRICE""),)"),7792.5)</f>
        <v>7792.5</v>
      </c>
      <c r="I101" s="65">
        <f>IFERROR(__xludf.DUMMYFUNCTION("IFERROR(GOOGLEFINANCE(A101,""VOLUME""),)"),446508.0)</f>
        <v>446508</v>
      </c>
      <c r="J101" s="64" t="str">
        <f>IFERROR(__xludf.DUMMYFUNCTION("IFERROR(INDEX(SPLIT(A101,"":""),1,2),)"),"APOLLOHOSP")</f>
        <v>APOLLOHOSP</v>
      </c>
      <c r="K101" s="64">
        <f t="shared" si="4"/>
        <v>574</v>
      </c>
      <c r="L101" s="64" t="str">
        <f t="shared" si="5"/>
        <v/>
      </c>
      <c r="M101" s="64">
        <f t="shared" si="6"/>
        <v>418</v>
      </c>
      <c r="N101" s="66">
        <f>IFERROR(__xludf.DUMMYFUNCTION("IFERROR(GOOGLEFINANCE(A101,""TRADETIME""),)"),46086.64583333333)</f>
        <v>46086.64583</v>
      </c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67" t="s">
        <v>149</v>
      </c>
      <c r="B102" s="60" t="str">
        <f>IFERROR(__xludf.DUMMYFUNCTION("IFERROR(GOOGLEFINANCE(A102,""NAME""),)"),"Apollo Pipes Ltd")</f>
        <v>Apollo Pipes Ltd</v>
      </c>
      <c r="C102" s="60">
        <f>IFERROR(__xludf.DUMMYFUNCTION("IFERROR(GOOGLEFINANCE(A102,""CHANGE""),)"),-1.25)</f>
        <v>-1.25</v>
      </c>
      <c r="D102" s="60">
        <f>IFERROR(__xludf.DUMMYFUNCTION("IFERROR(GOOGLEFINANCE(A102,""CHANGEPCT""),)"),-1.39)</f>
        <v>-1.39</v>
      </c>
      <c r="E102" s="60" t="str">
        <f t="shared" si="1"/>
        <v>-1.39%</v>
      </c>
      <c r="F102" s="60" t="str">
        <f t="shared" si="2"/>
        <v/>
      </c>
      <c r="G102" s="60">
        <f t="shared" si="3"/>
        <v>-1.39</v>
      </c>
      <c r="H102" s="60">
        <f>IFERROR(__xludf.DUMMYFUNCTION("IFERROR(GOOGLEFINANCE(A102,""PRICE""),)"),347.0)</f>
        <v>347</v>
      </c>
      <c r="I102" s="61">
        <f>IFERROR(__xludf.DUMMYFUNCTION("IFERROR(GOOGLEFINANCE(A102,""VOLUME""),)"),167164.0)</f>
        <v>167164</v>
      </c>
      <c r="J102" s="60" t="str">
        <f>IFERROR(__xludf.DUMMYFUNCTION("IFERROR(INDEX(SPLIT(A102,"":""),1,2),)"),"APOLLOPIPE")</f>
        <v>APOLLOPIPE</v>
      </c>
      <c r="K102" s="60" t="str">
        <f t="shared" si="4"/>
        <v/>
      </c>
      <c r="L102" s="60">
        <f t="shared" si="5"/>
        <v>280</v>
      </c>
      <c r="M102" s="60">
        <f t="shared" si="6"/>
        <v>643</v>
      </c>
      <c r="N102" s="62">
        <f>IFERROR(__xludf.DUMMYFUNCTION("IFERROR(GOOGLEFINANCE(A102,""TRADETIME""),)"),46086.64583333333)</f>
        <v>46086.64583</v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68" t="s">
        <v>150</v>
      </c>
      <c r="B103" s="64" t="str">
        <f>IFERROR(__xludf.DUMMYFUNCTION("IFERROR(GOOGLEFINANCE(A103,""NAME""),)"),"Apollo Tyres Ltd")</f>
        <v>Apollo Tyres Ltd</v>
      </c>
      <c r="C103" s="64">
        <f>IFERROR(__xludf.DUMMYFUNCTION("IFERROR(GOOGLEFINANCE(A103,""CHANGE""),)"),10.7)</f>
        <v>10.7</v>
      </c>
      <c r="D103" s="64">
        <f>IFERROR(__xludf.DUMMYFUNCTION("IFERROR(GOOGLEFINANCE(A103,""CHANGEPCT""),)"),2.48)</f>
        <v>2.48</v>
      </c>
      <c r="E103" s="64" t="str">
        <f t="shared" si="1"/>
        <v>2.48%</v>
      </c>
      <c r="F103" s="64">
        <f t="shared" si="2"/>
        <v>2.48</v>
      </c>
      <c r="G103" s="64" t="str">
        <f t="shared" si="3"/>
        <v/>
      </c>
      <c r="H103" s="64">
        <f>IFERROR(__xludf.DUMMYFUNCTION("IFERROR(GOOGLEFINANCE(A103,""PRICE""),)"),442.0)</f>
        <v>442</v>
      </c>
      <c r="I103" s="65">
        <f>IFERROR(__xludf.DUMMYFUNCTION("IFERROR(GOOGLEFINANCE(A103,""VOLUME""),)"),2023955.0)</f>
        <v>2023955</v>
      </c>
      <c r="J103" s="64" t="str">
        <f>IFERROR(__xludf.DUMMYFUNCTION("IFERROR(INDEX(SPLIT(A103,"":""),1,2),)"),"APOLLOTYRE")</f>
        <v>APOLLOTYRE</v>
      </c>
      <c r="K103" s="64">
        <f t="shared" si="4"/>
        <v>343</v>
      </c>
      <c r="L103" s="64" t="str">
        <f t="shared" si="5"/>
        <v/>
      </c>
      <c r="M103" s="64">
        <f t="shared" si="6"/>
        <v>202</v>
      </c>
      <c r="N103" s="66">
        <f>IFERROR(__xludf.DUMMYFUNCTION("IFERROR(GOOGLEFINANCE(A103,""TRADETIME""),)"),46086.64583333333)</f>
        <v>46086.64583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67" t="s">
        <v>151</v>
      </c>
      <c r="B104" s="60" t="str">
        <f>IFERROR(__xludf.DUMMYFUNCTION("IFERROR(GOOGLEFINANCE(A104,""NAME""),)"),"Apollo Sindoori Hotels Ltd")</f>
        <v>Apollo Sindoori Hotels Ltd</v>
      </c>
      <c r="C104" s="60">
        <f>IFERROR(__xludf.DUMMYFUNCTION("IFERROR(GOOGLEFINANCE(A104,""CHANGE""),)"),23.6)</f>
        <v>23.6</v>
      </c>
      <c r="D104" s="60">
        <f>IFERROR(__xludf.DUMMYFUNCTION("IFERROR(GOOGLEFINANCE(A104,""CHANGEPCT""),)"),2.01)</f>
        <v>2.01</v>
      </c>
      <c r="E104" s="60" t="str">
        <f t="shared" si="1"/>
        <v>2.01%</v>
      </c>
      <c r="F104" s="60">
        <f t="shared" si="2"/>
        <v>2.01</v>
      </c>
      <c r="G104" s="60" t="str">
        <f t="shared" si="3"/>
        <v/>
      </c>
      <c r="H104" s="60">
        <f>IFERROR(__xludf.DUMMYFUNCTION("IFERROR(GOOGLEFINANCE(A104,""PRICE""),)"),1200.0)</f>
        <v>1200</v>
      </c>
      <c r="I104" s="61">
        <f>IFERROR(__xludf.DUMMYFUNCTION("IFERROR(GOOGLEFINANCE(A104,""VOLUME""),)"),251.0)</f>
        <v>251</v>
      </c>
      <c r="J104" s="60" t="str">
        <f>IFERROR(__xludf.DUMMYFUNCTION("IFERROR(INDEX(SPLIT(A104,"":""),1,2),)"),"APOLSINHOT")</f>
        <v>APOLSINHOT</v>
      </c>
      <c r="K104" s="60">
        <f t="shared" si="4"/>
        <v>438</v>
      </c>
      <c r="L104" s="60" t="str">
        <f t="shared" si="5"/>
        <v/>
      </c>
      <c r="M104" s="60">
        <f t="shared" si="6"/>
        <v>1453</v>
      </c>
      <c r="N104" s="62">
        <f>IFERROR(__xludf.DUMMYFUNCTION("IFERROR(GOOGLEFINANCE(A104,""TRADETIME""),)"),46086.64585648148)</f>
        <v>46086.64586</v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68" t="s">
        <v>152</v>
      </c>
      <c r="B105" s="64" t="str">
        <f>IFERROR(__xludf.DUMMYFUNCTION("IFERROR(GOOGLEFINANCE(A105,""NAME""),)"),"Aptech Ltd")</f>
        <v>Aptech Ltd</v>
      </c>
      <c r="C105" s="64">
        <f>IFERROR(__xludf.DUMMYFUNCTION("IFERROR(GOOGLEFINANCE(A105,""CHANGE""),)"),0.83)</f>
        <v>0.83</v>
      </c>
      <c r="D105" s="64">
        <f>IFERROR(__xludf.DUMMYFUNCTION("IFERROR(GOOGLEFINANCE(A105,""CHANGEPCT""),)"),1.01)</f>
        <v>1.01</v>
      </c>
      <c r="E105" s="64" t="str">
        <f t="shared" si="1"/>
        <v>1.01%</v>
      </c>
      <c r="F105" s="64">
        <f t="shared" si="2"/>
        <v>1.01</v>
      </c>
      <c r="G105" s="64" t="str">
        <f t="shared" si="3"/>
        <v/>
      </c>
      <c r="H105" s="64">
        <f>IFERROR(__xludf.DUMMYFUNCTION("IFERROR(GOOGLEFINANCE(A105,""PRICE""),)"),83.26)</f>
        <v>83.26</v>
      </c>
      <c r="I105" s="65">
        <f>IFERROR(__xludf.DUMMYFUNCTION("IFERROR(GOOGLEFINANCE(A105,""VOLUME""),)"),239304.0)</f>
        <v>239304</v>
      </c>
      <c r="J105" s="64" t="str">
        <f>IFERROR(__xludf.DUMMYFUNCTION("IFERROR(INDEX(SPLIT(A105,"":""),1,2),)"),"APTECHT")</f>
        <v>APTECHT</v>
      </c>
      <c r="K105" s="64">
        <f t="shared" si="4"/>
        <v>718</v>
      </c>
      <c r="L105" s="64" t="str">
        <f t="shared" si="5"/>
        <v/>
      </c>
      <c r="M105" s="64">
        <f t="shared" si="6"/>
        <v>565</v>
      </c>
      <c r="N105" s="66">
        <f>IFERROR(__xludf.DUMMYFUNCTION("IFERROR(GOOGLEFINANCE(A105,""TRADETIME""),)"),46086.64583333333)</f>
        <v>46086.64583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67" t="s">
        <v>153</v>
      </c>
      <c r="B106" s="60" t="str">
        <f>IFERROR(__xludf.DUMMYFUNCTION("IFERROR(GOOGLEFINANCE(A106,""NAME""),)"),"Archidply Industries Limited.")</f>
        <v>Archidply Industries Limited.</v>
      </c>
      <c r="C106" s="60">
        <f>IFERROR(__xludf.DUMMYFUNCTION("IFERROR(GOOGLEFINANCE(A106,""CHANGE""),)"),0.82)</f>
        <v>0.82</v>
      </c>
      <c r="D106" s="60">
        <f>IFERROR(__xludf.DUMMYFUNCTION("IFERROR(GOOGLEFINANCE(A106,""CHANGEPCT""),)"),1.06)</f>
        <v>1.06</v>
      </c>
      <c r="E106" s="60" t="str">
        <f t="shared" si="1"/>
        <v>1.06%</v>
      </c>
      <c r="F106" s="60">
        <f t="shared" si="2"/>
        <v>1.06</v>
      </c>
      <c r="G106" s="60" t="str">
        <f t="shared" si="3"/>
        <v/>
      </c>
      <c r="H106" s="60">
        <f>IFERROR(__xludf.DUMMYFUNCTION("IFERROR(GOOGLEFINANCE(A106,""PRICE""),)"),78.25)</f>
        <v>78.25</v>
      </c>
      <c r="I106" s="61">
        <f>IFERROR(__xludf.DUMMYFUNCTION("IFERROR(GOOGLEFINANCE(A106,""VOLUME""),)"),3927.0)</f>
        <v>3927</v>
      </c>
      <c r="J106" s="60" t="str">
        <f>IFERROR(__xludf.DUMMYFUNCTION("IFERROR(INDEX(SPLIT(A106,"":""),1,2),)"),"ARCHIDPLY")</f>
        <v>ARCHIDPLY</v>
      </c>
      <c r="K106" s="60">
        <f t="shared" si="4"/>
        <v>703</v>
      </c>
      <c r="L106" s="60" t="str">
        <f t="shared" si="5"/>
        <v/>
      </c>
      <c r="M106" s="60">
        <f t="shared" si="6"/>
        <v>1370</v>
      </c>
      <c r="N106" s="62">
        <f>IFERROR(__xludf.DUMMYFUNCTION("IFERROR(GOOGLEFINANCE(A106,""TRADETIME""),)"),46086.64583333333)</f>
        <v>46086.64583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68" t="s">
        <v>154</v>
      </c>
      <c r="B107" s="64" t="str">
        <f>IFERROR(__xludf.DUMMYFUNCTION("IFERROR(GOOGLEFINANCE(A107,""NAME""),)"),"Archies Ltd")</f>
        <v>Archies Ltd</v>
      </c>
      <c r="C107" s="64">
        <f>IFERROR(__xludf.DUMMYFUNCTION("IFERROR(GOOGLEFINANCE(A107,""CHANGE""),)"),-0.19)</f>
        <v>-0.19</v>
      </c>
      <c r="D107" s="64">
        <f>IFERROR(__xludf.DUMMYFUNCTION("IFERROR(GOOGLEFINANCE(A107,""CHANGEPCT""),)"),-1.31)</f>
        <v>-1.31</v>
      </c>
      <c r="E107" s="64" t="str">
        <f t="shared" si="1"/>
        <v>-1.31%</v>
      </c>
      <c r="F107" s="64" t="str">
        <f t="shared" si="2"/>
        <v/>
      </c>
      <c r="G107" s="64">
        <f t="shared" si="3"/>
        <v>-1.31</v>
      </c>
      <c r="H107" s="64">
        <f>IFERROR(__xludf.DUMMYFUNCTION("IFERROR(GOOGLEFINANCE(A107,""PRICE""),)"),14.31)</f>
        <v>14.31</v>
      </c>
      <c r="I107" s="65">
        <f>IFERROR(__xludf.DUMMYFUNCTION("IFERROR(GOOGLEFINANCE(A107,""VOLUME""),)"),40145.0)</f>
        <v>40145</v>
      </c>
      <c r="J107" s="64" t="str">
        <f>IFERROR(__xludf.DUMMYFUNCTION("IFERROR(INDEX(SPLIT(A107,"":""),1,2),)"),"ARCHIES")</f>
        <v>ARCHIES</v>
      </c>
      <c r="K107" s="64" t="str">
        <f t="shared" si="4"/>
        <v/>
      </c>
      <c r="L107" s="64">
        <f t="shared" si="5"/>
        <v>266</v>
      </c>
      <c r="M107" s="64">
        <f t="shared" si="6"/>
        <v>993</v>
      </c>
      <c r="N107" s="66">
        <f>IFERROR(__xludf.DUMMYFUNCTION("IFERROR(GOOGLEFINANCE(A107,""TRADETIME""),)"),46086.64583333333)</f>
        <v>46086.64583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67" t="s">
        <v>155</v>
      </c>
      <c r="B108" s="60" t="str">
        <f>IFERROR(__xludf.DUMMYFUNCTION("IFERROR(GOOGLEFINANCE(A108,""NAME""),)"),"Rajdarshan Industries Ltd")</f>
        <v>Rajdarshan Industries Ltd</v>
      </c>
      <c r="C108" s="60">
        <f>IFERROR(__xludf.DUMMYFUNCTION("IFERROR(GOOGLEFINANCE(A108,""CHANGE""),)"),-0.48)</f>
        <v>-0.48</v>
      </c>
      <c r="D108" s="60">
        <f>IFERROR(__xludf.DUMMYFUNCTION("IFERROR(GOOGLEFINANCE(A108,""CHANGEPCT""),)"),-1.26)</f>
        <v>-1.26</v>
      </c>
      <c r="E108" s="60" t="str">
        <f t="shared" si="1"/>
        <v>-1.26%</v>
      </c>
      <c r="F108" s="60" t="str">
        <f t="shared" si="2"/>
        <v/>
      </c>
      <c r="G108" s="60">
        <f t="shared" si="3"/>
        <v>-1.26</v>
      </c>
      <c r="H108" s="60">
        <f>IFERROR(__xludf.DUMMYFUNCTION("IFERROR(GOOGLEFINANCE(A108,""PRICE""),)"),37.71)</f>
        <v>37.71</v>
      </c>
      <c r="I108" s="61">
        <f>IFERROR(__xludf.DUMMYFUNCTION("IFERROR(GOOGLEFINANCE(A108,""VOLUME""),)"),285.0)</f>
        <v>285</v>
      </c>
      <c r="J108" s="60" t="str">
        <f>IFERROR(__xludf.DUMMYFUNCTION("IFERROR(INDEX(SPLIT(A108,"":""),1,2),)"),"ARENTERP")</f>
        <v>ARENTERP</v>
      </c>
      <c r="K108" s="60" t="str">
        <f t="shared" si="4"/>
        <v/>
      </c>
      <c r="L108" s="60">
        <f t="shared" si="5"/>
        <v>259</v>
      </c>
      <c r="M108" s="60">
        <f t="shared" si="6"/>
        <v>1451</v>
      </c>
      <c r="N108" s="62">
        <f>IFERROR(__xludf.DUMMYFUNCTION("IFERROR(GOOGLEFINANCE(A108,""TRADETIME""),)"),46086.64583333333)</f>
        <v>46086.64583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68" t="s">
        <v>156</v>
      </c>
      <c r="B109" s="64" t="str">
        <f>IFERROR(__xludf.DUMMYFUNCTION("IFERROR(GOOGLEFINANCE(A109,""NAME""),)"),"Aries Agro Ltd (CN)")</f>
        <v>Aries Agro Ltd (CN)</v>
      </c>
      <c r="C109" s="64">
        <f>IFERROR(__xludf.DUMMYFUNCTION("IFERROR(GOOGLEFINANCE(A109,""CHANGE""),)"),16.55)</f>
        <v>16.55</v>
      </c>
      <c r="D109" s="64">
        <f>IFERROR(__xludf.DUMMYFUNCTION("IFERROR(GOOGLEFINANCE(A109,""CHANGEPCT""),)"),5.01)</f>
        <v>5.01</v>
      </c>
      <c r="E109" s="64" t="str">
        <f t="shared" si="1"/>
        <v>5.01%</v>
      </c>
      <c r="F109" s="64">
        <f t="shared" si="2"/>
        <v>5.01</v>
      </c>
      <c r="G109" s="64" t="str">
        <f t="shared" si="3"/>
        <v/>
      </c>
      <c r="H109" s="64">
        <f>IFERROR(__xludf.DUMMYFUNCTION("IFERROR(GOOGLEFINANCE(A109,""PRICE""),)"),342.0)</f>
        <v>342</v>
      </c>
      <c r="I109" s="65">
        <f>IFERROR(__xludf.DUMMYFUNCTION("IFERROR(GOOGLEFINANCE(A109,""VOLUME""),)"),57791.0)</f>
        <v>57791</v>
      </c>
      <c r="J109" s="64" t="str">
        <f>IFERROR(__xludf.DUMMYFUNCTION("IFERROR(INDEX(SPLIT(A109,"":""),1,2),)"),"ARIES")</f>
        <v>ARIES</v>
      </c>
      <c r="K109" s="64">
        <f t="shared" si="4"/>
        <v>67</v>
      </c>
      <c r="L109" s="64" t="str">
        <f t="shared" si="5"/>
        <v/>
      </c>
      <c r="M109" s="64">
        <f t="shared" si="6"/>
        <v>889</v>
      </c>
      <c r="N109" s="66">
        <f>IFERROR(__xludf.DUMMYFUNCTION("IFERROR(GOOGLEFINANCE(A109,""TRADETIME""),)"),46086.64583333333)</f>
        <v>46086.64583</v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9" t="s">
        <v>157</v>
      </c>
      <c r="B110" s="60" t="str">
        <f>IFERROR(__xludf.DUMMYFUNCTION("IFERROR(GOOGLEFINANCE(A110,""NAME""),)"),"Arihant Foundations &amp; Housing Ltd.")</f>
        <v>Arihant Foundations &amp; Housing Ltd.</v>
      </c>
      <c r="C110" s="60">
        <f>IFERROR(__xludf.DUMMYFUNCTION("IFERROR(GOOGLEFINANCE(A110,""CHANGE""),)"),-8.65)</f>
        <v>-8.65</v>
      </c>
      <c r="D110" s="60">
        <f>IFERROR(__xludf.DUMMYFUNCTION("IFERROR(GOOGLEFINANCE(A110,""CHANGEPCT""),)"),-0.85)</f>
        <v>-0.85</v>
      </c>
      <c r="E110" s="60" t="str">
        <f t="shared" si="1"/>
        <v>-0.85%</v>
      </c>
      <c r="F110" s="60" t="str">
        <f t="shared" si="2"/>
        <v/>
      </c>
      <c r="G110" s="60">
        <f t="shared" si="3"/>
        <v>-0.85</v>
      </c>
      <c r="H110" s="60">
        <f>IFERROR(__xludf.DUMMYFUNCTION("IFERROR(GOOGLEFINANCE(A110,""PRICE""),)"),988.0)</f>
        <v>988</v>
      </c>
      <c r="I110" s="61">
        <f>IFERROR(__xludf.DUMMYFUNCTION("IFERROR(GOOGLEFINANCE(A110,""VOLUME""),)"),3230.0)</f>
        <v>3230</v>
      </c>
      <c r="J110" s="60">
        <f>IFERROR(__xludf.DUMMYFUNCTION("IFERROR(INDEX(SPLIT(A110,"":""),1,2),)"),531381.0)</f>
        <v>531381</v>
      </c>
      <c r="K110" s="60" t="str">
        <f t="shared" si="4"/>
        <v/>
      </c>
      <c r="L110" s="60">
        <f t="shared" si="5"/>
        <v>190</v>
      </c>
      <c r="M110" s="60">
        <f t="shared" si="6"/>
        <v>1381</v>
      </c>
      <c r="N110" s="62">
        <f>IFERROR(__xludf.DUMMYFUNCTION("IFERROR(GOOGLEFINANCE(A110,""TRADETIME""),)"),46086.64583333333)</f>
        <v>46086.64583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68" t="s">
        <v>158</v>
      </c>
      <c r="B111" s="64" t="str">
        <f>IFERROR(__xludf.DUMMYFUNCTION("IFERROR(GOOGLEFINANCE(A111,""NAME""),)"),"Arihant Superstructures Ltd")</f>
        <v>Arihant Superstructures Ltd</v>
      </c>
      <c r="C111" s="64">
        <f>IFERROR(__xludf.DUMMYFUNCTION("IFERROR(GOOGLEFINANCE(A111,""CHANGE""),)"),-5.8)</f>
        <v>-5.8</v>
      </c>
      <c r="D111" s="64">
        <f>IFERROR(__xludf.DUMMYFUNCTION("IFERROR(GOOGLEFINANCE(A111,""CHANGEPCT""),)"),-2.33)</f>
        <v>-2.33</v>
      </c>
      <c r="E111" s="64" t="str">
        <f t="shared" si="1"/>
        <v>-2.33%</v>
      </c>
      <c r="F111" s="64" t="str">
        <f t="shared" si="2"/>
        <v/>
      </c>
      <c r="G111" s="64">
        <f t="shared" si="3"/>
        <v>-2.33</v>
      </c>
      <c r="H111" s="64">
        <f>IFERROR(__xludf.DUMMYFUNCTION("IFERROR(GOOGLEFINANCE(A111,""PRICE""),)"),243.0)</f>
        <v>243</v>
      </c>
      <c r="I111" s="65">
        <f>IFERROR(__xludf.DUMMYFUNCTION("IFERROR(GOOGLEFINANCE(A111,""VOLUME""),)"),28822.0)</f>
        <v>28822</v>
      </c>
      <c r="J111" s="64" t="str">
        <f>IFERROR(__xludf.DUMMYFUNCTION("IFERROR(INDEX(SPLIT(A111,"":""),1,2),)"),"ARIHANTSUP")</f>
        <v>ARIHANTSUP</v>
      </c>
      <c r="K111" s="64" t="str">
        <f t="shared" si="4"/>
        <v/>
      </c>
      <c r="L111" s="64">
        <f t="shared" si="5"/>
        <v>376</v>
      </c>
      <c r="M111" s="64">
        <f t="shared" si="6"/>
        <v>1065</v>
      </c>
      <c r="N111" s="66">
        <f>IFERROR(__xludf.DUMMYFUNCTION("IFERROR(GOOGLEFINANCE(A111,""TRADETIME""),)"),46086.64583333333)</f>
        <v>46086.64583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67" t="s">
        <v>159</v>
      </c>
      <c r="B112" s="60" t="str">
        <f>IFERROR(__xludf.DUMMYFUNCTION("IFERROR(GOOGLEFINANCE(A112,""NAME""),)"),"Arman Financial Services Ltd")</f>
        <v>Arman Financial Services Ltd</v>
      </c>
      <c r="C112" s="60">
        <f>IFERROR(__xludf.DUMMYFUNCTION("IFERROR(GOOGLEFINANCE(A112,""CHANGE""),)"),-46.6)</f>
        <v>-46.6</v>
      </c>
      <c r="D112" s="60">
        <f>IFERROR(__xludf.DUMMYFUNCTION("IFERROR(GOOGLEFINANCE(A112,""CHANGEPCT""),)"),-3.24)</f>
        <v>-3.24</v>
      </c>
      <c r="E112" s="60" t="str">
        <f t="shared" si="1"/>
        <v>-3.24%</v>
      </c>
      <c r="F112" s="60" t="str">
        <f t="shared" si="2"/>
        <v/>
      </c>
      <c r="G112" s="60">
        <f t="shared" si="3"/>
        <v>-3.24</v>
      </c>
      <c r="H112" s="60">
        <f>IFERROR(__xludf.DUMMYFUNCTION("IFERROR(GOOGLEFINANCE(A112,""PRICE""),)"),1431.0)</f>
        <v>1431</v>
      </c>
      <c r="I112" s="61">
        <f>IFERROR(__xludf.DUMMYFUNCTION("IFERROR(GOOGLEFINANCE(A112,""VOLUME""),)"),41765.0)</f>
        <v>41765</v>
      </c>
      <c r="J112" s="60" t="str">
        <f>IFERROR(__xludf.DUMMYFUNCTION("IFERROR(INDEX(SPLIT(A112,"":""),1,2),)"),"ARMANFIN")</f>
        <v>ARMANFIN</v>
      </c>
      <c r="K112" s="60" t="str">
        <f t="shared" si="4"/>
        <v/>
      </c>
      <c r="L112" s="60">
        <f t="shared" si="5"/>
        <v>411</v>
      </c>
      <c r="M112" s="60">
        <f t="shared" si="6"/>
        <v>984</v>
      </c>
      <c r="N112" s="62">
        <f>IFERROR(__xludf.DUMMYFUNCTION("IFERROR(GOOGLEFINANCE(A112,""TRADETIME""),)"),46086.64195601852)</f>
        <v>46086.64196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68" t="s">
        <v>160</v>
      </c>
      <c r="B113" s="64" t="str">
        <f>IFERROR(__xludf.DUMMYFUNCTION("IFERROR(GOOGLEFINANCE(A113,""NAME""),)"),"Aro Granite Industries Ltd")</f>
        <v>Aro Granite Industries Ltd</v>
      </c>
      <c r="C113" s="64">
        <f>IFERROR(__xludf.DUMMYFUNCTION("IFERROR(GOOGLEFINANCE(A113,""CHANGE""),)"),-0.39)</f>
        <v>-0.39</v>
      </c>
      <c r="D113" s="64">
        <f>IFERROR(__xludf.DUMMYFUNCTION("IFERROR(GOOGLEFINANCE(A113,""CHANGEPCT""),)"),-1.64)</f>
        <v>-1.64</v>
      </c>
      <c r="E113" s="64" t="str">
        <f t="shared" si="1"/>
        <v>-1.64%</v>
      </c>
      <c r="F113" s="64" t="str">
        <f t="shared" si="2"/>
        <v/>
      </c>
      <c r="G113" s="64">
        <f t="shared" si="3"/>
        <v>-1.64</v>
      </c>
      <c r="H113" s="64">
        <f>IFERROR(__xludf.DUMMYFUNCTION("IFERROR(GOOGLEFINANCE(A113,""PRICE""),)"),25.28)</f>
        <v>25.28</v>
      </c>
      <c r="I113" s="65">
        <f>IFERROR(__xludf.DUMMYFUNCTION("IFERROR(GOOGLEFINANCE(A113,""VOLUME""),)"),8973.0)</f>
        <v>8973</v>
      </c>
      <c r="J113" s="64" t="str">
        <f>IFERROR(__xludf.DUMMYFUNCTION("IFERROR(INDEX(SPLIT(A113,"":""),1,2),)"),"AROGRANITE")</f>
        <v>AROGRANITE</v>
      </c>
      <c r="K113" s="64" t="str">
        <f t="shared" si="4"/>
        <v/>
      </c>
      <c r="L113" s="64">
        <f t="shared" si="5"/>
        <v>303</v>
      </c>
      <c r="M113" s="64">
        <f t="shared" si="6"/>
        <v>1277</v>
      </c>
      <c r="N113" s="66">
        <f>IFERROR(__xludf.DUMMYFUNCTION("IFERROR(GOOGLEFINANCE(A113,""TRADETIME""),)"),46086.64583333333)</f>
        <v>46086.64583</v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67" t="s">
        <v>161</v>
      </c>
      <c r="B114" s="60" t="str">
        <f>IFERROR(__xludf.DUMMYFUNCTION("IFERROR(GOOGLEFINANCE(A114,""NAME""),)"),"Arrow Greentech Ltd")</f>
        <v>Arrow Greentech Ltd</v>
      </c>
      <c r="C114" s="60">
        <f>IFERROR(__xludf.DUMMYFUNCTION("IFERROR(GOOGLEFINANCE(A114,""CHANGE""),)"),-13.25)</f>
        <v>-13.25</v>
      </c>
      <c r="D114" s="60">
        <f>IFERROR(__xludf.DUMMYFUNCTION("IFERROR(GOOGLEFINANCE(A114,""CHANGEPCT""),)"),-3.42)</f>
        <v>-3.42</v>
      </c>
      <c r="E114" s="60" t="str">
        <f t="shared" si="1"/>
        <v>-3.42%</v>
      </c>
      <c r="F114" s="60" t="str">
        <f t="shared" si="2"/>
        <v/>
      </c>
      <c r="G114" s="60">
        <f t="shared" si="3"/>
        <v>-3.42</v>
      </c>
      <c r="H114" s="60">
        <f>IFERROR(__xludf.DUMMYFUNCTION("IFERROR(GOOGLEFINANCE(A114,""PRICE""),)"),374.0)</f>
        <v>374</v>
      </c>
      <c r="I114" s="61">
        <f>IFERROR(__xludf.DUMMYFUNCTION("IFERROR(GOOGLEFINANCE(A114,""VOLUME""),)"),43996.0)</f>
        <v>43996</v>
      </c>
      <c r="J114" s="60" t="str">
        <f>IFERROR(__xludf.DUMMYFUNCTION("IFERROR(INDEX(SPLIT(A114,"":""),1,2),)"),"ARROWGREEN")</f>
        <v>ARROWGREEN</v>
      </c>
      <c r="K114" s="60" t="str">
        <f t="shared" si="4"/>
        <v/>
      </c>
      <c r="L114" s="60">
        <f t="shared" si="5"/>
        <v>419</v>
      </c>
      <c r="M114" s="60">
        <f t="shared" si="6"/>
        <v>973</v>
      </c>
      <c r="N114" s="62">
        <f>IFERROR(__xludf.DUMMYFUNCTION("IFERROR(GOOGLEFINANCE(A114,""TRADETIME""),)"),46086.64583333333)</f>
        <v>46086.64583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68" t="s">
        <v>162</v>
      </c>
      <c r="B115" s="64" t="str">
        <f>IFERROR(__xludf.DUMMYFUNCTION("IFERROR(GOOGLEFINANCE(A115,""NAME""),)"),"Arshiya Ltd")</f>
        <v>Arshiya Ltd</v>
      </c>
      <c r="C115" s="64">
        <f>IFERROR(__xludf.DUMMYFUNCTION("IFERROR(GOOGLEFINANCE(A115,""CHANGE""),)"),-0.08)</f>
        <v>-0.08</v>
      </c>
      <c r="D115" s="64">
        <f>IFERROR(__xludf.DUMMYFUNCTION("IFERROR(GOOGLEFINANCE(A115,""CHANGEPCT""),)"),-4.97)</f>
        <v>-4.97</v>
      </c>
      <c r="E115" s="64" t="str">
        <f t="shared" si="1"/>
        <v>-4.97%</v>
      </c>
      <c r="F115" s="64" t="str">
        <f t="shared" si="2"/>
        <v/>
      </c>
      <c r="G115" s="64">
        <f t="shared" si="3"/>
        <v>-4.97</v>
      </c>
      <c r="H115" s="64">
        <f>IFERROR(__xludf.DUMMYFUNCTION("IFERROR(GOOGLEFINANCE(A115,""PRICE""),)"),1.53)</f>
        <v>1.53</v>
      </c>
      <c r="I115" s="65">
        <f>IFERROR(__xludf.DUMMYFUNCTION("IFERROR(GOOGLEFINANCE(A115,""VOLUME""),)"),1211.0)</f>
        <v>1211</v>
      </c>
      <c r="J115" s="64" t="str">
        <f>IFERROR(__xludf.DUMMYFUNCTION("IFERROR(INDEX(SPLIT(A115,"":""),1,2),)"),"ARSHIYA")</f>
        <v>ARSHIYA</v>
      </c>
      <c r="K115" s="64" t="str">
        <f t="shared" si="4"/>
        <v/>
      </c>
      <c r="L115" s="64">
        <f t="shared" si="5"/>
        <v>437</v>
      </c>
      <c r="M115" s="64">
        <f t="shared" si="6"/>
        <v>1427</v>
      </c>
      <c r="N115" s="66">
        <f>IFERROR(__xludf.DUMMYFUNCTION("IFERROR(GOOGLEFINANCE(A115,""TRADETIME""),)"),46083.64583333333)</f>
        <v>46083.64583</v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67" t="s">
        <v>163</v>
      </c>
      <c r="B116" s="60" t="str">
        <f>IFERROR(__xludf.DUMMYFUNCTION("IFERROR(GOOGLEFINANCE(A116,""NAME""),)"),"")</f>
        <v/>
      </c>
      <c r="C116" s="60" t="str">
        <f>IFERROR(__xludf.DUMMYFUNCTION("IFERROR(GOOGLEFINANCE(A116,""CHANGE""),)"),"")</f>
        <v/>
      </c>
      <c r="D116" s="60" t="str">
        <f>IFERROR(__xludf.DUMMYFUNCTION("IFERROR(GOOGLEFINANCE(A116,""CHANGEPCT""),)"),"")</f>
        <v/>
      </c>
      <c r="E116" s="60" t="str">
        <f t="shared" si="1"/>
        <v>%</v>
      </c>
      <c r="F116" s="60" t="str">
        <f t="shared" si="2"/>
        <v/>
      </c>
      <c r="G116" s="60" t="str">
        <f t="shared" si="3"/>
        <v/>
      </c>
      <c r="H116" s="60" t="str">
        <f>IFERROR(__xludf.DUMMYFUNCTION("IFERROR(GOOGLEFINANCE(A116,""PRICE""),)"),"")</f>
        <v/>
      </c>
      <c r="I116" s="61" t="str">
        <f>IFERROR(__xludf.DUMMYFUNCTION("IFERROR(GOOGLEFINANCE(A116,""VOLUME""),)"),"")</f>
        <v/>
      </c>
      <c r="J116" s="60" t="str">
        <f>IFERROR(__xludf.DUMMYFUNCTION("IFERROR(INDEX(SPLIT(A116,"":""),1,2),)"),"ARSSINFRA")</f>
        <v>ARSSINFRA</v>
      </c>
      <c r="K116" s="60" t="str">
        <f t="shared" si="4"/>
        <v/>
      </c>
      <c r="L116" s="60" t="str">
        <f t="shared" si="5"/>
        <v/>
      </c>
      <c r="M116" s="60" t="str">
        <f t="shared" si="6"/>
        <v/>
      </c>
      <c r="N116" s="62" t="str">
        <f>IFERROR(__xludf.DUMMYFUNCTION("IFERROR(GOOGLEFINANCE(A116,""TRADETIME""),)"),"")</f>
        <v/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68" t="s">
        <v>164</v>
      </c>
      <c r="B117" s="64" t="str">
        <f>IFERROR(__xludf.DUMMYFUNCTION("IFERROR(GOOGLEFINANCE(A117,""NAME""),)"),"Artemis Medicare Services Ltd")</f>
        <v>Artemis Medicare Services Ltd</v>
      </c>
      <c r="C117" s="64">
        <f>IFERROR(__xludf.DUMMYFUNCTION("IFERROR(GOOGLEFINANCE(A117,""CHANGE""),)"),0.17)</f>
        <v>0.17</v>
      </c>
      <c r="D117" s="64">
        <f>IFERROR(__xludf.DUMMYFUNCTION("IFERROR(GOOGLEFINANCE(A117,""CHANGEPCT""),)"),0.07)</f>
        <v>0.07</v>
      </c>
      <c r="E117" s="64" t="str">
        <f t="shared" si="1"/>
        <v>0.07%</v>
      </c>
      <c r="F117" s="64">
        <f t="shared" si="2"/>
        <v>0.07</v>
      </c>
      <c r="G117" s="64" t="str">
        <f t="shared" si="3"/>
        <v/>
      </c>
      <c r="H117" s="64">
        <f>IFERROR(__xludf.DUMMYFUNCTION("IFERROR(GOOGLEFINANCE(A117,""PRICE""),)"),233.5)</f>
        <v>233.5</v>
      </c>
      <c r="I117" s="65">
        <f>IFERROR(__xludf.DUMMYFUNCTION("IFERROR(GOOGLEFINANCE(A117,""VOLUME""),)"),127920.0)</f>
        <v>127920</v>
      </c>
      <c r="J117" s="64" t="str">
        <f>IFERROR(__xludf.DUMMYFUNCTION("IFERROR(INDEX(SPLIT(A117,"":""),1,2),)"),"ARTEMISMED")</f>
        <v>ARTEMISMED</v>
      </c>
      <c r="K117" s="64">
        <f t="shared" si="4"/>
        <v>981</v>
      </c>
      <c r="L117" s="64" t="str">
        <f t="shared" si="5"/>
        <v/>
      </c>
      <c r="M117" s="64">
        <f t="shared" si="6"/>
        <v>705</v>
      </c>
      <c r="N117" s="66">
        <f>IFERROR(__xludf.DUMMYFUNCTION("IFERROR(GOOGLEFINANCE(A117,""TRADETIME""),)"),46086.64167824074)</f>
        <v>46086.64168</v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67" t="s">
        <v>92</v>
      </c>
      <c r="B118" s="60" t="str">
        <f>IFERROR(__xludf.DUMMYFUNCTION("IFERROR(GOOGLEFINANCE(A118,""NAME""),)"),"Arvind Ltd")</f>
        <v>Arvind Ltd</v>
      </c>
      <c r="C118" s="60">
        <f>IFERROR(__xludf.DUMMYFUNCTION("IFERROR(GOOGLEFINANCE(A118,""CHANGE""),)"),6.5)</f>
        <v>6.5</v>
      </c>
      <c r="D118" s="60">
        <f>IFERROR(__xludf.DUMMYFUNCTION("IFERROR(GOOGLEFINANCE(A118,""CHANGEPCT""),)"),2.24)</f>
        <v>2.24</v>
      </c>
      <c r="E118" s="60" t="str">
        <f t="shared" si="1"/>
        <v>2.24%</v>
      </c>
      <c r="F118" s="60">
        <f t="shared" si="2"/>
        <v>2.24</v>
      </c>
      <c r="G118" s="60" t="str">
        <f t="shared" si="3"/>
        <v/>
      </c>
      <c r="H118" s="60">
        <f>IFERROR(__xludf.DUMMYFUNCTION("IFERROR(GOOGLEFINANCE(A118,""PRICE""),)"),347.5)</f>
        <v>347.5</v>
      </c>
      <c r="I118" s="61">
        <f>IFERROR(__xludf.DUMMYFUNCTION("IFERROR(GOOGLEFINANCE(A118,""VOLUME""),)"),378551.0)</f>
        <v>378551</v>
      </c>
      <c r="J118" s="60" t="str">
        <f>IFERROR(__xludf.DUMMYFUNCTION("IFERROR(INDEX(SPLIT(A118,"":""),1,2),)"),"ARVIND")</f>
        <v>ARVIND</v>
      </c>
      <c r="K118" s="60">
        <f t="shared" si="4"/>
        <v>389</v>
      </c>
      <c r="L118" s="60" t="str">
        <f t="shared" si="5"/>
        <v/>
      </c>
      <c r="M118" s="60">
        <f t="shared" si="6"/>
        <v>454</v>
      </c>
      <c r="N118" s="62">
        <f>IFERROR(__xludf.DUMMYFUNCTION("IFERROR(GOOGLEFINANCE(A118,""TRADETIME""),)"),46086.64583333333)</f>
        <v>46086.64583</v>
      </c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68" t="s">
        <v>165</v>
      </c>
      <c r="B119" s="64" t="str">
        <f>IFERROR(__xludf.DUMMYFUNCTION("IFERROR(GOOGLEFINANCE(A119,""NAME""),)"),"ARVIND FASHIONS LTD")</f>
        <v>ARVIND FASHIONS LTD</v>
      </c>
      <c r="C119" s="64">
        <f>IFERROR(__xludf.DUMMYFUNCTION("IFERROR(GOOGLEFINANCE(A119,""CHANGE""),)"),-1.85)</f>
        <v>-1.85</v>
      </c>
      <c r="D119" s="64">
        <f>IFERROR(__xludf.DUMMYFUNCTION("IFERROR(GOOGLEFINANCE(A119,""CHANGEPCT""),)"),-0.92)</f>
        <v>-0.92</v>
      </c>
      <c r="E119" s="64" t="str">
        <f t="shared" si="1"/>
        <v>-0.92%</v>
      </c>
      <c r="F119" s="64" t="str">
        <f t="shared" si="2"/>
        <v/>
      </c>
      <c r="G119" s="64">
        <f t="shared" si="3"/>
        <v>-0.92</v>
      </c>
      <c r="H119" s="64">
        <f>IFERROR(__xludf.DUMMYFUNCTION("IFERROR(GOOGLEFINANCE(A119,""PRICE""),)"),428.75)</f>
        <v>428.75</v>
      </c>
      <c r="I119" s="65">
        <f>IFERROR(__xludf.DUMMYFUNCTION("IFERROR(GOOGLEFINANCE(A119,""VOLUME""),)"),77140.0)</f>
        <v>77140</v>
      </c>
      <c r="J119" s="64" t="str">
        <f>IFERROR(__xludf.DUMMYFUNCTION("IFERROR(INDEX(SPLIT(A119,"":""),1,2),)"),"ARVINDFASN")</f>
        <v>ARVINDFASN</v>
      </c>
      <c r="K119" s="64" t="str">
        <f t="shared" si="4"/>
        <v/>
      </c>
      <c r="L119" s="64">
        <f t="shared" si="5"/>
        <v>204</v>
      </c>
      <c r="M119" s="64">
        <f t="shared" si="6"/>
        <v>821</v>
      </c>
      <c r="N119" s="66">
        <f>IFERROR(__xludf.DUMMYFUNCTION("IFERROR(GOOGLEFINANCE(A119,""TRADETIME""),)"),46086.64583333333)</f>
        <v>46086.64583</v>
      </c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67" t="s">
        <v>166</v>
      </c>
      <c r="B120" s="60" t="str">
        <f>IFERROR(__xludf.DUMMYFUNCTION("IFERROR(GOOGLEFINANCE(A120,""NAME""),)"),"Arvind Smartspaces Ltd")</f>
        <v>Arvind Smartspaces Ltd</v>
      </c>
      <c r="C120" s="60">
        <f>IFERROR(__xludf.DUMMYFUNCTION("IFERROR(GOOGLEFINANCE(A120,""CHANGE""),)"),-2.1)</f>
        <v>-2.1</v>
      </c>
      <c r="D120" s="60">
        <f>IFERROR(__xludf.DUMMYFUNCTION("IFERROR(GOOGLEFINANCE(A120,""CHANGEPCT""),)"),-0.41)</f>
        <v>-0.41</v>
      </c>
      <c r="E120" s="60" t="str">
        <f t="shared" si="1"/>
        <v>-0.41%</v>
      </c>
      <c r="F120" s="60" t="str">
        <f t="shared" si="2"/>
        <v/>
      </c>
      <c r="G120" s="60">
        <f t="shared" si="3"/>
        <v>-0.41</v>
      </c>
      <c r="H120" s="60">
        <f>IFERROR(__xludf.DUMMYFUNCTION("IFERROR(GOOGLEFINANCE(A120,""PRICE""),)"),507.2)</f>
        <v>507.2</v>
      </c>
      <c r="I120" s="61">
        <f>IFERROR(__xludf.DUMMYFUNCTION("IFERROR(GOOGLEFINANCE(A120,""VOLUME""),)"),17273.0)</f>
        <v>17273</v>
      </c>
      <c r="J120" s="60" t="str">
        <f>IFERROR(__xludf.DUMMYFUNCTION("IFERROR(INDEX(SPLIT(A120,"":""),1,2),)"),"ARVSMART")</f>
        <v>ARVSMART</v>
      </c>
      <c r="K120" s="60" t="str">
        <f t="shared" si="4"/>
        <v/>
      </c>
      <c r="L120" s="60">
        <f t="shared" si="5"/>
        <v>96</v>
      </c>
      <c r="M120" s="60">
        <f t="shared" si="6"/>
        <v>1174</v>
      </c>
      <c r="N120" s="62">
        <f>IFERROR(__xludf.DUMMYFUNCTION("IFERROR(GOOGLEFINANCE(A120,""TRADETIME""),)"),46086.64583333333)</f>
        <v>46086.64583</v>
      </c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68" t="s">
        <v>167</v>
      </c>
      <c r="B121" s="64" t="str">
        <f>IFERROR(__xludf.DUMMYFUNCTION("IFERROR(GOOGLEFINANCE(A121,""NAME""),)"),"Asahi India Glass Ltd")</f>
        <v>Asahi India Glass Ltd</v>
      </c>
      <c r="C121" s="64">
        <f>IFERROR(__xludf.DUMMYFUNCTION("IFERROR(GOOGLEFINANCE(A121,""CHANGE""),)"),-23.2)</f>
        <v>-23.2</v>
      </c>
      <c r="D121" s="64">
        <f>IFERROR(__xludf.DUMMYFUNCTION("IFERROR(GOOGLEFINANCE(A121,""CHANGEPCT""),)"),-2.7)</f>
        <v>-2.7</v>
      </c>
      <c r="E121" s="64" t="str">
        <f t="shared" si="1"/>
        <v>-2.7%</v>
      </c>
      <c r="F121" s="64" t="str">
        <f t="shared" si="2"/>
        <v/>
      </c>
      <c r="G121" s="64">
        <f t="shared" si="3"/>
        <v>-2.7</v>
      </c>
      <c r="H121" s="64">
        <f>IFERROR(__xludf.DUMMYFUNCTION("IFERROR(GOOGLEFINANCE(A121,""PRICE""),)"),837.0)</f>
        <v>837</v>
      </c>
      <c r="I121" s="65">
        <f>IFERROR(__xludf.DUMMYFUNCTION("IFERROR(GOOGLEFINANCE(A121,""VOLUME""),)"),105591.0)</f>
        <v>105591</v>
      </c>
      <c r="J121" s="64" t="str">
        <f>IFERROR(__xludf.DUMMYFUNCTION("IFERROR(INDEX(SPLIT(A121,"":""),1,2),)"),"ASAHIINDIA")</f>
        <v>ASAHIINDIA</v>
      </c>
      <c r="K121" s="64" t="str">
        <f t="shared" si="4"/>
        <v/>
      </c>
      <c r="L121" s="64">
        <f t="shared" si="5"/>
        <v>396</v>
      </c>
      <c r="M121" s="64">
        <f t="shared" si="6"/>
        <v>749</v>
      </c>
      <c r="N121" s="66">
        <f>IFERROR(__xludf.DUMMYFUNCTION("IFERROR(GOOGLEFINANCE(A121,""TRADETIME""),)"),46086.64585648148)</f>
        <v>46086.64586</v>
      </c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9" t="s">
        <v>168</v>
      </c>
      <c r="B122" s="60" t="str">
        <f>IFERROR(__xludf.DUMMYFUNCTION("IFERROR(GOOGLEFINANCE(A122,""NAME""),)"),"Asahi Songwon Colors Ltd")</f>
        <v>Asahi Songwon Colors Ltd</v>
      </c>
      <c r="C122" s="60">
        <f>IFERROR(__xludf.DUMMYFUNCTION("IFERROR(GOOGLEFINANCE(A122,""CHANGE""),)"),9.75)</f>
        <v>9.75</v>
      </c>
      <c r="D122" s="60">
        <f>IFERROR(__xludf.DUMMYFUNCTION("IFERROR(GOOGLEFINANCE(A122,""CHANGEPCT""),)"),2.45)</f>
        <v>2.45</v>
      </c>
      <c r="E122" s="60" t="str">
        <f t="shared" si="1"/>
        <v>2.45%</v>
      </c>
      <c r="F122" s="60">
        <f t="shared" si="2"/>
        <v>2.45</v>
      </c>
      <c r="G122" s="60" t="str">
        <f t="shared" si="3"/>
        <v/>
      </c>
      <c r="H122" s="60">
        <f>IFERROR(__xludf.DUMMYFUNCTION("IFERROR(GOOGLEFINANCE(A122,""PRICE""),)"),227.99)</f>
        <v>227.99</v>
      </c>
      <c r="I122" s="61">
        <f>IFERROR(__xludf.DUMMYFUNCTION("IFERROR(GOOGLEFINANCE(A122,""VOLUME""),)"),14470.0)</f>
        <v>14470</v>
      </c>
      <c r="J122" s="60" t="str">
        <f>IFERROR(__xludf.DUMMYFUNCTION("IFERROR(INDEX(SPLIT(A122,"":""),1,2),)"),"ASAHISONG")</f>
        <v>ASAHISONG</v>
      </c>
      <c r="K122" s="60">
        <f t="shared" si="4"/>
        <v>346</v>
      </c>
      <c r="L122" s="60" t="str">
        <f t="shared" si="5"/>
        <v/>
      </c>
      <c r="M122" s="60">
        <f t="shared" si="6"/>
        <v>1200</v>
      </c>
      <c r="N122" s="62">
        <f>IFERROR(__xludf.DUMMYFUNCTION("IFERROR(GOOGLEFINANCE(A122,""TRADETIME""),)"),46086.64583333333)</f>
        <v>46086.64583</v>
      </c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68" t="s">
        <v>169</v>
      </c>
      <c r="B123" s="64" t="str">
        <f>IFERROR(__xludf.DUMMYFUNCTION("IFERROR(GOOGLEFINANCE(A123,""NAME""),)"),"Automotive Stampings and Assemblies Ltd")</f>
        <v>Automotive Stampings and Assemblies Ltd</v>
      </c>
      <c r="C123" s="64">
        <f>IFERROR(__xludf.DUMMYFUNCTION("IFERROR(GOOGLEFINANCE(A123,""CHANGE""),)"),-0.85)</f>
        <v>-0.85</v>
      </c>
      <c r="D123" s="64">
        <f>IFERROR(__xludf.DUMMYFUNCTION("IFERROR(GOOGLEFINANCE(A123,""CHANGEPCT""),)"),-0.19)</f>
        <v>-0.19</v>
      </c>
      <c r="E123" s="64" t="str">
        <f t="shared" si="1"/>
        <v>-0.19%</v>
      </c>
      <c r="F123" s="64" t="str">
        <f t="shared" si="2"/>
        <v/>
      </c>
      <c r="G123" s="64">
        <f t="shared" si="3"/>
        <v>-0.19</v>
      </c>
      <c r="H123" s="64">
        <f>IFERROR(__xludf.DUMMYFUNCTION("IFERROR(GOOGLEFINANCE(A123,""PRICE""),)"),448.8)</f>
        <v>448.8</v>
      </c>
      <c r="I123" s="65">
        <f>IFERROR(__xludf.DUMMYFUNCTION("IFERROR(GOOGLEFINANCE(A123,""VOLUME""),)"),12236.0)</f>
        <v>12236</v>
      </c>
      <c r="J123" s="64" t="str">
        <f>IFERROR(__xludf.DUMMYFUNCTION("IFERROR(INDEX(SPLIT(A123,"":""),1,2),)"),"ASAL")</f>
        <v>ASAL</v>
      </c>
      <c r="K123" s="64" t="str">
        <f t="shared" si="4"/>
        <v/>
      </c>
      <c r="L123" s="64">
        <f t="shared" si="5"/>
        <v>46</v>
      </c>
      <c r="M123" s="64">
        <f t="shared" si="6"/>
        <v>1227</v>
      </c>
      <c r="N123" s="66">
        <f>IFERROR(__xludf.DUMMYFUNCTION("IFERROR(GOOGLEFINANCE(A123,""TRADETIME""),)"),46086.64583333333)</f>
        <v>46086.64583</v>
      </c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67" t="s">
        <v>170</v>
      </c>
      <c r="B124" s="60" t="str">
        <f>IFERROR(__xludf.DUMMYFUNCTION("IFERROR(GOOGLEFINANCE(A124,""NAME""),)"),"Associated Alcohols &amp; Breweries Ltd")</f>
        <v>Associated Alcohols &amp; Breweries Ltd</v>
      </c>
      <c r="C124" s="60">
        <f>IFERROR(__xludf.DUMMYFUNCTION("IFERROR(GOOGLEFINANCE(A124,""CHANGE""),)"),-1.7)</f>
        <v>-1.7</v>
      </c>
      <c r="D124" s="60">
        <f>IFERROR(__xludf.DUMMYFUNCTION("IFERROR(GOOGLEFINANCE(A124,""CHANGEPCT""),)"),-0.22)</f>
        <v>-0.22</v>
      </c>
      <c r="E124" s="60" t="str">
        <f t="shared" si="1"/>
        <v>-0.22%</v>
      </c>
      <c r="F124" s="60" t="str">
        <f t="shared" si="2"/>
        <v/>
      </c>
      <c r="G124" s="60">
        <f t="shared" si="3"/>
        <v>-0.22</v>
      </c>
      <c r="H124" s="60">
        <f>IFERROR(__xludf.DUMMYFUNCTION("IFERROR(GOOGLEFINANCE(A124,""PRICE""),)"),762.0)</f>
        <v>762</v>
      </c>
      <c r="I124" s="61">
        <f>IFERROR(__xludf.DUMMYFUNCTION("IFERROR(GOOGLEFINANCE(A124,""VOLUME""),)"),32426.0)</f>
        <v>32426</v>
      </c>
      <c r="J124" s="60" t="str">
        <f>IFERROR(__xludf.DUMMYFUNCTION("IFERROR(INDEX(SPLIT(A124,"":""),1,2),)"),"ASALCBR")</f>
        <v>ASALCBR</v>
      </c>
      <c r="K124" s="60" t="str">
        <f t="shared" si="4"/>
        <v/>
      </c>
      <c r="L124" s="60">
        <f t="shared" si="5"/>
        <v>58</v>
      </c>
      <c r="M124" s="60">
        <f t="shared" si="6"/>
        <v>1040</v>
      </c>
      <c r="N124" s="62">
        <f>IFERROR(__xludf.DUMMYFUNCTION("IFERROR(GOOGLEFINANCE(A124,""TRADETIME""),)"),46086.64583333333)</f>
        <v>46086.64583</v>
      </c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68" t="s">
        <v>171</v>
      </c>
      <c r="B125" s="64" t="str">
        <f>IFERROR(__xludf.DUMMYFUNCTION("IFERROR(GOOGLEFINANCE(A125,""NAME""),)"),"Ashapura Minechem Ltd")</f>
        <v>Ashapura Minechem Ltd</v>
      </c>
      <c r="C125" s="64">
        <f>IFERROR(__xludf.DUMMYFUNCTION("IFERROR(GOOGLEFINANCE(A125,""CHANGE""),)"),-0.85)</f>
        <v>-0.85</v>
      </c>
      <c r="D125" s="64">
        <f>IFERROR(__xludf.DUMMYFUNCTION("IFERROR(GOOGLEFINANCE(A125,""CHANGEPCT""),)"),-0.17)</f>
        <v>-0.17</v>
      </c>
      <c r="E125" s="64" t="str">
        <f t="shared" si="1"/>
        <v>-0.17%</v>
      </c>
      <c r="F125" s="64" t="str">
        <f t="shared" si="2"/>
        <v/>
      </c>
      <c r="G125" s="64">
        <f t="shared" si="3"/>
        <v>-0.17</v>
      </c>
      <c r="H125" s="64">
        <f>IFERROR(__xludf.DUMMYFUNCTION("IFERROR(GOOGLEFINANCE(A125,""PRICE""),)"),514.95)</f>
        <v>514.95</v>
      </c>
      <c r="I125" s="65">
        <f>IFERROR(__xludf.DUMMYFUNCTION("IFERROR(GOOGLEFINANCE(A125,""VOLUME""),)"),383594.0)</f>
        <v>383594</v>
      </c>
      <c r="J125" s="64" t="str">
        <f>IFERROR(__xludf.DUMMYFUNCTION("IFERROR(INDEX(SPLIT(A125,"":""),1,2),)"),"ASHAPURMIN")</f>
        <v>ASHAPURMIN</v>
      </c>
      <c r="K125" s="64" t="str">
        <f t="shared" si="4"/>
        <v/>
      </c>
      <c r="L125" s="64">
        <f t="shared" si="5"/>
        <v>42</v>
      </c>
      <c r="M125" s="64">
        <f t="shared" si="6"/>
        <v>446</v>
      </c>
      <c r="N125" s="66">
        <f>IFERROR(__xludf.DUMMYFUNCTION("IFERROR(GOOGLEFINANCE(A125,""TRADETIME""),)"),46086.64583333333)</f>
        <v>46086.64583</v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67" t="s">
        <v>172</v>
      </c>
      <c r="B126" s="60" t="str">
        <f>IFERROR(__xludf.DUMMYFUNCTION("IFERROR(GOOGLEFINANCE(A126,""NAME""),)"),"Ashiana Housing Ltd")</f>
        <v>Ashiana Housing Ltd</v>
      </c>
      <c r="C126" s="60">
        <f>IFERROR(__xludf.DUMMYFUNCTION("IFERROR(GOOGLEFINANCE(A126,""CHANGE""),)"),3.75)</f>
        <v>3.75</v>
      </c>
      <c r="D126" s="60">
        <f>IFERROR(__xludf.DUMMYFUNCTION("IFERROR(GOOGLEFINANCE(A126,""CHANGEPCT""),)"),1.2)</f>
        <v>1.2</v>
      </c>
      <c r="E126" s="60" t="str">
        <f t="shared" si="1"/>
        <v>1.2%</v>
      </c>
      <c r="F126" s="60">
        <f t="shared" si="2"/>
        <v>1.2</v>
      </c>
      <c r="G126" s="60" t="str">
        <f t="shared" si="3"/>
        <v/>
      </c>
      <c r="H126" s="60">
        <f>IFERROR(__xludf.DUMMYFUNCTION("IFERROR(GOOGLEFINANCE(A126,""PRICE""),)"),316.0)</f>
        <v>316</v>
      </c>
      <c r="I126" s="61">
        <f>IFERROR(__xludf.DUMMYFUNCTION("IFERROR(GOOGLEFINANCE(A126,""VOLUME""),)"),32534.0)</f>
        <v>32534</v>
      </c>
      <c r="J126" s="60" t="str">
        <f>IFERROR(__xludf.DUMMYFUNCTION("IFERROR(INDEX(SPLIT(A126,"":""),1,2),)"),"ASHIANA")</f>
        <v>ASHIANA</v>
      </c>
      <c r="K126" s="60">
        <f t="shared" si="4"/>
        <v>670</v>
      </c>
      <c r="L126" s="60" t="str">
        <f t="shared" si="5"/>
        <v/>
      </c>
      <c r="M126" s="60">
        <f t="shared" si="6"/>
        <v>1038</v>
      </c>
      <c r="N126" s="62">
        <f>IFERROR(__xludf.DUMMYFUNCTION("IFERROR(GOOGLEFINANCE(A126,""TRADETIME""),)"),46086.64583333333)</f>
        <v>46086.64583</v>
      </c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68" t="s">
        <v>173</v>
      </c>
      <c r="B127" s="64" t="str">
        <f>IFERROR(__xludf.DUMMYFUNCTION("IFERROR(GOOGLEFINANCE(A127,""NAME""),)"),"Ashima Ltd")</f>
        <v>Ashima Ltd</v>
      </c>
      <c r="C127" s="64">
        <f>IFERROR(__xludf.DUMMYFUNCTION("IFERROR(GOOGLEFINANCE(A127,""CHANGE""),)"),0.59)</f>
        <v>0.59</v>
      </c>
      <c r="D127" s="64">
        <f>IFERROR(__xludf.DUMMYFUNCTION("IFERROR(GOOGLEFINANCE(A127,""CHANGEPCT""),)"),3.34)</f>
        <v>3.34</v>
      </c>
      <c r="E127" s="64" t="str">
        <f t="shared" si="1"/>
        <v>3.34%</v>
      </c>
      <c r="F127" s="64">
        <f t="shared" si="2"/>
        <v>3.34</v>
      </c>
      <c r="G127" s="64" t="str">
        <f t="shared" si="3"/>
        <v/>
      </c>
      <c r="H127" s="64">
        <f>IFERROR(__xludf.DUMMYFUNCTION("IFERROR(GOOGLEFINANCE(A127,""PRICE""),)"),14.38)</f>
        <v>14.38</v>
      </c>
      <c r="I127" s="65">
        <f>IFERROR(__xludf.DUMMYFUNCTION("IFERROR(GOOGLEFINANCE(A127,""VOLUME""),)"),126245.0)</f>
        <v>126245</v>
      </c>
      <c r="J127" s="64" t="str">
        <f>IFERROR(__xludf.DUMMYFUNCTION("IFERROR(INDEX(SPLIT(A127,"":""),1,2),)"),"ASHIMASYN")</f>
        <v>ASHIMASYN</v>
      </c>
      <c r="K127" s="64">
        <f t="shared" si="4"/>
        <v>207</v>
      </c>
      <c r="L127" s="64" t="str">
        <f t="shared" si="5"/>
        <v/>
      </c>
      <c r="M127" s="64">
        <f t="shared" si="6"/>
        <v>709</v>
      </c>
      <c r="N127" s="66">
        <f>IFERROR(__xludf.DUMMYFUNCTION("IFERROR(GOOGLEFINANCE(A127,""TRADETIME""),)"),46086.64583333333)</f>
        <v>46086.64583</v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67" t="s">
        <v>174</v>
      </c>
      <c r="B128" s="60" t="str">
        <f>IFERROR(__xludf.DUMMYFUNCTION("IFERROR(GOOGLEFINANCE(A128,""NAME""),)"),"Ashoka Buildcon Ltd")</f>
        <v>Ashoka Buildcon Ltd</v>
      </c>
      <c r="C128" s="60">
        <f>IFERROR(__xludf.DUMMYFUNCTION("IFERROR(GOOGLEFINANCE(A128,""CHANGE""),)"),-1.45)</f>
        <v>-1.45</v>
      </c>
      <c r="D128" s="60">
        <f>IFERROR(__xludf.DUMMYFUNCTION("IFERROR(GOOGLEFINANCE(A128,""CHANGEPCT""),)"),-1.17)</f>
        <v>-1.17</v>
      </c>
      <c r="E128" s="60" t="str">
        <f t="shared" si="1"/>
        <v>-1.17%</v>
      </c>
      <c r="F128" s="60" t="str">
        <f t="shared" si="2"/>
        <v/>
      </c>
      <c r="G128" s="60">
        <f t="shared" si="3"/>
        <v>-1.17</v>
      </c>
      <c r="H128" s="60">
        <f>IFERROR(__xludf.DUMMYFUNCTION("IFERROR(GOOGLEFINANCE(A128,""PRICE""),)"),122.6)</f>
        <v>122.6</v>
      </c>
      <c r="I128" s="61">
        <f>IFERROR(__xludf.DUMMYFUNCTION("IFERROR(GOOGLEFINANCE(A128,""VOLUME""),)"),1396673.0)</f>
        <v>1396673</v>
      </c>
      <c r="J128" s="60" t="str">
        <f>IFERROR(__xludf.DUMMYFUNCTION("IFERROR(INDEX(SPLIT(A128,"":""),1,2),)"),"ASHOKA")</f>
        <v>ASHOKA</v>
      </c>
      <c r="K128" s="60" t="str">
        <f t="shared" si="4"/>
        <v/>
      </c>
      <c r="L128" s="60">
        <f t="shared" si="5"/>
        <v>239</v>
      </c>
      <c r="M128" s="60">
        <f t="shared" si="6"/>
        <v>247</v>
      </c>
      <c r="N128" s="62">
        <f>IFERROR(__xludf.DUMMYFUNCTION("IFERROR(GOOGLEFINANCE(A128,""TRADETIME""),)"),46086.64583333333)</f>
        <v>46086.64583</v>
      </c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68" t="s">
        <v>175</v>
      </c>
      <c r="B129" s="64" t="str">
        <f>IFERROR(__xludf.DUMMYFUNCTION("IFERROR(GOOGLEFINANCE(A129,""NAME""),)"),"Ashok Leyland Ltd")</f>
        <v>Ashok Leyland Ltd</v>
      </c>
      <c r="C129" s="64">
        <f>IFERROR(__xludf.DUMMYFUNCTION("IFERROR(GOOGLEFINANCE(A129,""CHANGE""),)"),2.58)</f>
        <v>2.58</v>
      </c>
      <c r="D129" s="64">
        <f>IFERROR(__xludf.DUMMYFUNCTION("IFERROR(GOOGLEFINANCE(A129,""CHANGEPCT""),)"),1.06)</f>
        <v>1.06</v>
      </c>
      <c r="E129" s="64" t="str">
        <f t="shared" si="1"/>
        <v>1.06%</v>
      </c>
      <c r="F129" s="64">
        <f t="shared" si="2"/>
        <v>1.06</v>
      </c>
      <c r="G129" s="64" t="str">
        <f t="shared" si="3"/>
        <v/>
      </c>
      <c r="H129" s="64">
        <f>IFERROR(__xludf.DUMMYFUNCTION("IFERROR(GOOGLEFINANCE(A129,""PRICE""),)"),203.04)</f>
        <v>203.04</v>
      </c>
      <c r="I129" s="65">
        <f>IFERROR(__xludf.DUMMYFUNCTION("IFERROR(GOOGLEFINANCE(A129,""VOLUME""),)"),1.7814263E7)</f>
        <v>17814263</v>
      </c>
      <c r="J129" s="64" t="str">
        <f>IFERROR(__xludf.DUMMYFUNCTION("IFERROR(INDEX(SPLIT(A129,"":""),1,2),)"),"ASHOKLEY")</f>
        <v>ASHOKLEY</v>
      </c>
      <c r="K129" s="64">
        <f t="shared" si="4"/>
        <v>704</v>
      </c>
      <c r="L129" s="64" t="str">
        <f t="shared" si="5"/>
        <v/>
      </c>
      <c r="M129" s="64">
        <f t="shared" si="6"/>
        <v>34</v>
      </c>
      <c r="N129" s="66">
        <f>IFERROR(__xludf.DUMMYFUNCTION("IFERROR(GOOGLEFINANCE(A129,""TRADETIME""),)"),46086.64583333333)</f>
        <v>46086.64583</v>
      </c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9" t="s">
        <v>176</v>
      </c>
      <c r="B130" s="60" t="str">
        <f>IFERROR(__xludf.DUMMYFUNCTION("IFERROR(GOOGLEFINANCE(A130,""NAME""),)"),"Asian Hotels (North) Ltd")</f>
        <v>Asian Hotels (North) Ltd</v>
      </c>
      <c r="C130" s="60">
        <f>IFERROR(__xludf.DUMMYFUNCTION("IFERROR(GOOGLEFINANCE(A130,""CHANGE""),)"),26.5)</f>
        <v>26.5</v>
      </c>
      <c r="D130" s="60">
        <f>IFERROR(__xludf.DUMMYFUNCTION("IFERROR(GOOGLEFINANCE(A130,""CHANGEPCT""),)"),9.78)</f>
        <v>9.78</v>
      </c>
      <c r="E130" s="60" t="str">
        <f t="shared" si="1"/>
        <v>9.78%</v>
      </c>
      <c r="F130" s="60">
        <f t="shared" si="2"/>
        <v>9.78</v>
      </c>
      <c r="G130" s="60" t="str">
        <f t="shared" si="3"/>
        <v/>
      </c>
      <c r="H130" s="60">
        <f>IFERROR(__xludf.DUMMYFUNCTION("IFERROR(GOOGLEFINANCE(A130,""PRICE""),)"),302.0)</f>
        <v>302</v>
      </c>
      <c r="I130" s="61">
        <f>IFERROR(__xludf.DUMMYFUNCTION("IFERROR(GOOGLEFINANCE(A130,""VOLUME""),)"),52058.0)</f>
        <v>52058</v>
      </c>
      <c r="J130" s="60" t="str">
        <f>IFERROR(__xludf.DUMMYFUNCTION("IFERROR(INDEX(SPLIT(A130,"":""),1,2),)"),"ASIANHOTNR")</f>
        <v>ASIANHOTNR</v>
      </c>
      <c r="K130" s="60">
        <f t="shared" si="4"/>
        <v>12</v>
      </c>
      <c r="L130" s="60" t="str">
        <f t="shared" si="5"/>
        <v/>
      </c>
      <c r="M130" s="60">
        <f t="shared" si="6"/>
        <v>922</v>
      </c>
      <c r="N130" s="62">
        <f>IFERROR(__xludf.DUMMYFUNCTION("IFERROR(GOOGLEFINANCE(A130,""TRADETIME""),)"),46086.64583333333)</f>
        <v>46086.64583</v>
      </c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68" t="s">
        <v>177</v>
      </c>
      <c r="B131" s="64" t="str">
        <f>IFERROR(__xludf.DUMMYFUNCTION("IFERROR(GOOGLEFINANCE(A131,""NAME""),)"),"Asian Paints Ltd")</f>
        <v>Asian Paints Ltd</v>
      </c>
      <c r="C131" s="64">
        <f>IFERROR(__xludf.DUMMYFUNCTION("IFERROR(GOOGLEFINANCE(A131,""CHANGE""),)"),-2.7)</f>
        <v>-2.7</v>
      </c>
      <c r="D131" s="64">
        <f>IFERROR(__xludf.DUMMYFUNCTION("IFERROR(GOOGLEFINANCE(A131,""CHANGEPCT""),)"),-0.12)</f>
        <v>-0.12</v>
      </c>
      <c r="E131" s="64" t="str">
        <f t="shared" si="1"/>
        <v>-0.12%</v>
      </c>
      <c r="F131" s="64" t="str">
        <f t="shared" si="2"/>
        <v/>
      </c>
      <c r="G131" s="64">
        <f t="shared" si="3"/>
        <v>-0.12</v>
      </c>
      <c r="H131" s="64">
        <f>IFERROR(__xludf.DUMMYFUNCTION("IFERROR(GOOGLEFINANCE(A131,""PRICE""),)"),2282.5)</f>
        <v>2282.5</v>
      </c>
      <c r="I131" s="65">
        <f>IFERROR(__xludf.DUMMYFUNCTION("IFERROR(GOOGLEFINANCE(A131,""VOLUME""),)"),924937.0)</f>
        <v>924937</v>
      </c>
      <c r="J131" s="64" t="str">
        <f>IFERROR(__xludf.DUMMYFUNCTION("IFERROR(INDEX(SPLIT(A131,"":""),1,2),)"),"ASIANPAINT")</f>
        <v>ASIANPAINT</v>
      </c>
      <c r="K131" s="64" t="str">
        <f t="shared" si="4"/>
        <v/>
      </c>
      <c r="L131" s="64">
        <f t="shared" si="5"/>
        <v>32</v>
      </c>
      <c r="M131" s="64">
        <f t="shared" si="6"/>
        <v>296</v>
      </c>
      <c r="N131" s="66">
        <f>IFERROR(__xludf.DUMMYFUNCTION("IFERROR(GOOGLEFINANCE(A131,""TRADETIME""),)"),46086.64583333333)</f>
        <v>46086.64583</v>
      </c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67" t="s">
        <v>178</v>
      </c>
      <c r="B132" s="60" t="str">
        <f>IFERROR(__xludf.DUMMYFUNCTION("IFERROR(GOOGLEFINANCE(A132,""NAME""),)"),"Asian Granito India Ltd")</f>
        <v>Asian Granito India Ltd</v>
      </c>
      <c r="C132" s="60">
        <f>IFERROR(__xludf.DUMMYFUNCTION("IFERROR(GOOGLEFINANCE(A132,""CHANGE""),)"),1.81)</f>
        <v>1.81</v>
      </c>
      <c r="D132" s="60">
        <f>IFERROR(__xludf.DUMMYFUNCTION("IFERROR(GOOGLEFINANCE(A132,""CHANGEPCT""),)"),2.74)</f>
        <v>2.74</v>
      </c>
      <c r="E132" s="60" t="str">
        <f t="shared" si="1"/>
        <v>2.74%</v>
      </c>
      <c r="F132" s="60">
        <f t="shared" si="2"/>
        <v>2.74</v>
      </c>
      <c r="G132" s="60" t="str">
        <f t="shared" si="3"/>
        <v/>
      </c>
      <c r="H132" s="60">
        <f>IFERROR(__xludf.DUMMYFUNCTION("IFERROR(GOOGLEFINANCE(A132,""PRICE""),)"),67.9)</f>
        <v>67.9</v>
      </c>
      <c r="I132" s="61">
        <f>IFERROR(__xludf.DUMMYFUNCTION("IFERROR(GOOGLEFINANCE(A132,""VOLUME""),)"),3800071.0)</f>
        <v>3800071</v>
      </c>
      <c r="J132" s="60" t="str">
        <f>IFERROR(__xludf.DUMMYFUNCTION("IFERROR(INDEX(SPLIT(A132,"":""),1,2),)"),"ASIANTILES")</f>
        <v>ASIANTILES</v>
      </c>
      <c r="K132" s="60">
        <f t="shared" si="4"/>
        <v>303</v>
      </c>
      <c r="L132" s="60" t="str">
        <f t="shared" si="5"/>
        <v/>
      </c>
      <c r="M132" s="60">
        <f t="shared" si="6"/>
        <v>127</v>
      </c>
      <c r="N132" s="62">
        <f>IFERROR(__xludf.DUMMYFUNCTION("IFERROR(GOOGLEFINANCE(A132,""TRADETIME""),)"),46086.64583333333)</f>
        <v>46086.64583</v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68" t="s">
        <v>179</v>
      </c>
      <c r="B133" s="64" t="str">
        <f>IFERROR(__xludf.DUMMYFUNCTION("IFERROR(GOOGLEFINANCE(A133,""NAME""),)"),"Aspinwall and Company Ltd")</f>
        <v>Aspinwall and Company Ltd</v>
      </c>
      <c r="C133" s="64">
        <f>IFERROR(__xludf.DUMMYFUNCTION("IFERROR(GOOGLEFINANCE(A133,""CHANGE""),)"),2.84)</f>
        <v>2.84</v>
      </c>
      <c r="D133" s="64">
        <f>IFERROR(__xludf.DUMMYFUNCTION("IFERROR(GOOGLEFINANCE(A133,""CHANGEPCT""),)"),1.35)</f>
        <v>1.35</v>
      </c>
      <c r="E133" s="64" t="str">
        <f t="shared" si="1"/>
        <v>1.35%</v>
      </c>
      <c r="F133" s="64">
        <f t="shared" si="2"/>
        <v>1.35</v>
      </c>
      <c r="G133" s="64" t="str">
        <f t="shared" si="3"/>
        <v/>
      </c>
      <c r="H133" s="64">
        <f>IFERROR(__xludf.DUMMYFUNCTION("IFERROR(GOOGLEFINANCE(A133,""PRICE""),)"),213.98)</f>
        <v>213.98</v>
      </c>
      <c r="I133" s="65">
        <f>IFERROR(__xludf.DUMMYFUNCTION("IFERROR(GOOGLEFINANCE(A133,""VOLUME""),)"),683.0)</f>
        <v>683</v>
      </c>
      <c r="J133" s="64" t="str">
        <f>IFERROR(__xludf.DUMMYFUNCTION("IFERROR(INDEX(SPLIT(A133,"":""),1,2),)"),"ASPINWALL")</f>
        <v>ASPINWALL</v>
      </c>
      <c r="K133" s="64">
        <f t="shared" si="4"/>
        <v>618</v>
      </c>
      <c r="L133" s="64" t="str">
        <f t="shared" si="5"/>
        <v/>
      </c>
      <c r="M133" s="64">
        <f t="shared" si="6"/>
        <v>1438</v>
      </c>
      <c r="N133" s="66">
        <f>IFERROR(__xludf.DUMMYFUNCTION("IFERROR(GOOGLEFINANCE(A133,""TRADETIME""),)"),46086.64583333333)</f>
        <v>46086.64583</v>
      </c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67" t="s">
        <v>180</v>
      </c>
      <c r="B134" s="60" t="str">
        <f>IFERROR(__xludf.DUMMYFUNCTION("IFERROR(GOOGLEFINANCE(A134,""NAME""),)"),"Astec LifeSciences Limited")</f>
        <v>Astec LifeSciences Limited</v>
      </c>
      <c r="C134" s="60">
        <f>IFERROR(__xludf.DUMMYFUNCTION("IFERROR(GOOGLEFINANCE(A134,""CHANGE""),)"),-8.3)</f>
        <v>-8.3</v>
      </c>
      <c r="D134" s="60">
        <f>IFERROR(__xludf.DUMMYFUNCTION("IFERROR(GOOGLEFINANCE(A134,""CHANGEPCT""),)"),-1.24)</f>
        <v>-1.24</v>
      </c>
      <c r="E134" s="60" t="str">
        <f t="shared" si="1"/>
        <v>-1.24%</v>
      </c>
      <c r="F134" s="60" t="str">
        <f t="shared" si="2"/>
        <v/>
      </c>
      <c r="G134" s="60">
        <f t="shared" si="3"/>
        <v>-1.24</v>
      </c>
      <c r="H134" s="60">
        <f>IFERROR(__xludf.DUMMYFUNCTION("IFERROR(GOOGLEFINANCE(A134,""PRICE""),)"),631.95)</f>
        <v>631.95</v>
      </c>
      <c r="I134" s="61">
        <f>IFERROR(__xludf.DUMMYFUNCTION("IFERROR(GOOGLEFINANCE(A134,""VOLUME""),)"),35210.0)</f>
        <v>35210</v>
      </c>
      <c r="J134" s="60" t="str">
        <f>IFERROR(__xludf.DUMMYFUNCTION("IFERROR(INDEX(SPLIT(A134,"":""),1,2),)"),"ASTEC")</f>
        <v>ASTEC</v>
      </c>
      <c r="K134" s="60" t="str">
        <f t="shared" si="4"/>
        <v/>
      </c>
      <c r="L134" s="60">
        <f t="shared" si="5"/>
        <v>257</v>
      </c>
      <c r="M134" s="60">
        <f t="shared" si="6"/>
        <v>1018</v>
      </c>
      <c r="N134" s="62">
        <f>IFERROR(__xludf.DUMMYFUNCTION("IFERROR(GOOGLEFINANCE(A134,""TRADETIME""),)"),46086.64583333333)</f>
        <v>46086.64583</v>
      </c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68" t="s">
        <v>181</v>
      </c>
      <c r="B135" s="64" t="str">
        <f>IFERROR(__xludf.DUMMYFUNCTION("IFERROR(GOOGLEFINANCE(A135,""NAME""),)"),"Aster DM Healthcare Ltd")</f>
        <v>Aster DM Healthcare Ltd</v>
      </c>
      <c r="C135" s="64">
        <f>IFERROR(__xludf.DUMMYFUNCTION("IFERROR(GOOGLEFINANCE(A135,""CHANGE""),)"),5.8)</f>
        <v>5.8</v>
      </c>
      <c r="D135" s="64">
        <f>IFERROR(__xludf.DUMMYFUNCTION("IFERROR(GOOGLEFINANCE(A135,""CHANGEPCT""),)"),0.89)</f>
        <v>0.89</v>
      </c>
      <c r="E135" s="64" t="str">
        <f t="shared" si="1"/>
        <v>0.89%</v>
      </c>
      <c r="F135" s="64">
        <f t="shared" si="2"/>
        <v>0.89</v>
      </c>
      <c r="G135" s="64" t="str">
        <f t="shared" si="3"/>
        <v/>
      </c>
      <c r="H135" s="64">
        <f>IFERROR(__xludf.DUMMYFUNCTION("IFERROR(GOOGLEFINANCE(A135,""PRICE""),)"),655.05)</f>
        <v>655.05</v>
      </c>
      <c r="I135" s="65">
        <f>IFERROR(__xludf.DUMMYFUNCTION("IFERROR(GOOGLEFINANCE(A135,""VOLUME""),)"),601394.0)</f>
        <v>601394</v>
      </c>
      <c r="J135" s="64" t="str">
        <f>IFERROR(__xludf.DUMMYFUNCTION("IFERROR(INDEX(SPLIT(A135,"":""),1,2),)"),"ASTERDM")</f>
        <v>ASTERDM</v>
      </c>
      <c r="K135" s="64">
        <f t="shared" si="4"/>
        <v>754</v>
      </c>
      <c r="L135" s="64" t="str">
        <f t="shared" si="5"/>
        <v/>
      </c>
      <c r="M135" s="64">
        <f t="shared" si="6"/>
        <v>364</v>
      </c>
      <c r="N135" s="66">
        <f>IFERROR(__xludf.DUMMYFUNCTION("IFERROR(GOOGLEFINANCE(A135,""TRADETIME""),)"),46086.64583333333)</f>
        <v>46086.64583</v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67" t="s">
        <v>182</v>
      </c>
      <c r="B136" s="60" t="str">
        <f>IFERROR(__xludf.DUMMYFUNCTION("IFERROR(GOOGLEFINANCE(A136,""NAME""),)"),"Astral Ltd")</f>
        <v>Astral Ltd</v>
      </c>
      <c r="C136" s="60">
        <f>IFERROR(__xludf.DUMMYFUNCTION("IFERROR(GOOGLEFINANCE(A136,""CHANGE""),)"),20.1)</f>
        <v>20.1</v>
      </c>
      <c r="D136" s="60">
        <f>IFERROR(__xludf.DUMMYFUNCTION("IFERROR(GOOGLEFINANCE(A136,""CHANGEPCT""),)"),1.22)</f>
        <v>1.22</v>
      </c>
      <c r="E136" s="60" t="str">
        <f t="shared" si="1"/>
        <v>1.22%</v>
      </c>
      <c r="F136" s="60">
        <f t="shared" si="2"/>
        <v>1.22</v>
      </c>
      <c r="G136" s="60" t="str">
        <f t="shared" si="3"/>
        <v/>
      </c>
      <c r="H136" s="60">
        <f>IFERROR(__xludf.DUMMYFUNCTION("IFERROR(GOOGLEFINANCE(A136,""PRICE""),)"),1667.0)</f>
        <v>1667</v>
      </c>
      <c r="I136" s="61">
        <f>IFERROR(__xludf.DUMMYFUNCTION("IFERROR(GOOGLEFINANCE(A136,""VOLUME""),)"),368350.0)</f>
        <v>368350</v>
      </c>
      <c r="J136" s="60" t="str">
        <f>IFERROR(__xludf.DUMMYFUNCTION("IFERROR(INDEX(SPLIT(A136,"":""),1,2),)"),"ASTRAL")</f>
        <v>ASTRAL</v>
      </c>
      <c r="K136" s="60">
        <f t="shared" si="4"/>
        <v>663</v>
      </c>
      <c r="L136" s="60" t="str">
        <f t="shared" si="5"/>
        <v/>
      </c>
      <c r="M136" s="60">
        <f t="shared" si="6"/>
        <v>463</v>
      </c>
      <c r="N136" s="62">
        <f>IFERROR(__xludf.DUMMYFUNCTION("IFERROR(GOOGLEFINANCE(A136,""TRADETIME""),)"),46086.64583333333)</f>
        <v>46086.64583</v>
      </c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68" t="s">
        <v>183</v>
      </c>
      <c r="B137" s="64" t="str">
        <f>IFERROR(__xludf.DUMMYFUNCTION("IFERROR(GOOGLEFINANCE(A137,""NAME""),)"),"Astra Microwave Products Ltd")</f>
        <v>Astra Microwave Products Ltd</v>
      </c>
      <c r="C137" s="64">
        <f>IFERROR(__xludf.DUMMYFUNCTION("IFERROR(GOOGLEFINANCE(A137,""CHANGE""),)"),30.7)</f>
        <v>30.7</v>
      </c>
      <c r="D137" s="64">
        <f>IFERROR(__xludf.DUMMYFUNCTION("IFERROR(GOOGLEFINANCE(A137,""CHANGEPCT""),)"),3.08)</f>
        <v>3.08</v>
      </c>
      <c r="E137" s="64" t="str">
        <f t="shared" si="1"/>
        <v>3.08%</v>
      </c>
      <c r="F137" s="64">
        <f t="shared" si="2"/>
        <v>3.08</v>
      </c>
      <c r="G137" s="64" t="str">
        <f t="shared" si="3"/>
        <v/>
      </c>
      <c r="H137" s="64">
        <f>IFERROR(__xludf.DUMMYFUNCTION("IFERROR(GOOGLEFINANCE(A137,""PRICE""),)"),1026.25)</f>
        <v>1026.25</v>
      </c>
      <c r="I137" s="65">
        <f>IFERROR(__xludf.DUMMYFUNCTION("IFERROR(GOOGLEFINANCE(A137,""VOLUME""),)"),1218541.0)</f>
        <v>1218541</v>
      </c>
      <c r="J137" s="64" t="str">
        <f>IFERROR(__xludf.DUMMYFUNCTION("IFERROR(INDEX(SPLIT(A137,"":""),1,2),)"),"ASTRAMICRO")</f>
        <v>ASTRAMICRO</v>
      </c>
      <c r="K137" s="64">
        <f t="shared" si="4"/>
        <v>242</v>
      </c>
      <c r="L137" s="64" t="str">
        <f t="shared" si="5"/>
        <v/>
      </c>
      <c r="M137" s="64">
        <f t="shared" si="6"/>
        <v>261</v>
      </c>
      <c r="N137" s="66">
        <f>IFERROR(__xludf.DUMMYFUNCTION("IFERROR(GOOGLEFINANCE(A137,""TRADETIME""),)"),46086.64583333333)</f>
        <v>46086.64583</v>
      </c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67" t="s">
        <v>184</v>
      </c>
      <c r="B138" s="60" t="str">
        <f>IFERROR(__xludf.DUMMYFUNCTION("IFERROR(GOOGLEFINANCE(A138,""NAME""),)"),"Astrazeneca Pharma India Ltd")</f>
        <v>Astrazeneca Pharma India Ltd</v>
      </c>
      <c r="C138" s="60">
        <f>IFERROR(__xludf.DUMMYFUNCTION("IFERROR(GOOGLEFINANCE(A138,""CHANGE""),)"),-81.5)</f>
        <v>-81.5</v>
      </c>
      <c r="D138" s="60">
        <f>IFERROR(__xludf.DUMMYFUNCTION("IFERROR(GOOGLEFINANCE(A138,""CHANGEPCT""),)"),-0.94)</f>
        <v>-0.94</v>
      </c>
      <c r="E138" s="60" t="str">
        <f t="shared" si="1"/>
        <v>-0.94%</v>
      </c>
      <c r="F138" s="60" t="str">
        <f t="shared" si="2"/>
        <v/>
      </c>
      <c r="G138" s="60">
        <f t="shared" si="3"/>
        <v>-0.94</v>
      </c>
      <c r="H138" s="60">
        <f>IFERROR(__xludf.DUMMYFUNCTION("IFERROR(GOOGLEFINANCE(A138,""PRICE""),)"),8620.0)</f>
        <v>8620</v>
      </c>
      <c r="I138" s="61">
        <f>IFERROR(__xludf.DUMMYFUNCTION("IFERROR(GOOGLEFINANCE(A138,""VOLUME""),)"),9902.0)</f>
        <v>9902</v>
      </c>
      <c r="J138" s="60" t="str">
        <f>IFERROR(__xludf.DUMMYFUNCTION("IFERROR(INDEX(SPLIT(A138,"":""),1,2),)"),"ASTRAZEN")</f>
        <v>ASTRAZEN</v>
      </c>
      <c r="K138" s="60" t="str">
        <f t="shared" si="4"/>
        <v/>
      </c>
      <c r="L138" s="60">
        <f t="shared" si="5"/>
        <v>207</v>
      </c>
      <c r="M138" s="60">
        <f t="shared" si="6"/>
        <v>1263</v>
      </c>
      <c r="N138" s="62">
        <f>IFERROR(__xludf.DUMMYFUNCTION("IFERROR(GOOGLEFINANCE(A138,""TRADETIME""),)"),46086.639814814815)</f>
        <v>46086.63981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68" t="s">
        <v>185</v>
      </c>
      <c r="B139" s="64" t="str">
        <f>IFERROR(__xludf.DUMMYFUNCTION("IFERROR(GOOGLEFINANCE(A139,""NAME""),)"),"Astron Paper &amp; Board Mill Ltd")</f>
        <v>Astron Paper &amp; Board Mill Ltd</v>
      </c>
      <c r="C139" s="64">
        <f>IFERROR(__xludf.DUMMYFUNCTION("IFERROR(GOOGLEFINANCE(A139,""CHANGE""),)"),0.09)</f>
        <v>0.09</v>
      </c>
      <c r="D139" s="64">
        <f>IFERROR(__xludf.DUMMYFUNCTION("IFERROR(GOOGLEFINANCE(A139,""CHANGEPCT""),)"),2.28)</f>
        <v>2.28</v>
      </c>
      <c r="E139" s="64" t="str">
        <f t="shared" si="1"/>
        <v>2.28%</v>
      </c>
      <c r="F139" s="64">
        <f t="shared" si="2"/>
        <v>2.28</v>
      </c>
      <c r="G139" s="64" t="str">
        <f t="shared" si="3"/>
        <v/>
      </c>
      <c r="H139" s="64">
        <f>IFERROR(__xludf.DUMMYFUNCTION("IFERROR(GOOGLEFINANCE(A139,""PRICE""),)"),4.04)</f>
        <v>4.04</v>
      </c>
      <c r="I139" s="65">
        <f>IFERROR(__xludf.DUMMYFUNCTION("IFERROR(GOOGLEFINANCE(A139,""VOLUME""),)"),25696.0)</f>
        <v>25696</v>
      </c>
      <c r="J139" s="64" t="str">
        <f>IFERROR(__xludf.DUMMYFUNCTION("IFERROR(INDEX(SPLIT(A139,"":""),1,2),)"),"ASTRON")</f>
        <v>ASTRON</v>
      </c>
      <c r="K139" s="64">
        <f t="shared" si="4"/>
        <v>379</v>
      </c>
      <c r="L139" s="64" t="str">
        <f t="shared" si="5"/>
        <v/>
      </c>
      <c r="M139" s="64">
        <f t="shared" si="6"/>
        <v>1089</v>
      </c>
      <c r="N139" s="66">
        <f>IFERROR(__xludf.DUMMYFUNCTION("IFERROR(GOOGLEFINANCE(A139,""TRADETIME""),)"),46086.64583333333)</f>
        <v>46086.64583</v>
      </c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67" t="s">
        <v>186</v>
      </c>
      <c r="B140" s="60" t="str">
        <f>IFERROR(__xludf.DUMMYFUNCTION("IFERROR(GOOGLEFINANCE(A140,""NAME""),)"),"")</f>
        <v/>
      </c>
      <c r="C140" s="60" t="str">
        <f>IFERROR(__xludf.DUMMYFUNCTION("IFERROR(GOOGLEFINANCE(A140,""CHANGE""),)"),"")</f>
        <v/>
      </c>
      <c r="D140" s="60" t="str">
        <f>IFERROR(__xludf.DUMMYFUNCTION("IFERROR(GOOGLEFINANCE(A140,""CHANGEPCT""),)"),"")</f>
        <v/>
      </c>
      <c r="E140" s="60" t="str">
        <f t="shared" si="1"/>
        <v>%</v>
      </c>
      <c r="F140" s="60" t="str">
        <f t="shared" si="2"/>
        <v/>
      </c>
      <c r="G140" s="60" t="str">
        <f t="shared" si="3"/>
        <v/>
      </c>
      <c r="H140" s="60" t="str">
        <f>IFERROR(__xludf.DUMMYFUNCTION("IFERROR(GOOGLEFINANCE(A140,""PRICE""),)"),"")</f>
        <v/>
      </c>
      <c r="I140" s="61" t="str">
        <f>IFERROR(__xludf.DUMMYFUNCTION("IFERROR(GOOGLEFINANCE(A140,""VOLUME""),)"),"")</f>
        <v/>
      </c>
      <c r="J140" s="60" t="str">
        <f>IFERROR(__xludf.DUMMYFUNCTION("IFERROR(INDEX(SPLIT(A140,"":""),1,2),)"),"ATFL")</f>
        <v>ATFL</v>
      </c>
      <c r="K140" s="60" t="str">
        <f t="shared" si="4"/>
        <v/>
      </c>
      <c r="L140" s="60" t="str">
        <f t="shared" si="5"/>
        <v/>
      </c>
      <c r="M140" s="60" t="str">
        <f t="shared" si="6"/>
        <v/>
      </c>
      <c r="N140" s="62" t="str">
        <f>IFERROR(__xludf.DUMMYFUNCTION("IFERROR(GOOGLEFINANCE(A140,""TRADETIME""),)"),"")</f>
        <v/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68" t="s">
        <v>187</v>
      </c>
      <c r="B141" s="64" t="str">
        <f>IFERROR(__xludf.DUMMYFUNCTION("IFERROR(GOOGLEFINANCE(A141,""NAME""),)"),"")</f>
        <v/>
      </c>
      <c r="C141" s="64" t="str">
        <f>IFERROR(__xludf.DUMMYFUNCTION("IFERROR(GOOGLEFINANCE(A141,""CHANGE""),)"),"")</f>
        <v/>
      </c>
      <c r="D141" s="64" t="str">
        <f>IFERROR(__xludf.DUMMYFUNCTION("IFERROR(GOOGLEFINANCE(A141,""CHANGEPCT""),)"),"")</f>
        <v/>
      </c>
      <c r="E141" s="64" t="str">
        <f t="shared" si="1"/>
        <v>%</v>
      </c>
      <c r="F141" s="64" t="str">
        <f t="shared" si="2"/>
        <v/>
      </c>
      <c r="G141" s="64" t="str">
        <f t="shared" si="3"/>
        <v/>
      </c>
      <c r="H141" s="64" t="str">
        <f>IFERROR(__xludf.DUMMYFUNCTION("IFERROR(GOOGLEFINANCE(A141,""PRICE""),)"),"")</f>
        <v/>
      </c>
      <c r="I141" s="65" t="str">
        <f>IFERROR(__xludf.DUMMYFUNCTION("IFERROR(GOOGLEFINANCE(A141,""VOLUME""),)"),"")</f>
        <v/>
      </c>
      <c r="J141" s="64" t="str">
        <f>IFERROR(__xludf.DUMMYFUNCTION("IFERROR(INDEX(SPLIT(A141,"":""),1,2),)"),"ATLANTA")</f>
        <v>ATLANTA</v>
      </c>
      <c r="K141" s="64" t="str">
        <f t="shared" si="4"/>
        <v/>
      </c>
      <c r="L141" s="64" t="str">
        <f t="shared" si="5"/>
        <v/>
      </c>
      <c r="M141" s="64" t="str">
        <f t="shared" si="6"/>
        <v/>
      </c>
      <c r="N141" s="66" t="str">
        <f>IFERROR(__xludf.DUMMYFUNCTION("IFERROR(GOOGLEFINANCE(A141,""TRADETIME""),)"),"")</f>
        <v/>
      </c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67" t="s">
        <v>188</v>
      </c>
      <c r="B142" s="60" t="str">
        <f>IFERROR(__xludf.DUMMYFUNCTION("IFERROR(GOOGLEFINANCE(A142,""NAME""),)"),"Atul Ltd")</f>
        <v>Atul Ltd</v>
      </c>
      <c r="C142" s="60">
        <f>IFERROR(__xludf.DUMMYFUNCTION("IFERROR(GOOGLEFINANCE(A142,""CHANGE""),)"),12.0)</f>
        <v>12</v>
      </c>
      <c r="D142" s="60">
        <f>IFERROR(__xludf.DUMMYFUNCTION("IFERROR(GOOGLEFINANCE(A142,""CHANGEPCT""),)"),0.18)</f>
        <v>0.18</v>
      </c>
      <c r="E142" s="60" t="str">
        <f t="shared" si="1"/>
        <v>0.18%</v>
      </c>
      <c r="F142" s="60">
        <f t="shared" si="2"/>
        <v>0.18</v>
      </c>
      <c r="G142" s="60" t="str">
        <f t="shared" si="3"/>
        <v/>
      </c>
      <c r="H142" s="60">
        <f>IFERROR(__xludf.DUMMYFUNCTION("IFERROR(GOOGLEFINANCE(A142,""PRICE""),)"),6549.5)</f>
        <v>6549.5</v>
      </c>
      <c r="I142" s="61">
        <f>IFERROR(__xludf.DUMMYFUNCTION("IFERROR(GOOGLEFINANCE(A142,""VOLUME""),)"),13690.0)</f>
        <v>13690</v>
      </c>
      <c r="J142" s="60" t="str">
        <f>IFERROR(__xludf.DUMMYFUNCTION("IFERROR(INDEX(SPLIT(A142,"":""),1,2),)"),"ATUL")</f>
        <v>ATUL</v>
      </c>
      <c r="K142" s="60">
        <f t="shared" si="4"/>
        <v>956</v>
      </c>
      <c r="L142" s="60" t="str">
        <f t="shared" si="5"/>
        <v/>
      </c>
      <c r="M142" s="60">
        <f t="shared" si="6"/>
        <v>1205</v>
      </c>
      <c r="N142" s="62">
        <f>IFERROR(__xludf.DUMMYFUNCTION("IFERROR(GOOGLEFINANCE(A142,""TRADETIME""),)"),46086.64583333333)</f>
        <v>46086.64583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68" t="s">
        <v>189</v>
      </c>
      <c r="B143" s="64" t="str">
        <f>IFERROR(__xludf.DUMMYFUNCTION("IFERROR(GOOGLEFINANCE(A143,""NAME""),)"),"Atul Auto Ltd")</f>
        <v>Atul Auto Ltd</v>
      </c>
      <c r="C143" s="64">
        <f>IFERROR(__xludf.DUMMYFUNCTION("IFERROR(GOOGLEFINANCE(A143,""CHANGE""),)"),0.1)</f>
        <v>0.1</v>
      </c>
      <c r="D143" s="64">
        <f>IFERROR(__xludf.DUMMYFUNCTION("IFERROR(GOOGLEFINANCE(A143,""CHANGEPCT""),)"),0.03)</f>
        <v>0.03</v>
      </c>
      <c r="E143" s="64" t="str">
        <f t="shared" si="1"/>
        <v>0.03%</v>
      </c>
      <c r="F143" s="64">
        <f t="shared" si="2"/>
        <v>0.03</v>
      </c>
      <c r="G143" s="64" t="str">
        <f t="shared" si="3"/>
        <v/>
      </c>
      <c r="H143" s="64">
        <f>IFERROR(__xludf.DUMMYFUNCTION("IFERROR(GOOGLEFINANCE(A143,""PRICE""),)"),454.1)</f>
        <v>454.1</v>
      </c>
      <c r="I143" s="65">
        <f>IFERROR(__xludf.DUMMYFUNCTION("IFERROR(GOOGLEFINANCE(A143,""VOLUME""),)"),184643.0)</f>
        <v>184643</v>
      </c>
      <c r="J143" s="64" t="str">
        <f>IFERROR(__xludf.DUMMYFUNCTION("IFERROR(INDEX(SPLIT(A143,"":""),1,2),)"),"ATULAUTO")</f>
        <v>ATULAUTO</v>
      </c>
      <c r="K143" s="64">
        <f t="shared" si="4"/>
        <v>993</v>
      </c>
      <c r="L143" s="64" t="str">
        <f t="shared" si="5"/>
        <v/>
      </c>
      <c r="M143" s="64">
        <f t="shared" si="6"/>
        <v>626</v>
      </c>
      <c r="N143" s="66">
        <f>IFERROR(__xludf.DUMMYFUNCTION("IFERROR(GOOGLEFINANCE(A143,""TRADETIME""),)"),46086.64583333333)</f>
        <v>46086.64583</v>
      </c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67" t="s">
        <v>190</v>
      </c>
      <c r="B144" s="60" t="str">
        <f>IFERROR(__xludf.DUMMYFUNCTION("IFERROR(GOOGLEFINANCE(A144,""NAME""),)"),"AU Small Finance Bank Ltd")</f>
        <v>AU Small Finance Bank Ltd</v>
      </c>
      <c r="C144" s="60">
        <f>IFERROR(__xludf.DUMMYFUNCTION("IFERROR(GOOGLEFINANCE(A144,""CHANGE""),)"),26.9)</f>
        <v>26.9</v>
      </c>
      <c r="D144" s="60">
        <f>IFERROR(__xludf.DUMMYFUNCTION("IFERROR(GOOGLEFINANCE(A144,""CHANGEPCT""),)"),2.84)</f>
        <v>2.84</v>
      </c>
      <c r="E144" s="60" t="str">
        <f t="shared" si="1"/>
        <v>2.84%</v>
      </c>
      <c r="F144" s="60">
        <f t="shared" si="2"/>
        <v>2.84</v>
      </c>
      <c r="G144" s="60" t="str">
        <f t="shared" si="3"/>
        <v/>
      </c>
      <c r="H144" s="60">
        <f>IFERROR(__xludf.DUMMYFUNCTION("IFERROR(GOOGLEFINANCE(A144,""PRICE""),)"),973.0)</f>
        <v>973</v>
      </c>
      <c r="I144" s="61">
        <f>IFERROR(__xludf.DUMMYFUNCTION("IFERROR(GOOGLEFINANCE(A144,""VOLUME""),)"),1878832.0)</f>
        <v>1878832</v>
      </c>
      <c r="J144" s="60" t="str">
        <f>IFERROR(__xludf.DUMMYFUNCTION("IFERROR(INDEX(SPLIT(A144,"":""),1,2),)"),"AUBANK")</f>
        <v>AUBANK</v>
      </c>
      <c r="K144" s="60">
        <f t="shared" si="4"/>
        <v>282</v>
      </c>
      <c r="L144" s="60" t="str">
        <f t="shared" si="5"/>
        <v/>
      </c>
      <c r="M144" s="60">
        <f t="shared" si="6"/>
        <v>217</v>
      </c>
      <c r="N144" s="62">
        <f>IFERROR(__xludf.DUMMYFUNCTION("IFERROR(GOOGLEFINANCE(A144,""TRADETIME""),)"),46086.64583333333)</f>
        <v>46086.64583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68" t="s">
        <v>191</v>
      </c>
      <c r="B145" s="64" t="str">
        <f>IFERROR(__xludf.DUMMYFUNCTION("IFERROR(GOOGLEFINANCE(A145,""NAME""),)"),"Aurionpro Solutions Ltd")</f>
        <v>Aurionpro Solutions Ltd</v>
      </c>
      <c r="C145" s="64">
        <f>IFERROR(__xludf.DUMMYFUNCTION("IFERROR(GOOGLEFINANCE(A145,""CHANGE""),)"),13.15)</f>
        <v>13.15</v>
      </c>
      <c r="D145" s="64">
        <f>IFERROR(__xludf.DUMMYFUNCTION("IFERROR(GOOGLEFINANCE(A145,""CHANGEPCT""),)"),1.42)</f>
        <v>1.42</v>
      </c>
      <c r="E145" s="64" t="str">
        <f t="shared" si="1"/>
        <v>1.42%</v>
      </c>
      <c r="F145" s="64">
        <f t="shared" si="2"/>
        <v>1.42</v>
      </c>
      <c r="G145" s="64" t="str">
        <f t="shared" si="3"/>
        <v/>
      </c>
      <c r="H145" s="64">
        <f>IFERROR(__xludf.DUMMYFUNCTION("IFERROR(GOOGLEFINANCE(A145,""PRICE""),)"),872.9)</f>
        <v>872.9</v>
      </c>
      <c r="I145" s="65">
        <f>IFERROR(__xludf.DUMMYFUNCTION("IFERROR(GOOGLEFINANCE(A145,""VOLUME""),)"),169493.0)</f>
        <v>169493</v>
      </c>
      <c r="J145" s="64" t="str">
        <f>IFERROR(__xludf.DUMMYFUNCTION("IFERROR(INDEX(SPLIT(A145,"":""),1,2),)"),"AURIONPRO")</f>
        <v>AURIONPRO</v>
      </c>
      <c r="K145" s="64">
        <f t="shared" si="4"/>
        <v>603</v>
      </c>
      <c r="L145" s="64" t="str">
        <f t="shared" si="5"/>
        <v/>
      </c>
      <c r="M145" s="64">
        <f t="shared" si="6"/>
        <v>641</v>
      </c>
      <c r="N145" s="66">
        <f>IFERROR(__xludf.DUMMYFUNCTION("IFERROR(GOOGLEFINANCE(A145,""TRADETIME""),)"),46086.642418981486)</f>
        <v>46086.64242</v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67" t="s">
        <v>192</v>
      </c>
      <c r="B146" s="60" t="str">
        <f>IFERROR(__xludf.DUMMYFUNCTION("IFERROR(GOOGLEFINANCE(A146,""NAME""),)"),"Aurobindo Pharma Ltd")</f>
        <v>Aurobindo Pharma Ltd</v>
      </c>
      <c r="C146" s="60">
        <f>IFERROR(__xludf.DUMMYFUNCTION("IFERROR(GOOGLEFINANCE(A146,""CHANGE""),)"),28.6)</f>
        <v>28.6</v>
      </c>
      <c r="D146" s="60">
        <f>IFERROR(__xludf.DUMMYFUNCTION("IFERROR(GOOGLEFINANCE(A146,""CHANGEPCT""),)"),2.39)</f>
        <v>2.39</v>
      </c>
      <c r="E146" s="60" t="str">
        <f t="shared" si="1"/>
        <v>2.39%</v>
      </c>
      <c r="F146" s="60">
        <f t="shared" si="2"/>
        <v>2.39</v>
      </c>
      <c r="G146" s="60" t="str">
        <f t="shared" si="3"/>
        <v/>
      </c>
      <c r="H146" s="60">
        <f>IFERROR(__xludf.DUMMYFUNCTION("IFERROR(GOOGLEFINANCE(A146,""PRICE""),)"),1224.0)</f>
        <v>1224</v>
      </c>
      <c r="I146" s="61">
        <f>IFERROR(__xludf.DUMMYFUNCTION("IFERROR(GOOGLEFINANCE(A146,""VOLUME""),)"),900473.0)</f>
        <v>900473</v>
      </c>
      <c r="J146" s="60" t="str">
        <f>IFERROR(__xludf.DUMMYFUNCTION("IFERROR(INDEX(SPLIT(A146,"":""),1,2),)"),"AUROPHARMA")</f>
        <v>AUROPHARMA</v>
      </c>
      <c r="K146" s="60">
        <f t="shared" si="4"/>
        <v>357</v>
      </c>
      <c r="L146" s="60" t="str">
        <f t="shared" si="5"/>
        <v/>
      </c>
      <c r="M146" s="60">
        <f t="shared" si="6"/>
        <v>300</v>
      </c>
      <c r="N146" s="62">
        <f>IFERROR(__xludf.DUMMYFUNCTION("IFERROR(GOOGLEFINANCE(A146,""TRADETIME""),)"),46086.64583333333)</f>
        <v>46086.64583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68" t="s">
        <v>193</v>
      </c>
      <c r="B147" s="64" t="str">
        <f>IFERROR(__xludf.DUMMYFUNCTION("IFERROR(GOOGLEFINANCE(A147,""NAME""),)"),"Ausom Enterprise Ltd")</f>
        <v>Ausom Enterprise Ltd</v>
      </c>
      <c r="C147" s="64">
        <f>IFERROR(__xludf.DUMMYFUNCTION("IFERROR(GOOGLEFINANCE(A147,""CHANGE""),)"),2.46)</f>
        <v>2.46</v>
      </c>
      <c r="D147" s="64">
        <f>IFERROR(__xludf.DUMMYFUNCTION("IFERROR(GOOGLEFINANCE(A147,""CHANGEPCT""),)"),2.55)</f>
        <v>2.55</v>
      </c>
      <c r="E147" s="64" t="str">
        <f t="shared" si="1"/>
        <v>2.55%</v>
      </c>
      <c r="F147" s="64">
        <f t="shared" si="2"/>
        <v>2.55</v>
      </c>
      <c r="G147" s="64" t="str">
        <f t="shared" si="3"/>
        <v/>
      </c>
      <c r="H147" s="64">
        <f>IFERROR(__xludf.DUMMYFUNCTION("IFERROR(GOOGLEFINANCE(A147,""PRICE""),)"),99.0)</f>
        <v>99</v>
      </c>
      <c r="I147" s="65">
        <f>IFERROR(__xludf.DUMMYFUNCTION("IFERROR(GOOGLEFINANCE(A147,""VOLUME""),)"),2035.0)</f>
        <v>2035</v>
      </c>
      <c r="J147" s="64" t="str">
        <f>IFERROR(__xludf.DUMMYFUNCTION("IFERROR(INDEX(SPLIT(A147,"":""),1,2),)"),"AUSOMENT")</f>
        <v>AUSOMENT</v>
      </c>
      <c r="K147" s="64">
        <f t="shared" si="4"/>
        <v>332</v>
      </c>
      <c r="L147" s="64" t="str">
        <f t="shared" si="5"/>
        <v/>
      </c>
      <c r="M147" s="64">
        <f t="shared" si="6"/>
        <v>1405</v>
      </c>
      <c r="N147" s="66">
        <f>IFERROR(__xludf.DUMMYFUNCTION("IFERROR(GOOGLEFINANCE(A147,""TRADETIME""),)"),46086.64583333333)</f>
        <v>46086.64583</v>
      </c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67" t="s">
        <v>194</v>
      </c>
      <c r="B148" s="60" t="str">
        <f>IFERROR(__xludf.DUMMYFUNCTION("IFERROR(GOOGLEFINANCE(A148,""NAME""),)"),"Automotive Axles Ltd")</f>
        <v>Automotive Axles Ltd</v>
      </c>
      <c r="C148" s="60">
        <f>IFERROR(__xludf.DUMMYFUNCTION("IFERROR(GOOGLEFINANCE(A148,""CHANGE""),)"),2.3)</f>
        <v>2.3</v>
      </c>
      <c r="D148" s="60">
        <f>IFERROR(__xludf.DUMMYFUNCTION("IFERROR(GOOGLEFINANCE(A148,""CHANGEPCT""),)"),0.11)</f>
        <v>0.11</v>
      </c>
      <c r="E148" s="60" t="str">
        <f t="shared" si="1"/>
        <v>0.11%</v>
      </c>
      <c r="F148" s="60">
        <f t="shared" si="2"/>
        <v>0.11</v>
      </c>
      <c r="G148" s="60" t="str">
        <f t="shared" si="3"/>
        <v/>
      </c>
      <c r="H148" s="60">
        <f>IFERROR(__xludf.DUMMYFUNCTION("IFERROR(GOOGLEFINANCE(A148,""PRICE""),)"),2004.0)</f>
        <v>2004</v>
      </c>
      <c r="I148" s="61">
        <f>IFERROR(__xludf.DUMMYFUNCTION("IFERROR(GOOGLEFINANCE(A148,""VOLUME""),)"),6247.0)</f>
        <v>6247</v>
      </c>
      <c r="J148" s="60" t="str">
        <f>IFERROR(__xludf.DUMMYFUNCTION("IFERROR(INDEX(SPLIT(A148,"":""),1,2),)"),"AUTOAXLES")</f>
        <v>AUTOAXLES</v>
      </c>
      <c r="K148" s="60">
        <f t="shared" si="4"/>
        <v>972</v>
      </c>
      <c r="L148" s="60" t="str">
        <f t="shared" si="5"/>
        <v/>
      </c>
      <c r="M148" s="60">
        <f t="shared" si="6"/>
        <v>1321</v>
      </c>
      <c r="N148" s="62">
        <f>IFERROR(__xludf.DUMMYFUNCTION("IFERROR(GOOGLEFINANCE(A148,""TRADETIME""),)"),46086.64583333333)</f>
        <v>46086.64583</v>
      </c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68" t="s">
        <v>195</v>
      </c>
      <c r="B149" s="64" t="str">
        <f>IFERROR(__xludf.DUMMYFUNCTION("IFERROR(GOOGLEFINANCE(A149,""NAME""),)"),"Autoline Industries Ltd")</f>
        <v>Autoline Industries Ltd</v>
      </c>
      <c r="C149" s="64">
        <f>IFERROR(__xludf.DUMMYFUNCTION("IFERROR(GOOGLEFINANCE(A149,""CHANGE""),)"),-0.04)</f>
        <v>-0.04</v>
      </c>
      <c r="D149" s="64">
        <f>IFERROR(__xludf.DUMMYFUNCTION("IFERROR(GOOGLEFINANCE(A149,""CHANGEPCT""),)"),-0.06)</f>
        <v>-0.06</v>
      </c>
      <c r="E149" s="64" t="str">
        <f t="shared" si="1"/>
        <v>-0.06%</v>
      </c>
      <c r="F149" s="64" t="str">
        <f t="shared" si="2"/>
        <v/>
      </c>
      <c r="G149" s="64">
        <f t="shared" si="3"/>
        <v>-0.06</v>
      </c>
      <c r="H149" s="64">
        <f>IFERROR(__xludf.DUMMYFUNCTION("IFERROR(GOOGLEFINANCE(A149,""PRICE""),)"),71.5)</f>
        <v>71.5</v>
      </c>
      <c r="I149" s="65">
        <f>IFERROR(__xludf.DUMMYFUNCTION("IFERROR(GOOGLEFINANCE(A149,""VOLUME""),)"),52148.0)</f>
        <v>52148</v>
      </c>
      <c r="J149" s="64" t="str">
        <f>IFERROR(__xludf.DUMMYFUNCTION("IFERROR(INDEX(SPLIT(A149,"":""),1,2),)"),"AUTOIND")</f>
        <v>AUTOIND</v>
      </c>
      <c r="K149" s="64" t="str">
        <f t="shared" si="4"/>
        <v/>
      </c>
      <c r="L149" s="64">
        <f t="shared" si="5"/>
        <v>15</v>
      </c>
      <c r="M149" s="64">
        <f t="shared" si="6"/>
        <v>920</v>
      </c>
      <c r="N149" s="66">
        <f>IFERROR(__xludf.DUMMYFUNCTION("IFERROR(GOOGLEFINANCE(A149,""TRADETIME""),)"),46086.64583333333)</f>
        <v>46086.64583</v>
      </c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67" t="s">
        <v>196</v>
      </c>
      <c r="B150" s="60" t="str">
        <f>IFERROR(__xludf.DUMMYFUNCTION("IFERROR(GOOGLEFINANCE(A150,""NAME""),)"),"Avadh Sugar &amp; Energy Ltd")</f>
        <v>Avadh Sugar &amp; Energy Ltd</v>
      </c>
      <c r="C150" s="60">
        <f>IFERROR(__xludf.DUMMYFUNCTION("IFERROR(GOOGLEFINANCE(A150,""CHANGE""),)"),-5.5)</f>
        <v>-5.5</v>
      </c>
      <c r="D150" s="60">
        <f>IFERROR(__xludf.DUMMYFUNCTION("IFERROR(GOOGLEFINANCE(A150,""CHANGEPCT""),)"),-1.34)</f>
        <v>-1.34</v>
      </c>
      <c r="E150" s="60" t="str">
        <f t="shared" si="1"/>
        <v>-1.34%</v>
      </c>
      <c r="F150" s="60" t="str">
        <f t="shared" si="2"/>
        <v/>
      </c>
      <c r="G150" s="60">
        <f t="shared" si="3"/>
        <v>-1.34</v>
      </c>
      <c r="H150" s="60">
        <f>IFERROR(__xludf.DUMMYFUNCTION("IFERROR(GOOGLEFINANCE(A150,""PRICE""),)"),404.9)</f>
        <v>404.9</v>
      </c>
      <c r="I150" s="61">
        <f>IFERROR(__xludf.DUMMYFUNCTION("IFERROR(GOOGLEFINANCE(A150,""VOLUME""),)"),261561.0)</f>
        <v>261561</v>
      </c>
      <c r="J150" s="60" t="str">
        <f>IFERROR(__xludf.DUMMYFUNCTION("IFERROR(INDEX(SPLIT(A150,"":""),1,2),)"),"AVADHSUGAR")</f>
        <v>AVADHSUGAR</v>
      </c>
      <c r="K150" s="60" t="str">
        <f t="shared" si="4"/>
        <v/>
      </c>
      <c r="L150" s="60">
        <f t="shared" si="5"/>
        <v>271</v>
      </c>
      <c r="M150" s="60">
        <f t="shared" si="6"/>
        <v>541</v>
      </c>
      <c r="N150" s="62">
        <f>IFERROR(__xludf.DUMMYFUNCTION("IFERROR(GOOGLEFINANCE(A150,""TRADETIME""),)"),46086.64584490741)</f>
        <v>46086.64584</v>
      </c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68" t="s">
        <v>197</v>
      </c>
      <c r="B151" s="64" t="str">
        <f>IFERROR(__xludf.DUMMYFUNCTION("IFERROR(GOOGLEFINANCE(A151,""NAME""),)"),"Avanti Feeds Ltd")</f>
        <v>Avanti Feeds Ltd</v>
      </c>
      <c r="C151" s="64">
        <f>IFERROR(__xludf.DUMMYFUNCTION("IFERROR(GOOGLEFINANCE(A151,""CHANGE""),)"),8.2)</f>
        <v>8.2</v>
      </c>
      <c r="D151" s="64">
        <f>IFERROR(__xludf.DUMMYFUNCTION("IFERROR(GOOGLEFINANCE(A151,""CHANGEPCT""),)"),0.68)</f>
        <v>0.68</v>
      </c>
      <c r="E151" s="64" t="str">
        <f t="shared" si="1"/>
        <v>0.68%</v>
      </c>
      <c r="F151" s="64">
        <f t="shared" si="2"/>
        <v>0.68</v>
      </c>
      <c r="G151" s="64" t="str">
        <f t="shared" si="3"/>
        <v/>
      </c>
      <c r="H151" s="64">
        <f>IFERROR(__xludf.DUMMYFUNCTION("IFERROR(GOOGLEFINANCE(A151,""PRICE""),)"),1213.0)</f>
        <v>1213</v>
      </c>
      <c r="I151" s="65">
        <f>IFERROR(__xludf.DUMMYFUNCTION("IFERROR(GOOGLEFINANCE(A151,""VOLUME""),)"),642353.0)</f>
        <v>642353</v>
      </c>
      <c r="J151" s="64" t="str">
        <f>IFERROR(__xludf.DUMMYFUNCTION("IFERROR(INDEX(SPLIT(A151,"":""),1,2),)"),"AVANTIFEED")</f>
        <v>AVANTIFEED</v>
      </c>
      <c r="K151" s="64">
        <f t="shared" si="4"/>
        <v>823</v>
      </c>
      <c r="L151" s="64" t="str">
        <f t="shared" si="5"/>
        <v/>
      </c>
      <c r="M151" s="64">
        <f t="shared" si="6"/>
        <v>351</v>
      </c>
      <c r="N151" s="66">
        <f>IFERROR(__xludf.DUMMYFUNCTION("IFERROR(GOOGLEFINANCE(A151,""TRADETIME""),)"),46086.64584490741)</f>
        <v>46086.64584</v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67" t="s">
        <v>198</v>
      </c>
      <c r="B152" s="60" t="str">
        <f>IFERROR(__xludf.DUMMYFUNCTION("IFERROR(GOOGLEFINANCE(A152,""NAME""),)"),"Avt Natural Products Ltd")</f>
        <v>Avt Natural Products Ltd</v>
      </c>
      <c r="C152" s="60">
        <f>IFERROR(__xludf.DUMMYFUNCTION("IFERROR(GOOGLEFINANCE(A152,""CHANGE""),)"),2.19)</f>
        <v>2.19</v>
      </c>
      <c r="D152" s="60">
        <f>IFERROR(__xludf.DUMMYFUNCTION("IFERROR(GOOGLEFINANCE(A152,""CHANGEPCT""),)"),3.68)</f>
        <v>3.68</v>
      </c>
      <c r="E152" s="60" t="str">
        <f t="shared" si="1"/>
        <v>3.68%</v>
      </c>
      <c r="F152" s="60">
        <f t="shared" si="2"/>
        <v>3.68</v>
      </c>
      <c r="G152" s="60" t="str">
        <f t="shared" si="3"/>
        <v/>
      </c>
      <c r="H152" s="60">
        <f>IFERROR(__xludf.DUMMYFUNCTION("IFERROR(GOOGLEFINANCE(A152,""PRICE""),)"),61.71)</f>
        <v>61.71</v>
      </c>
      <c r="I152" s="61">
        <f>IFERROR(__xludf.DUMMYFUNCTION("IFERROR(GOOGLEFINANCE(A152,""VOLUME""),)"),50497.0)</f>
        <v>50497</v>
      </c>
      <c r="J152" s="60" t="str">
        <f>IFERROR(__xludf.DUMMYFUNCTION("IFERROR(INDEX(SPLIT(A152,"":""),1,2),)"),"AVTNPL")</f>
        <v>AVTNPL</v>
      </c>
      <c r="K152" s="60">
        <f t="shared" si="4"/>
        <v>172</v>
      </c>
      <c r="L152" s="60" t="str">
        <f t="shared" si="5"/>
        <v/>
      </c>
      <c r="M152" s="60">
        <f t="shared" si="6"/>
        <v>934</v>
      </c>
      <c r="N152" s="62">
        <f>IFERROR(__xludf.DUMMYFUNCTION("IFERROR(GOOGLEFINANCE(A152,""TRADETIME""),)"),46086.64583333333)</f>
        <v>46086.64583</v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68" t="s">
        <v>199</v>
      </c>
      <c r="B153" s="64" t="str">
        <f>IFERROR(__xludf.DUMMYFUNCTION("IFERROR(GOOGLEFINANCE(A153,""NAME""),)"),"Antony Waste Handling Cell Ltd")</f>
        <v>Antony Waste Handling Cell Ltd</v>
      </c>
      <c r="C153" s="64">
        <f>IFERROR(__xludf.DUMMYFUNCTION("IFERROR(GOOGLEFINANCE(A153,""CHANGE""),)"),1.6)</f>
        <v>1.6</v>
      </c>
      <c r="D153" s="64">
        <f>IFERROR(__xludf.DUMMYFUNCTION("IFERROR(GOOGLEFINANCE(A153,""CHANGEPCT""),)"),0.41)</f>
        <v>0.41</v>
      </c>
      <c r="E153" s="64" t="str">
        <f t="shared" si="1"/>
        <v>0.41%</v>
      </c>
      <c r="F153" s="64">
        <f t="shared" si="2"/>
        <v>0.41</v>
      </c>
      <c r="G153" s="64" t="str">
        <f t="shared" si="3"/>
        <v/>
      </c>
      <c r="H153" s="64">
        <f>IFERROR(__xludf.DUMMYFUNCTION("IFERROR(GOOGLEFINANCE(A153,""PRICE""),)"),486.0)</f>
        <v>486</v>
      </c>
      <c r="I153" s="65">
        <f>IFERROR(__xludf.DUMMYFUNCTION("IFERROR(GOOGLEFINANCE(A153,""VOLUME""),)"),74404.0)</f>
        <v>74404</v>
      </c>
      <c r="J153" s="64" t="str">
        <f>IFERROR(__xludf.DUMMYFUNCTION("IFERROR(INDEX(SPLIT(A153,"":""),1,2),)"),"AWHCL")</f>
        <v>AWHCL</v>
      </c>
      <c r="K153" s="64">
        <f t="shared" si="4"/>
        <v>900</v>
      </c>
      <c r="L153" s="64" t="str">
        <f t="shared" si="5"/>
        <v/>
      </c>
      <c r="M153" s="64">
        <f t="shared" si="6"/>
        <v>830</v>
      </c>
      <c r="N153" s="66">
        <f>IFERROR(__xludf.DUMMYFUNCTION("IFERROR(GOOGLEFINANCE(A153,""TRADETIME""),)"),46086.64583333333)</f>
        <v>46086.64583</v>
      </c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67" t="s">
        <v>200</v>
      </c>
      <c r="B154" s="60" t="str">
        <f>IFERROR(__xludf.DUMMYFUNCTION("IFERROR(GOOGLEFINANCE(A154,""NAME""),)"),"Axis Bank Ltd")</f>
        <v>Axis Bank Ltd</v>
      </c>
      <c r="C154" s="60">
        <f>IFERROR(__xludf.DUMMYFUNCTION("IFERROR(GOOGLEFINANCE(A154,""CHANGE""),)"),-1.9)</f>
        <v>-1.9</v>
      </c>
      <c r="D154" s="60">
        <f>IFERROR(__xludf.DUMMYFUNCTION("IFERROR(GOOGLEFINANCE(A154,""CHANGEPCT""),)"),-0.14)</f>
        <v>-0.14</v>
      </c>
      <c r="E154" s="60" t="str">
        <f t="shared" si="1"/>
        <v>-0.14%</v>
      </c>
      <c r="F154" s="60" t="str">
        <f t="shared" si="2"/>
        <v/>
      </c>
      <c r="G154" s="60">
        <f t="shared" si="3"/>
        <v>-0.14</v>
      </c>
      <c r="H154" s="60">
        <f>IFERROR(__xludf.DUMMYFUNCTION("IFERROR(GOOGLEFINANCE(A154,""PRICE""),)"),1349.4)</f>
        <v>1349.4</v>
      </c>
      <c r="I154" s="61">
        <f>IFERROR(__xludf.DUMMYFUNCTION("IFERROR(GOOGLEFINANCE(A154,""VOLUME""),)"),5706871.0)</f>
        <v>5706871</v>
      </c>
      <c r="J154" s="60" t="str">
        <f>IFERROR(__xludf.DUMMYFUNCTION("IFERROR(INDEX(SPLIT(A154,"":""),1,2),)"),"AXISBANK")</f>
        <v>AXISBANK</v>
      </c>
      <c r="K154" s="60" t="str">
        <f t="shared" si="4"/>
        <v/>
      </c>
      <c r="L154" s="60">
        <f t="shared" si="5"/>
        <v>39</v>
      </c>
      <c r="M154" s="60">
        <f t="shared" si="6"/>
        <v>97</v>
      </c>
      <c r="N154" s="62">
        <f>IFERROR(__xludf.DUMMYFUNCTION("IFERROR(GOOGLEFINANCE(A154,""TRADETIME""),)"),46086.64583333333)</f>
        <v>46086.64583</v>
      </c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68" t="s">
        <v>201</v>
      </c>
      <c r="B155" s="64" t="str">
        <f>IFERROR(__xludf.DUMMYFUNCTION("IFERROR(GOOGLEFINANCE(A155,""NAME""),)"),"Axiscades Technologies Ltd")</f>
        <v>Axiscades Technologies Ltd</v>
      </c>
      <c r="C155" s="64">
        <f>IFERROR(__xludf.DUMMYFUNCTION("IFERROR(GOOGLEFINANCE(A155,""CHANGE""),)"),-16.8)</f>
        <v>-16.8</v>
      </c>
      <c r="D155" s="64">
        <f>IFERROR(__xludf.DUMMYFUNCTION("IFERROR(GOOGLEFINANCE(A155,""CHANGEPCT""),)"),-1.12)</f>
        <v>-1.12</v>
      </c>
      <c r="E155" s="64" t="str">
        <f t="shared" si="1"/>
        <v>-1.12%</v>
      </c>
      <c r="F155" s="64" t="str">
        <f t="shared" si="2"/>
        <v/>
      </c>
      <c r="G155" s="64">
        <f t="shared" si="3"/>
        <v>-1.12</v>
      </c>
      <c r="H155" s="64">
        <f>IFERROR(__xludf.DUMMYFUNCTION("IFERROR(GOOGLEFINANCE(A155,""PRICE""),)"),1481.0)</f>
        <v>1481</v>
      </c>
      <c r="I155" s="65">
        <f>IFERROR(__xludf.DUMMYFUNCTION("IFERROR(GOOGLEFINANCE(A155,""VOLUME""),)"),131240.0)</f>
        <v>131240</v>
      </c>
      <c r="J155" s="64" t="str">
        <f>IFERROR(__xludf.DUMMYFUNCTION("IFERROR(INDEX(SPLIT(A155,"":""),1,2),)"),"AXISCADES")</f>
        <v>AXISCADES</v>
      </c>
      <c r="K155" s="64" t="str">
        <f t="shared" si="4"/>
        <v/>
      </c>
      <c r="L155" s="64">
        <f t="shared" si="5"/>
        <v>231</v>
      </c>
      <c r="M155" s="64">
        <f t="shared" si="6"/>
        <v>698</v>
      </c>
      <c r="N155" s="66">
        <f>IFERROR(__xludf.DUMMYFUNCTION("IFERROR(GOOGLEFINANCE(A155,""TRADETIME""),)"),46086.64583333333)</f>
        <v>46086.64583</v>
      </c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67" t="s">
        <v>202</v>
      </c>
      <c r="B156" s="60" t="str">
        <f>IFERROR(__xludf.DUMMYFUNCTION("IFERROR(GOOGLEFINANCE(A156,""NAME""),)"),"AYM Syntex Ltd")</f>
        <v>AYM Syntex Ltd</v>
      </c>
      <c r="C156" s="60">
        <f>IFERROR(__xludf.DUMMYFUNCTION("IFERROR(GOOGLEFINANCE(A156,""CHANGE""),)"),-4.16)</f>
        <v>-4.16</v>
      </c>
      <c r="D156" s="60">
        <f>IFERROR(__xludf.DUMMYFUNCTION("IFERROR(GOOGLEFINANCE(A156,""CHANGEPCT""),)"),-2.07)</f>
        <v>-2.07</v>
      </c>
      <c r="E156" s="60" t="str">
        <f t="shared" si="1"/>
        <v>-2.07%</v>
      </c>
      <c r="F156" s="60" t="str">
        <f t="shared" si="2"/>
        <v/>
      </c>
      <c r="G156" s="60">
        <f t="shared" si="3"/>
        <v>-2.07</v>
      </c>
      <c r="H156" s="60">
        <f>IFERROR(__xludf.DUMMYFUNCTION("IFERROR(GOOGLEFINANCE(A156,""PRICE""),)"),197.0)</f>
        <v>197</v>
      </c>
      <c r="I156" s="61">
        <f>IFERROR(__xludf.DUMMYFUNCTION("IFERROR(GOOGLEFINANCE(A156,""VOLUME""),)"),39438.0)</f>
        <v>39438</v>
      </c>
      <c r="J156" s="60" t="str">
        <f>IFERROR(__xludf.DUMMYFUNCTION("IFERROR(INDEX(SPLIT(A156,"":""),1,2),)"),"AYMSYNTEX")</f>
        <v>AYMSYNTEX</v>
      </c>
      <c r="K156" s="60" t="str">
        <f t="shared" si="4"/>
        <v/>
      </c>
      <c r="L156" s="60">
        <f t="shared" si="5"/>
        <v>362</v>
      </c>
      <c r="M156" s="60">
        <f t="shared" si="6"/>
        <v>995</v>
      </c>
      <c r="N156" s="62">
        <f>IFERROR(__xludf.DUMMYFUNCTION("IFERROR(GOOGLEFINANCE(A156,""TRADETIME""),)"),46086.64583333333)</f>
        <v>46086.64583</v>
      </c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68" t="s">
        <v>203</v>
      </c>
      <c r="B157" s="64" t="str">
        <f>IFERROR(__xludf.DUMMYFUNCTION("IFERROR(GOOGLEFINANCE(A157,""NAME""),)"),"Bafna Pharmaceuticals Ltd")</f>
        <v>Bafna Pharmaceuticals Ltd</v>
      </c>
      <c r="C157" s="64">
        <f>IFERROR(__xludf.DUMMYFUNCTION("IFERROR(GOOGLEFINANCE(A157,""CHANGE""),)"),2.5)</f>
        <v>2.5</v>
      </c>
      <c r="D157" s="64">
        <f>IFERROR(__xludf.DUMMYFUNCTION("IFERROR(GOOGLEFINANCE(A157,""CHANGEPCT""),)"),2.34)</f>
        <v>2.34</v>
      </c>
      <c r="E157" s="64" t="str">
        <f t="shared" si="1"/>
        <v>2.34%</v>
      </c>
      <c r="F157" s="64">
        <f t="shared" si="2"/>
        <v>2.34</v>
      </c>
      <c r="G157" s="64" t="str">
        <f t="shared" si="3"/>
        <v/>
      </c>
      <c r="H157" s="64">
        <f>IFERROR(__xludf.DUMMYFUNCTION("IFERROR(GOOGLEFINANCE(A157,""PRICE""),)"),109.5)</f>
        <v>109.5</v>
      </c>
      <c r="I157" s="65">
        <f>IFERROR(__xludf.DUMMYFUNCTION("IFERROR(GOOGLEFINANCE(A157,""VOLUME""),)"),10876.0)</f>
        <v>10876</v>
      </c>
      <c r="J157" s="64" t="str">
        <f>IFERROR(__xludf.DUMMYFUNCTION("IFERROR(INDEX(SPLIT(A157,"":""),1,2),)"),"BAFNAPH")</f>
        <v>BAFNAPH</v>
      </c>
      <c r="K157" s="64">
        <f t="shared" si="4"/>
        <v>367</v>
      </c>
      <c r="L157" s="64" t="str">
        <f t="shared" si="5"/>
        <v/>
      </c>
      <c r="M157" s="64">
        <f t="shared" si="6"/>
        <v>1250</v>
      </c>
      <c r="N157" s="66">
        <f>IFERROR(__xludf.DUMMYFUNCTION("IFERROR(GOOGLEFINANCE(A157,""TRADETIME""),)"),46086.64585648148)</f>
        <v>46086.64586</v>
      </c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67" t="s">
        <v>204</v>
      </c>
      <c r="B158" s="60" t="str">
        <f>IFERROR(__xludf.DUMMYFUNCTION("IFERROR(GOOGLEFINANCE(A158,""NAME""),)"),"B.A.G. Films and Media Ltd")</f>
        <v>B.A.G. Films and Media Ltd</v>
      </c>
      <c r="C158" s="60">
        <f>IFERROR(__xludf.DUMMYFUNCTION("IFERROR(GOOGLEFINANCE(A158,""CHANGE""),)"),0.12)</f>
        <v>0.12</v>
      </c>
      <c r="D158" s="60">
        <f>IFERROR(__xludf.DUMMYFUNCTION("IFERROR(GOOGLEFINANCE(A158,""CHANGEPCT""),)"),2.53)</f>
        <v>2.53</v>
      </c>
      <c r="E158" s="60" t="str">
        <f t="shared" si="1"/>
        <v>2.53%</v>
      </c>
      <c r="F158" s="60">
        <f t="shared" si="2"/>
        <v>2.53</v>
      </c>
      <c r="G158" s="60" t="str">
        <f t="shared" si="3"/>
        <v/>
      </c>
      <c r="H158" s="60">
        <f>IFERROR(__xludf.DUMMYFUNCTION("IFERROR(GOOGLEFINANCE(A158,""PRICE""),)"),4.86)</f>
        <v>4.86</v>
      </c>
      <c r="I158" s="61">
        <f>IFERROR(__xludf.DUMMYFUNCTION("IFERROR(GOOGLEFINANCE(A158,""VOLUME""),)"),50357.0)</f>
        <v>50357</v>
      </c>
      <c r="J158" s="60" t="str">
        <f>IFERROR(__xludf.DUMMYFUNCTION("IFERROR(INDEX(SPLIT(A158,"":""),1,2),)"),"BAGFILMS")</f>
        <v>BAGFILMS</v>
      </c>
      <c r="K158" s="60">
        <f t="shared" si="4"/>
        <v>337</v>
      </c>
      <c r="L158" s="60" t="str">
        <f t="shared" si="5"/>
        <v/>
      </c>
      <c r="M158" s="60">
        <f t="shared" si="6"/>
        <v>935</v>
      </c>
      <c r="N158" s="62">
        <f>IFERROR(__xludf.DUMMYFUNCTION("IFERROR(GOOGLEFINANCE(A158,""TRADETIME""),)"),46086.64583333333)</f>
        <v>46086.64583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68" t="s">
        <v>205</v>
      </c>
      <c r="B159" s="64" t="str">
        <f>IFERROR(__xludf.DUMMYFUNCTION("IFERROR(GOOGLEFINANCE(A159,""NAME""),)"),"Bajaj Auto Ltd")</f>
        <v>Bajaj Auto Ltd</v>
      </c>
      <c r="C159" s="64">
        <f>IFERROR(__xludf.DUMMYFUNCTION("IFERROR(GOOGLEFINANCE(A159,""CHANGE""),)"),161.5)</f>
        <v>161.5</v>
      </c>
      <c r="D159" s="64">
        <f>IFERROR(__xludf.DUMMYFUNCTION("IFERROR(GOOGLEFINANCE(A159,""CHANGEPCT""),)"),1.67)</f>
        <v>1.67</v>
      </c>
      <c r="E159" s="64" t="str">
        <f t="shared" si="1"/>
        <v>1.67%</v>
      </c>
      <c r="F159" s="64">
        <f t="shared" si="2"/>
        <v>1.67</v>
      </c>
      <c r="G159" s="64" t="str">
        <f t="shared" si="3"/>
        <v/>
      </c>
      <c r="H159" s="64">
        <f>IFERROR(__xludf.DUMMYFUNCTION("IFERROR(GOOGLEFINANCE(A159,""PRICE""),)"),9814.0)</f>
        <v>9814</v>
      </c>
      <c r="I159" s="65">
        <f>IFERROR(__xludf.DUMMYFUNCTION("IFERROR(GOOGLEFINANCE(A159,""VOLUME""),)"),300748.0)</f>
        <v>300748</v>
      </c>
      <c r="J159" s="64" t="str">
        <f>IFERROR(__xludf.DUMMYFUNCTION("IFERROR(INDEX(SPLIT(A159,"":""),1,2),)"),"BAJAJ-AUTO")</f>
        <v>BAJAJ-AUTO</v>
      </c>
      <c r="K159" s="64">
        <f t="shared" si="4"/>
        <v>522</v>
      </c>
      <c r="L159" s="64" t="str">
        <f t="shared" si="5"/>
        <v/>
      </c>
      <c r="M159" s="64">
        <f t="shared" si="6"/>
        <v>506</v>
      </c>
      <c r="N159" s="66">
        <f>IFERROR(__xludf.DUMMYFUNCTION("IFERROR(GOOGLEFINANCE(A159,""TRADETIME""),)"),46086.64583333333)</f>
        <v>46086.64583</v>
      </c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67" t="s">
        <v>206</v>
      </c>
      <c r="B160" s="60" t="str">
        <f>IFERROR(__xludf.DUMMYFUNCTION("IFERROR(GOOGLEFINANCE(A160,""NAME""),)"),"Bajaj Consumer Care Ltd")</f>
        <v>Bajaj Consumer Care Ltd</v>
      </c>
      <c r="C160" s="60">
        <f>IFERROR(__xludf.DUMMYFUNCTION("IFERROR(GOOGLEFINANCE(A160,""CHANGE""),)"),6.65)</f>
        <v>6.65</v>
      </c>
      <c r="D160" s="60">
        <f>IFERROR(__xludf.DUMMYFUNCTION("IFERROR(GOOGLEFINANCE(A160,""CHANGEPCT""),)"),1.84)</f>
        <v>1.84</v>
      </c>
      <c r="E160" s="60" t="str">
        <f t="shared" si="1"/>
        <v>1.84%</v>
      </c>
      <c r="F160" s="60">
        <f t="shared" si="2"/>
        <v>1.84</v>
      </c>
      <c r="G160" s="60" t="str">
        <f t="shared" si="3"/>
        <v/>
      </c>
      <c r="H160" s="60">
        <f>IFERROR(__xludf.DUMMYFUNCTION("IFERROR(GOOGLEFINANCE(A160,""PRICE""),)"),367.55)</f>
        <v>367.55</v>
      </c>
      <c r="I160" s="61">
        <f>IFERROR(__xludf.DUMMYFUNCTION("IFERROR(GOOGLEFINANCE(A160,""VOLUME""),)"),480298.0)</f>
        <v>480298</v>
      </c>
      <c r="J160" s="60" t="str">
        <f>IFERROR(__xludf.DUMMYFUNCTION("IFERROR(INDEX(SPLIT(A160,"":""),1,2),)"),"BAJAJCON")</f>
        <v>BAJAJCON</v>
      </c>
      <c r="K160" s="60">
        <f t="shared" si="4"/>
        <v>487</v>
      </c>
      <c r="L160" s="60" t="str">
        <f t="shared" si="5"/>
        <v/>
      </c>
      <c r="M160" s="60">
        <f t="shared" si="6"/>
        <v>406</v>
      </c>
      <c r="N160" s="62">
        <f>IFERROR(__xludf.DUMMYFUNCTION("IFERROR(GOOGLEFINANCE(A160,""TRADETIME""),)"),46086.6397337963)</f>
        <v>46086.63973</v>
      </c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68" t="s">
        <v>207</v>
      </c>
      <c r="B161" s="64" t="str">
        <f>IFERROR(__xludf.DUMMYFUNCTION("IFERROR(GOOGLEFINANCE(A161,""NAME""),)"),"Bajaj Electricals Ltd")</f>
        <v>Bajaj Electricals Ltd</v>
      </c>
      <c r="C161" s="64">
        <f>IFERROR(__xludf.DUMMYFUNCTION("IFERROR(GOOGLEFINANCE(A161,""CHANGE""),)"),-1.55)</f>
        <v>-1.55</v>
      </c>
      <c r="D161" s="64">
        <f>IFERROR(__xludf.DUMMYFUNCTION("IFERROR(GOOGLEFINANCE(A161,""CHANGEPCT""),)"),-0.43)</f>
        <v>-0.43</v>
      </c>
      <c r="E161" s="64" t="str">
        <f t="shared" si="1"/>
        <v>-0.43%</v>
      </c>
      <c r="F161" s="64" t="str">
        <f t="shared" si="2"/>
        <v/>
      </c>
      <c r="G161" s="64">
        <f t="shared" si="3"/>
        <v>-0.43</v>
      </c>
      <c r="H161" s="64">
        <f>IFERROR(__xludf.DUMMYFUNCTION("IFERROR(GOOGLEFINANCE(A161,""PRICE""),)"),356.5)</f>
        <v>356.5</v>
      </c>
      <c r="I161" s="65">
        <f>IFERROR(__xludf.DUMMYFUNCTION("IFERROR(GOOGLEFINANCE(A161,""VOLUME""),)"),48736.0)</f>
        <v>48736</v>
      </c>
      <c r="J161" s="64" t="str">
        <f>IFERROR(__xludf.DUMMYFUNCTION("IFERROR(INDEX(SPLIT(A161,"":""),1,2),)"),"BAJAJELEC")</f>
        <v>BAJAJELEC</v>
      </c>
      <c r="K161" s="64" t="str">
        <f t="shared" si="4"/>
        <v/>
      </c>
      <c r="L161" s="64">
        <f t="shared" si="5"/>
        <v>104</v>
      </c>
      <c r="M161" s="64">
        <f t="shared" si="6"/>
        <v>941</v>
      </c>
      <c r="N161" s="66">
        <f>IFERROR(__xludf.DUMMYFUNCTION("IFERROR(GOOGLEFINANCE(A161,""TRADETIME""),)"),46086.64583333333)</f>
        <v>46086.64583</v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67" t="s">
        <v>208</v>
      </c>
      <c r="B162" s="60" t="str">
        <f>IFERROR(__xludf.DUMMYFUNCTION("IFERROR(GOOGLEFINANCE(A162,""NAME""),)"),"Bajaj Finserv Ltd")</f>
        <v>Bajaj Finserv Ltd</v>
      </c>
      <c r="C162" s="60">
        <f>IFERROR(__xludf.DUMMYFUNCTION("IFERROR(GOOGLEFINANCE(A162,""CHANGE""),)"),21.3)</f>
        <v>21.3</v>
      </c>
      <c r="D162" s="60">
        <f>IFERROR(__xludf.DUMMYFUNCTION("IFERROR(GOOGLEFINANCE(A162,""CHANGEPCT""),)"),1.11)</f>
        <v>1.11</v>
      </c>
      <c r="E162" s="60" t="str">
        <f t="shared" si="1"/>
        <v>1.11%</v>
      </c>
      <c r="F162" s="60">
        <f t="shared" si="2"/>
        <v>1.11</v>
      </c>
      <c r="G162" s="60" t="str">
        <f t="shared" si="3"/>
        <v/>
      </c>
      <c r="H162" s="60">
        <f>IFERROR(__xludf.DUMMYFUNCTION("IFERROR(GOOGLEFINANCE(A162,""PRICE""),)"),1910.3)</f>
        <v>1910.3</v>
      </c>
      <c r="I162" s="61">
        <f>IFERROR(__xludf.DUMMYFUNCTION("IFERROR(GOOGLEFINANCE(A162,""VOLUME""),)"),1515196.0)</f>
        <v>1515196</v>
      </c>
      <c r="J162" s="60" t="str">
        <f>IFERROR(__xludf.DUMMYFUNCTION("IFERROR(INDEX(SPLIT(A162,"":""),1,2),)"),"BAJAJFINSV")</f>
        <v>BAJAJFINSV</v>
      </c>
      <c r="K162" s="60">
        <f t="shared" si="4"/>
        <v>685</v>
      </c>
      <c r="L162" s="60" t="str">
        <f t="shared" si="5"/>
        <v/>
      </c>
      <c r="M162" s="60">
        <f t="shared" si="6"/>
        <v>239</v>
      </c>
      <c r="N162" s="62">
        <f>IFERROR(__xludf.DUMMYFUNCTION("IFERROR(GOOGLEFINANCE(A162,""TRADETIME""),)"),46086.6402662037)</f>
        <v>46086.64027</v>
      </c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68" t="s">
        <v>209</v>
      </c>
      <c r="B163" s="64" t="str">
        <f>IFERROR(__xludf.DUMMYFUNCTION("IFERROR(GOOGLEFINANCE(A163,""NAME""),)"),"Bajaj Hindusthan Sugar Ltd")</f>
        <v>Bajaj Hindusthan Sugar Ltd</v>
      </c>
      <c r="C163" s="64">
        <f>IFERROR(__xludf.DUMMYFUNCTION("IFERROR(GOOGLEFINANCE(A163,""CHANGE""),)"),-0.21)</f>
        <v>-0.21</v>
      </c>
      <c r="D163" s="64">
        <f>IFERROR(__xludf.DUMMYFUNCTION("IFERROR(GOOGLEFINANCE(A163,""CHANGEPCT""),)"),-1.8)</f>
        <v>-1.8</v>
      </c>
      <c r="E163" s="64" t="str">
        <f t="shared" si="1"/>
        <v>-1.8%</v>
      </c>
      <c r="F163" s="64" t="str">
        <f t="shared" si="2"/>
        <v/>
      </c>
      <c r="G163" s="64">
        <f t="shared" si="3"/>
        <v>-1.8</v>
      </c>
      <c r="H163" s="64">
        <f>IFERROR(__xludf.DUMMYFUNCTION("IFERROR(GOOGLEFINANCE(A163,""PRICE""),)"),16.9)</f>
        <v>16.9</v>
      </c>
      <c r="I163" s="65">
        <f>IFERROR(__xludf.DUMMYFUNCTION("IFERROR(GOOGLEFINANCE(A163,""VOLUME""),)"),1.970025E7)</f>
        <v>19700250</v>
      </c>
      <c r="J163" s="64" t="str">
        <f>IFERROR(__xludf.DUMMYFUNCTION("IFERROR(INDEX(SPLIT(A163,"":""),1,2),)"),"BAJAJHIND")</f>
        <v>BAJAJHIND</v>
      </c>
      <c r="K163" s="64" t="str">
        <f t="shared" si="4"/>
        <v/>
      </c>
      <c r="L163" s="64">
        <f t="shared" si="5"/>
        <v>322</v>
      </c>
      <c r="M163" s="64">
        <f t="shared" si="6"/>
        <v>30</v>
      </c>
      <c r="N163" s="66">
        <f>IFERROR(__xludf.DUMMYFUNCTION("IFERROR(GOOGLEFINANCE(A163,""TRADETIME""),)"),46086.64583333333)</f>
        <v>46086.64583</v>
      </c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67" t="s">
        <v>210</v>
      </c>
      <c r="B164" s="60" t="str">
        <f>IFERROR(__xludf.DUMMYFUNCTION("IFERROR(GOOGLEFINANCE(A164,""NAME""),)"),"Bajaj Holdings And Investment Ltd")</f>
        <v>Bajaj Holdings And Investment Ltd</v>
      </c>
      <c r="C164" s="60">
        <f>IFERROR(__xludf.DUMMYFUNCTION("IFERROR(GOOGLEFINANCE(A164,""CHANGE""),)"),24.0)</f>
        <v>24</v>
      </c>
      <c r="D164" s="60">
        <f>IFERROR(__xludf.DUMMYFUNCTION("IFERROR(GOOGLEFINANCE(A164,""CHANGEPCT""),)"),0.17)</f>
        <v>0.17</v>
      </c>
      <c r="E164" s="60" t="str">
        <f t="shared" si="1"/>
        <v>0.17%</v>
      </c>
      <c r="F164" s="60">
        <f t="shared" si="2"/>
        <v>0.17</v>
      </c>
      <c r="G164" s="60" t="str">
        <f t="shared" si="3"/>
        <v/>
      </c>
      <c r="H164" s="60">
        <f>IFERROR(__xludf.DUMMYFUNCTION("IFERROR(GOOGLEFINANCE(A164,""PRICE""),)"),10658.0)</f>
        <v>10658</v>
      </c>
      <c r="I164" s="61">
        <f>IFERROR(__xludf.DUMMYFUNCTION("IFERROR(GOOGLEFINANCE(A164,""VOLUME""),)"),36502.0)</f>
        <v>36502</v>
      </c>
      <c r="J164" s="60" t="str">
        <f>IFERROR(__xludf.DUMMYFUNCTION("IFERROR(INDEX(SPLIT(A164,"":""),1,2),)"),"BAJAJHLDNG")</f>
        <v>BAJAJHLDNG</v>
      </c>
      <c r="K164" s="60">
        <f t="shared" si="4"/>
        <v>959</v>
      </c>
      <c r="L164" s="60" t="str">
        <f t="shared" si="5"/>
        <v/>
      </c>
      <c r="M164" s="60">
        <f t="shared" si="6"/>
        <v>1007</v>
      </c>
      <c r="N164" s="62">
        <f>IFERROR(__xludf.DUMMYFUNCTION("IFERROR(GOOGLEFINANCE(A164,""TRADETIME""),)"),46086.64583333333)</f>
        <v>46086.64583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68" t="s">
        <v>211</v>
      </c>
      <c r="B165" s="64" t="str">
        <f>IFERROR(__xludf.DUMMYFUNCTION("IFERROR(GOOGLEFINANCE(A165,""NAME""),)"),"Bajaj Finance Ltd")</f>
        <v>Bajaj Finance Ltd</v>
      </c>
      <c r="C165" s="64">
        <f>IFERROR(__xludf.DUMMYFUNCTION("IFERROR(GOOGLEFINANCE(A165,""CHANGE""),)"),17.9)</f>
        <v>17.9</v>
      </c>
      <c r="D165" s="64">
        <f>IFERROR(__xludf.DUMMYFUNCTION("IFERROR(GOOGLEFINANCE(A165,""CHANGEPCT""),)"),1.89)</f>
        <v>1.89</v>
      </c>
      <c r="E165" s="64" t="str">
        <f t="shared" si="1"/>
        <v>1.89%</v>
      </c>
      <c r="F165" s="64">
        <f t="shared" si="2"/>
        <v>1.89</v>
      </c>
      <c r="G165" s="64" t="str">
        <f t="shared" si="3"/>
        <v/>
      </c>
      <c r="H165" s="64">
        <f>IFERROR(__xludf.DUMMYFUNCTION("IFERROR(GOOGLEFINANCE(A165,""PRICE""),)"),963.0)</f>
        <v>963</v>
      </c>
      <c r="I165" s="65">
        <f>IFERROR(__xludf.DUMMYFUNCTION("IFERROR(GOOGLEFINANCE(A165,""VOLUME""),)"),6180845.0)</f>
        <v>6180845</v>
      </c>
      <c r="J165" s="64" t="str">
        <f>IFERROR(__xludf.DUMMYFUNCTION("IFERROR(INDEX(SPLIT(A165,"":""),1,2),)"),"BAJFINANCE")</f>
        <v>BAJFINANCE</v>
      </c>
      <c r="K165" s="64">
        <f t="shared" si="4"/>
        <v>462</v>
      </c>
      <c r="L165" s="64" t="str">
        <f t="shared" si="5"/>
        <v/>
      </c>
      <c r="M165" s="64">
        <f t="shared" si="6"/>
        <v>88</v>
      </c>
      <c r="N165" s="66">
        <f>IFERROR(__xludf.DUMMYFUNCTION("IFERROR(GOOGLEFINANCE(A165,""TRADETIME""),)"),46086.64583333333)</f>
        <v>46086.64583</v>
      </c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67" t="s">
        <v>212</v>
      </c>
      <c r="B166" s="60" t="str">
        <f>IFERROR(__xludf.DUMMYFUNCTION("IFERROR(GOOGLEFINANCE(A166,""NAME""),)"),"Balaji Telefilms Ltd")</f>
        <v>Balaji Telefilms Ltd</v>
      </c>
      <c r="C166" s="60">
        <f>IFERROR(__xludf.DUMMYFUNCTION("IFERROR(GOOGLEFINANCE(A166,""CHANGE""),)"),14.11)</f>
        <v>14.11</v>
      </c>
      <c r="D166" s="60">
        <f>IFERROR(__xludf.DUMMYFUNCTION("IFERROR(GOOGLEFINANCE(A166,""CHANGEPCT""),)"),15.03)</f>
        <v>15.03</v>
      </c>
      <c r="E166" s="60" t="str">
        <f t="shared" si="1"/>
        <v>15.03%</v>
      </c>
      <c r="F166" s="60">
        <f t="shared" si="2"/>
        <v>15.03</v>
      </c>
      <c r="G166" s="60" t="str">
        <f t="shared" si="3"/>
        <v/>
      </c>
      <c r="H166" s="60">
        <f>IFERROR(__xludf.DUMMYFUNCTION("IFERROR(GOOGLEFINANCE(A166,""PRICE""),)"),108.0)</f>
        <v>108</v>
      </c>
      <c r="I166" s="61">
        <f>IFERROR(__xludf.DUMMYFUNCTION("IFERROR(GOOGLEFINANCE(A166,""VOLUME""),)"),4180642.0)</f>
        <v>4180642</v>
      </c>
      <c r="J166" s="60" t="str">
        <f>IFERROR(__xludf.DUMMYFUNCTION("IFERROR(INDEX(SPLIT(A166,"":""),1,2),)"),"BALAJITELE")</f>
        <v>BALAJITELE</v>
      </c>
      <c r="K166" s="60">
        <f t="shared" si="4"/>
        <v>6</v>
      </c>
      <c r="L166" s="60" t="str">
        <f t="shared" si="5"/>
        <v/>
      </c>
      <c r="M166" s="60">
        <f t="shared" si="6"/>
        <v>123</v>
      </c>
      <c r="N166" s="62">
        <f>IFERROR(__xludf.DUMMYFUNCTION("IFERROR(GOOGLEFINANCE(A166,""TRADETIME""),)"),46086.64123842593)</f>
        <v>46086.64124</v>
      </c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68" t="s">
        <v>213</v>
      </c>
      <c r="B167" s="64" t="str">
        <f>IFERROR(__xludf.DUMMYFUNCTION("IFERROR(GOOGLEFINANCE(A167,""NAME""),)"),"Balaji Amines Ltd")</f>
        <v>Balaji Amines Ltd</v>
      </c>
      <c r="C167" s="64">
        <f>IFERROR(__xludf.DUMMYFUNCTION("IFERROR(GOOGLEFINANCE(A167,""CHANGE""),)"),16.5)</f>
        <v>16.5</v>
      </c>
      <c r="D167" s="64">
        <f>IFERROR(__xludf.DUMMYFUNCTION("IFERROR(GOOGLEFINANCE(A167,""CHANGEPCT""),)"),1.56)</f>
        <v>1.56</v>
      </c>
      <c r="E167" s="64" t="str">
        <f t="shared" si="1"/>
        <v>1.56%</v>
      </c>
      <c r="F167" s="64">
        <f t="shared" si="2"/>
        <v>1.56</v>
      </c>
      <c r="G167" s="64" t="str">
        <f t="shared" si="3"/>
        <v/>
      </c>
      <c r="H167" s="64">
        <f>IFERROR(__xludf.DUMMYFUNCTION("IFERROR(GOOGLEFINANCE(A167,""PRICE""),)"),1070.9)</f>
        <v>1070.9</v>
      </c>
      <c r="I167" s="65">
        <f>IFERROR(__xludf.DUMMYFUNCTION("IFERROR(GOOGLEFINANCE(A167,""VOLUME""),)"),59574.0)</f>
        <v>59574</v>
      </c>
      <c r="J167" s="64" t="str">
        <f>IFERROR(__xludf.DUMMYFUNCTION("IFERROR(INDEX(SPLIT(A167,"":""),1,2),)"),"BALAMINES")</f>
        <v>BALAMINES</v>
      </c>
      <c r="K167" s="64">
        <f t="shared" si="4"/>
        <v>547</v>
      </c>
      <c r="L167" s="64" t="str">
        <f t="shared" si="5"/>
        <v/>
      </c>
      <c r="M167" s="64">
        <f t="shared" si="6"/>
        <v>883</v>
      </c>
      <c r="N167" s="66">
        <f>IFERROR(__xludf.DUMMYFUNCTION("IFERROR(GOOGLEFINANCE(A167,""TRADETIME""),)"),46086.64177083333)</f>
        <v>46086.64177</v>
      </c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67" t="s">
        <v>214</v>
      </c>
      <c r="B168" s="60" t="str">
        <f>IFERROR(__xludf.DUMMYFUNCTION("IFERROR(GOOGLEFINANCE(A168,""NAME""),)"),"Balaxi Pharmaceuticals Ltd")</f>
        <v>Balaxi Pharmaceuticals Ltd</v>
      </c>
      <c r="C168" s="60">
        <f>IFERROR(__xludf.DUMMYFUNCTION("IFERROR(GOOGLEFINANCE(A168,""CHANGE""),)"),0.16)</f>
        <v>0.16</v>
      </c>
      <c r="D168" s="60">
        <f>IFERROR(__xludf.DUMMYFUNCTION("IFERROR(GOOGLEFINANCE(A168,""CHANGEPCT""),)"),0.88)</f>
        <v>0.88</v>
      </c>
      <c r="E168" s="60" t="str">
        <f t="shared" si="1"/>
        <v>0.88%</v>
      </c>
      <c r="F168" s="60">
        <f t="shared" si="2"/>
        <v>0.88</v>
      </c>
      <c r="G168" s="60" t="str">
        <f t="shared" si="3"/>
        <v/>
      </c>
      <c r="H168" s="60">
        <f>IFERROR(__xludf.DUMMYFUNCTION("IFERROR(GOOGLEFINANCE(A168,""PRICE""),)"),18.29)</f>
        <v>18.29</v>
      </c>
      <c r="I168" s="61">
        <f>IFERROR(__xludf.DUMMYFUNCTION("IFERROR(GOOGLEFINANCE(A168,""VOLUME""),)"),70205.0)</f>
        <v>70205</v>
      </c>
      <c r="J168" s="60" t="str">
        <f>IFERROR(__xludf.DUMMYFUNCTION("IFERROR(INDEX(SPLIT(A168,"":""),1,2),)"),"BALAXI")</f>
        <v>BALAXI</v>
      </c>
      <c r="K168" s="60">
        <f t="shared" si="4"/>
        <v>757</v>
      </c>
      <c r="L168" s="60" t="str">
        <f t="shared" si="5"/>
        <v/>
      </c>
      <c r="M168" s="60">
        <f t="shared" si="6"/>
        <v>846</v>
      </c>
      <c r="N168" s="62">
        <f>IFERROR(__xludf.DUMMYFUNCTION("IFERROR(GOOGLEFINANCE(A168,""TRADETIME""),)"),46086.64583333333)</f>
        <v>46086.64583</v>
      </c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68" t="s">
        <v>215</v>
      </c>
      <c r="B169" s="64" t="str">
        <f>IFERROR(__xludf.DUMMYFUNCTION("IFERROR(GOOGLEFINANCE(A169,""NAME""),)"),"Balkrishna Paper Mills Ltd")</f>
        <v>Balkrishna Paper Mills Ltd</v>
      </c>
      <c r="C169" s="64">
        <f>IFERROR(__xludf.DUMMYFUNCTION("IFERROR(GOOGLEFINANCE(A169,""CHANGE""),)"),0.57)</f>
        <v>0.57</v>
      </c>
      <c r="D169" s="64">
        <f>IFERROR(__xludf.DUMMYFUNCTION("IFERROR(GOOGLEFINANCE(A169,""CHANGEPCT""),)"),3.66)</f>
        <v>3.66</v>
      </c>
      <c r="E169" s="64" t="str">
        <f t="shared" si="1"/>
        <v>3.66%</v>
      </c>
      <c r="F169" s="64">
        <f t="shared" si="2"/>
        <v>3.66</v>
      </c>
      <c r="G169" s="64" t="str">
        <f t="shared" si="3"/>
        <v/>
      </c>
      <c r="H169" s="64">
        <f>IFERROR(__xludf.DUMMYFUNCTION("IFERROR(GOOGLEFINANCE(A169,""PRICE""),)"),16.16)</f>
        <v>16.16</v>
      </c>
      <c r="I169" s="65">
        <f>IFERROR(__xludf.DUMMYFUNCTION("IFERROR(GOOGLEFINANCE(A169,""VOLUME""),)"),21435.0)</f>
        <v>21435</v>
      </c>
      <c r="J169" s="64" t="str">
        <f>IFERROR(__xludf.DUMMYFUNCTION("IFERROR(INDEX(SPLIT(A169,"":""),1,2),)"),"BALKRISHNA")</f>
        <v>BALKRISHNA</v>
      </c>
      <c r="K169" s="64">
        <f t="shared" si="4"/>
        <v>178</v>
      </c>
      <c r="L169" s="64" t="str">
        <f t="shared" si="5"/>
        <v/>
      </c>
      <c r="M169" s="64">
        <f t="shared" si="6"/>
        <v>1126</v>
      </c>
      <c r="N169" s="66">
        <f>IFERROR(__xludf.DUMMYFUNCTION("IFERROR(GOOGLEFINANCE(A169,""TRADETIME""),)"),46086.64583333333)</f>
        <v>46086.64583</v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67" t="s">
        <v>216</v>
      </c>
      <c r="B170" s="60" t="str">
        <f>IFERROR(__xludf.DUMMYFUNCTION("IFERROR(GOOGLEFINANCE(A170,""NAME""),)"),"Balkrishna Industries Ltd")</f>
        <v>Balkrishna Industries Ltd</v>
      </c>
      <c r="C170" s="60">
        <f>IFERROR(__xludf.DUMMYFUNCTION("IFERROR(GOOGLEFINANCE(A170,""CHANGE""),)"),13.0)</f>
        <v>13</v>
      </c>
      <c r="D170" s="60">
        <f>IFERROR(__xludf.DUMMYFUNCTION("IFERROR(GOOGLEFINANCE(A170,""CHANGEPCT""),)"),0.58)</f>
        <v>0.58</v>
      </c>
      <c r="E170" s="60" t="str">
        <f t="shared" si="1"/>
        <v>0.58%</v>
      </c>
      <c r="F170" s="60">
        <f t="shared" si="2"/>
        <v>0.58</v>
      </c>
      <c r="G170" s="60" t="str">
        <f t="shared" si="3"/>
        <v/>
      </c>
      <c r="H170" s="60">
        <f>IFERROR(__xludf.DUMMYFUNCTION("IFERROR(GOOGLEFINANCE(A170,""PRICE""),)"),2290.5)</f>
        <v>2290.5</v>
      </c>
      <c r="I170" s="61">
        <f>IFERROR(__xludf.DUMMYFUNCTION("IFERROR(GOOGLEFINANCE(A170,""VOLUME""),)"),155264.0)</f>
        <v>155264</v>
      </c>
      <c r="J170" s="60" t="str">
        <f>IFERROR(__xludf.DUMMYFUNCTION("IFERROR(INDEX(SPLIT(A170,"":""),1,2),)"),"BALKRISIND")</f>
        <v>BALKRISIND</v>
      </c>
      <c r="K170" s="60">
        <f t="shared" si="4"/>
        <v>850</v>
      </c>
      <c r="L170" s="60" t="str">
        <f t="shared" si="5"/>
        <v/>
      </c>
      <c r="M170" s="60">
        <f t="shared" si="6"/>
        <v>666</v>
      </c>
      <c r="N170" s="62">
        <f>IFERROR(__xludf.DUMMYFUNCTION("IFERROR(GOOGLEFINANCE(A170,""TRADETIME""),)"),46086.64583333333)</f>
        <v>46086.64583</v>
      </c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68" t="s">
        <v>217</v>
      </c>
      <c r="B171" s="64" t="str">
        <f>IFERROR(__xludf.DUMMYFUNCTION("IFERROR(GOOGLEFINANCE(A171,""NAME""),)"),"")</f>
        <v/>
      </c>
      <c r="C171" s="64" t="str">
        <f>IFERROR(__xludf.DUMMYFUNCTION("IFERROR(GOOGLEFINANCE(A171,""CHANGE""),)"),"")</f>
        <v/>
      </c>
      <c r="D171" s="64" t="str">
        <f>IFERROR(__xludf.DUMMYFUNCTION("IFERROR(GOOGLEFINANCE(A171,""CHANGEPCT""),)"),"")</f>
        <v/>
      </c>
      <c r="E171" s="64" t="str">
        <f t="shared" si="1"/>
        <v>%</v>
      </c>
      <c r="F171" s="64" t="str">
        <f t="shared" si="2"/>
        <v/>
      </c>
      <c r="G171" s="64" t="str">
        <f t="shared" si="3"/>
        <v/>
      </c>
      <c r="H171" s="64" t="str">
        <f>IFERROR(__xludf.DUMMYFUNCTION("IFERROR(GOOGLEFINANCE(A171,""PRICE""),)"),"")</f>
        <v/>
      </c>
      <c r="I171" s="65" t="str">
        <f>IFERROR(__xludf.DUMMYFUNCTION("IFERROR(GOOGLEFINANCE(A171,""VOLUME""),)"),"")</f>
        <v/>
      </c>
      <c r="J171" s="64" t="str">
        <f>IFERROR(__xludf.DUMMYFUNCTION("IFERROR(INDEX(SPLIT(A171,"":""),1,2),)"),"BALLARPUR")</f>
        <v>BALLARPUR</v>
      </c>
      <c r="K171" s="64" t="str">
        <f t="shared" si="4"/>
        <v/>
      </c>
      <c r="L171" s="64" t="str">
        <f t="shared" si="5"/>
        <v/>
      </c>
      <c r="M171" s="64" t="str">
        <f t="shared" si="6"/>
        <v/>
      </c>
      <c r="N171" s="66" t="str">
        <f>IFERROR(__xludf.DUMMYFUNCTION("IFERROR(GOOGLEFINANCE(A171,""TRADETIME""),)"),"")</f>
        <v/>
      </c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67" t="s">
        <v>218</v>
      </c>
      <c r="B172" s="60" t="str">
        <f>IFERROR(__xludf.DUMMYFUNCTION("IFERROR(GOOGLEFINANCE(A172,""NAME""),)"),"Balmer Lawrie and Company Ltd")</f>
        <v>Balmer Lawrie and Company Ltd</v>
      </c>
      <c r="C172" s="60">
        <f>IFERROR(__xludf.DUMMYFUNCTION("IFERROR(GOOGLEFINANCE(A172,""CHANGE""),)"),3.17)</f>
        <v>3.17</v>
      </c>
      <c r="D172" s="60">
        <f>IFERROR(__xludf.DUMMYFUNCTION("IFERROR(GOOGLEFINANCE(A172,""CHANGEPCT""),)"),1.86)</f>
        <v>1.86</v>
      </c>
      <c r="E172" s="60" t="str">
        <f t="shared" si="1"/>
        <v>1.86%</v>
      </c>
      <c r="F172" s="60">
        <f t="shared" si="2"/>
        <v>1.86</v>
      </c>
      <c r="G172" s="60" t="str">
        <f t="shared" si="3"/>
        <v/>
      </c>
      <c r="H172" s="60">
        <f>IFERROR(__xludf.DUMMYFUNCTION("IFERROR(GOOGLEFINANCE(A172,""PRICE""),)"),173.5)</f>
        <v>173.5</v>
      </c>
      <c r="I172" s="61">
        <f>IFERROR(__xludf.DUMMYFUNCTION("IFERROR(GOOGLEFINANCE(A172,""VOLUME""),)"),346529.0)</f>
        <v>346529</v>
      </c>
      <c r="J172" s="60" t="str">
        <f>IFERROR(__xludf.DUMMYFUNCTION("IFERROR(INDEX(SPLIT(A172,"":""),1,2),)"),"BALMLAWRIE")</f>
        <v>BALMLAWRIE</v>
      </c>
      <c r="K172" s="60">
        <f t="shared" si="4"/>
        <v>471</v>
      </c>
      <c r="L172" s="60" t="str">
        <f t="shared" si="5"/>
        <v/>
      </c>
      <c r="M172" s="60">
        <f t="shared" si="6"/>
        <v>480</v>
      </c>
      <c r="N172" s="62">
        <f>IFERROR(__xludf.DUMMYFUNCTION("IFERROR(GOOGLEFINANCE(A172,""TRADETIME""),)"),46086.64583333333)</f>
        <v>46086.64583</v>
      </c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68" t="s">
        <v>219</v>
      </c>
      <c r="B173" s="64" t="str">
        <f>IFERROR(__xludf.DUMMYFUNCTION("IFERROR(GOOGLEFINANCE(A173,""NAME""),)"),"Bal Pharma Ltd")</f>
        <v>Bal Pharma Ltd</v>
      </c>
      <c r="C173" s="64">
        <f>IFERROR(__xludf.DUMMYFUNCTION("IFERROR(GOOGLEFINANCE(A173,""CHANGE""),)"),1.49)</f>
        <v>1.49</v>
      </c>
      <c r="D173" s="64">
        <f>IFERROR(__xludf.DUMMYFUNCTION("IFERROR(GOOGLEFINANCE(A173,""CHANGEPCT""),)"),2.07)</f>
        <v>2.07</v>
      </c>
      <c r="E173" s="64" t="str">
        <f t="shared" si="1"/>
        <v>2.07%</v>
      </c>
      <c r="F173" s="64">
        <f t="shared" si="2"/>
        <v>2.07</v>
      </c>
      <c r="G173" s="64" t="str">
        <f t="shared" si="3"/>
        <v/>
      </c>
      <c r="H173" s="64">
        <f>IFERROR(__xludf.DUMMYFUNCTION("IFERROR(GOOGLEFINANCE(A173,""PRICE""),)"),73.5)</f>
        <v>73.5</v>
      </c>
      <c r="I173" s="65">
        <f>IFERROR(__xludf.DUMMYFUNCTION("IFERROR(GOOGLEFINANCE(A173,""VOLUME""),)"),4455.0)</f>
        <v>4455</v>
      </c>
      <c r="J173" s="64" t="str">
        <f>IFERROR(__xludf.DUMMYFUNCTION("IFERROR(INDEX(SPLIT(A173,"":""),1,2),)"),"BALPHARMA")</f>
        <v>BALPHARMA</v>
      </c>
      <c r="K173" s="64">
        <f t="shared" si="4"/>
        <v>427</v>
      </c>
      <c r="L173" s="64" t="str">
        <f t="shared" si="5"/>
        <v/>
      </c>
      <c r="M173" s="64">
        <f t="shared" si="6"/>
        <v>1362</v>
      </c>
      <c r="N173" s="66">
        <f>IFERROR(__xludf.DUMMYFUNCTION("IFERROR(GOOGLEFINANCE(A173,""TRADETIME""),)"),46086.64583333333)</f>
        <v>46086.64583</v>
      </c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67" t="s">
        <v>220</v>
      </c>
      <c r="B174" s="60" t="str">
        <f>IFERROR(__xludf.DUMMYFUNCTION("IFERROR(GOOGLEFINANCE(A174,""NAME""),)"),"Balrampur Chini Mills Ltd")</f>
        <v>Balrampur Chini Mills Ltd</v>
      </c>
      <c r="C174" s="60">
        <f>IFERROR(__xludf.DUMMYFUNCTION("IFERROR(GOOGLEFINANCE(A174,""CHANGE""),)"),-3.5)</f>
        <v>-3.5</v>
      </c>
      <c r="D174" s="60">
        <f>IFERROR(__xludf.DUMMYFUNCTION("IFERROR(GOOGLEFINANCE(A174,""CHANGEPCT""),)"),0.45)</f>
        <v>0.45</v>
      </c>
      <c r="E174" s="60" t="str">
        <f t="shared" si="1"/>
        <v>0.45%</v>
      </c>
      <c r="F174" s="60">
        <f t="shared" si="2"/>
        <v>0.45</v>
      </c>
      <c r="G174" s="60" t="str">
        <f t="shared" si="3"/>
        <v/>
      </c>
      <c r="H174" s="60">
        <f>IFERROR(__xludf.DUMMYFUNCTION("IFERROR(GOOGLEFINANCE(A174,""PRICE""),)"),488.2)</f>
        <v>488.2</v>
      </c>
      <c r="I174" s="61">
        <f>IFERROR(__xludf.DUMMYFUNCTION("IFERROR(GOOGLEFINANCE(A174,""VOLUME""),)"),1944086.0)</f>
        <v>1944086</v>
      </c>
      <c r="J174" s="60" t="str">
        <f>IFERROR(__xludf.DUMMYFUNCTION("IFERROR(INDEX(SPLIT(A174,"":""),1,2),)"),"BALRAMCHIN")</f>
        <v>BALRAMCHIN</v>
      </c>
      <c r="K174" s="60">
        <f t="shared" si="4"/>
        <v>892</v>
      </c>
      <c r="L174" s="60" t="str">
        <f t="shared" si="5"/>
        <v/>
      </c>
      <c r="M174" s="60">
        <f t="shared" si="6"/>
        <v>209</v>
      </c>
      <c r="N174" s="62">
        <f>IFERROR(__xludf.DUMMYFUNCTION("IFERROR(GOOGLEFINANCE(A174,""TRADETIME""),)"),46086.64583333333)</f>
        <v>46086.64583</v>
      </c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68" t="s">
        <v>221</v>
      </c>
      <c r="B175" s="64" t="str">
        <f>IFERROR(__xludf.DUMMYFUNCTION("IFERROR(GOOGLEFINANCE(A175,""NAME""),)"),"Banaras Beads Ltd")</f>
        <v>Banaras Beads Ltd</v>
      </c>
      <c r="C175" s="64">
        <f>IFERROR(__xludf.DUMMYFUNCTION("IFERROR(GOOGLEFINANCE(A175,""CHANGE""),)"),4.45)</f>
        <v>4.45</v>
      </c>
      <c r="D175" s="64">
        <f>IFERROR(__xludf.DUMMYFUNCTION("IFERROR(GOOGLEFINANCE(A175,""CHANGEPCT""),)"),3.99)</f>
        <v>3.99</v>
      </c>
      <c r="E175" s="64" t="str">
        <f t="shared" si="1"/>
        <v>3.99%</v>
      </c>
      <c r="F175" s="64">
        <f t="shared" si="2"/>
        <v>3.99</v>
      </c>
      <c r="G175" s="64" t="str">
        <f t="shared" si="3"/>
        <v/>
      </c>
      <c r="H175" s="64">
        <f>IFERROR(__xludf.DUMMYFUNCTION("IFERROR(GOOGLEFINANCE(A175,""PRICE""),)"),115.99)</f>
        <v>115.99</v>
      </c>
      <c r="I175" s="65">
        <f>IFERROR(__xludf.DUMMYFUNCTION("IFERROR(GOOGLEFINANCE(A175,""VOLUME""),)"),475.0)</f>
        <v>475</v>
      </c>
      <c r="J175" s="64" t="str">
        <f>IFERROR(__xludf.DUMMYFUNCTION("IFERROR(INDEX(SPLIT(A175,"":""),1,2),)"),"BANARBEADS")</f>
        <v>BANARBEADS</v>
      </c>
      <c r="K175" s="64">
        <f t="shared" si="4"/>
        <v>142</v>
      </c>
      <c r="L175" s="64" t="str">
        <f t="shared" si="5"/>
        <v/>
      </c>
      <c r="M175" s="64">
        <f t="shared" si="6"/>
        <v>1442</v>
      </c>
      <c r="N175" s="66">
        <f>IFERROR(__xludf.DUMMYFUNCTION("IFERROR(GOOGLEFINANCE(A175,""TRADETIME""),)"),46086.64583333333)</f>
        <v>46086.64583</v>
      </c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67" t="s">
        <v>222</v>
      </c>
      <c r="B176" s="60" t="str">
        <f>IFERROR(__xludf.DUMMYFUNCTION("IFERROR(GOOGLEFINANCE(A176,""NAME""),)"),"Bannari Amman Sugars Ltd")</f>
        <v>Bannari Amman Sugars Ltd</v>
      </c>
      <c r="C176" s="60">
        <f>IFERROR(__xludf.DUMMYFUNCTION("IFERROR(GOOGLEFINANCE(A176,""CHANGE""),)"),0.4)</f>
        <v>0.4</v>
      </c>
      <c r="D176" s="60">
        <f>IFERROR(__xludf.DUMMYFUNCTION("IFERROR(GOOGLEFINANCE(A176,""CHANGEPCT""),)"),0.01)</f>
        <v>0.01</v>
      </c>
      <c r="E176" s="60" t="str">
        <f t="shared" si="1"/>
        <v>0.01%</v>
      </c>
      <c r="F176" s="60">
        <f t="shared" si="2"/>
        <v>0.01</v>
      </c>
      <c r="G176" s="60" t="str">
        <f t="shared" si="3"/>
        <v/>
      </c>
      <c r="H176" s="60">
        <f>IFERROR(__xludf.DUMMYFUNCTION("IFERROR(GOOGLEFINANCE(A176,""PRICE""),)"),3600.0)</f>
        <v>3600</v>
      </c>
      <c r="I176" s="61">
        <f>IFERROR(__xludf.DUMMYFUNCTION("IFERROR(GOOGLEFINANCE(A176,""VOLUME""),)"),459.0)</f>
        <v>459</v>
      </c>
      <c r="J176" s="60" t="str">
        <f>IFERROR(__xludf.DUMMYFUNCTION("IFERROR(INDEX(SPLIT(A176,"":""),1,2),)"),"BANARISUG")</f>
        <v>BANARISUG</v>
      </c>
      <c r="K176" s="60">
        <f t="shared" si="4"/>
        <v>1001</v>
      </c>
      <c r="L176" s="60" t="str">
        <f t="shared" si="5"/>
        <v/>
      </c>
      <c r="M176" s="60">
        <f t="shared" si="6"/>
        <v>1444</v>
      </c>
      <c r="N176" s="62">
        <f>IFERROR(__xludf.DUMMYFUNCTION("IFERROR(GOOGLEFINANCE(A176,""TRADETIME""),)"),46086.64583333333)</f>
        <v>46086.64583</v>
      </c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63" t="s">
        <v>223</v>
      </c>
      <c r="B177" s="64" t="str">
        <f>IFERROR(__xludf.DUMMYFUNCTION("IFERROR(GOOGLEFINANCE(A177,""NAME""),)"),"CCL Products (India) Ltd")</f>
        <v>CCL Products (India) Ltd</v>
      </c>
      <c r="C177" s="64">
        <f>IFERROR(__xludf.DUMMYFUNCTION("IFERROR(GOOGLEFINANCE(A177,""CHANGE""),)"),20.8)</f>
        <v>20.8</v>
      </c>
      <c r="D177" s="64">
        <f>IFERROR(__xludf.DUMMYFUNCTION("IFERROR(GOOGLEFINANCE(A177,""CHANGEPCT""),)"),2.06)</f>
        <v>2.06</v>
      </c>
      <c r="E177" s="64" t="str">
        <f t="shared" si="1"/>
        <v>2.06%</v>
      </c>
      <c r="F177" s="64">
        <f t="shared" si="2"/>
        <v>2.06</v>
      </c>
      <c r="G177" s="64" t="str">
        <f t="shared" si="3"/>
        <v/>
      </c>
      <c r="H177" s="64">
        <f>IFERROR(__xludf.DUMMYFUNCTION("IFERROR(GOOGLEFINANCE(A177,""PRICE""),)"),1029.9)</f>
        <v>1029.9</v>
      </c>
      <c r="I177" s="65">
        <f>IFERROR(__xludf.DUMMYFUNCTION("IFERROR(GOOGLEFINANCE(A177,""VOLUME""),)"),110454.0)</f>
        <v>110454</v>
      </c>
      <c r="J177" s="64" t="str">
        <f>IFERROR(__xludf.DUMMYFUNCTION("IFERROR(INDEX(SPLIT(A177,"":""),1,2),)"),"CCL")</f>
        <v>CCL</v>
      </c>
      <c r="K177" s="64">
        <f t="shared" si="4"/>
        <v>429</v>
      </c>
      <c r="L177" s="64" t="str">
        <f t="shared" si="5"/>
        <v/>
      </c>
      <c r="M177" s="64">
        <f t="shared" si="6"/>
        <v>740</v>
      </c>
      <c r="N177" s="66">
        <f>IFERROR(__xludf.DUMMYFUNCTION("IFERROR(GOOGLEFINANCE(A177,""TRADETIME""),)"),46086.64585648148)</f>
        <v>46086.64586</v>
      </c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67" t="s">
        <v>224</v>
      </c>
      <c r="B178" s="60" t="str">
        <f>IFERROR(__xludf.DUMMYFUNCTION("IFERROR(GOOGLEFINANCE(A178,""NAME""),)"),"Bandhan Bank Ltd")</f>
        <v>Bandhan Bank Ltd</v>
      </c>
      <c r="C178" s="60">
        <f>IFERROR(__xludf.DUMMYFUNCTION("IFERROR(GOOGLEFINANCE(A178,""CHANGE""),)"),8.19)</f>
        <v>8.19</v>
      </c>
      <c r="D178" s="60">
        <f>IFERROR(__xludf.DUMMYFUNCTION("IFERROR(GOOGLEFINANCE(A178,""CHANGEPCT""),)"),4.62)</f>
        <v>4.62</v>
      </c>
      <c r="E178" s="60" t="str">
        <f t="shared" si="1"/>
        <v>4.62%</v>
      </c>
      <c r="F178" s="60">
        <f t="shared" si="2"/>
        <v>4.62</v>
      </c>
      <c r="G178" s="60" t="str">
        <f t="shared" si="3"/>
        <v/>
      </c>
      <c r="H178" s="60">
        <f>IFERROR(__xludf.DUMMYFUNCTION("IFERROR(GOOGLEFINANCE(A178,""PRICE""),)"),185.6)</f>
        <v>185.6</v>
      </c>
      <c r="I178" s="61">
        <f>IFERROR(__xludf.DUMMYFUNCTION("IFERROR(GOOGLEFINANCE(A178,""VOLUME""),)"),1.0780734E7)</f>
        <v>10780734</v>
      </c>
      <c r="J178" s="60" t="str">
        <f>IFERROR(__xludf.DUMMYFUNCTION("IFERROR(INDEX(SPLIT(A178,"":""),1,2),)"),"BANDHANBNK")</f>
        <v>BANDHANBNK</v>
      </c>
      <c r="K178" s="60">
        <f t="shared" si="4"/>
        <v>105</v>
      </c>
      <c r="L178" s="60" t="str">
        <f t="shared" si="5"/>
        <v/>
      </c>
      <c r="M178" s="60">
        <f t="shared" si="6"/>
        <v>57</v>
      </c>
      <c r="N178" s="62">
        <f>IFERROR(__xludf.DUMMYFUNCTION("IFERROR(GOOGLEFINANCE(A178,""TRADETIME""),)"),46086.64583333333)</f>
        <v>46086.64583</v>
      </c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68" t="s">
        <v>225</v>
      </c>
      <c r="B179" s="64" t="str">
        <f>IFERROR(__xludf.DUMMYFUNCTION("IFERROR(GOOGLEFINANCE(A179,""NAME""),)"),"Bang Overseas Ltd")</f>
        <v>Bang Overseas Ltd</v>
      </c>
      <c r="C179" s="64">
        <f>IFERROR(__xludf.DUMMYFUNCTION("IFERROR(GOOGLEFINANCE(A179,""CHANGE""),)"),-0.73)</f>
        <v>-0.73</v>
      </c>
      <c r="D179" s="64">
        <f>IFERROR(__xludf.DUMMYFUNCTION("IFERROR(GOOGLEFINANCE(A179,""CHANGEPCT""),)"),-1.91)</f>
        <v>-1.91</v>
      </c>
      <c r="E179" s="64" t="str">
        <f t="shared" si="1"/>
        <v>-1.91%</v>
      </c>
      <c r="F179" s="64" t="str">
        <f t="shared" si="2"/>
        <v/>
      </c>
      <c r="G179" s="64">
        <f t="shared" si="3"/>
        <v>-1.91</v>
      </c>
      <c r="H179" s="64">
        <f>IFERROR(__xludf.DUMMYFUNCTION("IFERROR(GOOGLEFINANCE(A179,""PRICE""),)"),37.56)</f>
        <v>37.56</v>
      </c>
      <c r="I179" s="65">
        <f>IFERROR(__xludf.DUMMYFUNCTION("IFERROR(GOOGLEFINANCE(A179,""VOLUME""),)"),9634.0)</f>
        <v>9634</v>
      </c>
      <c r="J179" s="64" t="str">
        <f>IFERROR(__xludf.DUMMYFUNCTION("IFERROR(INDEX(SPLIT(A179,"":""),1,2),)"),"BANG")</f>
        <v>BANG</v>
      </c>
      <c r="K179" s="64" t="str">
        <f t="shared" si="4"/>
        <v/>
      </c>
      <c r="L179" s="64">
        <f t="shared" si="5"/>
        <v>338</v>
      </c>
      <c r="M179" s="64">
        <f t="shared" si="6"/>
        <v>1267</v>
      </c>
      <c r="N179" s="66">
        <f>IFERROR(__xludf.DUMMYFUNCTION("IFERROR(GOOGLEFINANCE(A179,""TRADETIME""),)"),46086.64583333333)</f>
        <v>46086.64583</v>
      </c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67" t="s">
        <v>226</v>
      </c>
      <c r="B180" s="60" t="str">
        <f>IFERROR(__xludf.DUMMYFUNCTION("IFERROR(GOOGLEFINANCE(A180,""NAME""),)"),"Banka BioLoo Ltd")</f>
        <v>Banka BioLoo Ltd</v>
      </c>
      <c r="C180" s="60">
        <f>IFERROR(__xludf.DUMMYFUNCTION("IFERROR(GOOGLEFINANCE(A180,""CHANGE""),)"),0.04)</f>
        <v>0.04</v>
      </c>
      <c r="D180" s="60">
        <f>IFERROR(__xludf.DUMMYFUNCTION("IFERROR(GOOGLEFINANCE(A180,""CHANGEPCT""),)"),0.07)</f>
        <v>0.07</v>
      </c>
      <c r="E180" s="60" t="str">
        <f t="shared" si="1"/>
        <v>0.07%</v>
      </c>
      <c r="F180" s="60">
        <f t="shared" si="2"/>
        <v>0.07</v>
      </c>
      <c r="G180" s="60" t="str">
        <f t="shared" si="3"/>
        <v/>
      </c>
      <c r="H180" s="60">
        <f>IFERROR(__xludf.DUMMYFUNCTION("IFERROR(GOOGLEFINANCE(A180,""PRICE""),)"),54.58)</f>
        <v>54.58</v>
      </c>
      <c r="I180" s="61">
        <f>IFERROR(__xludf.DUMMYFUNCTION("IFERROR(GOOGLEFINANCE(A180,""VOLUME""),)"),8684.0)</f>
        <v>8684</v>
      </c>
      <c r="J180" s="60" t="str">
        <f>IFERROR(__xludf.DUMMYFUNCTION("IFERROR(INDEX(SPLIT(A180,"":""),1,2),)"),"BANKA")</f>
        <v>BANKA</v>
      </c>
      <c r="K180" s="60">
        <f t="shared" si="4"/>
        <v>982</v>
      </c>
      <c r="L180" s="60" t="str">
        <f t="shared" si="5"/>
        <v/>
      </c>
      <c r="M180" s="60">
        <f t="shared" si="6"/>
        <v>1283</v>
      </c>
      <c r="N180" s="62">
        <f>IFERROR(__xludf.DUMMYFUNCTION("IFERROR(GOOGLEFINANCE(A180,""TRADETIME""),)"),46086.6321875)</f>
        <v>46086.63219</v>
      </c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68" t="s">
        <v>227</v>
      </c>
      <c r="B181" s="64" t="str">
        <f>IFERROR(__xludf.DUMMYFUNCTION("IFERROR(GOOGLEFINANCE(A181,""NAME""),)"),"Bank of Baroda Ltd")</f>
        <v>Bank of Baroda Ltd</v>
      </c>
      <c r="C181" s="64">
        <f>IFERROR(__xludf.DUMMYFUNCTION("IFERROR(GOOGLEFINANCE(A181,""CHANGE""),)"),2.3)</f>
        <v>2.3</v>
      </c>
      <c r="D181" s="64">
        <f>IFERROR(__xludf.DUMMYFUNCTION("IFERROR(GOOGLEFINANCE(A181,""CHANGEPCT""),)"),0.77)</f>
        <v>0.77</v>
      </c>
      <c r="E181" s="64" t="str">
        <f t="shared" si="1"/>
        <v>0.77%</v>
      </c>
      <c r="F181" s="64">
        <f t="shared" si="2"/>
        <v>0.77</v>
      </c>
      <c r="G181" s="64" t="str">
        <f t="shared" si="3"/>
        <v/>
      </c>
      <c r="H181" s="64">
        <f>IFERROR(__xludf.DUMMYFUNCTION("IFERROR(GOOGLEFINANCE(A181,""PRICE""),)"),301.6)</f>
        <v>301.6</v>
      </c>
      <c r="I181" s="65">
        <f>IFERROR(__xludf.DUMMYFUNCTION("IFERROR(GOOGLEFINANCE(A181,""VOLUME""),)"),1.0037965E7)</f>
        <v>10037965</v>
      </c>
      <c r="J181" s="64" t="str">
        <f>IFERROR(__xludf.DUMMYFUNCTION("IFERROR(INDEX(SPLIT(A181,"":""),1,2),)"),"BANKBARODA")</f>
        <v>BANKBARODA</v>
      </c>
      <c r="K181" s="64">
        <f t="shared" si="4"/>
        <v>793</v>
      </c>
      <c r="L181" s="64" t="str">
        <f t="shared" si="5"/>
        <v/>
      </c>
      <c r="M181" s="64">
        <f t="shared" si="6"/>
        <v>62</v>
      </c>
      <c r="N181" s="66">
        <f>IFERROR(__xludf.DUMMYFUNCTION("IFERROR(GOOGLEFINANCE(A181,""TRADETIME""),)"),46086.64583333333)</f>
        <v>46086.64583</v>
      </c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67" t="s">
        <v>228</v>
      </c>
      <c r="B182" s="60" t="str">
        <f>IFERROR(__xludf.DUMMYFUNCTION("IFERROR(GOOGLEFINANCE(A182,""NAME""),)"),"Bank of India Ltd")</f>
        <v>Bank of India Ltd</v>
      </c>
      <c r="C182" s="60">
        <f>IFERROR(__xludf.DUMMYFUNCTION("IFERROR(GOOGLEFINANCE(A182,""CHANGE""),)"),0.91)</f>
        <v>0.91</v>
      </c>
      <c r="D182" s="60">
        <f>IFERROR(__xludf.DUMMYFUNCTION("IFERROR(GOOGLEFINANCE(A182,""CHANGEPCT""),)"),0.56)</f>
        <v>0.56</v>
      </c>
      <c r="E182" s="60" t="str">
        <f t="shared" si="1"/>
        <v>0.56%</v>
      </c>
      <c r="F182" s="60">
        <f t="shared" si="2"/>
        <v>0.56</v>
      </c>
      <c r="G182" s="60" t="str">
        <f t="shared" si="3"/>
        <v/>
      </c>
      <c r="H182" s="60">
        <f>IFERROR(__xludf.DUMMYFUNCTION("IFERROR(GOOGLEFINANCE(A182,""PRICE""),)"),164.3)</f>
        <v>164.3</v>
      </c>
      <c r="I182" s="61">
        <f>IFERROR(__xludf.DUMMYFUNCTION("IFERROR(GOOGLEFINANCE(A182,""VOLUME""),)"),1.1179878E7)</f>
        <v>11179878</v>
      </c>
      <c r="J182" s="60" t="str">
        <f>IFERROR(__xludf.DUMMYFUNCTION("IFERROR(INDEX(SPLIT(A182,"":""),1,2),)"),"BANKINDIA")</f>
        <v>BANKINDIA</v>
      </c>
      <c r="K182" s="60">
        <f t="shared" si="4"/>
        <v>857</v>
      </c>
      <c r="L182" s="60" t="str">
        <f t="shared" si="5"/>
        <v/>
      </c>
      <c r="M182" s="60">
        <f t="shared" si="6"/>
        <v>55</v>
      </c>
      <c r="N182" s="62">
        <f>IFERROR(__xludf.DUMMYFUNCTION("IFERROR(GOOGLEFINANCE(A182,""TRADETIME""),)"),46086.642488425925)</f>
        <v>46086.64249</v>
      </c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68" t="s">
        <v>229</v>
      </c>
      <c r="B183" s="64" t="str">
        <f>IFERROR(__xludf.DUMMYFUNCTION("IFERROR(GOOGLEFINANCE(A183,""NAME""),)"),"Banswara Syntex Ltd")</f>
        <v>Banswara Syntex Ltd</v>
      </c>
      <c r="C183" s="64">
        <f>IFERROR(__xludf.DUMMYFUNCTION("IFERROR(GOOGLEFINANCE(A183,""CHANGE""),)"),-0.48)</f>
        <v>-0.48</v>
      </c>
      <c r="D183" s="64">
        <f>IFERROR(__xludf.DUMMYFUNCTION("IFERROR(GOOGLEFINANCE(A183,""CHANGEPCT""),)"),0.93)</f>
        <v>0.93</v>
      </c>
      <c r="E183" s="64" t="str">
        <f t="shared" si="1"/>
        <v>0.93%</v>
      </c>
      <c r="F183" s="64">
        <f t="shared" si="2"/>
        <v>0.93</v>
      </c>
      <c r="G183" s="64" t="str">
        <f t="shared" si="3"/>
        <v/>
      </c>
      <c r="H183" s="64">
        <f>IFERROR(__xludf.DUMMYFUNCTION("IFERROR(GOOGLEFINANCE(A183,""PRICE""),)"),108.56)</f>
        <v>108.56</v>
      </c>
      <c r="I183" s="65">
        <f>IFERROR(__xludf.DUMMYFUNCTION("IFERROR(GOOGLEFINANCE(A183,""VOLUME""),)"),45924.0)</f>
        <v>45924</v>
      </c>
      <c r="J183" s="64" t="str">
        <f>IFERROR(__xludf.DUMMYFUNCTION("IFERROR(INDEX(SPLIT(A183,"":""),1,2),)"),"BANSWRAS")</f>
        <v>BANSWRAS</v>
      </c>
      <c r="K183" s="64">
        <f t="shared" si="4"/>
        <v>744</v>
      </c>
      <c r="L183" s="64" t="str">
        <f t="shared" si="5"/>
        <v/>
      </c>
      <c r="M183" s="64">
        <f t="shared" si="6"/>
        <v>962</v>
      </c>
      <c r="N183" s="66">
        <f>IFERROR(__xludf.DUMMYFUNCTION("IFERROR(GOOGLEFINANCE(A183,""TRADETIME""),)"),46086.64060185185)</f>
        <v>46086.6406</v>
      </c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67" t="s">
        <v>230</v>
      </c>
      <c r="B184" s="60" t="str">
        <f>IFERROR(__xludf.DUMMYFUNCTION("IFERROR(GOOGLEFINANCE(A184,""NAME""),)"),"AVIO Smart Market Stack Ltd")</f>
        <v>AVIO Smart Market Stack Ltd</v>
      </c>
      <c r="C184" s="60">
        <f>IFERROR(__xludf.DUMMYFUNCTION("IFERROR(GOOGLEFINANCE(A184,""CHANGE""),)"),-0.17)</f>
        <v>-0.17</v>
      </c>
      <c r="D184" s="60">
        <f>IFERROR(__xludf.DUMMYFUNCTION("IFERROR(GOOGLEFINANCE(A184,""CHANGEPCT""),)"),-1.87)</f>
        <v>-1.87</v>
      </c>
      <c r="E184" s="60" t="str">
        <f t="shared" si="1"/>
        <v>-1.87%</v>
      </c>
      <c r="F184" s="60" t="str">
        <f t="shared" si="2"/>
        <v/>
      </c>
      <c r="G184" s="60">
        <f t="shared" si="3"/>
        <v>-1.87</v>
      </c>
      <c r="H184" s="60">
        <f>IFERROR(__xludf.DUMMYFUNCTION("IFERROR(GOOGLEFINANCE(A184,""PRICE""),)"),8.94)</f>
        <v>8.94</v>
      </c>
      <c r="I184" s="61">
        <f>IFERROR(__xludf.DUMMYFUNCTION("IFERROR(GOOGLEFINANCE(A184,""VOLUME""),)"),6064033.0)</f>
        <v>6064033</v>
      </c>
      <c r="J184" s="60" t="str">
        <f>IFERROR(__xludf.DUMMYFUNCTION("IFERROR(INDEX(SPLIT(A184,"":""),1,2),)"),"ASMS")</f>
        <v>ASMS</v>
      </c>
      <c r="K184" s="60" t="str">
        <f t="shared" si="4"/>
        <v/>
      </c>
      <c r="L184" s="60">
        <f t="shared" si="5"/>
        <v>331</v>
      </c>
      <c r="M184" s="60">
        <f t="shared" si="6"/>
        <v>92</v>
      </c>
      <c r="N184" s="62">
        <f>IFERROR(__xludf.DUMMYFUNCTION("IFERROR(GOOGLEFINANCE(A184,""TRADETIME""),)"),46086.64583333333)</f>
        <v>46086.64583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68" t="s">
        <v>231</v>
      </c>
      <c r="B185" s="64" t="str">
        <f>IFERROR(__xludf.DUMMYFUNCTION("IFERROR(GOOGLEFINANCE(A185,""NAME""),)"),"BASF India Ltd")</f>
        <v>BASF India Ltd</v>
      </c>
      <c r="C185" s="64">
        <f>IFERROR(__xludf.DUMMYFUNCTION("IFERROR(GOOGLEFINANCE(A185,""CHANGE""),)"),-36.8)</f>
        <v>-36.8</v>
      </c>
      <c r="D185" s="64">
        <f>IFERROR(__xludf.DUMMYFUNCTION("IFERROR(GOOGLEFINANCE(A185,""CHANGEPCT""),)"),-1.05)</f>
        <v>-1.05</v>
      </c>
      <c r="E185" s="64" t="str">
        <f t="shared" si="1"/>
        <v>-1.05%</v>
      </c>
      <c r="F185" s="64" t="str">
        <f t="shared" si="2"/>
        <v/>
      </c>
      <c r="G185" s="64">
        <f t="shared" si="3"/>
        <v>-1.05</v>
      </c>
      <c r="H185" s="64">
        <f>IFERROR(__xludf.DUMMYFUNCTION("IFERROR(GOOGLEFINANCE(A185,""PRICE""),)"),3455.0)</f>
        <v>3455</v>
      </c>
      <c r="I185" s="65">
        <f>IFERROR(__xludf.DUMMYFUNCTION("IFERROR(GOOGLEFINANCE(A185,""VOLUME""),)"),13393.0)</f>
        <v>13393</v>
      </c>
      <c r="J185" s="64" t="str">
        <f>IFERROR(__xludf.DUMMYFUNCTION("IFERROR(INDEX(SPLIT(A185,"":""),1,2),)"),"BASF")</f>
        <v>BASF</v>
      </c>
      <c r="K185" s="64" t="str">
        <f t="shared" si="4"/>
        <v/>
      </c>
      <c r="L185" s="64">
        <f t="shared" si="5"/>
        <v>222</v>
      </c>
      <c r="M185" s="64">
        <f t="shared" si="6"/>
        <v>1209</v>
      </c>
      <c r="N185" s="66">
        <f>IFERROR(__xludf.DUMMYFUNCTION("IFERROR(GOOGLEFINANCE(A185,""TRADETIME""),)"),46086.64583333333)</f>
        <v>46086.64583</v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67" t="s">
        <v>232</v>
      </c>
      <c r="B186" s="60" t="str">
        <f>IFERROR(__xludf.DUMMYFUNCTION("IFERROR(GOOGLEFINANCE(A186,""NAME""),)"),"Bannari Amman Spinning Mills Ltd")</f>
        <v>Bannari Amman Spinning Mills Ltd</v>
      </c>
      <c r="C186" s="60">
        <f>IFERROR(__xludf.DUMMYFUNCTION("IFERROR(GOOGLEFINANCE(A186,""CHANGE""),)"),0.31)</f>
        <v>0.31</v>
      </c>
      <c r="D186" s="60">
        <f>IFERROR(__xludf.DUMMYFUNCTION("IFERROR(GOOGLEFINANCE(A186,""CHANGEPCT""),)"),1.48)</f>
        <v>1.48</v>
      </c>
      <c r="E186" s="60" t="str">
        <f t="shared" si="1"/>
        <v>1.48%</v>
      </c>
      <c r="F186" s="60">
        <f t="shared" si="2"/>
        <v>1.48</v>
      </c>
      <c r="G186" s="60" t="str">
        <f t="shared" si="3"/>
        <v/>
      </c>
      <c r="H186" s="60">
        <f>IFERROR(__xludf.DUMMYFUNCTION("IFERROR(GOOGLEFINANCE(A186,""PRICE""),)"),21.24)</f>
        <v>21.24</v>
      </c>
      <c r="I186" s="61">
        <f>IFERROR(__xludf.DUMMYFUNCTION("IFERROR(GOOGLEFINANCE(A186,""VOLUME""),)"),160763.0)</f>
        <v>160763</v>
      </c>
      <c r="J186" s="60" t="str">
        <f>IFERROR(__xludf.DUMMYFUNCTION("IFERROR(INDEX(SPLIT(A186,"":""),1,2),)"),"BASML")</f>
        <v>BASML</v>
      </c>
      <c r="K186" s="60">
        <f t="shared" si="4"/>
        <v>577</v>
      </c>
      <c r="L186" s="60" t="str">
        <f t="shared" si="5"/>
        <v/>
      </c>
      <c r="M186" s="60">
        <f t="shared" si="6"/>
        <v>656</v>
      </c>
      <c r="N186" s="62">
        <f>IFERROR(__xludf.DUMMYFUNCTION("IFERROR(GOOGLEFINANCE(A186,""TRADETIME""),)"),46086.64583333333)</f>
        <v>46086.64583</v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68" t="s">
        <v>233</v>
      </c>
      <c r="B187" s="64" t="str">
        <f>IFERROR(__xludf.DUMMYFUNCTION("IFERROR(GOOGLEFINANCE(A187,""NAME""),)"),"Bata India Ltd")</f>
        <v>Bata India Ltd</v>
      </c>
      <c r="C187" s="64">
        <f>IFERROR(__xludf.DUMMYFUNCTION("IFERROR(GOOGLEFINANCE(A187,""CHANGE""),)"),11.5)</f>
        <v>11.5</v>
      </c>
      <c r="D187" s="64">
        <f>IFERROR(__xludf.DUMMYFUNCTION("IFERROR(GOOGLEFINANCE(A187,""CHANGEPCT""),)"),1.57)</f>
        <v>1.57</v>
      </c>
      <c r="E187" s="64" t="str">
        <f t="shared" si="1"/>
        <v>1.57%</v>
      </c>
      <c r="F187" s="64">
        <f t="shared" si="2"/>
        <v>1.57</v>
      </c>
      <c r="G187" s="64" t="str">
        <f t="shared" si="3"/>
        <v/>
      </c>
      <c r="H187" s="64">
        <f>IFERROR(__xludf.DUMMYFUNCTION("IFERROR(GOOGLEFINANCE(A187,""PRICE""),)"),744.0)</f>
        <v>744</v>
      </c>
      <c r="I187" s="65">
        <f>IFERROR(__xludf.DUMMYFUNCTION("IFERROR(GOOGLEFINANCE(A187,""VOLUME""),)"),149390.0)</f>
        <v>149390</v>
      </c>
      <c r="J187" s="64" t="str">
        <f>IFERROR(__xludf.DUMMYFUNCTION("IFERROR(INDEX(SPLIT(A187,"":""),1,2),)"),"BATAINDIA")</f>
        <v>BATAINDIA</v>
      </c>
      <c r="K187" s="64">
        <f t="shared" si="4"/>
        <v>545</v>
      </c>
      <c r="L187" s="64" t="str">
        <f t="shared" si="5"/>
        <v/>
      </c>
      <c r="M187" s="64">
        <f t="shared" si="6"/>
        <v>675</v>
      </c>
      <c r="N187" s="66">
        <f>IFERROR(__xludf.DUMMYFUNCTION("IFERROR(GOOGLEFINANCE(A187,""TRADETIME""),)"),46086.64583333333)</f>
        <v>46086.64583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67" t="s">
        <v>234</v>
      </c>
      <c r="B188" s="60" t="str">
        <f>IFERROR(__xludf.DUMMYFUNCTION("IFERROR(GOOGLEFINANCE(A188,""NAME""),)"),"Bayer CropScience Ltd")</f>
        <v>Bayer CropScience Ltd</v>
      </c>
      <c r="C188" s="60">
        <f>IFERROR(__xludf.DUMMYFUNCTION("IFERROR(GOOGLEFINANCE(A188,""CHANGE""),)"),-53.7)</f>
        <v>-53.7</v>
      </c>
      <c r="D188" s="60">
        <f>IFERROR(__xludf.DUMMYFUNCTION("IFERROR(GOOGLEFINANCE(A188,""CHANGEPCT""),)"),-1.18)</f>
        <v>-1.18</v>
      </c>
      <c r="E188" s="60" t="str">
        <f t="shared" si="1"/>
        <v>-1.18%</v>
      </c>
      <c r="F188" s="60" t="str">
        <f t="shared" si="2"/>
        <v/>
      </c>
      <c r="G188" s="60">
        <f t="shared" si="3"/>
        <v>-1.18</v>
      </c>
      <c r="H188" s="60">
        <f>IFERROR(__xludf.DUMMYFUNCTION("IFERROR(GOOGLEFINANCE(A188,""PRICE""),)"),4499.0)</f>
        <v>4499</v>
      </c>
      <c r="I188" s="61">
        <f>IFERROR(__xludf.DUMMYFUNCTION("IFERROR(GOOGLEFINANCE(A188,""VOLUME""),)"),15760.0)</f>
        <v>15760</v>
      </c>
      <c r="J188" s="60" t="str">
        <f>IFERROR(__xludf.DUMMYFUNCTION("IFERROR(INDEX(SPLIT(A188,"":""),1,2),)"),"BAYERCROP")</f>
        <v>BAYERCROP</v>
      </c>
      <c r="K188" s="60" t="str">
        <f t="shared" si="4"/>
        <v/>
      </c>
      <c r="L188" s="60">
        <f t="shared" si="5"/>
        <v>241</v>
      </c>
      <c r="M188" s="60">
        <f t="shared" si="6"/>
        <v>1189</v>
      </c>
      <c r="N188" s="62">
        <f>IFERROR(__xludf.DUMMYFUNCTION("IFERROR(GOOGLEFINANCE(A188,""TRADETIME""),)"),46086.64583333333)</f>
        <v>46086.64583</v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68" t="s">
        <v>235</v>
      </c>
      <c r="B189" s="64" t="str">
        <f>IFERROR(__xludf.DUMMYFUNCTION("IFERROR(GOOGLEFINANCE(A189,""NAME""),)"),"Bharat Bijlee Ltd")</f>
        <v>Bharat Bijlee Ltd</v>
      </c>
      <c r="C189" s="64">
        <f>IFERROR(__xludf.DUMMYFUNCTION("IFERROR(GOOGLEFINANCE(A189,""CHANGE""),)"),-28.7)</f>
        <v>-28.7</v>
      </c>
      <c r="D189" s="64">
        <f>IFERROR(__xludf.DUMMYFUNCTION("IFERROR(GOOGLEFINANCE(A189,""CHANGEPCT""),)"),-1.23)</f>
        <v>-1.23</v>
      </c>
      <c r="E189" s="64" t="str">
        <f t="shared" si="1"/>
        <v>-1.23%</v>
      </c>
      <c r="F189" s="64" t="str">
        <f t="shared" si="2"/>
        <v/>
      </c>
      <c r="G189" s="64">
        <f t="shared" si="3"/>
        <v>-1.23</v>
      </c>
      <c r="H189" s="64">
        <f>IFERROR(__xludf.DUMMYFUNCTION("IFERROR(GOOGLEFINANCE(A189,""PRICE""),)"),2295.2)</f>
        <v>2295.2</v>
      </c>
      <c r="I189" s="65">
        <f>IFERROR(__xludf.DUMMYFUNCTION("IFERROR(GOOGLEFINANCE(A189,""VOLUME""),)"),55695.0)</f>
        <v>55695</v>
      </c>
      <c r="J189" s="64" t="str">
        <f>IFERROR(__xludf.DUMMYFUNCTION("IFERROR(INDEX(SPLIT(A189,"":""),1,2),)"),"BBL")</f>
        <v>BBL</v>
      </c>
      <c r="K189" s="64" t="str">
        <f t="shared" si="4"/>
        <v/>
      </c>
      <c r="L189" s="64">
        <f t="shared" si="5"/>
        <v>256</v>
      </c>
      <c r="M189" s="64">
        <f t="shared" si="6"/>
        <v>901</v>
      </c>
      <c r="N189" s="66">
        <f>IFERROR(__xludf.DUMMYFUNCTION("IFERROR(GOOGLEFINANCE(A189,""TRADETIME""),)"),46086.64583333333)</f>
        <v>46086.64583</v>
      </c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67" t="s">
        <v>236</v>
      </c>
      <c r="B190" s="60" t="str">
        <f>IFERROR(__xludf.DUMMYFUNCTION("IFERROR(GOOGLEFINANCE(A190,""NAME""),)"),"Bombay Burmah Trading Corporation, Ltd")</f>
        <v>Bombay Burmah Trading Corporation, Ltd</v>
      </c>
      <c r="C190" s="60">
        <f>IFERROR(__xludf.DUMMYFUNCTION("IFERROR(GOOGLEFINANCE(A190,""CHANGE""),)"),54.4)</f>
        <v>54.4</v>
      </c>
      <c r="D190" s="60">
        <f>IFERROR(__xludf.DUMMYFUNCTION("IFERROR(GOOGLEFINANCE(A190,""CHANGEPCT""),)"),3.47)</f>
        <v>3.47</v>
      </c>
      <c r="E190" s="60" t="str">
        <f t="shared" si="1"/>
        <v>3.47%</v>
      </c>
      <c r="F190" s="60">
        <f t="shared" si="2"/>
        <v>3.47</v>
      </c>
      <c r="G190" s="60" t="str">
        <f t="shared" si="3"/>
        <v/>
      </c>
      <c r="H190" s="60">
        <f>IFERROR(__xludf.DUMMYFUNCTION("IFERROR(GOOGLEFINANCE(A190,""PRICE""),)"),1624.0)</f>
        <v>1624</v>
      </c>
      <c r="I190" s="61">
        <f>IFERROR(__xludf.DUMMYFUNCTION("IFERROR(GOOGLEFINANCE(A190,""VOLUME""),)"),96074.0)</f>
        <v>96074</v>
      </c>
      <c r="J190" s="60" t="str">
        <f>IFERROR(__xludf.DUMMYFUNCTION("IFERROR(INDEX(SPLIT(A190,"":""),1,2),)"),"BBTC")</f>
        <v>BBTC</v>
      </c>
      <c r="K190" s="60">
        <f t="shared" si="4"/>
        <v>194</v>
      </c>
      <c r="L190" s="60" t="str">
        <f t="shared" si="5"/>
        <v/>
      </c>
      <c r="M190" s="60">
        <f t="shared" si="6"/>
        <v>764</v>
      </c>
      <c r="N190" s="62">
        <f>IFERROR(__xludf.DUMMYFUNCTION("IFERROR(GOOGLEFINANCE(A190,""TRADETIME""),)"),46086.64583333333)</f>
        <v>46086.64583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68" t="s">
        <v>237</v>
      </c>
      <c r="B191" s="64" t="str">
        <f>IFERROR(__xludf.DUMMYFUNCTION("IFERROR(GOOGLEFINANCE(A191,""NAME""),)"),"Brightcom Group Ltd")</f>
        <v>Brightcom Group Ltd</v>
      </c>
      <c r="C191" s="64">
        <f>IFERROR(__xludf.DUMMYFUNCTION("IFERROR(GOOGLEFINANCE(A191,""CHANGE""),)"),0.18)</f>
        <v>0.18</v>
      </c>
      <c r="D191" s="64">
        <f>IFERROR(__xludf.DUMMYFUNCTION("IFERROR(GOOGLEFINANCE(A191,""CHANGEPCT""),)"),1.86)</f>
        <v>1.86</v>
      </c>
      <c r="E191" s="64" t="str">
        <f t="shared" si="1"/>
        <v>1.86%</v>
      </c>
      <c r="F191" s="64">
        <f t="shared" si="2"/>
        <v>1.86</v>
      </c>
      <c r="G191" s="64" t="str">
        <f t="shared" si="3"/>
        <v/>
      </c>
      <c r="H191" s="64">
        <f>IFERROR(__xludf.DUMMYFUNCTION("IFERROR(GOOGLEFINANCE(A191,""PRICE""),)"),9.87)</f>
        <v>9.87</v>
      </c>
      <c r="I191" s="65">
        <f>IFERROR(__xludf.DUMMYFUNCTION("IFERROR(GOOGLEFINANCE(A191,""VOLUME""),)"),4239924.0)</f>
        <v>4239924</v>
      </c>
      <c r="J191" s="64" t="str">
        <f>IFERROR(__xludf.DUMMYFUNCTION("IFERROR(INDEX(SPLIT(A191,"":""),1,2),)"),"BCG")</f>
        <v>BCG</v>
      </c>
      <c r="K191" s="64">
        <f t="shared" si="4"/>
        <v>472</v>
      </c>
      <c r="L191" s="64" t="str">
        <f t="shared" si="5"/>
        <v/>
      </c>
      <c r="M191" s="64">
        <f t="shared" si="6"/>
        <v>122</v>
      </c>
      <c r="N191" s="66">
        <f>IFERROR(__xludf.DUMMYFUNCTION("IFERROR(GOOGLEFINANCE(A191,""TRADETIME""),)"),46086.64583333333)</f>
        <v>46086.64583</v>
      </c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67" t="s">
        <v>238</v>
      </c>
      <c r="B192" s="60" t="str">
        <f>IFERROR(__xludf.DUMMYFUNCTION("IFERROR(GOOGLEFINANCE(A192,""NAME""),)"),"")</f>
        <v/>
      </c>
      <c r="C192" s="60" t="str">
        <f>IFERROR(__xludf.DUMMYFUNCTION("IFERROR(GOOGLEFINANCE(A192,""CHANGE""),)"),"")</f>
        <v/>
      </c>
      <c r="D192" s="60" t="str">
        <f>IFERROR(__xludf.DUMMYFUNCTION("IFERROR(GOOGLEFINANCE(A192,""CHANGEPCT""),)"),"")</f>
        <v/>
      </c>
      <c r="E192" s="60" t="str">
        <f t="shared" si="1"/>
        <v>%</v>
      </c>
      <c r="F192" s="60" t="str">
        <f t="shared" si="2"/>
        <v/>
      </c>
      <c r="G192" s="60" t="str">
        <f t="shared" si="3"/>
        <v/>
      </c>
      <c r="H192" s="60" t="str">
        <f>IFERROR(__xludf.DUMMYFUNCTION("IFERROR(GOOGLEFINANCE(A192,""PRICE""),)"),"")</f>
        <v/>
      </c>
      <c r="I192" s="61" t="str">
        <f>IFERROR(__xludf.DUMMYFUNCTION("IFERROR(GOOGLEFINANCE(A192,""VOLUME""),)"),"")</f>
        <v/>
      </c>
      <c r="J192" s="60" t="str">
        <f>IFERROR(__xludf.DUMMYFUNCTION("IFERROR(INDEX(SPLIT(A192,"":""),1,2),)"),"BCP")</f>
        <v>BCP</v>
      </c>
      <c r="K192" s="60" t="str">
        <f t="shared" si="4"/>
        <v/>
      </c>
      <c r="L192" s="60" t="str">
        <f t="shared" si="5"/>
        <v/>
      </c>
      <c r="M192" s="60" t="str">
        <f t="shared" si="6"/>
        <v/>
      </c>
      <c r="N192" s="62" t="str">
        <f>IFERROR(__xludf.DUMMYFUNCTION("IFERROR(GOOGLEFINANCE(A192,""TRADETIME""),)"),"")</f>
        <v/>
      </c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68" t="s">
        <v>239</v>
      </c>
      <c r="B193" s="64" t="str">
        <f>IFERROR(__xludf.DUMMYFUNCTION("IFERROR(GOOGLEFINANCE(A193,""NAME""),)"),"Bharat Dynamics Ltd")</f>
        <v>Bharat Dynamics Ltd</v>
      </c>
      <c r="C193" s="64">
        <f>IFERROR(__xludf.DUMMYFUNCTION("IFERROR(GOOGLEFINANCE(A193,""CHANGE""),)"),11.7)</f>
        <v>11.7</v>
      </c>
      <c r="D193" s="64">
        <f>IFERROR(__xludf.DUMMYFUNCTION("IFERROR(GOOGLEFINANCE(A193,""CHANGEPCT""),)"),0.81)</f>
        <v>0.81</v>
      </c>
      <c r="E193" s="64" t="str">
        <f t="shared" si="1"/>
        <v>0.81%</v>
      </c>
      <c r="F193" s="64">
        <f t="shared" si="2"/>
        <v>0.81</v>
      </c>
      <c r="G193" s="64" t="str">
        <f t="shared" si="3"/>
        <v/>
      </c>
      <c r="H193" s="64">
        <f>IFERROR(__xludf.DUMMYFUNCTION("IFERROR(GOOGLEFINANCE(A193,""PRICE""),)"),1281.0)</f>
        <v>1281</v>
      </c>
      <c r="I193" s="65">
        <f>IFERROR(__xludf.DUMMYFUNCTION("IFERROR(GOOGLEFINANCE(A193,""VOLUME""),)"),1906699.0)</f>
        <v>1906699</v>
      </c>
      <c r="J193" s="64" t="str">
        <f>IFERROR(__xludf.DUMMYFUNCTION("IFERROR(INDEX(SPLIT(A193,"":""),1,2),)"),"BDL")</f>
        <v>BDL</v>
      </c>
      <c r="K193" s="64">
        <f t="shared" si="4"/>
        <v>777</v>
      </c>
      <c r="L193" s="64" t="str">
        <f t="shared" si="5"/>
        <v/>
      </c>
      <c r="M193" s="64">
        <f t="shared" si="6"/>
        <v>212</v>
      </c>
      <c r="N193" s="66">
        <f>IFERROR(__xludf.DUMMYFUNCTION("IFERROR(GOOGLEFINANCE(A193,""TRADETIME""),)"),46086.64583333333)</f>
        <v>46086.64583</v>
      </c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67" t="s">
        <v>240</v>
      </c>
      <c r="B194" s="60" t="str">
        <f>IFERROR(__xludf.DUMMYFUNCTION("IFERROR(GOOGLEFINANCE(A194,""NAME""),)"),"Beardsell Ltd")</f>
        <v>Beardsell Ltd</v>
      </c>
      <c r="C194" s="60">
        <f>IFERROR(__xludf.DUMMYFUNCTION("IFERROR(GOOGLEFINANCE(A194,""CHANGE""),)"),-0.02)</f>
        <v>-0.02</v>
      </c>
      <c r="D194" s="60">
        <f>IFERROR(__xludf.DUMMYFUNCTION("IFERROR(GOOGLEFINANCE(A194,""CHANGEPCT""),)"),-0.08)</f>
        <v>-0.08</v>
      </c>
      <c r="E194" s="60" t="str">
        <f t="shared" si="1"/>
        <v>-0.08%</v>
      </c>
      <c r="F194" s="60" t="str">
        <f t="shared" si="2"/>
        <v/>
      </c>
      <c r="G194" s="60">
        <f t="shared" si="3"/>
        <v>-0.08</v>
      </c>
      <c r="H194" s="60">
        <f>IFERROR(__xludf.DUMMYFUNCTION("IFERROR(GOOGLEFINANCE(A194,""PRICE""),)"),24.74)</f>
        <v>24.74</v>
      </c>
      <c r="I194" s="61">
        <f>IFERROR(__xludf.DUMMYFUNCTION("IFERROR(GOOGLEFINANCE(A194,""VOLUME""),)"),14727.0)</f>
        <v>14727</v>
      </c>
      <c r="J194" s="60" t="str">
        <f>IFERROR(__xludf.DUMMYFUNCTION("IFERROR(INDEX(SPLIT(A194,"":""),1,2),)"),"BEARDSELL")</f>
        <v>BEARDSELL</v>
      </c>
      <c r="K194" s="60" t="str">
        <f t="shared" si="4"/>
        <v/>
      </c>
      <c r="L194" s="60">
        <f t="shared" si="5"/>
        <v>22</v>
      </c>
      <c r="M194" s="60">
        <f t="shared" si="6"/>
        <v>1198</v>
      </c>
      <c r="N194" s="62">
        <f>IFERROR(__xludf.DUMMYFUNCTION("IFERROR(GOOGLEFINANCE(A194,""TRADETIME""),)"),46086.64583333333)</f>
        <v>46086.64583</v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68" t="s">
        <v>241</v>
      </c>
      <c r="B195" s="64" t="str">
        <f>IFERROR(__xludf.DUMMYFUNCTION("IFERROR(GOOGLEFINANCE(A195,""NAME""),)"),"Mrs. Bectors Food Specialities Ltd")</f>
        <v>Mrs. Bectors Food Specialities Ltd</v>
      </c>
      <c r="C195" s="64">
        <f>IFERROR(__xludf.DUMMYFUNCTION("IFERROR(GOOGLEFINANCE(A195,""CHANGE""),)"),2.95)</f>
        <v>2.95</v>
      </c>
      <c r="D195" s="64">
        <f>IFERROR(__xludf.DUMMYFUNCTION("IFERROR(GOOGLEFINANCE(A195,""CHANGEPCT""),)"),1.53)</f>
        <v>1.53</v>
      </c>
      <c r="E195" s="64" t="str">
        <f t="shared" si="1"/>
        <v>1.53%</v>
      </c>
      <c r="F195" s="64">
        <f t="shared" si="2"/>
        <v>1.53</v>
      </c>
      <c r="G195" s="64" t="str">
        <f t="shared" si="3"/>
        <v/>
      </c>
      <c r="H195" s="64">
        <f>IFERROR(__xludf.DUMMYFUNCTION("IFERROR(GOOGLEFINANCE(A195,""PRICE""),)"),196.0)</f>
        <v>196</v>
      </c>
      <c r="I195" s="65">
        <f>IFERROR(__xludf.DUMMYFUNCTION("IFERROR(GOOGLEFINANCE(A195,""VOLUME""),)"),299869.0)</f>
        <v>299869</v>
      </c>
      <c r="J195" s="64" t="str">
        <f>IFERROR(__xludf.DUMMYFUNCTION("IFERROR(INDEX(SPLIT(A195,"":""),1,2),)"),"BECTORFOOD")</f>
        <v>BECTORFOOD</v>
      </c>
      <c r="K195" s="64">
        <f t="shared" si="4"/>
        <v>557</v>
      </c>
      <c r="L195" s="64" t="str">
        <f t="shared" si="5"/>
        <v/>
      </c>
      <c r="M195" s="64">
        <f t="shared" si="6"/>
        <v>508</v>
      </c>
      <c r="N195" s="66">
        <f>IFERROR(__xludf.DUMMYFUNCTION("IFERROR(GOOGLEFINANCE(A195,""TRADETIME""),)"),46086.64583333333)</f>
        <v>46086.64583</v>
      </c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67" t="s">
        <v>242</v>
      </c>
      <c r="B196" s="60" t="str">
        <f>IFERROR(__xludf.DUMMYFUNCTION("IFERROR(GOOGLEFINANCE(A196,""NAME""),)"),"Bedmutha Industries Ltd")</f>
        <v>Bedmutha Industries Ltd</v>
      </c>
      <c r="C196" s="60">
        <f>IFERROR(__xludf.DUMMYFUNCTION("IFERROR(GOOGLEFINANCE(A196,""CHANGE""),)"),-3.6)</f>
        <v>-3.6</v>
      </c>
      <c r="D196" s="60">
        <f>IFERROR(__xludf.DUMMYFUNCTION("IFERROR(GOOGLEFINANCE(A196,""CHANGEPCT""),)"),-2.69)</f>
        <v>-2.69</v>
      </c>
      <c r="E196" s="60" t="str">
        <f t="shared" si="1"/>
        <v>-2.69%</v>
      </c>
      <c r="F196" s="60" t="str">
        <f t="shared" si="2"/>
        <v/>
      </c>
      <c r="G196" s="60">
        <f t="shared" si="3"/>
        <v>-2.69</v>
      </c>
      <c r="H196" s="60">
        <f>IFERROR(__xludf.DUMMYFUNCTION("IFERROR(GOOGLEFINANCE(A196,""PRICE""),)"),130.2)</f>
        <v>130.2</v>
      </c>
      <c r="I196" s="61">
        <f>IFERROR(__xludf.DUMMYFUNCTION("IFERROR(GOOGLEFINANCE(A196,""VOLUME""),)"),190.0)</f>
        <v>190</v>
      </c>
      <c r="J196" s="60" t="str">
        <f>IFERROR(__xludf.DUMMYFUNCTION("IFERROR(INDEX(SPLIT(A196,"":""),1,2),)"),"BEDMUTHA")</f>
        <v>BEDMUTHA</v>
      </c>
      <c r="K196" s="60" t="str">
        <f t="shared" si="4"/>
        <v/>
      </c>
      <c r="L196" s="60">
        <f t="shared" si="5"/>
        <v>393</v>
      </c>
      <c r="M196" s="60">
        <f t="shared" si="6"/>
        <v>1455</v>
      </c>
      <c r="N196" s="62">
        <f>IFERROR(__xludf.DUMMYFUNCTION("IFERROR(GOOGLEFINANCE(A196,""TRADETIME""),)"),46086.64583333333)</f>
        <v>46086.64583</v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68" t="s">
        <v>243</v>
      </c>
      <c r="B197" s="64" t="str">
        <f>IFERROR(__xludf.DUMMYFUNCTION("IFERROR(GOOGLEFINANCE(A197,""NAME""),)"),"Bharat Electronics Ltd")</f>
        <v>Bharat Electronics Ltd</v>
      </c>
      <c r="C197" s="64">
        <f>IFERROR(__xludf.DUMMYFUNCTION("IFERROR(GOOGLEFINANCE(A197,""CHANGE""),)"),15.15)</f>
        <v>15.15</v>
      </c>
      <c r="D197" s="64">
        <f>IFERROR(__xludf.DUMMYFUNCTION("IFERROR(GOOGLEFINANCE(A197,""CHANGEPCT""),)"),3.39)</f>
        <v>3.39</v>
      </c>
      <c r="E197" s="64" t="str">
        <f t="shared" si="1"/>
        <v>3.39%</v>
      </c>
      <c r="F197" s="64">
        <f t="shared" si="2"/>
        <v>3.39</v>
      </c>
      <c r="G197" s="64" t="str">
        <f t="shared" si="3"/>
        <v/>
      </c>
      <c r="H197" s="64">
        <f>IFERROR(__xludf.DUMMYFUNCTION("IFERROR(GOOGLEFINANCE(A197,""PRICE""),)"),462.0)</f>
        <v>462</v>
      </c>
      <c r="I197" s="65">
        <f>IFERROR(__xludf.DUMMYFUNCTION("IFERROR(GOOGLEFINANCE(A197,""VOLUME""),)"),3.8019323E7)</f>
        <v>38019323</v>
      </c>
      <c r="J197" s="64" t="str">
        <f>IFERROR(__xludf.DUMMYFUNCTION("IFERROR(INDEX(SPLIT(A197,"":""),1,2),)"),"BEL")</f>
        <v>BEL</v>
      </c>
      <c r="K197" s="64">
        <f t="shared" si="4"/>
        <v>201</v>
      </c>
      <c r="L197" s="64" t="str">
        <f t="shared" si="5"/>
        <v/>
      </c>
      <c r="M197" s="64">
        <f t="shared" si="6"/>
        <v>9</v>
      </c>
      <c r="N197" s="66">
        <f>IFERROR(__xludf.DUMMYFUNCTION("IFERROR(GOOGLEFINANCE(A197,""TRADETIME""),)"),46086.64583333333)</f>
        <v>46086.64583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67" t="s">
        <v>244</v>
      </c>
      <c r="B198" s="60" t="str">
        <f>IFERROR(__xludf.DUMMYFUNCTION("IFERROR(GOOGLEFINANCE(A198,""NAME""),)"),"BEML Ltd")</f>
        <v>BEML Ltd</v>
      </c>
      <c r="C198" s="60">
        <f>IFERROR(__xludf.DUMMYFUNCTION("IFERROR(GOOGLEFINANCE(A198,""CHANGE""),)"),25.0)</f>
        <v>25</v>
      </c>
      <c r="D198" s="60">
        <f>IFERROR(__xludf.DUMMYFUNCTION("IFERROR(GOOGLEFINANCE(A198,""CHANGEPCT""),)"),1.94)</f>
        <v>1.94</v>
      </c>
      <c r="E198" s="60" t="str">
        <f t="shared" si="1"/>
        <v>1.94%</v>
      </c>
      <c r="F198" s="60">
        <f t="shared" si="2"/>
        <v>1.94</v>
      </c>
      <c r="G198" s="60" t="str">
        <f t="shared" si="3"/>
        <v/>
      </c>
      <c r="H198" s="60">
        <f>IFERROR(__xludf.DUMMYFUNCTION("IFERROR(GOOGLEFINANCE(A198,""PRICE""),)"),1635.0)</f>
        <v>1635</v>
      </c>
      <c r="I198" s="61">
        <f>IFERROR(__xludf.DUMMYFUNCTION("IFERROR(GOOGLEFINANCE(A198,""VOLUME""),)"),343413.0)</f>
        <v>343413</v>
      </c>
      <c r="J198" s="60" t="str">
        <f>IFERROR(__xludf.DUMMYFUNCTION("IFERROR(INDEX(SPLIT(A198,"":""),1,2),)"),"BEML")</f>
        <v>BEML</v>
      </c>
      <c r="K198" s="60">
        <f t="shared" si="4"/>
        <v>452</v>
      </c>
      <c r="L198" s="60" t="str">
        <f t="shared" si="5"/>
        <v/>
      </c>
      <c r="M198" s="60">
        <f t="shared" si="6"/>
        <v>482</v>
      </c>
      <c r="N198" s="62">
        <f>IFERROR(__xludf.DUMMYFUNCTION("IFERROR(GOOGLEFINANCE(A198,""TRADETIME""),)"),46086.64583333333)</f>
        <v>46086.64583</v>
      </c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68" t="s">
        <v>245</v>
      </c>
      <c r="B199" s="64" t="str">
        <f>IFERROR(__xludf.DUMMYFUNCTION("IFERROR(GOOGLEFINANCE(A199,""NAME""),)"),"Bhansali Engineering Polymers Ltd")</f>
        <v>Bhansali Engineering Polymers Ltd</v>
      </c>
      <c r="C199" s="64">
        <f>IFERROR(__xludf.DUMMYFUNCTION("IFERROR(GOOGLEFINANCE(A199,""CHANGE""),)"),0.11)</f>
        <v>0.11</v>
      </c>
      <c r="D199" s="64">
        <f>IFERROR(__xludf.DUMMYFUNCTION("IFERROR(GOOGLEFINANCE(A199,""CHANGEPCT""),)"),-0.05)</f>
        <v>-0.05</v>
      </c>
      <c r="E199" s="64" t="str">
        <f t="shared" si="1"/>
        <v>-0.05%</v>
      </c>
      <c r="F199" s="64" t="str">
        <f t="shared" si="2"/>
        <v/>
      </c>
      <c r="G199" s="64">
        <f t="shared" si="3"/>
        <v>-0.05</v>
      </c>
      <c r="H199" s="64">
        <f>IFERROR(__xludf.DUMMYFUNCTION("IFERROR(GOOGLEFINANCE(A199,""PRICE""),)"),78.0)</f>
        <v>78</v>
      </c>
      <c r="I199" s="65">
        <f>IFERROR(__xludf.DUMMYFUNCTION("IFERROR(GOOGLEFINANCE(A199,""VOLUME""),)"),378455.0)</f>
        <v>378455</v>
      </c>
      <c r="J199" s="64" t="str">
        <f>IFERROR(__xludf.DUMMYFUNCTION("IFERROR(INDEX(SPLIT(A199,"":""),1,2),)"),"BEPL")</f>
        <v>BEPL</v>
      </c>
      <c r="K199" s="64" t="str">
        <f t="shared" si="4"/>
        <v/>
      </c>
      <c r="L199" s="64">
        <f t="shared" si="5"/>
        <v>10</v>
      </c>
      <c r="M199" s="64">
        <f t="shared" si="6"/>
        <v>455</v>
      </c>
      <c r="N199" s="66">
        <f>IFERROR(__xludf.DUMMYFUNCTION("IFERROR(GOOGLEFINANCE(A199,""TRADETIME""),)"),46086.64583333333)</f>
        <v>46086.64583</v>
      </c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67" t="s">
        <v>246</v>
      </c>
      <c r="B200" s="60" t="str">
        <f>IFERROR(__xludf.DUMMYFUNCTION("IFERROR(GOOGLEFINANCE(A200,""NAME""),)"),"Berger Paints India Ltd")</f>
        <v>Berger Paints India Ltd</v>
      </c>
      <c r="C200" s="60">
        <f>IFERROR(__xludf.DUMMYFUNCTION("IFERROR(GOOGLEFINANCE(A200,""CHANGE""),)"),-3.6)</f>
        <v>-3.6</v>
      </c>
      <c r="D200" s="60">
        <f>IFERROR(__xludf.DUMMYFUNCTION("IFERROR(GOOGLEFINANCE(A200,""CHANGEPCT""),)"),-0.85)</f>
        <v>-0.85</v>
      </c>
      <c r="E200" s="60" t="str">
        <f t="shared" si="1"/>
        <v>-0.85%</v>
      </c>
      <c r="F200" s="60" t="str">
        <f t="shared" si="2"/>
        <v/>
      </c>
      <c r="G200" s="60">
        <f t="shared" si="3"/>
        <v>-0.85</v>
      </c>
      <c r="H200" s="60">
        <f>IFERROR(__xludf.DUMMYFUNCTION("IFERROR(GOOGLEFINANCE(A200,""PRICE""),)"),435.0)</f>
        <v>435</v>
      </c>
      <c r="I200" s="61">
        <f>IFERROR(__xludf.DUMMYFUNCTION("IFERROR(GOOGLEFINANCE(A200,""VOLUME""),)"),1057094.0)</f>
        <v>1057094</v>
      </c>
      <c r="J200" s="60" t="str">
        <f>IFERROR(__xludf.DUMMYFUNCTION("IFERROR(INDEX(SPLIT(A200,"":""),1,2),)"),"BERGEPAINT")</f>
        <v>BERGEPAINT</v>
      </c>
      <c r="K200" s="60" t="str">
        <f t="shared" si="4"/>
        <v/>
      </c>
      <c r="L200" s="60">
        <f t="shared" si="5"/>
        <v>191</v>
      </c>
      <c r="M200" s="60">
        <f t="shared" si="6"/>
        <v>278</v>
      </c>
      <c r="N200" s="62">
        <f>IFERROR(__xludf.DUMMYFUNCTION("IFERROR(GOOGLEFINANCE(A200,""TRADETIME""),)"),46086.64583333333)</f>
        <v>46086.64583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68" t="s">
        <v>247</v>
      </c>
      <c r="B201" s="64" t="str">
        <f>IFERROR(__xludf.DUMMYFUNCTION("IFERROR(GOOGLEFINANCE(A201,""NAME""),)"),"BF Investment Ltd")</f>
        <v>BF Investment Ltd</v>
      </c>
      <c r="C201" s="64">
        <f>IFERROR(__xludf.DUMMYFUNCTION("IFERROR(GOOGLEFINANCE(A201,""CHANGE""),)"),6.3)</f>
        <v>6.3</v>
      </c>
      <c r="D201" s="64">
        <f>IFERROR(__xludf.DUMMYFUNCTION("IFERROR(GOOGLEFINANCE(A201,""CHANGEPCT""),)"),1.68)</f>
        <v>1.68</v>
      </c>
      <c r="E201" s="64" t="str">
        <f t="shared" si="1"/>
        <v>1.68%</v>
      </c>
      <c r="F201" s="64">
        <f t="shared" si="2"/>
        <v>1.68</v>
      </c>
      <c r="G201" s="64" t="str">
        <f t="shared" si="3"/>
        <v/>
      </c>
      <c r="H201" s="64">
        <f>IFERROR(__xludf.DUMMYFUNCTION("IFERROR(GOOGLEFINANCE(A201,""PRICE""),)"),382.2)</f>
        <v>382.2</v>
      </c>
      <c r="I201" s="65">
        <f>IFERROR(__xludf.DUMMYFUNCTION("IFERROR(GOOGLEFINANCE(A201,""VOLUME""),)"),39355.0)</f>
        <v>39355</v>
      </c>
      <c r="J201" s="64" t="str">
        <f>IFERROR(__xludf.DUMMYFUNCTION("IFERROR(INDEX(SPLIT(A201,"":""),1,2),)"),"BFINVEST")</f>
        <v>BFINVEST</v>
      </c>
      <c r="K201" s="64">
        <f t="shared" si="4"/>
        <v>519</v>
      </c>
      <c r="L201" s="64" t="str">
        <f t="shared" si="5"/>
        <v/>
      </c>
      <c r="M201" s="64">
        <f t="shared" si="6"/>
        <v>996</v>
      </c>
      <c r="N201" s="66">
        <f>IFERROR(__xludf.DUMMYFUNCTION("IFERROR(GOOGLEFINANCE(A201,""TRADETIME""),)"),46086.64583333333)</f>
        <v>46086.64583</v>
      </c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67" t="s">
        <v>248</v>
      </c>
      <c r="B202" s="60" t="str">
        <f>IFERROR(__xludf.DUMMYFUNCTION("IFERROR(GOOGLEFINANCE(A202,""NAME""),)"),"BF Utilities Ltd")</f>
        <v>BF Utilities Ltd</v>
      </c>
      <c r="C202" s="60">
        <f>IFERROR(__xludf.DUMMYFUNCTION("IFERROR(GOOGLEFINANCE(A202,""CHANGE""),)"),14.55)</f>
        <v>14.55</v>
      </c>
      <c r="D202" s="60">
        <f>IFERROR(__xludf.DUMMYFUNCTION("IFERROR(GOOGLEFINANCE(A202,""CHANGEPCT""),)"),3.1)</f>
        <v>3.1</v>
      </c>
      <c r="E202" s="60" t="str">
        <f t="shared" si="1"/>
        <v>3.1%</v>
      </c>
      <c r="F202" s="60">
        <f t="shared" si="2"/>
        <v>3.1</v>
      </c>
      <c r="G202" s="60" t="str">
        <f t="shared" si="3"/>
        <v/>
      </c>
      <c r="H202" s="60">
        <f>IFERROR(__xludf.DUMMYFUNCTION("IFERROR(GOOGLEFINANCE(A202,""PRICE""),)"),484.0)</f>
        <v>484</v>
      </c>
      <c r="I202" s="61">
        <f>IFERROR(__xludf.DUMMYFUNCTION("IFERROR(GOOGLEFINANCE(A202,""VOLUME""),)"),165129.0)</f>
        <v>165129</v>
      </c>
      <c r="J202" s="60" t="str">
        <f>IFERROR(__xludf.DUMMYFUNCTION("IFERROR(INDEX(SPLIT(A202,"":""),1,2),)"),"BFUTILITIE")</f>
        <v>BFUTILITIE</v>
      </c>
      <c r="K202" s="60">
        <f t="shared" si="4"/>
        <v>239</v>
      </c>
      <c r="L202" s="60" t="str">
        <f t="shared" si="5"/>
        <v/>
      </c>
      <c r="M202" s="60">
        <f t="shared" si="6"/>
        <v>646</v>
      </c>
      <c r="N202" s="62">
        <f>IFERROR(__xludf.DUMMYFUNCTION("IFERROR(GOOGLEFINANCE(A202,""TRADETIME""),)"),46086.64583333333)</f>
        <v>46086.64583</v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68" t="s">
        <v>249</v>
      </c>
      <c r="B203" s="64" t="str">
        <f>IFERROR(__xludf.DUMMYFUNCTION("IFERROR(GOOGLEFINANCE(A203,""NAME""),)"),"BGR Energy Systems Ltd")</f>
        <v>BGR Energy Systems Ltd</v>
      </c>
      <c r="C203" s="64">
        <f>IFERROR(__xludf.DUMMYFUNCTION("IFERROR(GOOGLEFINANCE(A203,""CHANGE""),)"),14.7)</f>
        <v>14.7</v>
      </c>
      <c r="D203" s="64">
        <f>IFERROR(__xludf.DUMMYFUNCTION("IFERROR(GOOGLEFINANCE(A203,""CHANGEPCT""),)"),4.86)</f>
        <v>4.86</v>
      </c>
      <c r="E203" s="64" t="str">
        <f t="shared" si="1"/>
        <v>4.86%</v>
      </c>
      <c r="F203" s="64">
        <f t="shared" si="2"/>
        <v>4.86</v>
      </c>
      <c r="G203" s="64" t="str">
        <f t="shared" si="3"/>
        <v/>
      </c>
      <c r="H203" s="64">
        <f>IFERROR(__xludf.DUMMYFUNCTION("IFERROR(GOOGLEFINANCE(A203,""PRICE""),)"),308.9)</f>
        <v>308.9</v>
      </c>
      <c r="I203" s="65">
        <f>IFERROR(__xludf.DUMMYFUNCTION("IFERROR(GOOGLEFINANCE(A203,""VOLUME""),)"),101855.0)</f>
        <v>101855</v>
      </c>
      <c r="J203" s="64" t="str">
        <f>IFERROR(__xludf.DUMMYFUNCTION("IFERROR(INDEX(SPLIT(A203,"":""),1,2),)"),"BGRENERGY")</f>
        <v>BGRENERGY</v>
      </c>
      <c r="K203" s="64">
        <f t="shared" si="4"/>
        <v>86</v>
      </c>
      <c r="L203" s="64" t="str">
        <f t="shared" si="5"/>
        <v/>
      </c>
      <c r="M203" s="64">
        <f t="shared" si="6"/>
        <v>755</v>
      </c>
      <c r="N203" s="66">
        <f>IFERROR(__xludf.DUMMYFUNCTION("IFERROR(GOOGLEFINANCE(A203,""TRADETIME""),)"),46086.64583333333)</f>
        <v>46086.64583</v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67" t="s">
        <v>250</v>
      </c>
      <c r="B204" s="60" t="str">
        <f>IFERROR(__xludf.DUMMYFUNCTION("IFERROR(GOOGLEFINANCE(A204,""NAME""),)"),"Bhageria Industries Ltd")</f>
        <v>Bhageria Industries Ltd</v>
      </c>
      <c r="C204" s="60">
        <f>IFERROR(__xludf.DUMMYFUNCTION("IFERROR(GOOGLEFINANCE(A204,""CHANGE""),)"),2.32)</f>
        <v>2.32</v>
      </c>
      <c r="D204" s="60">
        <f>IFERROR(__xludf.DUMMYFUNCTION("IFERROR(GOOGLEFINANCE(A204,""CHANGEPCT""),)"),1.55)</f>
        <v>1.55</v>
      </c>
      <c r="E204" s="60" t="str">
        <f t="shared" si="1"/>
        <v>1.55%</v>
      </c>
      <c r="F204" s="60">
        <f t="shared" si="2"/>
        <v>1.55</v>
      </c>
      <c r="G204" s="60" t="str">
        <f t="shared" si="3"/>
        <v/>
      </c>
      <c r="H204" s="60">
        <f>IFERROR(__xludf.DUMMYFUNCTION("IFERROR(GOOGLEFINANCE(A204,""PRICE""),)"),152.0)</f>
        <v>152</v>
      </c>
      <c r="I204" s="61">
        <f>IFERROR(__xludf.DUMMYFUNCTION("IFERROR(GOOGLEFINANCE(A204,""VOLUME""),)"),24972.0)</f>
        <v>24972</v>
      </c>
      <c r="J204" s="60" t="str">
        <f>IFERROR(__xludf.DUMMYFUNCTION("IFERROR(INDEX(SPLIT(A204,"":""),1,2),)"),"BHAGERIA")</f>
        <v>BHAGERIA</v>
      </c>
      <c r="K204" s="60">
        <f t="shared" si="4"/>
        <v>554</v>
      </c>
      <c r="L204" s="60" t="str">
        <f t="shared" si="5"/>
        <v/>
      </c>
      <c r="M204" s="60">
        <f t="shared" si="6"/>
        <v>1097</v>
      </c>
      <c r="N204" s="62">
        <f>IFERROR(__xludf.DUMMYFUNCTION("IFERROR(GOOGLEFINANCE(A204,""TRADETIME""),)"),46086.64583333333)</f>
        <v>46086.64583</v>
      </c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68" t="s">
        <v>251</v>
      </c>
      <c r="B205" s="64" t="str">
        <f>IFERROR(__xludf.DUMMYFUNCTION("IFERROR(GOOGLEFINANCE(A205,""NAME""),)"),"Bhagyanagar India Ltd")</f>
        <v>Bhagyanagar India Ltd</v>
      </c>
      <c r="C205" s="64">
        <f>IFERROR(__xludf.DUMMYFUNCTION("IFERROR(GOOGLEFINANCE(A205,""CHANGE""),)"),-1.42)</f>
        <v>-1.42</v>
      </c>
      <c r="D205" s="64">
        <f>IFERROR(__xludf.DUMMYFUNCTION("IFERROR(GOOGLEFINANCE(A205,""CHANGEPCT""),)"),-0.87)</f>
        <v>-0.87</v>
      </c>
      <c r="E205" s="64" t="str">
        <f t="shared" si="1"/>
        <v>-0.87%</v>
      </c>
      <c r="F205" s="64" t="str">
        <f t="shared" si="2"/>
        <v/>
      </c>
      <c r="G205" s="64">
        <f t="shared" si="3"/>
        <v>-0.87</v>
      </c>
      <c r="H205" s="64">
        <f>IFERROR(__xludf.DUMMYFUNCTION("IFERROR(GOOGLEFINANCE(A205,""PRICE""),)"),162.0)</f>
        <v>162</v>
      </c>
      <c r="I205" s="65">
        <f>IFERROR(__xludf.DUMMYFUNCTION("IFERROR(GOOGLEFINANCE(A205,""VOLUME""),)"),238874.0)</f>
        <v>238874</v>
      </c>
      <c r="J205" s="64" t="str">
        <f>IFERROR(__xludf.DUMMYFUNCTION("IFERROR(INDEX(SPLIT(A205,"":""),1,2),)"),"BHAGYANGR")</f>
        <v>BHAGYANGR</v>
      </c>
      <c r="K205" s="64" t="str">
        <f t="shared" si="4"/>
        <v/>
      </c>
      <c r="L205" s="64">
        <f t="shared" si="5"/>
        <v>193</v>
      </c>
      <c r="M205" s="64">
        <f t="shared" si="6"/>
        <v>566</v>
      </c>
      <c r="N205" s="66">
        <f>IFERROR(__xludf.DUMMYFUNCTION("IFERROR(GOOGLEFINANCE(A205,""TRADETIME""),)"),46086.64583333333)</f>
        <v>46086.64583</v>
      </c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67" t="s">
        <v>252</v>
      </c>
      <c r="B206" s="60" t="str">
        <f>IFERROR(__xludf.DUMMYFUNCTION("IFERROR(GOOGLEFINANCE(A206,""NAME""),)"),"Bhandari Hosiery Exports Ltd")</f>
        <v>Bhandari Hosiery Exports Ltd</v>
      </c>
      <c r="C206" s="60">
        <f>IFERROR(__xludf.DUMMYFUNCTION("IFERROR(GOOGLEFINANCE(A206,""CHANGE""),)"),-0.07)</f>
        <v>-0.07</v>
      </c>
      <c r="D206" s="60">
        <f>IFERROR(__xludf.DUMMYFUNCTION("IFERROR(GOOGLEFINANCE(A206,""CHANGEPCT""),)"),-2.13)</f>
        <v>-2.13</v>
      </c>
      <c r="E206" s="60" t="str">
        <f t="shared" si="1"/>
        <v>-2.13%</v>
      </c>
      <c r="F206" s="60" t="str">
        <f t="shared" si="2"/>
        <v/>
      </c>
      <c r="G206" s="60">
        <f t="shared" si="3"/>
        <v>-2.13</v>
      </c>
      <c r="H206" s="60">
        <f>IFERROR(__xludf.DUMMYFUNCTION("IFERROR(GOOGLEFINANCE(A206,""PRICE""),)"),2.75)</f>
        <v>2.75</v>
      </c>
      <c r="I206" s="61">
        <f>IFERROR(__xludf.DUMMYFUNCTION("IFERROR(GOOGLEFINANCE(A206,""VOLUME""),)"),392300.0)</f>
        <v>392300</v>
      </c>
      <c r="J206" s="60" t="str">
        <f>IFERROR(__xludf.DUMMYFUNCTION("IFERROR(INDEX(SPLIT(A206,"":""),1,2),)"),"BHANDARI")</f>
        <v>BHANDARI</v>
      </c>
      <c r="K206" s="60" t="str">
        <f t="shared" si="4"/>
        <v/>
      </c>
      <c r="L206" s="60">
        <f t="shared" si="5"/>
        <v>364</v>
      </c>
      <c r="M206" s="60">
        <f t="shared" si="6"/>
        <v>444</v>
      </c>
      <c r="N206" s="62">
        <f>IFERROR(__xludf.DUMMYFUNCTION("IFERROR(GOOGLEFINANCE(A206,""TRADETIME""),)"),46086.64583333333)</f>
        <v>46086.64583</v>
      </c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68" t="s">
        <v>253</v>
      </c>
      <c r="B207" s="64" t="str">
        <f>IFERROR(__xludf.DUMMYFUNCTION("IFERROR(GOOGLEFINANCE(A207,""NAME""),)"),"Bharat Forge Ltd")</f>
        <v>Bharat Forge Ltd</v>
      </c>
      <c r="C207" s="64">
        <f>IFERROR(__xludf.DUMMYFUNCTION("IFERROR(GOOGLEFINANCE(A207,""CHANGE""),)"),51.2)</f>
        <v>51.2</v>
      </c>
      <c r="D207" s="64">
        <f>IFERROR(__xludf.DUMMYFUNCTION("IFERROR(GOOGLEFINANCE(A207,""CHANGEPCT""),)"),2.78)</f>
        <v>2.78</v>
      </c>
      <c r="E207" s="64" t="str">
        <f t="shared" si="1"/>
        <v>2.78%</v>
      </c>
      <c r="F207" s="64">
        <f t="shared" si="2"/>
        <v>2.78</v>
      </c>
      <c r="G207" s="64" t="str">
        <f t="shared" si="3"/>
        <v/>
      </c>
      <c r="H207" s="64">
        <f>IFERROR(__xludf.DUMMYFUNCTION("IFERROR(GOOGLEFINANCE(A207,""PRICE""),)"),1893.0)</f>
        <v>1893</v>
      </c>
      <c r="I207" s="65">
        <f>IFERROR(__xludf.DUMMYFUNCTION("IFERROR(GOOGLEFINANCE(A207,""VOLUME""),)"),3037634.0)</f>
        <v>3037634</v>
      </c>
      <c r="J207" s="64" t="str">
        <f>IFERROR(__xludf.DUMMYFUNCTION("IFERROR(INDEX(SPLIT(A207,"":""),1,2),)"),"BHARATFORG")</f>
        <v>BHARATFORG</v>
      </c>
      <c r="K207" s="64">
        <f t="shared" si="4"/>
        <v>291</v>
      </c>
      <c r="L207" s="64" t="str">
        <f t="shared" si="5"/>
        <v/>
      </c>
      <c r="M207" s="64">
        <f t="shared" si="6"/>
        <v>147</v>
      </c>
      <c r="N207" s="66">
        <f>IFERROR(__xludf.DUMMYFUNCTION("IFERROR(GOOGLEFINANCE(A207,""TRADETIME""),)"),46086.64583333333)</f>
        <v>46086.64583</v>
      </c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67" t="s">
        <v>254</v>
      </c>
      <c r="B208" s="60" t="str">
        <f>IFERROR(__xludf.DUMMYFUNCTION("IFERROR(GOOGLEFINANCE(A208,""NAME""),)"),"Bharat Gears Ltd")</f>
        <v>Bharat Gears Ltd</v>
      </c>
      <c r="C208" s="60">
        <f>IFERROR(__xludf.DUMMYFUNCTION("IFERROR(GOOGLEFINANCE(A208,""CHANGE""),)"),3.25)</f>
        <v>3.25</v>
      </c>
      <c r="D208" s="60">
        <f>IFERROR(__xludf.DUMMYFUNCTION("IFERROR(GOOGLEFINANCE(A208,""CHANGEPCT""),)"),2.46)</f>
        <v>2.46</v>
      </c>
      <c r="E208" s="60" t="str">
        <f t="shared" si="1"/>
        <v>2.46%</v>
      </c>
      <c r="F208" s="60">
        <f t="shared" si="2"/>
        <v>2.46</v>
      </c>
      <c r="G208" s="60" t="str">
        <f t="shared" si="3"/>
        <v/>
      </c>
      <c r="H208" s="60">
        <f>IFERROR(__xludf.DUMMYFUNCTION("IFERROR(GOOGLEFINANCE(A208,""PRICE""),)"),102.89)</f>
        <v>102.89</v>
      </c>
      <c r="I208" s="61">
        <f>IFERROR(__xludf.DUMMYFUNCTION("IFERROR(GOOGLEFINANCE(A208,""VOLUME""),)"),27726.0)</f>
        <v>27726</v>
      </c>
      <c r="J208" s="60" t="str">
        <f>IFERROR(__xludf.DUMMYFUNCTION("IFERROR(INDEX(SPLIT(A208,"":""),1,2),)"),"BHARATGEAR")</f>
        <v>BHARATGEAR</v>
      </c>
      <c r="K208" s="60">
        <f t="shared" si="4"/>
        <v>345</v>
      </c>
      <c r="L208" s="60" t="str">
        <f t="shared" si="5"/>
        <v/>
      </c>
      <c r="M208" s="60">
        <f t="shared" si="6"/>
        <v>1074</v>
      </c>
      <c r="N208" s="62">
        <f>IFERROR(__xludf.DUMMYFUNCTION("IFERROR(GOOGLEFINANCE(A208,""TRADETIME""),)"),46086.63922453704)</f>
        <v>46086.63922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68" t="s">
        <v>255</v>
      </c>
      <c r="B209" s="64" t="str">
        <f>IFERROR(__xludf.DUMMYFUNCTION("IFERROR(GOOGLEFINANCE(A209,""NAME""),)"),"Bharat Rasayan Ltd")</f>
        <v>Bharat Rasayan Ltd</v>
      </c>
      <c r="C209" s="64">
        <f>IFERROR(__xludf.DUMMYFUNCTION("IFERROR(GOOGLEFINANCE(A209,""CHANGE""),)"),-5.8)</f>
        <v>-5.8</v>
      </c>
      <c r="D209" s="64">
        <f>IFERROR(__xludf.DUMMYFUNCTION("IFERROR(GOOGLEFINANCE(A209,""CHANGEPCT""),)"),-0.59)</f>
        <v>-0.59</v>
      </c>
      <c r="E209" s="64" t="str">
        <f t="shared" si="1"/>
        <v>-0.59%</v>
      </c>
      <c r="F209" s="64" t="str">
        <f t="shared" si="2"/>
        <v/>
      </c>
      <c r="G209" s="64">
        <f t="shared" si="3"/>
        <v>-0.59</v>
      </c>
      <c r="H209" s="64">
        <f>IFERROR(__xludf.DUMMYFUNCTION("IFERROR(GOOGLEFINANCE(A209,""PRICE""),)"),1410.0)</f>
        <v>1410</v>
      </c>
      <c r="I209" s="65">
        <f>IFERROR(__xludf.DUMMYFUNCTION("IFERROR(GOOGLEFINANCE(A209,""VOLUME""),)"),25669.0)</f>
        <v>25669</v>
      </c>
      <c r="J209" s="64" t="str">
        <f>IFERROR(__xludf.DUMMYFUNCTION("IFERROR(INDEX(SPLIT(A209,"":""),1,2),)"),"BHARATRAS")</f>
        <v>BHARATRAS</v>
      </c>
      <c r="K209" s="64" t="str">
        <f t="shared" si="4"/>
        <v/>
      </c>
      <c r="L209" s="64">
        <f t="shared" si="5"/>
        <v>140</v>
      </c>
      <c r="M209" s="64">
        <f t="shared" si="6"/>
        <v>1090</v>
      </c>
      <c r="N209" s="66">
        <f>IFERROR(__xludf.DUMMYFUNCTION("IFERROR(GOOGLEFINANCE(A209,""TRADETIME""),)"),46086.64583333333)</f>
        <v>46086.64583</v>
      </c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67" t="s">
        <v>256</v>
      </c>
      <c r="B210" s="60" t="str">
        <f>IFERROR(__xludf.DUMMYFUNCTION("IFERROR(GOOGLEFINANCE(A210,""NAME""),)"),"Bharat Wire Ropes Ltd")</f>
        <v>Bharat Wire Ropes Ltd</v>
      </c>
      <c r="C210" s="60">
        <f>IFERROR(__xludf.DUMMYFUNCTION("IFERROR(GOOGLEFINANCE(A210,""CHANGE""),)"),-0.87)</f>
        <v>-0.87</v>
      </c>
      <c r="D210" s="60">
        <f>IFERROR(__xludf.DUMMYFUNCTION("IFERROR(GOOGLEFINANCE(A210,""CHANGEPCT""),)"),-0.52)</f>
        <v>-0.52</v>
      </c>
      <c r="E210" s="60" t="str">
        <f t="shared" si="1"/>
        <v>-0.52%</v>
      </c>
      <c r="F210" s="60" t="str">
        <f t="shared" si="2"/>
        <v/>
      </c>
      <c r="G210" s="60">
        <f t="shared" si="3"/>
        <v>-0.52</v>
      </c>
      <c r="H210" s="60">
        <f>IFERROR(__xludf.DUMMYFUNCTION("IFERROR(GOOGLEFINANCE(A210,""PRICE""),)"),165.7)</f>
        <v>165.7</v>
      </c>
      <c r="I210" s="61">
        <f>IFERROR(__xludf.DUMMYFUNCTION("IFERROR(GOOGLEFINANCE(A210,""VOLUME""),)"),206864.0)</f>
        <v>206864</v>
      </c>
      <c r="J210" s="60" t="str">
        <f>IFERROR(__xludf.DUMMYFUNCTION("IFERROR(INDEX(SPLIT(A210,"":""),1,2),)"),"BHARATWIRE")</f>
        <v>BHARATWIRE</v>
      </c>
      <c r="K210" s="60" t="str">
        <f t="shared" si="4"/>
        <v/>
      </c>
      <c r="L210" s="60">
        <f t="shared" si="5"/>
        <v>123</v>
      </c>
      <c r="M210" s="60">
        <f t="shared" si="6"/>
        <v>595</v>
      </c>
      <c r="N210" s="62">
        <f>IFERROR(__xludf.DUMMYFUNCTION("IFERROR(GOOGLEFINANCE(A210,""TRADETIME""),)"),46086.64583333333)</f>
        <v>46086.64583</v>
      </c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68" t="s">
        <v>257</v>
      </c>
      <c r="B211" s="64" t="str">
        <f>IFERROR(__xludf.DUMMYFUNCTION("IFERROR(GOOGLEFINANCE(A211,""NAME""),)"),"Bharti Airtel Ltd")</f>
        <v>Bharti Airtel Ltd</v>
      </c>
      <c r="C211" s="64">
        <f>IFERROR(__xludf.DUMMYFUNCTION("IFERROR(GOOGLEFINANCE(A211,""CHANGE""),)"),-1.9)</f>
        <v>-1.9</v>
      </c>
      <c r="D211" s="64">
        <f>IFERROR(__xludf.DUMMYFUNCTION("IFERROR(GOOGLEFINANCE(A211,""CHANGEPCT""),)"),0.01)</f>
        <v>0.01</v>
      </c>
      <c r="E211" s="64" t="str">
        <f t="shared" si="1"/>
        <v>0.01%</v>
      </c>
      <c r="F211" s="64">
        <f t="shared" si="2"/>
        <v>0.01</v>
      </c>
      <c r="G211" s="64" t="str">
        <f t="shared" si="3"/>
        <v/>
      </c>
      <c r="H211" s="64">
        <f>IFERROR(__xludf.DUMMYFUNCTION("IFERROR(GOOGLEFINANCE(A211,""PRICE""),)"),1906.0)</f>
        <v>1906</v>
      </c>
      <c r="I211" s="65">
        <f>IFERROR(__xludf.DUMMYFUNCTION("IFERROR(GOOGLEFINANCE(A211,""VOLUME""),)"),1.0991567E7)</f>
        <v>10991567</v>
      </c>
      <c r="J211" s="64" t="str">
        <f>IFERROR(__xludf.DUMMYFUNCTION("IFERROR(INDEX(SPLIT(A211,"":""),1,2),)"),"BHARTIARTL")</f>
        <v>BHARTIARTL</v>
      </c>
      <c r="K211" s="64">
        <f t="shared" si="4"/>
        <v>1002</v>
      </c>
      <c r="L211" s="64" t="str">
        <f t="shared" si="5"/>
        <v/>
      </c>
      <c r="M211" s="64">
        <f t="shared" si="6"/>
        <v>56</v>
      </c>
      <c r="N211" s="66">
        <f>IFERROR(__xludf.DUMMYFUNCTION("IFERROR(GOOGLEFINANCE(A211,""TRADETIME""),)"),46086.64583333333)</f>
        <v>46086.64583</v>
      </c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67" t="s">
        <v>258</v>
      </c>
      <c r="B212" s="60" t="str">
        <f>IFERROR(__xludf.DUMMYFUNCTION("IFERROR(GOOGLEFINANCE(A212,""NAME""),)"),"Bharat Heavy Electricals Ltd")</f>
        <v>Bharat Heavy Electricals Ltd</v>
      </c>
      <c r="C212" s="60">
        <f>IFERROR(__xludf.DUMMYFUNCTION("IFERROR(GOOGLEFINANCE(A212,""CHANGE""),)"),9.45)</f>
        <v>9.45</v>
      </c>
      <c r="D212" s="60">
        <f>IFERROR(__xludf.DUMMYFUNCTION("IFERROR(GOOGLEFINANCE(A212,""CHANGEPCT""),)"),3.81)</f>
        <v>3.81</v>
      </c>
      <c r="E212" s="60" t="str">
        <f t="shared" si="1"/>
        <v>3.81%</v>
      </c>
      <c r="F212" s="60">
        <f t="shared" si="2"/>
        <v>3.81</v>
      </c>
      <c r="G212" s="60" t="str">
        <f t="shared" si="3"/>
        <v/>
      </c>
      <c r="H212" s="60">
        <f>IFERROR(__xludf.DUMMYFUNCTION("IFERROR(GOOGLEFINANCE(A212,""PRICE""),)"),256.8)</f>
        <v>256.8</v>
      </c>
      <c r="I212" s="61">
        <f>IFERROR(__xludf.DUMMYFUNCTION("IFERROR(GOOGLEFINANCE(A212,""VOLUME""),)"),1.0222556E7)</f>
        <v>10222556</v>
      </c>
      <c r="J212" s="60" t="str">
        <f>IFERROR(__xludf.DUMMYFUNCTION("IFERROR(INDEX(SPLIT(A212,"":""),1,2),)"),"BHEL")</f>
        <v>BHEL</v>
      </c>
      <c r="K212" s="60">
        <f t="shared" si="4"/>
        <v>160</v>
      </c>
      <c r="L212" s="60" t="str">
        <f t="shared" si="5"/>
        <v/>
      </c>
      <c r="M212" s="60">
        <f t="shared" si="6"/>
        <v>59</v>
      </c>
      <c r="N212" s="62">
        <f>IFERROR(__xludf.DUMMYFUNCTION("IFERROR(GOOGLEFINANCE(A212,""TRADETIME""),)"),46086.64583333333)</f>
        <v>46086.64583</v>
      </c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68" t="s">
        <v>259</v>
      </c>
      <c r="B213" s="64" t="str">
        <f>IFERROR(__xludf.DUMMYFUNCTION("IFERROR(GOOGLEFINANCE(A213,""NAME""),)"),"Bigbloc Construction Ltd")</f>
        <v>Bigbloc Construction Ltd</v>
      </c>
      <c r="C213" s="64">
        <f>IFERROR(__xludf.DUMMYFUNCTION("IFERROR(GOOGLEFINANCE(A213,""CHANGE""),)"),1.0)</f>
        <v>1</v>
      </c>
      <c r="D213" s="64">
        <f>IFERROR(__xludf.DUMMYFUNCTION("IFERROR(GOOGLEFINANCE(A213,""CHANGEPCT""),)"),2.56)</f>
        <v>2.56</v>
      </c>
      <c r="E213" s="64" t="str">
        <f t="shared" si="1"/>
        <v>2.56%</v>
      </c>
      <c r="F213" s="64">
        <f t="shared" si="2"/>
        <v>2.56</v>
      </c>
      <c r="G213" s="64" t="str">
        <f t="shared" si="3"/>
        <v/>
      </c>
      <c r="H213" s="64">
        <f>IFERROR(__xludf.DUMMYFUNCTION("IFERROR(GOOGLEFINANCE(A213,""PRICE""),)"),51.25)</f>
        <v>51.25</v>
      </c>
      <c r="I213" s="65">
        <f>IFERROR(__xludf.DUMMYFUNCTION("IFERROR(GOOGLEFINANCE(A213,""VOLUME""),)"),148232.0)</f>
        <v>148232</v>
      </c>
      <c r="J213" s="64" t="str">
        <f>IFERROR(__xludf.DUMMYFUNCTION("IFERROR(INDEX(SPLIT(A213,"":""),1,2),)"),"BIGBLOC")</f>
        <v>BIGBLOC</v>
      </c>
      <c r="K213" s="64">
        <f t="shared" si="4"/>
        <v>330</v>
      </c>
      <c r="L213" s="64" t="str">
        <f t="shared" si="5"/>
        <v/>
      </c>
      <c r="M213" s="64">
        <f t="shared" si="6"/>
        <v>676</v>
      </c>
      <c r="N213" s="66">
        <f>IFERROR(__xludf.DUMMYFUNCTION("IFERROR(GOOGLEFINANCE(A213,""TRADETIME""),)"),46086.64583333333)</f>
        <v>46086.64583</v>
      </c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67" t="s">
        <v>260</v>
      </c>
      <c r="B214" s="60" t="str">
        <f>IFERROR(__xludf.DUMMYFUNCTION("IFERROR(GOOGLEFINANCE(A214,""NAME""),)"),"Bhartiya International Ltd")</f>
        <v>Bhartiya International Ltd</v>
      </c>
      <c r="C214" s="60">
        <f>IFERROR(__xludf.DUMMYFUNCTION("IFERROR(GOOGLEFINANCE(A214,""CHANGE""),)"),-1.35)</f>
        <v>-1.35</v>
      </c>
      <c r="D214" s="60">
        <f>IFERROR(__xludf.DUMMYFUNCTION("IFERROR(GOOGLEFINANCE(A214,""CHANGEPCT""),)"),-0.18)</f>
        <v>-0.18</v>
      </c>
      <c r="E214" s="60" t="str">
        <f t="shared" si="1"/>
        <v>-0.18%</v>
      </c>
      <c r="F214" s="60" t="str">
        <f t="shared" si="2"/>
        <v/>
      </c>
      <c r="G214" s="60">
        <f t="shared" si="3"/>
        <v>-0.18</v>
      </c>
      <c r="H214" s="60">
        <f>IFERROR(__xludf.DUMMYFUNCTION("IFERROR(GOOGLEFINANCE(A214,""PRICE""),)"),730.0)</f>
        <v>730</v>
      </c>
      <c r="I214" s="61">
        <f>IFERROR(__xludf.DUMMYFUNCTION("IFERROR(GOOGLEFINANCE(A214,""VOLUME""),)"),1504.0)</f>
        <v>1504</v>
      </c>
      <c r="J214" s="60" t="str">
        <f>IFERROR(__xludf.DUMMYFUNCTION("IFERROR(INDEX(SPLIT(A214,"":""),1,2),)"),"BIL")</f>
        <v>BIL</v>
      </c>
      <c r="K214" s="60" t="str">
        <f t="shared" si="4"/>
        <v/>
      </c>
      <c r="L214" s="60">
        <f t="shared" si="5"/>
        <v>45</v>
      </c>
      <c r="M214" s="60">
        <f t="shared" si="6"/>
        <v>1423</v>
      </c>
      <c r="N214" s="62">
        <f>IFERROR(__xludf.DUMMYFUNCTION("IFERROR(GOOGLEFINANCE(A214,""TRADETIME""),)"),46086.64583333333)</f>
        <v>46086.64583</v>
      </c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68" t="s">
        <v>261</v>
      </c>
      <c r="B215" s="64" t="str">
        <f>IFERROR(__xludf.DUMMYFUNCTION("IFERROR(GOOGLEFINANCE(A215,""NAME""),)"),"")</f>
        <v/>
      </c>
      <c r="C215" s="64" t="str">
        <f>IFERROR(__xludf.DUMMYFUNCTION("IFERROR(GOOGLEFINANCE(A215,""CHANGE""),)"),"")</f>
        <v/>
      </c>
      <c r="D215" s="64" t="str">
        <f>IFERROR(__xludf.DUMMYFUNCTION("IFERROR(GOOGLEFINANCE(A215,""CHANGEPCT""),)"),"")</f>
        <v/>
      </c>
      <c r="E215" s="64" t="str">
        <f t="shared" si="1"/>
        <v>%</v>
      </c>
      <c r="F215" s="64" t="str">
        <f t="shared" si="2"/>
        <v/>
      </c>
      <c r="G215" s="64" t="str">
        <f t="shared" si="3"/>
        <v/>
      </c>
      <c r="H215" s="64" t="str">
        <f>IFERROR(__xludf.DUMMYFUNCTION("IFERROR(GOOGLEFINANCE(A215,""PRICE""),)"),"")</f>
        <v/>
      </c>
      <c r="I215" s="65" t="str">
        <f>IFERROR(__xludf.DUMMYFUNCTION("IFERROR(GOOGLEFINANCE(A215,""VOLUME""),)"),"")</f>
        <v/>
      </c>
      <c r="J215" s="64" t="str">
        <f>IFERROR(__xludf.DUMMYFUNCTION("IFERROR(INDEX(SPLIT(A215,"":""),1,2),)"),"BINDALAGRO")</f>
        <v>BINDALAGRO</v>
      </c>
      <c r="K215" s="64" t="str">
        <f t="shared" si="4"/>
        <v/>
      </c>
      <c r="L215" s="64" t="str">
        <f t="shared" si="5"/>
        <v/>
      </c>
      <c r="M215" s="64" t="str">
        <f t="shared" si="6"/>
        <v/>
      </c>
      <c r="N215" s="66" t="str">
        <f>IFERROR(__xludf.DUMMYFUNCTION("IFERROR(GOOGLEFINANCE(A215,""TRADETIME""),)"),"")</f>
        <v/>
      </c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67" t="s">
        <v>262</v>
      </c>
      <c r="B216" s="60" t="str">
        <f>IFERROR(__xludf.DUMMYFUNCTION("IFERROR(GOOGLEFINANCE(A216,""NAME""),)"),"Biocon Ltd")</f>
        <v>Biocon Ltd</v>
      </c>
      <c r="C216" s="60">
        <f>IFERROR(__xludf.DUMMYFUNCTION("IFERROR(GOOGLEFINANCE(A216,""CHANGE""),)"),10.65)</f>
        <v>10.65</v>
      </c>
      <c r="D216" s="60">
        <f>IFERROR(__xludf.DUMMYFUNCTION("IFERROR(GOOGLEFINANCE(A216,""CHANGEPCT""),)"),2.81)</f>
        <v>2.81</v>
      </c>
      <c r="E216" s="60" t="str">
        <f t="shared" si="1"/>
        <v>2.81%</v>
      </c>
      <c r="F216" s="60">
        <f t="shared" si="2"/>
        <v>2.81</v>
      </c>
      <c r="G216" s="60" t="str">
        <f t="shared" si="3"/>
        <v/>
      </c>
      <c r="H216" s="60">
        <f>IFERROR(__xludf.DUMMYFUNCTION("IFERROR(GOOGLEFINANCE(A216,""PRICE""),)"),389.0)</f>
        <v>389</v>
      </c>
      <c r="I216" s="61">
        <f>IFERROR(__xludf.DUMMYFUNCTION("IFERROR(GOOGLEFINANCE(A216,""VOLUME""),)"),2831448.0)</f>
        <v>2831448</v>
      </c>
      <c r="J216" s="60" t="str">
        <f>IFERROR(__xludf.DUMMYFUNCTION("IFERROR(INDEX(SPLIT(A216,"":""),1,2),)"),"BIOCON")</f>
        <v>BIOCON</v>
      </c>
      <c r="K216" s="60">
        <f t="shared" si="4"/>
        <v>286</v>
      </c>
      <c r="L216" s="60" t="str">
        <f t="shared" si="5"/>
        <v/>
      </c>
      <c r="M216" s="60">
        <f t="shared" si="6"/>
        <v>158</v>
      </c>
      <c r="N216" s="62">
        <f>IFERROR(__xludf.DUMMYFUNCTION("IFERROR(GOOGLEFINANCE(A216,""TRADETIME""),)"),46086.64583333333)</f>
        <v>46086.64583</v>
      </c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68" t="s">
        <v>263</v>
      </c>
      <c r="B217" s="64" t="str">
        <f>IFERROR(__xludf.DUMMYFUNCTION("IFERROR(GOOGLEFINANCE(A217,""NAME""),)"),"Biofil Chemicals and Pharmaceuticals Ltd")</f>
        <v>Biofil Chemicals and Pharmaceuticals Ltd</v>
      </c>
      <c r="C217" s="64">
        <f>IFERROR(__xludf.DUMMYFUNCTION("IFERROR(GOOGLEFINANCE(A217,""CHANGE""),)"),0.99)</f>
        <v>0.99</v>
      </c>
      <c r="D217" s="64">
        <f>IFERROR(__xludf.DUMMYFUNCTION("IFERROR(GOOGLEFINANCE(A217,""CHANGEPCT""),)"),3.35)</f>
        <v>3.35</v>
      </c>
      <c r="E217" s="64" t="str">
        <f t="shared" si="1"/>
        <v>3.35%</v>
      </c>
      <c r="F217" s="64">
        <f t="shared" si="2"/>
        <v>3.35</v>
      </c>
      <c r="G217" s="64" t="str">
        <f t="shared" si="3"/>
        <v/>
      </c>
      <c r="H217" s="64">
        <f>IFERROR(__xludf.DUMMYFUNCTION("IFERROR(GOOGLEFINANCE(A217,""PRICE""),)"),30.58)</f>
        <v>30.58</v>
      </c>
      <c r="I217" s="65">
        <f>IFERROR(__xludf.DUMMYFUNCTION("IFERROR(GOOGLEFINANCE(A217,""VOLUME""),)"),20926.0)</f>
        <v>20926</v>
      </c>
      <c r="J217" s="64" t="str">
        <f>IFERROR(__xludf.DUMMYFUNCTION("IFERROR(INDEX(SPLIT(A217,"":""),1,2),)"),"BIOFILCHEM")</f>
        <v>BIOFILCHEM</v>
      </c>
      <c r="K217" s="64">
        <f t="shared" si="4"/>
        <v>205</v>
      </c>
      <c r="L217" s="64" t="str">
        <f t="shared" si="5"/>
        <v/>
      </c>
      <c r="M217" s="64">
        <f t="shared" si="6"/>
        <v>1131</v>
      </c>
      <c r="N217" s="66">
        <f>IFERROR(__xludf.DUMMYFUNCTION("IFERROR(GOOGLEFINANCE(A217,""TRADETIME""),)"),46086.64583333333)</f>
        <v>46086.64583</v>
      </c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67" t="s">
        <v>264</v>
      </c>
      <c r="B218" s="60" t="str">
        <f>IFERROR(__xludf.DUMMYFUNCTION("IFERROR(GOOGLEFINANCE(A218,""NAME""),)"),"Birla Cable Ltd")</f>
        <v>Birla Cable Ltd</v>
      </c>
      <c r="C218" s="60">
        <f>IFERROR(__xludf.DUMMYFUNCTION("IFERROR(GOOGLEFINANCE(A218,""CHANGE""),)"),2.09)</f>
        <v>2.09</v>
      </c>
      <c r="D218" s="60">
        <f>IFERROR(__xludf.DUMMYFUNCTION("IFERROR(GOOGLEFINANCE(A218,""CHANGEPCT""),)"),1.49)</f>
        <v>1.49</v>
      </c>
      <c r="E218" s="60" t="str">
        <f t="shared" si="1"/>
        <v>1.49%</v>
      </c>
      <c r="F218" s="60">
        <f t="shared" si="2"/>
        <v>1.49</v>
      </c>
      <c r="G218" s="60" t="str">
        <f t="shared" si="3"/>
        <v/>
      </c>
      <c r="H218" s="60">
        <f>IFERROR(__xludf.DUMMYFUNCTION("IFERROR(GOOGLEFINANCE(A218,""PRICE""),)"),142.5)</f>
        <v>142.5</v>
      </c>
      <c r="I218" s="61">
        <f>IFERROR(__xludf.DUMMYFUNCTION("IFERROR(GOOGLEFINANCE(A218,""VOLUME""),)"),38494.0)</f>
        <v>38494</v>
      </c>
      <c r="J218" s="60" t="str">
        <f>IFERROR(__xludf.DUMMYFUNCTION("IFERROR(INDEX(SPLIT(A218,"":""),1,2),)"),"BIRLACABLE")</f>
        <v>BIRLACABLE</v>
      </c>
      <c r="K218" s="60">
        <f t="shared" si="4"/>
        <v>575</v>
      </c>
      <c r="L218" s="60" t="str">
        <f t="shared" si="5"/>
        <v/>
      </c>
      <c r="M218" s="60">
        <f t="shared" si="6"/>
        <v>1001</v>
      </c>
      <c r="N218" s="62">
        <f>IFERROR(__xludf.DUMMYFUNCTION("IFERROR(GOOGLEFINANCE(A218,""TRADETIME""),)"),46086.64583333333)</f>
        <v>46086.64583</v>
      </c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68" t="s">
        <v>265</v>
      </c>
      <c r="B219" s="64" t="str">
        <f>IFERROR(__xludf.DUMMYFUNCTION("IFERROR(GOOGLEFINANCE(A219,""NAME""),)"),"Birla Corporation Ltd")</f>
        <v>Birla Corporation Ltd</v>
      </c>
      <c r="C219" s="64">
        <f>IFERROR(__xludf.DUMMYFUNCTION("IFERROR(GOOGLEFINANCE(A219,""CHANGE""),)"),4.2)</f>
        <v>4.2</v>
      </c>
      <c r="D219" s="64">
        <f>IFERROR(__xludf.DUMMYFUNCTION("IFERROR(GOOGLEFINANCE(A219,""CHANGEPCT""),)"),0.47)</f>
        <v>0.47</v>
      </c>
      <c r="E219" s="64" t="str">
        <f t="shared" si="1"/>
        <v>0.47%</v>
      </c>
      <c r="F219" s="64">
        <f t="shared" si="2"/>
        <v>0.47</v>
      </c>
      <c r="G219" s="64" t="str">
        <f t="shared" si="3"/>
        <v/>
      </c>
      <c r="H219" s="64">
        <f>IFERROR(__xludf.DUMMYFUNCTION("IFERROR(GOOGLEFINANCE(A219,""PRICE""),)"),888.5)</f>
        <v>888.5</v>
      </c>
      <c r="I219" s="65">
        <f>IFERROR(__xludf.DUMMYFUNCTION("IFERROR(GOOGLEFINANCE(A219,""VOLUME""),)"),139198.0)</f>
        <v>139198</v>
      </c>
      <c r="J219" s="64" t="str">
        <f>IFERROR(__xludf.DUMMYFUNCTION("IFERROR(INDEX(SPLIT(A219,"":""),1,2),)"),"BIRLACORPN")</f>
        <v>BIRLACORPN</v>
      </c>
      <c r="K219" s="64">
        <f t="shared" si="4"/>
        <v>884</v>
      </c>
      <c r="L219" s="64" t="str">
        <f t="shared" si="5"/>
        <v/>
      </c>
      <c r="M219" s="64">
        <f t="shared" si="6"/>
        <v>687</v>
      </c>
      <c r="N219" s="66">
        <f>IFERROR(__xludf.DUMMYFUNCTION("IFERROR(GOOGLEFINANCE(A219,""TRADETIME""),)"),46086.64583333333)</f>
        <v>46086.64583</v>
      </c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67" t="s">
        <v>266</v>
      </c>
      <c r="B220" s="60" t="str">
        <f>IFERROR(__xludf.DUMMYFUNCTION("IFERROR(GOOGLEFINANCE(A220,""NAME""),)"),"Aditya Birla Money Ltd")</f>
        <v>Aditya Birla Money Ltd</v>
      </c>
      <c r="C220" s="60">
        <f>IFERROR(__xludf.DUMMYFUNCTION("IFERROR(GOOGLEFINANCE(A220,""CHANGE""),)"),-2.01)</f>
        <v>-2.01</v>
      </c>
      <c r="D220" s="60">
        <f>IFERROR(__xludf.DUMMYFUNCTION("IFERROR(GOOGLEFINANCE(A220,""CHANGEPCT""),)"),-1.56)</f>
        <v>-1.56</v>
      </c>
      <c r="E220" s="60" t="str">
        <f t="shared" si="1"/>
        <v>-1.56%</v>
      </c>
      <c r="F220" s="60" t="str">
        <f t="shared" si="2"/>
        <v/>
      </c>
      <c r="G220" s="60">
        <f t="shared" si="3"/>
        <v>-1.56</v>
      </c>
      <c r="H220" s="60">
        <f>IFERROR(__xludf.DUMMYFUNCTION("IFERROR(GOOGLEFINANCE(A220,""PRICE""),)"),126.5)</f>
        <v>126.5</v>
      </c>
      <c r="I220" s="61">
        <f>IFERROR(__xludf.DUMMYFUNCTION("IFERROR(GOOGLEFINANCE(A220,""VOLUME""),)"),80102.0)</f>
        <v>80102</v>
      </c>
      <c r="J220" s="60" t="str">
        <f>IFERROR(__xludf.DUMMYFUNCTION("IFERROR(INDEX(SPLIT(A220,"":""),1,2),)"),"BIRLAMONEY")</f>
        <v>BIRLAMONEY</v>
      </c>
      <c r="K220" s="60" t="str">
        <f t="shared" si="4"/>
        <v/>
      </c>
      <c r="L220" s="60">
        <f t="shared" si="5"/>
        <v>295</v>
      </c>
      <c r="M220" s="60">
        <f t="shared" si="6"/>
        <v>812</v>
      </c>
      <c r="N220" s="62">
        <f>IFERROR(__xludf.DUMMYFUNCTION("IFERROR(GOOGLEFINANCE(A220,""TRADETIME""),)"),46086.64585648148)</f>
        <v>46086.64586</v>
      </c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68" t="s">
        <v>267</v>
      </c>
      <c r="B221" s="64" t="str">
        <f>IFERROR(__xludf.DUMMYFUNCTION("IFERROR(GOOGLEFINANCE(A221,""NAME""),)"),"")</f>
        <v/>
      </c>
      <c r="C221" s="64" t="str">
        <f>IFERROR(__xludf.DUMMYFUNCTION("IFERROR(GOOGLEFINANCE(A221,""CHANGE""),)"),"")</f>
        <v/>
      </c>
      <c r="D221" s="64" t="str">
        <f>IFERROR(__xludf.DUMMYFUNCTION("IFERROR(GOOGLEFINANCE(A221,""CHANGEPCT""),)"),"")</f>
        <v/>
      </c>
      <c r="E221" s="64" t="str">
        <f t="shared" si="1"/>
        <v>%</v>
      </c>
      <c r="F221" s="64" t="str">
        <f t="shared" si="2"/>
        <v/>
      </c>
      <c r="G221" s="64" t="str">
        <f t="shared" si="3"/>
        <v/>
      </c>
      <c r="H221" s="64" t="str">
        <f>IFERROR(__xludf.DUMMYFUNCTION("IFERROR(GOOGLEFINANCE(A221,""PRICE""),)"),"")</f>
        <v/>
      </c>
      <c r="I221" s="65" t="str">
        <f>IFERROR(__xludf.DUMMYFUNCTION("IFERROR(GOOGLEFINANCE(A221,""VOLUME""),)"),"")</f>
        <v/>
      </c>
      <c r="J221" s="64" t="str">
        <f>IFERROR(__xludf.DUMMYFUNCTION("IFERROR(INDEX(SPLIT(A221,"":""),1,2),)"),"BIRLATYRE")</f>
        <v>BIRLATYRE</v>
      </c>
      <c r="K221" s="64" t="str">
        <f t="shared" si="4"/>
        <v/>
      </c>
      <c r="L221" s="64" t="str">
        <f t="shared" si="5"/>
        <v/>
      </c>
      <c r="M221" s="64" t="str">
        <f t="shared" si="6"/>
        <v/>
      </c>
      <c r="N221" s="66" t="str">
        <f>IFERROR(__xludf.DUMMYFUNCTION("IFERROR(GOOGLEFINANCE(A221,""TRADETIME""),)"),"")</f>
        <v/>
      </c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67" t="s">
        <v>268</v>
      </c>
      <c r="B222" s="60" t="str">
        <f>IFERROR(__xludf.DUMMYFUNCTION("IFERROR(GOOGLEFINANCE(A222,""NAME""),)"),"")</f>
        <v/>
      </c>
      <c r="C222" s="60" t="str">
        <f>IFERROR(__xludf.DUMMYFUNCTION("IFERROR(GOOGLEFINANCE(A222,""CHANGE""),)"),"")</f>
        <v/>
      </c>
      <c r="D222" s="60" t="str">
        <f>IFERROR(__xludf.DUMMYFUNCTION("IFERROR(GOOGLEFINANCE(A222,""CHANGEPCT""),)"),"")</f>
        <v/>
      </c>
      <c r="E222" s="60" t="str">
        <f t="shared" si="1"/>
        <v>%</v>
      </c>
      <c r="F222" s="60" t="str">
        <f t="shared" si="2"/>
        <v/>
      </c>
      <c r="G222" s="60" t="str">
        <f t="shared" si="3"/>
        <v/>
      </c>
      <c r="H222" s="60" t="str">
        <f>IFERROR(__xludf.DUMMYFUNCTION("IFERROR(GOOGLEFINANCE(A222,""PRICE""),)"),"")</f>
        <v/>
      </c>
      <c r="I222" s="61" t="str">
        <f>IFERROR(__xludf.DUMMYFUNCTION("IFERROR(GOOGLEFINANCE(A222,""VOLUME""),)"),"")</f>
        <v/>
      </c>
      <c r="J222" s="60" t="str">
        <f>IFERROR(__xludf.DUMMYFUNCTION("IFERROR(INDEX(SPLIT(A222,"":""),1,2),)"),"BKMINDST")</f>
        <v>BKMINDST</v>
      </c>
      <c r="K222" s="60" t="str">
        <f t="shared" si="4"/>
        <v/>
      </c>
      <c r="L222" s="60" t="str">
        <f t="shared" si="5"/>
        <v/>
      </c>
      <c r="M222" s="60" t="str">
        <f t="shared" si="6"/>
        <v/>
      </c>
      <c r="N222" s="62" t="str">
        <f>IFERROR(__xludf.DUMMYFUNCTION("IFERROR(GOOGLEFINANCE(A222,""TRADETIME""),)"),"")</f>
        <v/>
      </c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68" t="s">
        <v>269</v>
      </c>
      <c r="B223" s="64" t="str">
        <f>IFERROR(__xludf.DUMMYFUNCTION("IFERROR(GOOGLEFINANCE(A223,""NAME""),)"),"BLB Ltd")</f>
        <v>BLB Ltd</v>
      </c>
      <c r="C223" s="64">
        <f>IFERROR(__xludf.DUMMYFUNCTION("IFERROR(GOOGLEFINANCE(A223,""CHANGE""),)"),0.83)</f>
        <v>0.83</v>
      </c>
      <c r="D223" s="64">
        <f>IFERROR(__xludf.DUMMYFUNCTION("IFERROR(GOOGLEFINANCE(A223,""CHANGEPCT""),)"),4.95)</f>
        <v>4.95</v>
      </c>
      <c r="E223" s="64" t="str">
        <f t="shared" si="1"/>
        <v>4.95%</v>
      </c>
      <c r="F223" s="64">
        <f t="shared" si="2"/>
        <v>4.95</v>
      </c>
      <c r="G223" s="64" t="str">
        <f t="shared" si="3"/>
        <v/>
      </c>
      <c r="H223" s="64">
        <f>IFERROR(__xludf.DUMMYFUNCTION("IFERROR(GOOGLEFINANCE(A223,""PRICE""),)"),17.61)</f>
        <v>17.61</v>
      </c>
      <c r="I223" s="65">
        <f>IFERROR(__xludf.DUMMYFUNCTION("IFERROR(GOOGLEFINANCE(A223,""VOLUME""),)"),63267.0)</f>
        <v>63267</v>
      </c>
      <c r="J223" s="64" t="str">
        <f>IFERROR(__xludf.DUMMYFUNCTION("IFERROR(INDEX(SPLIT(A223,"":""),1,2),)"),"BLBLIMITED")</f>
        <v>BLBLIMITED</v>
      </c>
      <c r="K223" s="64">
        <f t="shared" si="4"/>
        <v>80</v>
      </c>
      <c r="L223" s="64" t="str">
        <f t="shared" si="5"/>
        <v/>
      </c>
      <c r="M223" s="64">
        <f t="shared" si="6"/>
        <v>868</v>
      </c>
      <c r="N223" s="66">
        <f>IFERROR(__xludf.DUMMYFUNCTION("IFERROR(GOOGLEFINANCE(A223,""TRADETIME""),)"),46086.64583333333)</f>
        <v>46086.64583</v>
      </c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67" t="s">
        <v>270</v>
      </c>
      <c r="B224" s="60" t="str">
        <f>IFERROR(__xludf.DUMMYFUNCTION("IFERROR(GOOGLEFINANCE(A224,""NAME""),)"),"Bliss GVS Pharma Ltd")</f>
        <v>Bliss GVS Pharma Ltd</v>
      </c>
      <c r="C224" s="60">
        <f>IFERROR(__xludf.DUMMYFUNCTION("IFERROR(GOOGLEFINANCE(A224,""CHANGE""),)"),1.19)</f>
        <v>1.19</v>
      </c>
      <c r="D224" s="60">
        <f>IFERROR(__xludf.DUMMYFUNCTION("IFERROR(GOOGLEFINANCE(A224,""CHANGEPCT""),)"),0.33)</f>
        <v>0.33</v>
      </c>
      <c r="E224" s="60" t="str">
        <f t="shared" si="1"/>
        <v>0.33%</v>
      </c>
      <c r="F224" s="60">
        <f t="shared" si="2"/>
        <v>0.33</v>
      </c>
      <c r="G224" s="60" t="str">
        <f t="shared" si="3"/>
        <v/>
      </c>
      <c r="H224" s="60">
        <f>IFERROR(__xludf.DUMMYFUNCTION("IFERROR(GOOGLEFINANCE(A224,""PRICE""),)"),216.33)</f>
        <v>216.33</v>
      </c>
      <c r="I224" s="61">
        <f>IFERROR(__xludf.DUMMYFUNCTION("IFERROR(GOOGLEFINANCE(A224,""VOLUME""),)"),1181620.0)</f>
        <v>1181620</v>
      </c>
      <c r="J224" s="60" t="str">
        <f>IFERROR(__xludf.DUMMYFUNCTION("IFERROR(INDEX(SPLIT(A224,"":""),1,2),)"),"BLISSGVS")</f>
        <v>BLISSGVS</v>
      </c>
      <c r="K224" s="60">
        <f t="shared" si="4"/>
        <v>920</v>
      </c>
      <c r="L224" s="60" t="str">
        <f t="shared" si="5"/>
        <v/>
      </c>
      <c r="M224" s="60">
        <f t="shared" si="6"/>
        <v>265</v>
      </c>
      <c r="N224" s="62">
        <f>IFERROR(__xludf.DUMMYFUNCTION("IFERROR(GOOGLEFINANCE(A224,""TRADETIME""),)"),46086.64583333333)</f>
        <v>46086.64583</v>
      </c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68" t="s">
        <v>271</v>
      </c>
      <c r="B225" s="64" t="str">
        <f>IFERROR(__xludf.DUMMYFUNCTION("IFERROR(GOOGLEFINANCE(A225,""NAME""),)"),"B L Kashyap and Sons Ltd")</f>
        <v>B L Kashyap and Sons Ltd</v>
      </c>
      <c r="C225" s="64">
        <f>IFERROR(__xludf.DUMMYFUNCTION("IFERROR(GOOGLEFINANCE(A225,""CHANGE""),)"),-0.36)</f>
        <v>-0.36</v>
      </c>
      <c r="D225" s="64">
        <f>IFERROR(__xludf.DUMMYFUNCTION("IFERROR(GOOGLEFINANCE(A225,""CHANGEPCT""),)"),-0.73)</f>
        <v>-0.73</v>
      </c>
      <c r="E225" s="64" t="str">
        <f t="shared" si="1"/>
        <v>-0.73%</v>
      </c>
      <c r="F225" s="64" t="str">
        <f t="shared" si="2"/>
        <v/>
      </c>
      <c r="G225" s="64">
        <f t="shared" si="3"/>
        <v>-0.73</v>
      </c>
      <c r="H225" s="64">
        <f>IFERROR(__xludf.DUMMYFUNCTION("IFERROR(GOOGLEFINANCE(A225,""PRICE""),)"),48.91)</f>
        <v>48.91</v>
      </c>
      <c r="I225" s="65">
        <f>IFERROR(__xludf.DUMMYFUNCTION("IFERROR(GOOGLEFINANCE(A225,""VOLUME""),)"),359077.0)</f>
        <v>359077</v>
      </c>
      <c r="J225" s="64" t="str">
        <f>IFERROR(__xludf.DUMMYFUNCTION("IFERROR(INDEX(SPLIT(A225,"":""),1,2),)"),"BLKASHYAP")</f>
        <v>BLKASHYAP</v>
      </c>
      <c r="K225" s="64" t="str">
        <f t="shared" si="4"/>
        <v/>
      </c>
      <c r="L225" s="64">
        <f t="shared" si="5"/>
        <v>174</v>
      </c>
      <c r="M225" s="64">
        <f t="shared" si="6"/>
        <v>474</v>
      </c>
      <c r="N225" s="66">
        <f>IFERROR(__xludf.DUMMYFUNCTION("IFERROR(GOOGLEFINANCE(A225,""TRADETIME""),)"),46086.63921296297)</f>
        <v>46086.63921</v>
      </c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67" t="s">
        <v>272</v>
      </c>
      <c r="B226" s="60" t="str">
        <f>IFERROR(__xludf.DUMMYFUNCTION("IFERROR(GOOGLEFINANCE(A226,""NAME""),)"),"BLS International Services Ltd")</f>
        <v>BLS International Services Ltd</v>
      </c>
      <c r="C226" s="60">
        <f>IFERROR(__xludf.DUMMYFUNCTION("IFERROR(GOOGLEFINANCE(A226,""CHANGE""),)"),1.15)</f>
        <v>1.15</v>
      </c>
      <c r="D226" s="60">
        <f>IFERROR(__xludf.DUMMYFUNCTION("IFERROR(GOOGLEFINANCE(A226,""CHANGEPCT""),)"),0.45)</f>
        <v>0.45</v>
      </c>
      <c r="E226" s="60" t="str">
        <f t="shared" si="1"/>
        <v>0.45%</v>
      </c>
      <c r="F226" s="60">
        <f t="shared" si="2"/>
        <v>0.45</v>
      </c>
      <c r="G226" s="60" t="str">
        <f t="shared" si="3"/>
        <v/>
      </c>
      <c r="H226" s="60">
        <f>IFERROR(__xludf.DUMMYFUNCTION("IFERROR(GOOGLEFINANCE(A226,""PRICE""),)"),260.2)</f>
        <v>260.2</v>
      </c>
      <c r="I226" s="61">
        <f>IFERROR(__xludf.DUMMYFUNCTION("IFERROR(GOOGLEFINANCE(A226,""VOLUME""),)"),731832.0)</f>
        <v>731832</v>
      </c>
      <c r="J226" s="60" t="str">
        <f>IFERROR(__xludf.DUMMYFUNCTION("IFERROR(INDEX(SPLIT(A226,"":""),1,2),)"),"BLS")</f>
        <v>BLS</v>
      </c>
      <c r="K226" s="60">
        <f t="shared" si="4"/>
        <v>893</v>
      </c>
      <c r="L226" s="60" t="str">
        <f t="shared" si="5"/>
        <v/>
      </c>
      <c r="M226" s="60">
        <f t="shared" si="6"/>
        <v>329</v>
      </c>
      <c r="N226" s="62">
        <f>IFERROR(__xludf.DUMMYFUNCTION("IFERROR(GOOGLEFINANCE(A226,""TRADETIME""),)"),46086.64583333333)</f>
        <v>46086.64583</v>
      </c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68" t="s">
        <v>273</v>
      </c>
      <c r="B227" s="64" t="str">
        <f>IFERROR(__xludf.DUMMYFUNCTION("IFERROR(GOOGLEFINANCE(A227,""NAME""),)"),"Blue Dart Express Ltd")</f>
        <v>Blue Dart Express Ltd</v>
      </c>
      <c r="C227" s="64">
        <f>IFERROR(__xludf.DUMMYFUNCTION("IFERROR(GOOGLEFINANCE(A227,""CHANGE""),)"),-15.0)</f>
        <v>-15</v>
      </c>
      <c r="D227" s="64">
        <f>IFERROR(__xludf.DUMMYFUNCTION("IFERROR(GOOGLEFINANCE(A227,""CHANGEPCT""),)"),-0.27)</f>
        <v>-0.27</v>
      </c>
      <c r="E227" s="64" t="str">
        <f t="shared" si="1"/>
        <v>-0.27%</v>
      </c>
      <c r="F227" s="64" t="str">
        <f t="shared" si="2"/>
        <v/>
      </c>
      <c r="G227" s="64">
        <f t="shared" si="3"/>
        <v>-0.27</v>
      </c>
      <c r="H227" s="64">
        <f>IFERROR(__xludf.DUMMYFUNCTION("IFERROR(GOOGLEFINANCE(A227,""PRICE""),)"),5452.0)</f>
        <v>5452</v>
      </c>
      <c r="I227" s="65">
        <f>IFERROR(__xludf.DUMMYFUNCTION("IFERROR(GOOGLEFINANCE(A227,""VOLUME""),)"),5107.0)</f>
        <v>5107</v>
      </c>
      <c r="J227" s="64" t="str">
        <f>IFERROR(__xludf.DUMMYFUNCTION("IFERROR(INDEX(SPLIT(A227,"":""),1,2),)"),"BLUEDART")</f>
        <v>BLUEDART</v>
      </c>
      <c r="K227" s="64" t="str">
        <f t="shared" si="4"/>
        <v/>
      </c>
      <c r="L227" s="64">
        <f t="shared" si="5"/>
        <v>70</v>
      </c>
      <c r="M227" s="64">
        <f t="shared" si="6"/>
        <v>1340</v>
      </c>
      <c r="N227" s="66">
        <f>IFERROR(__xludf.DUMMYFUNCTION("IFERROR(GOOGLEFINANCE(A227,""TRADETIME""),)"),46086.64583333333)</f>
        <v>46086.64583</v>
      </c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67" t="s">
        <v>274</v>
      </c>
      <c r="B228" s="60" t="str">
        <f>IFERROR(__xludf.DUMMYFUNCTION("IFERROR(GOOGLEFINANCE(A228,""NAME""),)"),"Blue Star Ltd")</f>
        <v>Blue Star Ltd</v>
      </c>
      <c r="C228" s="60">
        <f>IFERROR(__xludf.DUMMYFUNCTION("IFERROR(GOOGLEFINANCE(A228,""CHANGE""),)"),108.8)</f>
        <v>108.8</v>
      </c>
      <c r="D228" s="60">
        <f>IFERROR(__xludf.DUMMYFUNCTION("IFERROR(GOOGLEFINANCE(A228,""CHANGEPCT""),)"),5.4)</f>
        <v>5.4</v>
      </c>
      <c r="E228" s="60" t="str">
        <f t="shared" si="1"/>
        <v>5.4%</v>
      </c>
      <c r="F228" s="60">
        <f t="shared" si="2"/>
        <v>5.4</v>
      </c>
      <c r="G228" s="60" t="str">
        <f t="shared" si="3"/>
        <v/>
      </c>
      <c r="H228" s="60">
        <f>IFERROR(__xludf.DUMMYFUNCTION("IFERROR(GOOGLEFINANCE(A228,""PRICE""),)"),1952.4)</f>
        <v>1952.4</v>
      </c>
      <c r="I228" s="61">
        <f>IFERROR(__xludf.DUMMYFUNCTION("IFERROR(GOOGLEFINANCE(A228,""VOLUME""),)"),783634.0)</f>
        <v>783634</v>
      </c>
      <c r="J228" s="60" t="str">
        <f>IFERROR(__xludf.DUMMYFUNCTION("IFERROR(INDEX(SPLIT(A228,"":""),1,2),)"),"BLUESTARCO")</f>
        <v>BLUESTARCO</v>
      </c>
      <c r="K228" s="60">
        <f t="shared" si="4"/>
        <v>55</v>
      </c>
      <c r="L228" s="60" t="str">
        <f t="shared" si="5"/>
        <v/>
      </c>
      <c r="M228" s="60">
        <f t="shared" si="6"/>
        <v>321</v>
      </c>
      <c r="N228" s="62">
        <f>IFERROR(__xludf.DUMMYFUNCTION("IFERROR(GOOGLEFINANCE(A228,""TRADETIME""),)"),46086.64583333333)</f>
        <v>46086.64583</v>
      </c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68" t="s">
        <v>275</v>
      </c>
      <c r="B229" s="64" t="str">
        <f>IFERROR(__xludf.DUMMYFUNCTION("IFERROR(GOOGLEFINANCE(A229,""NAME""),)"),"Bodal Chemicals Ltd")</f>
        <v>Bodal Chemicals Ltd</v>
      </c>
      <c r="C229" s="64">
        <f>IFERROR(__xludf.DUMMYFUNCTION("IFERROR(GOOGLEFINANCE(A229,""CHANGE""),)"),-0.09)</f>
        <v>-0.09</v>
      </c>
      <c r="D229" s="64">
        <f>IFERROR(__xludf.DUMMYFUNCTION("IFERROR(GOOGLEFINANCE(A229,""CHANGEPCT""),)"),-0.2)</f>
        <v>-0.2</v>
      </c>
      <c r="E229" s="64" t="str">
        <f t="shared" si="1"/>
        <v>-0.2%</v>
      </c>
      <c r="F229" s="64" t="str">
        <f t="shared" si="2"/>
        <v/>
      </c>
      <c r="G229" s="64">
        <f t="shared" si="3"/>
        <v>-0.2</v>
      </c>
      <c r="H229" s="64">
        <f>IFERROR(__xludf.DUMMYFUNCTION("IFERROR(GOOGLEFINANCE(A229,""PRICE""),)"),44.8)</f>
        <v>44.8</v>
      </c>
      <c r="I229" s="65">
        <f>IFERROR(__xludf.DUMMYFUNCTION("IFERROR(GOOGLEFINANCE(A229,""VOLUME""),)"),209430.0)</f>
        <v>209430</v>
      </c>
      <c r="J229" s="64" t="str">
        <f>IFERROR(__xludf.DUMMYFUNCTION("IFERROR(INDEX(SPLIT(A229,"":""),1,2),)"),"BODALCHEM")</f>
        <v>BODALCHEM</v>
      </c>
      <c r="K229" s="64" t="str">
        <f t="shared" si="4"/>
        <v/>
      </c>
      <c r="L229" s="64">
        <f t="shared" si="5"/>
        <v>50</v>
      </c>
      <c r="M229" s="64">
        <f t="shared" si="6"/>
        <v>591</v>
      </c>
      <c r="N229" s="66">
        <f>IFERROR(__xludf.DUMMYFUNCTION("IFERROR(GOOGLEFINANCE(A229,""TRADETIME""),)"),46086.64583333333)</f>
        <v>46086.64583</v>
      </c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67" t="s">
        <v>276</v>
      </c>
      <c r="B230" s="60" t="str">
        <f>IFERROR(__xludf.DUMMYFUNCTION("IFERROR(GOOGLEFINANCE(A230,""NAME""),)"),"Bombay Dyeing and Mfg Co Ltd")</f>
        <v>Bombay Dyeing and Mfg Co Ltd</v>
      </c>
      <c r="C230" s="60">
        <f>IFERROR(__xludf.DUMMYFUNCTION("IFERROR(GOOGLEFINANCE(A230,""CHANGE""),)"),1.94)</f>
        <v>1.94</v>
      </c>
      <c r="D230" s="60">
        <f>IFERROR(__xludf.DUMMYFUNCTION("IFERROR(GOOGLEFINANCE(A230,""CHANGEPCT""),)"),1.8)</f>
        <v>1.8</v>
      </c>
      <c r="E230" s="60" t="str">
        <f t="shared" si="1"/>
        <v>1.8%</v>
      </c>
      <c r="F230" s="60">
        <f t="shared" si="2"/>
        <v>1.8</v>
      </c>
      <c r="G230" s="60" t="str">
        <f t="shared" si="3"/>
        <v/>
      </c>
      <c r="H230" s="60">
        <f>IFERROR(__xludf.DUMMYFUNCTION("IFERROR(GOOGLEFINANCE(A230,""PRICE""),)"),110.0)</f>
        <v>110</v>
      </c>
      <c r="I230" s="61">
        <f>IFERROR(__xludf.DUMMYFUNCTION("IFERROR(GOOGLEFINANCE(A230,""VOLUME""),)"),582846.0)</f>
        <v>582846</v>
      </c>
      <c r="J230" s="60" t="str">
        <f>IFERROR(__xludf.DUMMYFUNCTION("IFERROR(INDEX(SPLIT(A230,"":""),1,2),)"),"BOMDYEING")</f>
        <v>BOMDYEING</v>
      </c>
      <c r="K230" s="60">
        <f t="shared" si="4"/>
        <v>499</v>
      </c>
      <c r="L230" s="60" t="str">
        <f t="shared" si="5"/>
        <v/>
      </c>
      <c r="M230" s="60">
        <f t="shared" si="6"/>
        <v>374</v>
      </c>
      <c r="N230" s="62">
        <f>IFERROR(__xludf.DUMMYFUNCTION("IFERROR(GOOGLEFINANCE(A230,""TRADETIME""),)"),46086.64583333333)</f>
        <v>46086.64583</v>
      </c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68" t="s">
        <v>277</v>
      </c>
      <c r="B231" s="64" t="str">
        <f>IFERROR(__xludf.DUMMYFUNCTION("IFERROR(GOOGLEFINANCE(A231,""NAME""),)"),"Borosil Ltd")</f>
        <v>Borosil Ltd</v>
      </c>
      <c r="C231" s="64">
        <f>IFERROR(__xludf.DUMMYFUNCTION("IFERROR(GOOGLEFINANCE(A231,""CHANGE""),)"),1.82)</f>
        <v>1.82</v>
      </c>
      <c r="D231" s="64">
        <f>IFERROR(__xludf.DUMMYFUNCTION("IFERROR(GOOGLEFINANCE(A231,""CHANGEPCT""),)"),0.79)</f>
        <v>0.79</v>
      </c>
      <c r="E231" s="64" t="str">
        <f t="shared" si="1"/>
        <v>0.79%</v>
      </c>
      <c r="F231" s="64">
        <f t="shared" si="2"/>
        <v>0.79</v>
      </c>
      <c r="G231" s="64" t="str">
        <f t="shared" si="3"/>
        <v/>
      </c>
      <c r="H231" s="64">
        <f>IFERROR(__xludf.DUMMYFUNCTION("IFERROR(GOOGLEFINANCE(A231,""PRICE""),)"),231.0)</f>
        <v>231</v>
      </c>
      <c r="I231" s="65">
        <f>IFERROR(__xludf.DUMMYFUNCTION("IFERROR(GOOGLEFINANCE(A231,""VOLUME""),)"),42606.0)</f>
        <v>42606</v>
      </c>
      <c r="J231" s="64" t="str">
        <f>IFERROR(__xludf.DUMMYFUNCTION("IFERROR(INDEX(SPLIT(A231,"":""),1,2),)"),"BOROLTD")</f>
        <v>BOROLTD</v>
      </c>
      <c r="K231" s="64">
        <f t="shared" si="4"/>
        <v>785</v>
      </c>
      <c r="L231" s="64" t="str">
        <f t="shared" si="5"/>
        <v/>
      </c>
      <c r="M231" s="64">
        <f t="shared" si="6"/>
        <v>979</v>
      </c>
      <c r="N231" s="66">
        <f>IFERROR(__xludf.DUMMYFUNCTION("IFERROR(GOOGLEFINANCE(A231,""TRADETIME""),)"),46086.64583333333)</f>
        <v>46086.64583</v>
      </c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67" t="s">
        <v>278</v>
      </c>
      <c r="B232" s="60" t="str">
        <f>IFERROR(__xludf.DUMMYFUNCTION("IFERROR(GOOGLEFINANCE(A232,""NAME""),)"),"Borosil Renewables Ltd")</f>
        <v>Borosil Renewables Ltd</v>
      </c>
      <c r="C232" s="60">
        <f>IFERROR(__xludf.DUMMYFUNCTION("IFERROR(GOOGLEFINANCE(A232,""CHANGE""),)"),7.1)</f>
        <v>7.1</v>
      </c>
      <c r="D232" s="60">
        <f>IFERROR(__xludf.DUMMYFUNCTION("IFERROR(GOOGLEFINANCE(A232,""CHANGEPCT""),)"),1.63)</f>
        <v>1.63</v>
      </c>
      <c r="E232" s="60" t="str">
        <f t="shared" si="1"/>
        <v>1.63%</v>
      </c>
      <c r="F232" s="60">
        <f t="shared" si="2"/>
        <v>1.63</v>
      </c>
      <c r="G232" s="60" t="str">
        <f t="shared" si="3"/>
        <v/>
      </c>
      <c r="H232" s="60">
        <f>IFERROR(__xludf.DUMMYFUNCTION("IFERROR(GOOGLEFINANCE(A232,""PRICE""),)"),441.9)</f>
        <v>441.9</v>
      </c>
      <c r="I232" s="61">
        <f>IFERROR(__xludf.DUMMYFUNCTION("IFERROR(GOOGLEFINANCE(A232,""VOLUME""),)"),475264.0)</f>
        <v>475264</v>
      </c>
      <c r="J232" s="60" t="str">
        <f>IFERROR(__xludf.DUMMYFUNCTION("IFERROR(INDEX(SPLIT(A232,"":""),1,2),)"),"BORORENEW")</f>
        <v>BORORENEW</v>
      </c>
      <c r="K232" s="60">
        <f t="shared" si="4"/>
        <v>533</v>
      </c>
      <c r="L232" s="60" t="str">
        <f t="shared" si="5"/>
        <v/>
      </c>
      <c r="M232" s="60">
        <f t="shared" si="6"/>
        <v>408</v>
      </c>
      <c r="N232" s="62">
        <f>IFERROR(__xludf.DUMMYFUNCTION("IFERROR(GOOGLEFINANCE(A232,""TRADETIME""),)"),46086.64585648148)</f>
        <v>46086.64586</v>
      </c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68" t="s">
        <v>279</v>
      </c>
      <c r="B233" s="64" t="str">
        <f>IFERROR(__xludf.DUMMYFUNCTION("IFERROR(GOOGLEFINANCE(A233,""NAME""),)"),"Bosch Ltd")</f>
        <v>Bosch Ltd</v>
      </c>
      <c r="C233" s="64">
        <f>IFERROR(__xludf.DUMMYFUNCTION("IFERROR(GOOGLEFINANCE(A233,""CHANGE""),)"),-85.0)</f>
        <v>-85</v>
      </c>
      <c r="D233" s="64">
        <f>IFERROR(__xludf.DUMMYFUNCTION("IFERROR(GOOGLEFINANCE(A233,""CHANGEPCT""),)"),-0.25)</f>
        <v>-0.25</v>
      </c>
      <c r="E233" s="64" t="str">
        <f t="shared" si="1"/>
        <v>-0.25%</v>
      </c>
      <c r="F233" s="64" t="str">
        <f t="shared" si="2"/>
        <v/>
      </c>
      <c r="G233" s="64">
        <f t="shared" si="3"/>
        <v>-0.25</v>
      </c>
      <c r="H233" s="64">
        <f>IFERROR(__xludf.DUMMYFUNCTION("IFERROR(GOOGLEFINANCE(A233,""PRICE""),)"),33305.0)</f>
        <v>33305</v>
      </c>
      <c r="I233" s="65">
        <f>IFERROR(__xludf.DUMMYFUNCTION("IFERROR(GOOGLEFINANCE(A233,""VOLUME""),)"),22631.0)</f>
        <v>22631</v>
      </c>
      <c r="J233" s="64" t="str">
        <f>IFERROR(__xludf.DUMMYFUNCTION("IFERROR(INDEX(SPLIT(A233,"":""),1,2),)"),"BOSCHLTD")</f>
        <v>BOSCHLTD</v>
      </c>
      <c r="K233" s="64" t="str">
        <f t="shared" si="4"/>
        <v/>
      </c>
      <c r="L233" s="64">
        <f t="shared" si="5"/>
        <v>64</v>
      </c>
      <c r="M233" s="64">
        <f t="shared" si="6"/>
        <v>1119</v>
      </c>
      <c r="N233" s="66">
        <f>IFERROR(__xludf.DUMMYFUNCTION("IFERROR(GOOGLEFINANCE(A233,""TRADETIME""),)"),46086.64583333333)</f>
        <v>46086.64583</v>
      </c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67" t="s">
        <v>280</v>
      </c>
      <c r="B234" s="60" t="str">
        <f>IFERROR(__xludf.DUMMYFUNCTION("IFERROR(GOOGLEFINANCE(A234,""NAME""),)"),"Bharat Petroleum Corporation Ltd")</f>
        <v>Bharat Petroleum Corporation Ltd</v>
      </c>
      <c r="C234" s="60">
        <f>IFERROR(__xludf.DUMMYFUNCTION("IFERROR(GOOGLEFINANCE(A234,""CHANGE""),)"),4.1)</f>
        <v>4.1</v>
      </c>
      <c r="D234" s="60">
        <f>IFERROR(__xludf.DUMMYFUNCTION("IFERROR(GOOGLEFINANCE(A234,""CHANGEPCT""),)"),1.15)</f>
        <v>1.15</v>
      </c>
      <c r="E234" s="60" t="str">
        <f t="shared" si="1"/>
        <v>1.15%</v>
      </c>
      <c r="F234" s="60">
        <f t="shared" si="2"/>
        <v>1.15</v>
      </c>
      <c r="G234" s="60" t="str">
        <f t="shared" si="3"/>
        <v/>
      </c>
      <c r="H234" s="60">
        <f>IFERROR(__xludf.DUMMYFUNCTION("IFERROR(GOOGLEFINANCE(A234,""PRICE""),)"),360.5)</f>
        <v>360.5</v>
      </c>
      <c r="I234" s="61">
        <f>IFERROR(__xludf.DUMMYFUNCTION("IFERROR(GOOGLEFINANCE(A234,""VOLUME""),)"),1.2169018E7)</f>
        <v>12169018</v>
      </c>
      <c r="J234" s="60" t="str">
        <f>IFERROR(__xludf.DUMMYFUNCTION("IFERROR(INDEX(SPLIT(A234,"":""),1,2),)"),"BPCL")</f>
        <v>BPCL</v>
      </c>
      <c r="K234" s="60">
        <f t="shared" si="4"/>
        <v>677</v>
      </c>
      <c r="L234" s="60" t="str">
        <f t="shared" si="5"/>
        <v/>
      </c>
      <c r="M234" s="60">
        <f t="shared" si="6"/>
        <v>49</v>
      </c>
      <c r="N234" s="62">
        <f>IFERROR(__xludf.DUMMYFUNCTION("IFERROR(GOOGLEFINANCE(A234,""TRADETIME""),)"),46086.64583333333)</f>
        <v>46086.64583</v>
      </c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68" t="s">
        <v>281</v>
      </c>
      <c r="B235" s="64" t="str">
        <f>IFERROR(__xludf.DUMMYFUNCTION("IFERROR(GOOGLEFINANCE(A235,""NAME""),)"),"BPL Ltd")</f>
        <v>BPL Ltd</v>
      </c>
      <c r="C235" s="64">
        <f>IFERROR(__xludf.DUMMYFUNCTION("IFERROR(GOOGLEFINANCE(A235,""CHANGE""),)"),0.98)</f>
        <v>0.98</v>
      </c>
      <c r="D235" s="64">
        <f>IFERROR(__xludf.DUMMYFUNCTION("IFERROR(GOOGLEFINANCE(A235,""CHANGEPCT""),)"),1.86)</f>
        <v>1.86</v>
      </c>
      <c r="E235" s="64" t="str">
        <f t="shared" si="1"/>
        <v>1.86%</v>
      </c>
      <c r="F235" s="64">
        <f t="shared" si="2"/>
        <v>1.86</v>
      </c>
      <c r="G235" s="64" t="str">
        <f t="shared" si="3"/>
        <v/>
      </c>
      <c r="H235" s="64">
        <f>IFERROR(__xludf.DUMMYFUNCTION("IFERROR(GOOGLEFINANCE(A235,""PRICE""),)"),53.99)</f>
        <v>53.99</v>
      </c>
      <c r="I235" s="65">
        <f>IFERROR(__xludf.DUMMYFUNCTION("IFERROR(GOOGLEFINANCE(A235,""VOLUME""),)"),33225.0)</f>
        <v>33225</v>
      </c>
      <c r="J235" s="64" t="str">
        <f>IFERROR(__xludf.DUMMYFUNCTION("IFERROR(INDEX(SPLIT(A235,"":""),1,2),)"),"BPL")</f>
        <v>BPL</v>
      </c>
      <c r="K235" s="64">
        <f t="shared" si="4"/>
        <v>473</v>
      </c>
      <c r="L235" s="64" t="str">
        <f t="shared" si="5"/>
        <v/>
      </c>
      <c r="M235" s="64">
        <f t="shared" si="6"/>
        <v>1031</v>
      </c>
      <c r="N235" s="66">
        <f>IFERROR(__xludf.DUMMYFUNCTION("IFERROR(GOOGLEFINANCE(A235,""TRADETIME""),)"),46086.64583333333)</f>
        <v>46086.64583</v>
      </c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67" t="s">
        <v>282</v>
      </c>
      <c r="B236" s="60" t="str">
        <f>IFERROR(__xludf.DUMMYFUNCTION("IFERROR(GOOGLEFINANCE(A236,""NAME""),)"),"Brigade Enterprises Limited")</f>
        <v>Brigade Enterprises Limited</v>
      </c>
      <c r="C236" s="60">
        <f>IFERROR(__xludf.DUMMYFUNCTION("IFERROR(GOOGLEFINANCE(A236,""CHANGE""),)"),19.1)</f>
        <v>19.1</v>
      </c>
      <c r="D236" s="60">
        <f>IFERROR(__xludf.DUMMYFUNCTION("IFERROR(GOOGLEFINANCE(A236,""CHANGEPCT""),)"),2.91)</f>
        <v>2.91</v>
      </c>
      <c r="E236" s="60" t="str">
        <f t="shared" si="1"/>
        <v>2.91%</v>
      </c>
      <c r="F236" s="60">
        <f t="shared" si="2"/>
        <v>2.91</v>
      </c>
      <c r="G236" s="60" t="str">
        <f t="shared" si="3"/>
        <v/>
      </c>
      <c r="H236" s="60">
        <f>IFERROR(__xludf.DUMMYFUNCTION("IFERROR(GOOGLEFINANCE(A236,""PRICE""),)"),675.0)</f>
        <v>675</v>
      </c>
      <c r="I236" s="61">
        <f>IFERROR(__xludf.DUMMYFUNCTION("IFERROR(GOOGLEFINANCE(A236,""VOLUME""),)"),292012.0)</f>
        <v>292012</v>
      </c>
      <c r="J236" s="60" t="str">
        <f>IFERROR(__xludf.DUMMYFUNCTION("IFERROR(INDEX(SPLIT(A236,"":""),1,2),)"),"BRIGADE")</f>
        <v>BRIGADE</v>
      </c>
      <c r="K236" s="60">
        <f t="shared" si="4"/>
        <v>273</v>
      </c>
      <c r="L236" s="60" t="str">
        <f t="shared" si="5"/>
        <v/>
      </c>
      <c r="M236" s="60">
        <f t="shared" si="6"/>
        <v>513</v>
      </c>
      <c r="N236" s="62">
        <f>IFERROR(__xludf.DUMMYFUNCTION("IFERROR(GOOGLEFINANCE(A236,""TRADETIME""),)"),46086.64025462963)</f>
        <v>46086.64025</v>
      </c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68" t="s">
        <v>283</v>
      </c>
      <c r="B237" s="64" t="str">
        <f>IFERROR(__xludf.DUMMYFUNCTION("IFERROR(GOOGLEFINANCE(A237,""NAME""),)"),"Britannia Industries Ltd")</f>
        <v>Britannia Industries Ltd</v>
      </c>
      <c r="C237" s="64">
        <f>IFERROR(__xludf.DUMMYFUNCTION("IFERROR(GOOGLEFINANCE(A237,""CHANGE""),)"),64.5)</f>
        <v>64.5</v>
      </c>
      <c r="D237" s="64">
        <f>IFERROR(__xludf.DUMMYFUNCTION("IFERROR(GOOGLEFINANCE(A237,""CHANGEPCT""),)"),1.1)</f>
        <v>1.1</v>
      </c>
      <c r="E237" s="64" t="str">
        <f t="shared" si="1"/>
        <v>1.1%</v>
      </c>
      <c r="F237" s="64">
        <f t="shared" si="2"/>
        <v>1.1</v>
      </c>
      <c r="G237" s="64" t="str">
        <f t="shared" si="3"/>
        <v/>
      </c>
      <c r="H237" s="64">
        <f>IFERROR(__xludf.DUMMYFUNCTION("IFERROR(GOOGLEFINANCE(A237,""PRICE""),)"),5954.0)</f>
        <v>5954</v>
      </c>
      <c r="I237" s="65">
        <f>IFERROR(__xludf.DUMMYFUNCTION("IFERROR(GOOGLEFINANCE(A237,""VOLUME""),)"),201069.0)</f>
        <v>201069</v>
      </c>
      <c r="J237" s="64" t="str">
        <f>IFERROR(__xludf.DUMMYFUNCTION("IFERROR(INDEX(SPLIT(A237,"":""),1,2),)"),"BRITANNIA")</f>
        <v>BRITANNIA</v>
      </c>
      <c r="K237" s="64">
        <f t="shared" si="4"/>
        <v>688</v>
      </c>
      <c r="L237" s="64" t="str">
        <f t="shared" si="5"/>
        <v/>
      </c>
      <c r="M237" s="64">
        <f t="shared" si="6"/>
        <v>604</v>
      </c>
      <c r="N237" s="66">
        <f>IFERROR(__xludf.DUMMYFUNCTION("IFERROR(GOOGLEFINANCE(A237,""TRADETIME""),)"),46086.64583333333)</f>
        <v>46086.64583</v>
      </c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67" t="s">
        <v>284</v>
      </c>
      <c r="B238" s="60" t="str">
        <f>IFERROR(__xludf.DUMMYFUNCTION("IFERROR(GOOGLEFINANCE(A238,""NAME""),)"),"Bharat Road Network Ltd")</f>
        <v>Bharat Road Network Ltd</v>
      </c>
      <c r="C238" s="60">
        <f>IFERROR(__xludf.DUMMYFUNCTION("IFERROR(GOOGLEFINANCE(A238,""CHANGE""),)"),-0.07)</f>
        <v>-0.07</v>
      </c>
      <c r="D238" s="60">
        <f>IFERROR(__xludf.DUMMYFUNCTION("IFERROR(GOOGLEFINANCE(A238,""CHANGEPCT""),)"),-0.38)</f>
        <v>-0.38</v>
      </c>
      <c r="E238" s="60" t="str">
        <f t="shared" si="1"/>
        <v>-0.38%</v>
      </c>
      <c r="F238" s="60" t="str">
        <f t="shared" si="2"/>
        <v/>
      </c>
      <c r="G238" s="60">
        <f t="shared" si="3"/>
        <v>-0.38</v>
      </c>
      <c r="H238" s="60">
        <f>IFERROR(__xludf.DUMMYFUNCTION("IFERROR(GOOGLEFINANCE(A238,""PRICE""),)"),18.3)</f>
        <v>18.3</v>
      </c>
      <c r="I238" s="61">
        <f>IFERROR(__xludf.DUMMYFUNCTION("IFERROR(GOOGLEFINANCE(A238,""VOLUME""),)"),46138.0)</f>
        <v>46138</v>
      </c>
      <c r="J238" s="60" t="str">
        <f>IFERROR(__xludf.DUMMYFUNCTION("IFERROR(INDEX(SPLIT(A238,"":""),1,2),)"),"BRNL")</f>
        <v>BRNL</v>
      </c>
      <c r="K238" s="60" t="str">
        <f t="shared" si="4"/>
        <v/>
      </c>
      <c r="L238" s="60">
        <f t="shared" si="5"/>
        <v>90</v>
      </c>
      <c r="M238" s="60">
        <f t="shared" si="6"/>
        <v>960</v>
      </c>
      <c r="N238" s="62">
        <f>IFERROR(__xludf.DUMMYFUNCTION("IFERROR(GOOGLEFINANCE(A238,""TRADETIME""),)"),46086.64583333333)</f>
        <v>46086.64583</v>
      </c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68" t="s">
        <v>285</v>
      </c>
      <c r="B239" s="64" t="str">
        <f>IFERROR(__xludf.DUMMYFUNCTION("IFERROR(GOOGLEFINANCE(A239,""NAME""),)"),"Brooks Laboratories Ltd")</f>
        <v>Brooks Laboratories Ltd</v>
      </c>
      <c r="C239" s="64">
        <f>IFERROR(__xludf.DUMMYFUNCTION("IFERROR(GOOGLEFINANCE(A239,""CHANGE""),)"),-0.48)</f>
        <v>-0.48</v>
      </c>
      <c r="D239" s="64">
        <f>IFERROR(__xludf.DUMMYFUNCTION("IFERROR(GOOGLEFINANCE(A239,""CHANGEPCT""),)"),-0.78)</f>
        <v>-0.78</v>
      </c>
      <c r="E239" s="64" t="str">
        <f t="shared" si="1"/>
        <v>-0.78%</v>
      </c>
      <c r="F239" s="64" t="str">
        <f t="shared" si="2"/>
        <v/>
      </c>
      <c r="G239" s="64">
        <f t="shared" si="3"/>
        <v>-0.78</v>
      </c>
      <c r="H239" s="64">
        <f>IFERROR(__xludf.DUMMYFUNCTION("IFERROR(GOOGLEFINANCE(A239,""PRICE""),)"),61.32)</f>
        <v>61.32</v>
      </c>
      <c r="I239" s="65">
        <f>IFERROR(__xludf.DUMMYFUNCTION("IFERROR(GOOGLEFINANCE(A239,""VOLUME""),)"),61340.0)</f>
        <v>61340</v>
      </c>
      <c r="J239" s="64" t="str">
        <f>IFERROR(__xludf.DUMMYFUNCTION("IFERROR(INDEX(SPLIT(A239,"":""),1,2),)"),"BROOKS")</f>
        <v>BROOKS</v>
      </c>
      <c r="K239" s="64" t="str">
        <f t="shared" si="4"/>
        <v/>
      </c>
      <c r="L239" s="64">
        <f t="shared" si="5"/>
        <v>178</v>
      </c>
      <c r="M239" s="64">
        <f t="shared" si="6"/>
        <v>875</v>
      </c>
      <c r="N239" s="66">
        <f>IFERROR(__xludf.DUMMYFUNCTION("IFERROR(GOOGLEFINANCE(A239,""TRADETIME""),)"),46086.64583333333)</f>
        <v>46086.64583</v>
      </c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67" t="s">
        <v>286</v>
      </c>
      <c r="B240" s="60" t="str">
        <f>IFERROR(__xludf.DUMMYFUNCTION("IFERROR(GOOGLEFINANCE(A240,""NAME""),)"),"BSE Ltd")</f>
        <v>BSE Ltd</v>
      </c>
      <c r="C240" s="60">
        <f>IFERROR(__xludf.DUMMYFUNCTION("IFERROR(GOOGLEFINANCE(A240,""CHANGE""),)"),144.1)</f>
        <v>144.1</v>
      </c>
      <c r="D240" s="60">
        <f>IFERROR(__xludf.DUMMYFUNCTION("IFERROR(GOOGLEFINANCE(A240,""CHANGEPCT""),)"),5.49)</f>
        <v>5.49</v>
      </c>
      <c r="E240" s="60" t="str">
        <f t="shared" si="1"/>
        <v>5.49%</v>
      </c>
      <c r="F240" s="60">
        <f t="shared" si="2"/>
        <v>5.49</v>
      </c>
      <c r="G240" s="60" t="str">
        <f t="shared" si="3"/>
        <v/>
      </c>
      <c r="H240" s="60">
        <f>IFERROR(__xludf.DUMMYFUNCTION("IFERROR(GOOGLEFINANCE(A240,""PRICE""),)"),2771.0)</f>
        <v>2771</v>
      </c>
      <c r="I240" s="61">
        <f>IFERROR(__xludf.DUMMYFUNCTION("IFERROR(GOOGLEFINANCE(A240,""VOLUME""),)"),7463626.0)</f>
        <v>7463626</v>
      </c>
      <c r="J240" s="60" t="str">
        <f>IFERROR(__xludf.DUMMYFUNCTION("IFERROR(INDEX(SPLIT(A240,"":""),1,2),)"),"BSE")</f>
        <v>BSE</v>
      </c>
      <c r="K240" s="60">
        <f t="shared" si="4"/>
        <v>52</v>
      </c>
      <c r="L240" s="60" t="str">
        <f t="shared" si="5"/>
        <v/>
      </c>
      <c r="M240" s="60">
        <f t="shared" si="6"/>
        <v>79</v>
      </c>
      <c r="N240" s="62">
        <f>IFERROR(__xludf.DUMMYFUNCTION("IFERROR(GOOGLEFINANCE(A240,""TRADETIME""),)"),46086.64583333333)</f>
        <v>46086.64583</v>
      </c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68" t="s">
        <v>287</v>
      </c>
      <c r="B241" s="64" t="str">
        <f>IFERROR(__xludf.DUMMYFUNCTION("IFERROR(GOOGLEFINANCE(A241,""NAME""),)"),"Bombay Super Hybrid Seeds Ltd")</f>
        <v>Bombay Super Hybrid Seeds Ltd</v>
      </c>
      <c r="C241" s="64">
        <f>IFERROR(__xludf.DUMMYFUNCTION("IFERROR(GOOGLEFINANCE(A241,""CHANGE""),)"),0.41)</f>
        <v>0.41</v>
      </c>
      <c r="D241" s="64">
        <f>IFERROR(__xludf.DUMMYFUNCTION("IFERROR(GOOGLEFINANCE(A241,""CHANGEPCT""),)"),0.49)</f>
        <v>0.49</v>
      </c>
      <c r="E241" s="64" t="str">
        <f t="shared" si="1"/>
        <v>0.49%</v>
      </c>
      <c r="F241" s="64">
        <f t="shared" si="2"/>
        <v>0.49</v>
      </c>
      <c r="G241" s="64" t="str">
        <f t="shared" si="3"/>
        <v/>
      </c>
      <c r="H241" s="64">
        <f>IFERROR(__xludf.DUMMYFUNCTION("IFERROR(GOOGLEFINANCE(A241,""PRICE""),)"),84.25)</f>
        <v>84.25</v>
      </c>
      <c r="I241" s="65">
        <f>IFERROR(__xludf.DUMMYFUNCTION("IFERROR(GOOGLEFINANCE(A241,""VOLUME""),)"),9565.0)</f>
        <v>9565</v>
      </c>
      <c r="J241" s="64" t="str">
        <f>IFERROR(__xludf.DUMMYFUNCTION("IFERROR(INDEX(SPLIT(A241,"":""),1,2),)"),"BSHSL")</f>
        <v>BSHSL</v>
      </c>
      <c r="K241" s="64">
        <f t="shared" si="4"/>
        <v>882</v>
      </c>
      <c r="L241" s="64" t="str">
        <f t="shared" si="5"/>
        <v/>
      </c>
      <c r="M241" s="64">
        <f t="shared" si="6"/>
        <v>1268</v>
      </c>
      <c r="N241" s="66">
        <f>IFERROR(__xludf.DUMMYFUNCTION("IFERROR(GOOGLEFINANCE(A241,""TRADETIME""),)"),46086.64583333333)</f>
        <v>46086.64583</v>
      </c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67" t="s">
        <v>288</v>
      </c>
      <c r="B242" s="60" t="str">
        <f>IFERROR(__xludf.DUMMYFUNCTION("IFERROR(GOOGLEFINANCE(A242,""NAME""),)"),"BSL Ltd")</f>
        <v>BSL Ltd</v>
      </c>
      <c r="C242" s="60">
        <f>IFERROR(__xludf.DUMMYFUNCTION("IFERROR(GOOGLEFINANCE(A242,""CHANGE""),)"),-3.19)</f>
        <v>-3.19</v>
      </c>
      <c r="D242" s="60">
        <f>IFERROR(__xludf.DUMMYFUNCTION("IFERROR(GOOGLEFINANCE(A242,""CHANGEPCT""),)"),-0.9)</f>
        <v>-0.9</v>
      </c>
      <c r="E242" s="60" t="str">
        <f t="shared" si="1"/>
        <v>-0.9%</v>
      </c>
      <c r="F242" s="60" t="str">
        <f t="shared" si="2"/>
        <v/>
      </c>
      <c r="G242" s="60">
        <f t="shared" si="3"/>
        <v>-0.9</v>
      </c>
      <c r="H242" s="60">
        <f>IFERROR(__xludf.DUMMYFUNCTION("IFERROR(GOOGLEFINANCE(A242,""PRICE""),)"),121.33)</f>
        <v>121.33</v>
      </c>
      <c r="I242" s="61">
        <f>IFERROR(__xludf.DUMMYFUNCTION("IFERROR(GOOGLEFINANCE(A242,""VOLUME""),)"),4475.0)</f>
        <v>4475</v>
      </c>
      <c r="J242" s="60" t="str">
        <f>IFERROR(__xludf.DUMMYFUNCTION("IFERROR(INDEX(SPLIT(A242,"":""),1,2),)"),"BSL")</f>
        <v>BSL</v>
      </c>
      <c r="K242" s="60" t="str">
        <f t="shared" si="4"/>
        <v/>
      </c>
      <c r="L242" s="60">
        <f t="shared" si="5"/>
        <v>199</v>
      </c>
      <c r="M242" s="60">
        <f t="shared" si="6"/>
        <v>1361</v>
      </c>
      <c r="N242" s="62">
        <f>IFERROR(__xludf.DUMMYFUNCTION("IFERROR(GOOGLEFINANCE(A242,""TRADETIME""),)"),46086.64583333333)</f>
        <v>46086.64583</v>
      </c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68" t="s">
        <v>289</v>
      </c>
      <c r="B243" s="64" t="str">
        <f>IFERROR(__xludf.DUMMYFUNCTION("IFERROR(GOOGLEFINANCE(A243,""NAME""),)"),"Birlasoft Ltd")</f>
        <v>Birlasoft Ltd</v>
      </c>
      <c r="C243" s="64">
        <f>IFERROR(__xludf.DUMMYFUNCTION("IFERROR(GOOGLEFINANCE(A243,""CHANGE""),)"),-4.55)</f>
        <v>-4.55</v>
      </c>
      <c r="D243" s="64">
        <f>IFERROR(__xludf.DUMMYFUNCTION("IFERROR(GOOGLEFINANCE(A243,""CHANGEPCT""),)"),-1.47)</f>
        <v>-1.47</v>
      </c>
      <c r="E243" s="64" t="str">
        <f t="shared" si="1"/>
        <v>-1.47%</v>
      </c>
      <c r="F243" s="64" t="str">
        <f t="shared" si="2"/>
        <v/>
      </c>
      <c r="G243" s="64">
        <f t="shared" si="3"/>
        <v>-1.47</v>
      </c>
      <c r="H243" s="64">
        <f>IFERROR(__xludf.DUMMYFUNCTION("IFERROR(GOOGLEFINANCE(A243,""PRICE""),)"),378.45)</f>
        <v>378.45</v>
      </c>
      <c r="I243" s="65">
        <f>IFERROR(__xludf.DUMMYFUNCTION("IFERROR(GOOGLEFINANCE(A243,""VOLUME""),)"),842755.0)</f>
        <v>842755</v>
      </c>
      <c r="J243" s="64" t="str">
        <f>IFERROR(__xludf.DUMMYFUNCTION("IFERROR(INDEX(SPLIT(A243,"":""),1,2),)"),"BSOFT")</f>
        <v>BSOFT</v>
      </c>
      <c r="K243" s="64" t="str">
        <f t="shared" si="4"/>
        <v/>
      </c>
      <c r="L243" s="64">
        <f t="shared" si="5"/>
        <v>286</v>
      </c>
      <c r="M243" s="64">
        <f t="shared" si="6"/>
        <v>310</v>
      </c>
      <c r="N243" s="66">
        <f>IFERROR(__xludf.DUMMYFUNCTION("IFERROR(GOOGLEFINANCE(A243,""TRADETIME""),)"),46086.64583333333)</f>
        <v>46086.64583</v>
      </c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67" t="s">
        <v>290</v>
      </c>
      <c r="B244" s="60" t="str">
        <f>IFERROR(__xludf.DUMMYFUNCTION("IFERROR(GOOGLEFINANCE(A244,""NAME""),)"),"Restaurant Brands Asia Ltd")</f>
        <v>Restaurant Brands Asia Ltd</v>
      </c>
      <c r="C244" s="60">
        <f>IFERROR(__xludf.DUMMYFUNCTION("IFERROR(GOOGLEFINANCE(A244,""CHANGE""),)"),0.37)</f>
        <v>0.37</v>
      </c>
      <c r="D244" s="60">
        <f>IFERROR(__xludf.DUMMYFUNCTION("IFERROR(GOOGLEFINANCE(A244,""CHANGEPCT""),)"),0.59)</f>
        <v>0.59</v>
      </c>
      <c r="E244" s="60" t="str">
        <f t="shared" si="1"/>
        <v>0.59%</v>
      </c>
      <c r="F244" s="60">
        <f t="shared" si="2"/>
        <v>0.59</v>
      </c>
      <c r="G244" s="60" t="str">
        <f t="shared" si="3"/>
        <v/>
      </c>
      <c r="H244" s="60">
        <f>IFERROR(__xludf.DUMMYFUNCTION("IFERROR(GOOGLEFINANCE(A244,""PRICE""),)"),63.33)</f>
        <v>63.33</v>
      </c>
      <c r="I244" s="61">
        <f>IFERROR(__xludf.DUMMYFUNCTION("IFERROR(GOOGLEFINANCE(A244,""VOLUME""),)"),1305668.0)</f>
        <v>1305668</v>
      </c>
      <c r="J244" s="60" t="str">
        <f>IFERROR(__xludf.DUMMYFUNCTION("IFERROR(INDEX(SPLIT(A244,"":""),1,2),)"),"RBA")</f>
        <v>RBA</v>
      </c>
      <c r="K244" s="60">
        <f t="shared" si="4"/>
        <v>848</v>
      </c>
      <c r="L244" s="60" t="str">
        <f t="shared" si="5"/>
        <v/>
      </c>
      <c r="M244" s="60">
        <f t="shared" si="6"/>
        <v>255</v>
      </c>
      <c r="N244" s="62">
        <f>IFERROR(__xludf.DUMMYFUNCTION("IFERROR(GOOGLEFINANCE(A244,""TRADETIME""),)"),46086.64583333333)</f>
        <v>46086.64583</v>
      </c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68" t="s">
        <v>291</v>
      </c>
      <c r="B245" s="64" t="str">
        <f>IFERROR(__xludf.DUMMYFUNCTION("IFERROR(GOOGLEFINANCE(A245,""NAME""),)"),"")</f>
        <v/>
      </c>
      <c r="C245" s="64" t="str">
        <f>IFERROR(__xludf.DUMMYFUNCTION("IFERROR(GOOGLEFINANCE(A245,""CHANGE""),)"),"")</f>
        <v/>
      </c>
      <c r="D245" s="64" t="str">
        <f>IFERROR(__xludf.DUMMYFUNCTION("IFERROR(GOOGLEFINANCE(A245,""CHANGEPCT""),)"),"")</f>
        <v/>
      </c>
      <c r="E245" s="64" t="str">
        <f t="shared" si="1"/>
        <v>%</v>
      </c>
      <c r="F245" s="64" t="str">
        <f t="shared" si="2"/>
        <v/>
      </c>
      <c r="G245" s="64" t="str">
        <f t="shared" si="3"/>
        <v/>
      </c>
      <c r="H245" s="64" t="str">
        <f>IFERROR(__xludf.DUMMYFUNCTION("IFERROR(GOOGLEFINANCE(A245,""PRICE""),)"),"")</f>
        <v/>
      </c>
      <c r="I245" s="65" t="str">
        <f>IFERROR(__xludf.DUMMYFUNCTION("IFERROR(GOOGLEFINANCE(A245,""VOLUME""),)"),"")</f>
        <v/>
      </c>
      <c r="J245" s="64" t="str">
        <f>IFERROR(__xludf.DUMMYFUNCTION("IFERROR(INDEX(SPLIT(A245,"":""),1,2),)"),"BURNPUR")</f>
        <v>BURNPUR</v>
      </c>
      <c r="K245" s="64" t="str">
        <f t="shared" si="4"/>
        <v/>
      </c>
      <c r="L245" s="64" t="str">
        <f t="shared" si="5"/>
        <v/>
      </c>
      <c r="M245" s="64" t="str">
        <f t="shared" si="6"/>
        <v/>
      </c>
      <c r="N245" s="66" t="str">
        <f>IFERROR(__xludf.DUMMYFUNCTION("IFERROR(GOOGLEFINANCE(A245,""TRADETIME""),)"),"")</f>
        <v/>
      </c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67" t="s">
        <v>292</v>
      </c>
      <c r="B246" s="60" t="str">
        <f>IFERROR(__xludf.DUMMYFUNCTION("IFERROR(GOOGLEFINANCE(A246,""NAME""),)"),"Butterfly Gandhimathi Appliances Ltd")</f>
        <v>Butterfly Gandhimathi Appliances Ltd</v>
      </c>
      <c r="C246" s="60">
        <f>IFERROR(__xludf.DUMMYFUNCTION("IFERROR(GOOGLEFINANCE(A246,""CHANGE""),)"),-3.3)</f>
        <v>-3.3</v>
      </c>
      <c r="D246" s="60">
        <f>IFERROR(__xludf.DUMMYFUNCTION("IFERROR(GOOGLEFINANCE(A246,""CHANGEPCT""),)"),-0.55)</f>
        <v>-0.55</v>
      </c>
      <c r="E246" s="60" t="str">
        <f t="shared" si="1"/>
        <v>-0.55%</v>
      </c>
      <c r="F246" s="60" t="str">
        <f t="shared" si="2"/>
        <v/>
      </c>
      <c r="G246" s="60">
        <f t="shared" si="3"/>
        <v>-0.55</v>
      </c>
      <c r="H246" s="60">
        <f>IFERROR(__xludf.DUMMYFUNCTION("IFERROR(GOOGLEFINANCE(A246,""PRICE""),)"),596.45)</f>
        <v>596.45</v>
      </c>
      <c r="I246" s="61">
        <f>IFERROR(__xludf.DUMMYFUNCTION("IFERROR(GOOGLEFINANCE(A246,""VOLUME""),)"),4880.0)</f>
        <v>4880</v>
      </c>
      <c r="J246" s="60" t="str">
        <f>IFERROR(__xludf.DUMMYFUNCTION("IFERROR(INDEX(SPLIT(A246,"":""),1,2),)"),"BUTTERFLY")</f>
        <v>BUTTERFLY</v>
      </c>
      <c r="K246" s="60" t="str">
        <f t="shared" si="4"/>
        <v/>
      </c>
      <c r="L246" s="60">
        <f t="shared" si="5"/>
        <v>129</v>
      </c>
      <c r="M246" s="60">
        <f t="shared" si="6"/>
        <v>1346</v>
      </c>
      <c r="N246" s="62">
        <f>IFERROR(__xludf.DUMMYFUNCTION("IFERROR(GOOGLEFINANCE(A246,""TRADETIME""),)"),46086.64583333333)</f>
        <v>46086.64583</v>
      </c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68" t="s">
        <v>293</v>
      </c>
      <c r="B247" s="64" t="str">
        <f>IFERROR(__xludf.DUMMYFUNCTION("IFERROR(GOOGLEFINANCE(A247,""NAME""),)"),"Barak Valley Cements Ltd")</f>
        <v>Barak Valley Cements Ltd</v>
      </c>
      <c r="C247" s="64">
        <f>IFERROR(__xludf.DUMMYFUNCTION("IFERROR(GOOGLEFINANCE(A247,""CHANGE""),)"),0.25)</f>
        <v>0.25</v>
      </c>
      <c r="D247" s="64">
        <f>IFERROR(__xludf.DUMMYFUNCTION("IFERROR(GOOGLEFINANCE(A247,""CHANGEPCT""),)"),0.64)</f>
        <v>0.64</v>
      </c>
      <c r="E247" s="64" t="str">
        <f t="shared" si="1"/>
        <v>0.64%</v>
      </c>
      <c r="F247" s="64">
        <f t="shared" si="2"/>
        <v>0.64</v>
      </c>
      <c r="G247" s="64" t="str">
        <f t="shared" si="3"/>
        <v/>
      </c>
      <c r="H247" s="64">
        <f>IFERROR(__xludf.DUMMYFUNCTION("IFERROR(GOOGLEFINANCE(A247,""PRICE""),)"),39.5)</f>
        <v>39.5</v>
      </c>
      <c r="I247" s="65">
        <f>IFERROR(__xludf.DUMMYFUNCTION("IFERROR(GOOGLEFINANCE(A247,""VOLUME""),)"),14448.0)</f>
        <v>14448</v>
      </c>
      <c r="J247" s="64" t="str">
        <f>IFERROR(__xludf.DUMMYFUNCTION("IFERROR(INDEX(SPLIT(A247,"":""),1,2),)"),"BVCL")</f>
        <v>BVCL</v>
      </c>
      <c r="K247" s="64">
        <f t="shared" si="4"/>
        <v>837</v>
      </c>
      <c r="L247" s="64" t="str">
        <f t="shared" si="5"/>
        <v/>
      </c>
      <c r="M247" s="64">
        <f t="shared" si="6"/>
        <v>1201</v>
      </c>
      <c r="N247" s="66">
        <f>IFERROR(__xludf.DUMMYFUNCTION("IFERROR(GOOGLEFINANCE(A247,""TRADETIME""),)"),46086.64157407408)</f>
        <v>46086.64157</v>
      </c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67" t="s">
        <v>294</v>
      </c>
      <c r="B248" s="60" t="str">
        <f>IFERROR(__xludf.DUMMYFUNCTION("IFERROR(GOOGLEFINANCE(A248,""NAME""),)"),"Byke Hospitality Ltd")</f>
        <v>Byke Hospitality Ltd</v>
      </c>
      <c r="C248" s="60">
        <f>IFERROR(__xludf.DUMMYFUNCTION("IFERROR(GOOGLEFINANCE(A248,""CHANGE""),)"),1.49)</f>
        <v>1.49</v>
      </c>
      <c r="D248" s="60">
        <f>IFERROR(__xludf.DUMMYFUNCTION("IFERROR(GOOGLEFINANCE(A248,""CHANGEPCT""),)"),3.72)</f>
        <v>3.72</v>
      </c>
      <c r="E248" s="60" t="str">
        <f t="shared" si="1"/>
        <v>3.72%</v>
      </c>
      <c r="F248" s="60">
        <f t="shared" si="2"/>
        <v>3.72</v>
      </c>
      <c r="G248" s="60" t="str">
        <f t="shared" si="3"/>
        <v/>
      </c>
      <c r="H248" s="60">
        <f>IFERROR(__xludf.DUMMYFUNCTION("IFERROR(GOOGLEFINANCE(A248,""PRICE""),)"),41.5)</f>
        <v>41.5</v>
      </c>
      <c r="I248" s="61">
        <f>IFERROR(__xludf.DUMMYFUNCTION("IFERROR(GOOGLEFINANCE(A248,""VOLUME""),)"),52522.0)</f>
        <v>52522</v>
      </c>
      <c r="J248" s="60" t="str">
        <f>IFERROR(__xludf.DUMMYFUNCTION("IFERROR(INDEX(SPLIT(A248,"":""),1,2),)"),"BYKE")</f>
        <v>BYKE</v>
      </c>
      <c r="K248" s="60">
        <f t="shared" si="4"/>
        <v>168</v>
      </c>
      <c r="L248" s="60" t="str">
        <f t="shared" si="5"/>
        <v/>
      </c>
      <c r="M248" s="60">
        <f t="shared" si="6"/>
        <v>919</v>
      </c>
      <c r="N248" s="62">
        <f>IFERROR(__xludf.DUMMYFUNCTION("IFERROR(GOOGLEFINANCE(A248,""TRADETIME""),)"),46086.64583333333)</f>
        <v>46086.64583</v>
      </c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68" t="s">
        <v>295</v>
      </c>
      <c r="B249" s="64" t="str">
        <f>IFERROR(__xludf.DUMMYFUNCTION("IFERROR(GOOGLEFINANCE(A249,""NAME""),)"),"Zydus Lifesciences Ltd")</f>
        <v>Zydus Lifesciences Ltd</v>
      </c>
      <c r="C249" s="64">
        <f>IFERROR(__xludf.DUMMYFUNCTION("IFERROR(GOOGLEFINANCE(A249,""CHANGE""),)"),16.75)</f>
        <v>16.75</v>
      </c>
      <c r="D249" s="64">
        <f>IFERROR(__xludf.DUMMYFUNCTION("IFERROR(GOOGLEFINANCE(A249,""CHANGEPCT""),)"),1.87)</f>
        <v>1.87</v>
      </c>
      <c r="E249" s="64" t="str">
        <f t="shared" si="1"/>
        <v>1.87%</v>
      </c>
      <c r="F249" s="64">
        <f t="shared" si="2"/>
        <v>1.87</v>
      </c>
      <c r="G249" s="64" t="str">
        <f t="shared" si="3"/>
        <v/>
      </c>
      <c r="H249" s="64">
        <f>IFERROR(__xludf.DUMMYFUNCTION("IFERROR(GOOGLEFINANCE(A249,""PRICE""),)"),914.5)</f>
        <v>914.5</v>
      </c>
      <c r="I249" s="65">
        <f>IFERROR(__xludf.DUMMYFUNCTION("IFERROR(GOOGLEFINANCE(A249,""VOLUME""),)"),465399.0)</f>
        <v>465399</v>
      </c>
      <c r="J249" s="64" t="str">
        <f>IFERROR(__xludf.DUMMYFUNCTION("IFERROR(INDEX(SPLIT(A249,"":""),1,2),)"),"ZYDUSLIFE")</f>
        <v>ZYDUSLIFE</v>
      </c>
      <c r="K249" s="64">
        <f t="shared" si="4"/>
        <v>468</v>
      </c>
      <c r="L249" s="64" t="str">
        <f t="shared" si="5"/>
        <v/>
      </c>
      <c r="M249" s="64">
        <f t="shared" si="6"/>
        <v>412</v>
      </c>
      <c r="N249" s="66">
        <f>IFERROR(__xludf.DUMMYFUNCTION("IFERROR(GOOGLEFINANCE(A249,""TRADETIME""),)"),46086.64583333333)</f>
        <v>46086.64583</v>
      </c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67" t="s">
        <v>296</v>
      </c>
      <c r="B250" s="60" t="str">
        <f>IFERROR(__xludf.DUMMYFUNCTION("IFERROR(GOOGLEFINANCE(A250,""NAME""),)"),"California Software Company Ltd")</f>
        <v>California Software Company Ltd</v>
      </c>
      <c r="C250" s="60">
        <f>IFERROR(__xludf.DUMMYFUNCTION("IFERROR(GOOGLEFINANCE(A250,""CHANGE""),)"),0.2)</f>
        <v>0.2</v>
      </c>
      <c r="D250" s="60">
        <f>IFERROR(__xludf.DUMMYFUNCTION("IFERROR(GOOGLEFINANCE(A250,""CHANGEPCT""),)"),1.55)</f>
        <v>1.55</v>
      </c>
      <c r="E250" s="60" t="str">
        <f t="shared" si="1"/>
        <v>1.55%</v>
      </c>
      <c r="F250" s="60">
        <f t="shared" si="2"/>
        <v>1.55</v>
      </c>
      <c r="G250" s="60" t="str">
        <f t="shared" si="3"/>
        <v/>
      </c>
      <c r="H250" s="60">
        <f>IFERROR(__xludf.DUMMYFUNCTION("IFERROR(GOOGLEFINANCE(A250,""PRICE""),)"),13.07)</f>
        <v>13.07</v>
      </c>
      <c r="I250" s="61">
        <f>IFERROR(__xludf.DUMMYFUNCTION("IFERROR(GOOGLEFINANCE(A250,""VOLUME""),)"),67685.0)</f>
        <v>67685</v>
      </c>
      <c r="J250" s="60" t="str">
        <f>IFERROR(__xludf.DUMMYFUNCTION("IFERROR(INDEX(SPLIT(A250,"":""),1,2),)"),"CALSOFT")</f>
        <v>CALSOFT</v>
      </c>
      <c r="K250" s="60">
        <f t="shared" si="4"/>
        <v>555</v>
      </c>
      <c r="L250" s="60" t="str">
        <f t="shared" si="5"/>
        <v/>
      </c>
      <c r="M250" s="60">
        <f t="shared" si="6"/>
        <v>855</v>
      </c>
      <c r="N250" s="62">
        <f>IFERROR(__xludf.DUMMYFUNCTION("IFERROR(GOOGLEFINANCE(A250,""TRADETIME""),)"),46086.64583333333)</f>
        <v>46086.64583</v>
      </c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68" t="s">
        <v>297</v>
      </c>
      <c r="B251" s="64" t="str">
        <f>IFERROR(__xludf.DUMMYFUNCTION("IFERROR(GOOGLEFINANCE(A251,""NAME""),)"),"Camlin Fine Sciences Ltd")</f>
        <v>Camlin Fine Sciences Ltd</v>
      </c>
      <c r="C251" s="64">
        <f>IFERROR(__xludf.DUMMYFUNCTION("IFERROR(GOOGLEFINANCE(A251,""CHANGE""),)"),0.33)</f>
        <v>0.33</v>
      </c>
      <c r="D251" s="64">
        <f>IFERROR(__xludf.DUMMYFUNCTION("IFERROR(GOOGLEFINANCE(A251,""CHANGEPCT""),)"),0.24)</f>
        <v>0.24</v>
      </c>
      <c r="E251" s="64" t="str">
        <f t="shared" si="1"/>
        <v>0.24%</v>
      </c>
      <c r="F251" s="64">
        <f t="shared" si="2"/>
        <v>0.24</v>
      </c>
      <c r="G251" s="64" t="str">
        <f t="shared" si="3"/>
        <v/>
      </c>
      <c r="H251" s="64">
        <f>IFERROR(__xludf.DUMMYFUNCTION("IFERROR(GOOGLEFINANCE(A251,""PRICE""),)"),139.5)</f>
        <v>139.5</v>
      </c>
      <c r="I251" s="65">
        <f>IFERROR(__xludf.DUMMYFUNCTION("IFERROR(GOOGLEFINANCE(A251,""VOLUME""),)"),479904.0)</f>
        <v>479904</v>
      </c>
      <c r="J251" s="64" t="str">
        <f>IFERROR(__xludf.DUMMYFUNCTION("IFERROR(INDEX(SPLIT(A251,"":""),1,2),)"),"CAMLINFINE")</f>
        <v>CAMLINFINE</v>
      </c>
      <c r="K251" s="64">
        <f t="shared" si="4"/>
        <v>939</v>
      </c>
      <c r="L251" s="64" t="str">
        <f t="shared" si="5"/>
        <v/>
      </c>
      <c r="M251" s="64">
        <f t="shared" si="6"/>
        <v>407</v>
      </c>
      <c r="N251" s="66">
        <f>IFERROR(__xludf.DUMMYFUNCTION("IFERROR(GOOGLEFINANCE(A251,""TRADETIME""),)"),46086.64583333333)</f>
        <v>46086.64583</v>
      </c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67" t="s">
        <v>298</v>
      </c>
      <c r="B252" s="60" t="str">
        <f>IFERROR(__xludf.DUMMYFUNCTION("IFERROR(GOOGLEFINANCE(A252,""NAME""),)"),"Computer Age Management Services Ltd")</f>
        <v>Computer Age Management Services Ltd</v>
      </c>
      <c r="C252" s="60">
        <f>IFERROR(__xludf.DUMMYFUNCTION("IFERROR(GOOGLEFINANCE(A252,""CHANGE""),)"),25.2)</f>
        <v>25.2</v>
      </c>
      <c r="D252" s="60">
        <f>IFERROR(__xludf.DUMMYFUNCTION("IFERROR(GOOGLEFINANCE(A252,""CHANGEPCT""),)"),3.83)</f>
        <v>3.83</v>
      </c>
      <c r="E252" s="60" t="str">
        <f t="shared" si="1"/>
        <v>3.83%</v>
      </c>
      <c r="F252" s="60">
        <f t="shared" si="2"/>
        <v>3.83</v>
      </c>
      <c r="G252" s="60" t="str">
        <f t="shared" si="3"/>
        <v/>
      </c>
      <c r="H252" s="60">
        <f>IFERROR(__xludf.DUMMYFUNCTION("IFERROR(GOOGLEFINANCE(A252,""PRICE""),)"),655.1)</f>
        <v>655.1</v>
      </c>
      <c r="I252" s="61">
        <f>IFERROR(__xludf.DUMMYFUNCTION("IFERROR(GOOGLEFINANCE(A252,""VOLUME""),)"),4748489.0)</f>
        <v>4748489</v>
      </c>
      <c r="J252" s="60" t="str">
        <f>IFERROR(__xludf.DUMMYFUNCTION("IFERROR(INDEX(SPLIT(A252,"":""),1,2),)"),"CAMS")</f>
        <v>CAMS</v>
      </c>
      <c r="K252" s="60">
        <f t="shared" si="4"/>
        <v>156</v>
      </c>
      <c r="L252" s="60" t="str">
        <f t="shared" si="5"/>
        <v/>
      </c>
      <c r="M252" s="60">
        <f t="shared" si="6"/>
        <v>113</v>
      </c>
      <c r="N252" s="62">
        <f>IFERROR(__xludf.DUMMYFUNCTION("IFERROR(GOOGLEFINANCE(A252,""TRADETIME""),)"),46086.64583333333)</f>
        <v>46086.64583</v>
      </c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68" t="s">
        <v>299</v>
      </c>
      <c r="B253" s="64" t="str">
        <f>IFERROR(__xludf.DUMMYFUNCTION("IFERROR(GOOGLEFINANCE(A253,""NAME""),)"),"Canara Bank Ltd")</f>
        <v>Canara Bank Ltd</v>
      </c>
      <c r="C253" s="64">
        <f>IFERROR(__xludf.DUMMYFUNCTION("IFERROR(GOOGLEFINANCE(A253,""CHANGE""),)"),1.57)</f>
        <v>1.57</v>
      </c>
      <c r="D253" s="64">
        <f>IFERROR(__xludf.DUMMYFUNCTION("IFERROR(GOOGLEFINANCE(A253,""CHANGEPCT""),)"),1.07)</f>
        <v>1.07</v>
      </c>
      <c r="E253" s="64" t="str">
        <f t="shared" si="1"/>
        <v>1.07%</v>
      </c>
      <c r="F253" s="64">
        <f t="shared" si="2"/>
        <v>1.07</v>
      </c>
      <c r="G253" s="64" t="str">
        <f t="shared" si="3"/>
        <v/>
      </c>
      <c r="H253" s="64">
        <f>IFERROR(__xludf.DUMMYFUNCTION("IFERROR(GOOGLEFINANCE(A253,""PRICE""),)"),148.5)</f>
        <v>148.5</v>
      </c>
      <c r="I253" s="65">
        <f>IFERROR(__xludf.DUMMYFUNCTION("IFERROR(GOOGLEFINANCE(A253,""VOLUME""),)"),2.4465571E7)</f>
        <v>24465571</v>
      </c>
      <c r="J253" s="64" t="str">
        <f>IFERROR(__xludf.DUMMYFUNCTION("IFERROR(INDEX(SPLIT(A253,"":""),1,2),)"),"CANBK")</f>
        <v>CANBK</v>
      </c>
      <c r="K253" s="64">
        <f t="shared" si="4"/>
        <v>699</v>
      </c>
      <c r="L253" s="64" t="str">
        <f t="shared" si="5"/>
        <v/>
      </c>
      <c r="M253" s="64">
        <f t="shared" si="6"/>
        <v>21</v>
      </c>
      <c r="N253" s="66">
        <f>IFERROR(__xludf.DUMMYFUNCTION("IFERROR(GOOGLEFINANCE(A253,""TRADETIME""),)"),46086.64583333333)</f>
        <v>46086.64583</v>
      </c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67" t="s">
        <v>300</v>
      </c>
      <c r="B254" s="60" t="str">
        <f>IFERROR(__xludf.DUMMYFUNCTION("IFERROR(GOOGLEFINANCE(A254,""NAME""),)"),"Can Fin Homes Ltd")</f>
        <v>Can Fin Homes Ltd</v>
      </c>
      <c r="C254" s="60">
        <f>IFERROR(__xludf.DUMMYFUNCTION("IFERROR(GOOGLEFINANCE(A254,""CHANGE""),)"),20.2)</f>
        <v>20.2</v>
      </c>
      <c r="D254" s="60">
        <f>IFERROR(__xludf.DUMMYFUNCTION("IFERROR(GOOGLEFINANCE(A254,""CHANGEPCT""),)"),2.49)</f>
        <v>2.49</v>
      </c>
      <c r="E254" s="60" t="str">
        <f t="shared" si="1"/>
        <v>2.49%</v>
      </c>
      <c r="F254" s="60">
        <f t="shared" si="2"/>
        <v>2.49</v>
      </c>
      <c r="G254" s="60" t="str">
        <f t="shared" si="3"/>
        <v/>
      </c>
      <c r="H254" s="60">
        <f>IFERROR(__xludf.DUMMYFUNCTION("IFERROR(GOOGLEFINANCE(A254,""PRICE""),)"),828.5)</f>
        <v>828.5</v>
      </c>
      <c r="I254" s="61">
        <f>IFERROR(__xludf.DUMMYFUNCTION("IFERROR(GOOGLEFINANCE(A254,""VOLUME""),)"),83188.0)</f>
        <v>83188</v>
      </c>
      <c r="J254" s="60" t="str">
        <f>IFERROR(__xludf.DUMMYFUNCTION("IFERROR(INDEX(SPLIT(A254,"":""),1,2),)"),"CANFINHOME")</f>
        <v>CANFINHOME</v>
      </c>
      <c r="K254" s="60">
        <f t="shared" si="4"/>
        <v>341</v>
      </c>
      <c r="L254" s="60" t="str">
        <f t="shared" si="5"/>
        <v/>
      </c>
      <c r="M254" s="60">
        <f t="shared" si="6"/>
        <v>803</v>
      </c>
      <c r="N254" s="62">
        <f>IFERROR(__xludf.DUMMYFUNCTION("IFERROR(GOOGLEFINANCE(A254,""TRADETIME""),)"),46086.64584490741)</f>
        <v>46086.64584</v>
      </c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68" t="s">
        <v>301</v>
      </c>
      <c r="B255" s="64" t="str">
        <f>IFERROR(__xludf.DUMMYFUNCTION("IFERROR(GOOGLEFINANCE(A255,""NAME""),)"),"Cantabil Retail India Limited")</f>
        <v>Cantabil Retail India Limited</v>
      </c>
      <c r="C255" s="64">
        <f>IFERROR(__xludf.DUMMYFUNCTION("IFERROR(GOOGLEFINANCE(A255,""CHANGE""),)"),-4.3)</f>
        <v>-4.3</v>
      </c>
      <c r="D255" s="64">
        <f>IFERROR(__xludf.DUMMYFUNCTION("IFERROR(GOOGLEFINANCE(A255,""CHANGEPCT""),)"),-1.97)</f>
        <v>-1.97</v>
      </c>
      <c r="E255" s="64" t="str">
        <f t="shared" si="1"/>
        <v>-1.97%</v>
      </c>
      <c r="F255" s="64" t="str">
        <f t="shared" si="2"/>
        <v/>
      </c>
      <c r="G255" s="64">
        <f t="shared" si="3"/>
        <v>-1.97</v>
      </c>
      <c r="H255" s="64">
        <f>IFERROR(__xludf.DUMMYFUNCTION("IFERROR(GOOGLEFINANCE(A255,""PRICE""),)"),253.75)</f>
        <v>253.75</v>
      </c>
      <c r="I255" s="65">
        <f>IFERROR(__xludf.DUMMYFUNCTION("IFERROR(GOOGLEFINANCE(A255,""VOLUME""),)"),85380.0)</f>
        <v>85380</v>
      </c>
      <c r="J255" s="64" t="str">
        <f>IFERROR(__xludf.DUMMYFUNCTION("IFERROR(INDEX(SPLIT(A255,"":""),1,2),)"),"CANTABIL")</f>
        <v>CANTABIL</v>
      </c>
      <c r="K255" s="64" t="str">
        <f t="shared" si="4"/>
        <v/>
      </c>
      <c r="L255" s="64">
        <f t="shared" si="5"/>
        <v>347</v>
      </c>
      <c r="M255" s="64">
        <f t="shared" si="6"/>
        <v>800</v>
      </c>
      <c r="N255" s="66">
        <f>IFERROR(__xludf.DUMMYFUNCTION("IFERROR(GOOGLEFINANCE(A255,""TRADETIME""),)"),46086.64583333333)</f>
        <v>46086.64583</v>
      </c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67" t="s">
        <v>302</v>
      </c>
      <c r="B256" s="60" t="str">
        <f>IFERROR(__xludf.DUMMYFUNCTION("IFERROR(GOOGLEFINANCE(A256,""NAME""),)"),"Capacite Infraprojects Ltd")</f>
        <v>Capacite Infraprojects Ltd</v>
      </c>
      <c r="C256" s="60">
        <f>IFERROR(__xludf.DUMMYFUNCTION("IFERROR(GOOGLEFINANCE(A256,""CHANGE""),)"),3.89)</f>
        <v>3.89</v>
      </c>
      <c r="D256" s="60">
        <f>IFERROR(__xludf.DUMMYFUNCTION("IFERROR(GOOGLEFINANCE(A256,""CHANGEPCT""),)"),1.74)</f>
        <v>1.74</v>
      </c>
      <c r="E256" s="60" t="str">
        <f t="shared" si="1"/>
        <v>1.74%</v>
      </c>
      <c r="F256" s="60">
        <f t="shared" si="2"/>
        <v>1.74</v>
      </c>
      <c r="G256" s="60" t="str">
        <f t="shared" si="3"/>
        <v/>
      </c>
      <c r="H256" s="60">
        <f>IFERROR(__xludf.DUMMYFUNCTION("IFERROR(GOOGLEFINANCE(A256,""PRICE""),)"),226.17)</f>
        <v>226.17</v>
      </c>
      <c r="I256" s="61">
        <f>IFERROR(__xludf.DUMMYFUNCTION("IFERROR(GOOGLEFINANCE(A256,""VOLUME""),)"),250364.0)</f>
        <v>250364</v>
      </c>
      <c r="J256" s="60" t="str">
        <f>IFERROR(__xludf.DUMMYFUNCTION("IFERROR(INDEX(SPLIT(A256,"":""),1,2),)"),"CAPACITE")</f>
        <v>CAPACITE</v>
      </c>
      <c r="K256" s="60">
        <f t="shared" si="4"/>
        <v>510</v>
      </c>
      <c r="L256" s="60" t="str">
        <f t="shared" si="5"/>
        <v/>
      </c>
      <c r="M256" s="60">
        <f t="shared" si="6"/>
        <v>556</v>
      </c>
      <c r="N256" s="62">
        <f>IFERROR(__xludf.DUMMYFUNCTION("IFERROR(GOOGLEFINANCE(A256,""TRADETIME""),)"),46086.64583333333)</f>
        <v>46086.64583</v>
      </c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68" t="s">
        <v>303</v>
      </c>
      <c r="B257" s="64" t="str">
        <f>IFERROR(__xludf.DUMMYFUNCTION("IFERROR(GOOGLEFINANCE(A257,""NAME""),)"),"Caplin Point Laboratories Ltd")</f>
        <v>Caplin Point Laboratories Ltd</v>
      </c>
      <c r="C257" s="64">
        <f>IFERROR(__xludf.DUMMYFUNCTION("IFERROR(GOOGLEFINANCE(A257,""CHANGE""),)"),12.0)</f>
        <v>12</v>
      </c>
      <c r="D257" s="64">
        <f>IFERROR(__xludf.DUMMYFUNCTION("IFERROR(GOOGLEFINANCE(A257,""CHANGEPCT""),)"),0.73)</f>
        <v>0.73</v>
      </c>
      <c r="E257" s="64" t="str">
        <f t="shared" si="1"/>
        <v>0.73%</v>
      </c>
      <c r="F257" s="64">
        <f t="shared" si="2"/>
        <v>0.73</v>
      </c>
      <c r="G257" s="64" t="str">
        <f t="shared" si="3"/>
        <v/>
      </c>
      <c r="H257" s="64">
        <f>IFERROR(__xludf.DUMMYFUNCTION("IFERROR(GOOGLEFINANCE(A257,""PRICE""),)"),1662.6)</f>
        <v>1662.6</v>
      </c>
      <c r="I257" s="65">
        <f>IFERROR(__xludf.DUMMYFUNCTION("IFERROR(GOOGLEFINANCE(A257,""VOLUME""),)"),111115.0)</f>
        <v>111115</v>
      </c>
      <c r="J257" s="64" t="str">
        <f>IFERROR(__xludf.DUMMYFUNCTION("IFERROR(INDEX(SPLIT(A257,"":""),1,2),)"),"CAPLIPOINT")</f>
        <v>CAPLIPOINT</v>
      </c>
      <c r="K257" s="64">
        <f t="shared" si="4"/>
        <v>811</v>
      </c>
      <c r="L257" s="64" t="str">
        <f t="shared" si="5"/>
        <v/>
      </c>
      <c r="M257" s="64">
        <f t="shared" si="6"/>
        <v>736</v>
      </c>
      <c r="N257" s="66">
        <f>IFERROR(__xludf.DUMMYFUNCTION("IFERROR(GOOGLEFINANCE(A257,""TRADETIME""),)"),46086.64583333333)</f>
        <v>46086.64583</v>
      </c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67" t="s">
        <v>304</v>
      </c>
      <c r="B258" s="60" t="str">
        <f>IFERROR(__xludf.DUMMYFUNCTION("IFERROR(GOOGLEFINANCE(A258,""NAME""),)"),"Capital Trust Ltd")</f>
        <v>Capital Trust Ltd</v>
      </c>
      <c r="C258" s="60">
        <f>IFERROR(__xludf.DUMMYFUNCTION("IFERROR(GOOGLEFINANCE(A258,""CHANGE""),)"),0.05)</f>
        <v>0.05</v>
      </c>
      <c r="D258" s="60">
        <f>IFERROR(__xludf.DUMMYFUNCTION("IFERROR(GOOGLEFINANCE(A258,""CHANGEPCT""),)"),0.41)</f>
        <v>0.41</v>
      </c>
      <c r="E258" s="60" t="str">
        <f t="shared" si="1"/>
        <v>0.41%</v>
      </c>
      <c r="F258" s="60">
        <f t="shared" si="2"/>
        <v>0.41</v>
      </c>
      <c r="G258" s="60" t="str">
        <f t="shared" si="3"/>
        <v/>
      </c>
      <c r="H258" s="60">
        <f>IFERROR(__xludf.DUMMYFUNCTION("IFERROR(GOOGLEFINANCE(A258,""PRICE""),)"),12.13)</f>
        <v>12.13</v>
      </c>
      <c r="I258" s="61">
        <f>IFERROR(__xludf.DUMMYFUNCTION("IFERROR(GOOGLEFINANCE(A258,""VOLUME""),)"),22921.0)</f>
        <v>22921</v>
      </c>
      <c r="J258" s="60" t="str">
        <f>IFERROR(__xludf.DUMMYFUNCTION("IFERROR(INDEX(SPLIT(A258,"":""),1,2),)"),"CAPTRUST")</f>
        <v>CAPTRUST</v>
      </c>
      <c r="K258" s="60">
        <f t="shared" si="4"/>
        <v>901</v>
      </c>
      <c r="L258" s="60" t="str">
        <f t="shared" si="5"/>
        <v/>
      </c>
      <c r="M258" s="60">
        <f t="shared" si="6"/>
        <v>1116</v>
      </c>
      <c r="N258" s="62">
        <f>IFERROR(__xludf.DUMMYFUNCTION("IFERROR(GOOGLEFINANCE(A258,""TRADETIME""),)"),46086.64005787037)</f>
        <v>46086.64006</v>
      </c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68" t="s">
        <v>305</v>
      </c>
      <c r="B259" s="64" t="str">
        <f>IFERROR(__xludf.DUMMYFUNCTION("IFERROR(GOOGLEFINANCE(A259,""NAME""),)"),"Carborundum Universal Ltd")</f>
        <v>Carborundum Universal Ltd</v>
      </c>
      <c r="C259" s="64">
        <f>IFERROR(__xludf.DUMMYFUNCTION("IFERROR(GOOGLEFINANCE(A259,""CHANGE""),)"),8.9)</f>
        <v>8.9</v>
      </c>
      <c r="D259" s="64">
        <f>IFERROR(__xludf.DUMMYFUNCTION("IFERROR(GOOGLEFINANCE(A259,""CHANGEPCT""),)"),1.11)</f>
        <v>1.11</v>
      </c>
      <c r="E259" s="64" t="str">
        <f t="shared" si="1"/>
        <v>1.11%</v>
      </c>
      <c r="F259" s="64">
        <f t="shared" si="2"/>
        <v>1.11</v>
      </c>
      <c r="G259" s="64" t="str">
        <f t="shared" si="3"/>
        <v/>
      </c>
      <c r="H259" s="64">
        <f>IFERROR(__xludf.DUMMYFUNCTION("IFERROR(GOOGLEFINANCE(A259,""PRICE""),)"),808.05)</f>
        <v>808.05</v>
      </c>
      <c r="I259" s="65">
        <f>IFERROR(__xludf.DUMMYFUNCTION("IFERROR(GOOGLEFINANCE(A259,""VOLUME""),)"),67637.0)</f>
        <v>67637</v>
      </c>
      <c r="J259" s="64" t="str">
        <f>IFERROR(__xludf.DUMMYFUNCTION("IFERROR(INDEX(SPLIT(A259,"":""),1,2),)"),"CARBORUNIV")</f>
        <v>CARBORUNIV</v>
      </c>
      <c r="K259" s="64">
        <f t="shared" si="4"/>
        <v>686</v>
      </c>
      <c r="L259" s="64" t="str">
        <f t="shared" si="5"/>
        <v/>
      </c>
      <c r="M259" s="64">
        <f t="shared" si="6"/>
        <v>856</v>
      </c>
      <c r="N259" s="66">
        <f>IFERROR(__xludf.DUMMYFUNCTION("IFERROR(GOOGLEFINANCE(A259,""TRADETIME""),)"),46086.64583333333)</f>
        <v>46086.64583</v>
      </c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67" t="s">
        <v>306</v>
      </c>
      <c r="B260" s="60" t="str">
        <f>IFERROR(__xludf.DUMMYFUNCTION("IFERROR(GOOGLEFINANCE(A260,""NAME""),)"),"")</f>
        <v/>
      </c>
      <c r="C260" s="60" t="str">
        <f>IFERROR(__xludf.DUMMYFUNCTION("IFERROR(GOOGLEFINANCE(A260,""CHANGE""),)"),"")</f>
        <v/>
      </c>
      <c r="D260" s="60" t="str">
        <f>IFERROR(__xludf.DUMMYFUNCTION("IFERROR(GOOGLEFINANCE(A260,""CHANGEPCT""),)"),"")</f>
        <v/>
      </c>
      <c r="E260" s="60" t="str">
        <f t="shared" si="1"/>
        <v>%</v>
      </c>
      <c r="F260" s="60" t="str">
        <f t="shared" si="2"/>
        <v/>
      </c>
      <c r="G260" s="60" t="str">
        <f t="shared" si="3"/>
        <v/>
      </c>
      <c r="H260" s="60" t="str">
        <f>IFERROR(__xludf.DUMMYFUNCTION("IFERROR(GOOGLEFINANCE(A260,""PRICE""),)"),"")</f>
        <v/>
      </c>
      <c r="I260" s="61" t="str">
        <f>IFERROR(__xludf.DUMMYFUNCTION("IFERROR(GOOGLEFINANCE(A260,""VOLUME""),)"),"")</f>
        <v/>
      </c>
      <c r="J260" s="60" t="str">
        <f>IFERROR(__xludf.DUMMYFUNCTION("IFERROR(INDEX(SPLIT(A260,"":""),1,2),)"),"CAREERP")</f>
        <v>CAREERP</v>
      </c>
      <c r="K260" s="60" t="str">
        <f t="shared" si="4"/>
        <v/>
      </c>
      <c r="L260" s="60" t="str">
        <f t="shared" si="5"/>
        <v/>
      </c>
      <c r="M260" s="60" t="str">
        <f t="shared" si="6"/>
        <v/>
      </c>
      <c r="N260" s="62" t="str">
        <f>IFERROR(__xludf.DUMMYFUNCTION("IFERROR(GOOGLEFINANCE(A260,""TRADETIME""),)"),"")</f>
        <v/>
      </c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68" t="s">
        <v>307</v>
      </c>
      <c r="B261" s="64" t="str">
        <f>IFERROR(__xludf.DUMMYFUNCTION("IFERROR(GOOGLEFINANCE(A261,""NAME""),)"),"CARE Ratings Ltd")</f>
        <v>CARE Ratings Ltd</v>
      </c>
      <c r="C261" s="64">
        <f>IFERROR(__xludf.DUMMYFUNCTION("IFERROR(GOOGLEFINANCE(A261,""CHANGE""),)"),75.2)</f>
        <v>75.2</v>
      </c>
      <c r="D261" s="64">
        <f>IFERROR(__xludf.DUMMYFUNCTION("IFERROR(GOOGLEFINANCE(A261,""CHANGEPCT""),)"),4.82)</f>
        <v>4.82</v>
      </c>
      <c r="E261" s="64" t="str">
        <f t="shared" si="1"/>
        <v>4.82%</v>
      </c>
      <c r="F261" s="64">
        <f t="shared" si="2"/>
        <v>4.82</v>
      </c>
      <c r="G261" s="64" t="str">
        <f t="shared" si="3"/>
        <v/>
      </c>
      <c r="H261" s="64">
        <f>IFERROR(__xludf.DUMMYFUNCTION("IFERROR(GOOGLEFINANCE(A261,""PRICE""),)"),1635.0)</f>
        <v>1635</v>
      </c>
      <c r="I261" s="65">
        <f>IFERROR(__xludf.DUMMYFUNCTION("IFERROR(GOOGLEFINANCE(A261,""VOLUME""),)"),69276.0)</f>
        <v>69276</v>
      </c>
      <c r="J261" s="64" t="str">
        <f>IFERROR(__xludf.DUMMYFUNCTION("IFERROR(INDEX(SPLIT(A261,"":""),1,2),)"),"CARERATING")</f>
        <v>CARERATING</v>
      </c>
      <c r="K261" s="64">
        <f t="shared" si="4"/>
        <v>88</v>
      </c>
      <c r="L261" s="64" t="str">
        <f t="shared" si="5"/>
        <v/>
      </c>
      <c r="M261" s="64">
        <f t="shared" si="6"/>
        <v>850</v>
      </c>
      <c r="N261" s="66">
        <f>IFERROR(__xludf.DUMMYFUNCTION("IFERROR(GOOGLEFINANCE(A261,""TRADETIME""),)"),46086.64583333333)</f>
        <v>46086.64583</v>
      </c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67" t="s">
        <v>308</v>
      </c>
      <c r="B262" s="60" t="str">
        <f>IFERROR(__xludf.DUMMYFUNCTION("IFERROR(GOOGLEFINANCE(A262,""NAME""),)"),"Castrol India Ltd")</f>
        <v>Castrol India Ltd</v>
      </c>
      <c r="C262" s="60">
        <f>IFERROR(__xludf.DUMMYFUNCTION("IFERROR(GOOGLEFINANCE(A262,""CHANGE""),)"),1.33)</f>
        <v>1.33</v>
      </c>
      <c r="D262" s="60">
        <f>IFERROR(__xludf.DUMMYFUNCTION("IFERROR(GOOGLEFINANCE(A262,""CHANGEPCT""),)"),0.72)</f>
        <v>0.72</v>
      </c>
      <c r="E262" s="60" t="str">
        <f t="shared" si="1"/>
        <v>0.72%</v>
      </c>
      <c r="F262" s="60">
        <f t="shared" si="2"/>
        <v>0.72</v>
      </c>
      <c r="G262" s="60" t="str">
        <f t="shared" si="3"/>
        <v/>
      </c>
      <c r="H262" s="60">
        <f>IFERROR(__xludf.DUMMYFUNCTION("IFERROR(GOOGLEFINANCE(A262,""PRICE""),)"),186.5)</f>
        <v>186.5</v>
      </c>
      <c r="I262" s="61">
        <f>IFERROR(__xludf.DUMMYFUNCTION("IFERROR(GOOGLEFINANCE(A262,""VOLUME""),)"),1270798.0)</f>
        <v>1270798</v>
      </c>
      <c r="J262" s="60" t="str">
        <f>IFERROR(__xludf.DUMMYFUNCTION("IFERROR(INDEX(SPLIT(A262,"":""),1,2),)"),"CASTROLIND")</f>
        <v>CASTROLIND</v>
      </c>
      <c r="K262" s="60">
        <f t="shared" si="4"/>
        <v>817</v>
      </c>
      <c r="L262" s="60" t="str">
        <f t="shared" si="5"/>
        <v/>
      </c>
      <c r="M262" s="60">
        <f t="shared" si="6"/>
        <v>257</v>
      </c>
      <c r="N262" s="62">
        <f>IFERROR(__xludf.DUMMYFUNCTION("IFERROR(GOOGLEFINANCE(A262,""TRADETIME""),)"),46086.64583333333)</f>
        <v>46086.64583</v>
      </c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68" t="s">
        <v>309</v>
      </c>
      <c r="B263" s="64" t="str">
        <f>IFERROR(__xludf.DUMMYFUNCTION("IFERROR(GOOGLEFINANCE(A263,""NAME""),)"),"Consolidated Construction Consortium Ltd")</f>
        <v>Consolidated Construction Consortium Ltd</v>
      </c>
      <c r="C263" s="64">
        <f>IFERROR(__xludf.DUMMYFUNCTION("IFERROR(GOOGLEFINANCE(A263,""CHANGE""),)"),-0.3)</f>
        <v>-0.3</v>
      </c>
      <c r="D263" s="64">
        <f>IFERROR(__xludf.DUMMYFUNCTION("IFERROR(GOOGLEFINANCE(A263,""CHANGEPCT""),)"),-1.93)</f>
        <v>-1.93</v>
      </c>
      <c r="E263" s="64" t="str">
        <f t="shared" si="1"/>
        <v>-1.93%</v>
      </c>
      <c r="F263" s="64" t="str">
        <f t="shared" si="2"/>
        <v/>
      </c>
      <c r="G263" s="64">
        <f t="shared" si="3"/>
        <v>-1.93</v>
      </c>
      <c r="H263" s="64">
        <f>IFERROR(__xludf.DUMMYFUNCTION("IFERROR(GOOGLEFINANCE(A263,""PRICE""),)"),15.28)</f>
        <v>15.28</v>
      </c>
      <c r="I263" s="65">
        <f>IFERROR(__xludf.DUMMYFUNCTION("IFERROR(GOOGLEFINANCE(A263,""VOLUME""),)"),300356.0)</f>
        <v>300356</v>
      </c>
      <c r="J263" s="64" t="str">
        <f>IFERROR(__xludf.DUMMYFUNCTION("IFERROR(INDEX(SPLIT(A263,"":""),1,2),)"),"CCCL")</f>
        <v>CCCL</v>
      </c>
      <c r="K263" s="64" t="str">
        <f t="shared" si="4"/>
        <v/>
      </c>
      <c r="L263" s="64">
        <f t="shared" si="5"/>
        <v>340</v>
      </c>
      <c r="M263" s="64">
        <f t="shared" si="6"/>
        <v>507</v>
      </c>
      <c r="N263" s="66">
        <f>IFERROR(__xludf.DUMMYFUNCTION("IFERROR(GOOGLEFINANCE(A263,""TRADETIME""),)"),46086.64583333333)</f>
        <v>46086.64583</v>
      </c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67" t="s">
        <v>310</v>
      </c>
      <c r="B264" s="60" t="str">
        <f>IFERROR(__xludf.DUMMYFUNCTION("IFERROR(GOOGLEFINANCE(A264,""NAME""),)"),"Country Club Hospitality &amp; Holidays Ltd")</f>
        <v>Country Club Hospitality &amp; Holidays Ltd</v>
      </c>
      <c r="C264" s="60">
        <f>IFERROR(__xludf.DUMMYFUNCTION("IFERROR(GOOGLEFINANCE(A264,""CHANGE""),)"),0.26)</f>
        <v>0.26</v>
      </c>
      <c r="D264" s="60">
        <f>IFERROR(__xludf.DUMMYFUNCTION("IFERROR(GOOGLEFINANCE(A264,""CHANGEPCT""),)"),2.01)</f>
        <v>2.01</v>
      </c>
      <c r="E264" s="60" t="str">
        <f t="shared" si="1"/>
        <v>2.01%</v>
      </c>
      <c r="F264" s="60">
        <f t="shared" si="2"/>
        <v>2.01</v>
      </c>
      <c r="G264" s="60" t="str">
        <f t="shared" si="3"/>
        <v/>
      </c>
      <c r="H264" s="60">
        <f>IFERROR(__xludf.DUMMYFUNCTION("IFERROR(GOOGLEFINANCE(A264,""PRICE""),)"),13.2)</f>
        <v>13.2</v>
      </c>
      <c r="I264" s="61">
        <f>IFERROR(__xludf.DUMMYFUNCTION("IFERROR(GOOGLEFINANCE(A264,""VOLUME""),)"),18107.0)</f>
        <v>18107</v>
      </c>
      <c r="J264" s="60" t="str">
        <f>IFERROR(__xludf.DUMMYFUNCTION("IFERROR(INDEX(SPLIT(A264,"":""),1,2),)"),"CCHHL")</f>
        <v>CCHHL</v>
      </c>
      <c r="K264" s="60">
        <f t="shared" si="4"/>
        <v>439</v>
      </c>
      <c r="L264" s="60" t="str">
        <f t="shared" si="5"/>
        <v/>
      </c>
      <c r="M264" s="60">
        <f t="shared" si="6"/>
        <v>1167</v>
      </c>
      <c r="N264" s="62">
        <f>IFERROR(__xludf.DUMMYFUNCTION("IFERROR(GOOGLEFINANCE(A264,""TRADETIME""),)"),46086.64023148148)</f>
        <v>46086.64023</v>
      </c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63" t="s">
        <v>311</v>
      </c>
      <c r="B265" s="64" t="str">
        <f>IFERROR(__xludf.DUMMYFUNCTION("IFERROR(GOOGLEFINANCE(A265,""NAME""),)"),"Central Depository Services (India) Ltd")</f>
        <v>Central Depository Services (India) Ltd</v>
      </c>
      <c r="C265" s="64">
        <f>IFERROR(__xludf.DUMMYFUNCTION("IFERROR(GOOGLEFINANCE(A265,""CHANGE""),)"),32.2)</f>
        <v>32.2</v>
      </c>
      <c r="D265" s="64">
        <f>IFERROR(__xludf.DUMMYFUNCTION("IFERROR(GOOGLEFINANCE(A265,""CHANGEPCT""),)"),2.66)</f>
        <v>2.66</v>
      </c>
      <c r="E265" s="64" t="str">
        <f t="shared" si="1"/>
        <v>2.66%</v>
      </c>
      <c r="F265" s="64">
        <f t="shared" si="2"/>
        <v>2.66</v>
      </c>
      <c r="G265" s="64" t="str">
        <f t="shared" si="3"/>
        <v/>
      </c>
      <c r="H265" s="64">
        <f>IFERROR(__xludf.DUMMYFUNCTION("IFERROR(GOOGLEFINANCE(A265,""PRICE""),)"),1240.0)</f>
        <v>1240</v>
      </c>
      <c r="I265" s="65">
        <f>IFERROR(__xludf.DUMMYFUNCTION("IFERROR(GOOGLEFINANCE(A265,""VOLUME""),)"),1532885.0)</f>
        <v>1532885</v>
      </c>
      <c r="J265" s="64" t="str">
        <f>IFERROR(__xludf.DUMMYFUNCTION("IFERROR(INDEX(SPLIT(A265,"":""),1,2),)"),"CDSL")</f>
        <v>CDSL</v>
      </c>
      <c r="K265" s="64">
        <f t="shared" si="4"/>
        <v>312</v>
      </c>
      <c r="L265" s="64" t="str">
        <f t="shared" si="5"/>
        <v/>
      </c>
      <c r="M265" s="64">
        <f t="shared" si="6"/>
        <v>238</v>
      </c>
      <c r="N265" s="66">
        <f>IFERROR(__xludf.DUMMYFUNCTION("IFERROR(GOOGLEFINANCE(A265,""TRADETIME""),)"),46086.64583333333)</f>
        <v>46086.64583</v>
      </c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9" t="s">
        <v>312</v>
      </c>
      <c r="B266" s="60" t="str">
        <f>IFERROR(__xludf.DUMMYFUNCTION("IFERROR(GOOGLEFINANCE(A266,""NAME""),)"),"Century Plyboards (India) Ltd")</f>
        <v>Century Plyboards (India) Ltd</v>
      </c>
      <c r="C266" s="60">
        <f>IFERROR(__xludf.DUMMYFUNCTION("IFERROR(GOOGLEFINANCE(A266,""CHANGE""),)"),5.3)</f>
        <v>5.3</v>
      </c>
      <c r="D266" s="60">
        <f>IFERROR(__xludf.DUMMYFUNCTION("IFERROR(GOOGLEFINANCE(A266,""CHANGEPCT""),)"),0.76)</f>
        <v>0.76</v>
      </c>
      <c r="E266" s="60" t="str">
        <f t="shared" si="1"/>
        <v>0.76%</v>
      </c>
      <c r="F266" s="60">
        <f t="shared" si="2"/>
        <v>0.76</v>
      </c>
      <c r="G266" s="60" t="str">
        <f t="shared" si="3"/>
        <v/>
      </c>
      <c r="H266" s="60">
        <f>IFERROR(__xludf.DUMMYFUNCTION("IFERROR(GOOGLEFINANCE(A266,""PRICE""),)"),704.5)</f>
        <v>704.5</v>
      </c>
      <c r="I266" s="61">
        <f>IFERROR(__xludf.DUMMYFUNCTION("IFERROR(GOOGLEFINANCE(A266,""VOLUME""),)"),37205.0)</f>
        <v>37205</v>
      </c>
      <c r="J266" s="60" t="str">
        <f>IFERROR(__xludf.DUMMYFUNCTION("IFERROR(INDEX(SPLIT(A266,"":""),1,2),)"),"CENTURYPLY")</f>
        <v>CENTURYPLY</v>
      </c>
      <c r="K266" s="60">
        <f t="shared" si="4"/>
        <v>801</v>
      </c>
      <c r="L266" s="60" t="str">
        <f t="shared" si="5"/>
        <v/>
      </c>
      <c r="M266" s="60">
        <f t="shared" si="6"/>
        <v>1003</v>
      </c>
      <c r="N266" s="62">
        <f>IFERROR(__xludf.DUMMYFUNCTION("IFERROR(GOOGLEFINANCE(A266,""TRADETIME""),)"),46086.64583333333)</f>
        <v>46086.64583</v>
      </c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68" t="s">
        <v>313</v>
      </c>
      <c r="B267" s="64" t="str">
        <f>IFERROR(__xludf.DUMMYFUNCTION("IFERROR(GOOGLEFINANCE(A267,""NAME""),)"),"CEAT Ltd")</f>
        <v>CEAT Ltd</v>
      </c>
      <c r="C267" s="64">
        <f>IFERROR(__xludf.DUMMYFUNCTION("IFERROR(GOOGLEFINANCE(A267,""CHANGE""),)"),133.3)</f>
        <v>133.3</v>
      </c>
      <c r="D267" s="64">
        <f>IFERROR(__xludf.DUMMYFUNCTION("IFERROR(GOOGLEFINANCE(A267,""CHANGEPCT""),)"),4.06)</f>
        <v>4.06</v>
      </c>
      <c r="E267" s="64" t="str">
        <f t="shared" si="1"/>
        <v>4.06%</v>
      </c>
      <c r="F267" s="64">
        <f t="shared" si="2"/>
        <v>4.06</v>
      </c>
      <c r="G267" s="64" t="str">
        <f t="shared" si="3"/>
        <v/>
      </c>
      <c r="H267" s="64">
        <f>IFERROR(__xludf.DUMMYFUNCTION("IFERROR(GOOGLEFINANCE(A267,""PRICE""),)"),3415.0)</f>
        <v>3415</v>
      </c>
      <c r="I267" s="65">
        <f>IFERROR(__xludf.DUMMYFUNCTION("IFERROR(GOOGLEFINANCE(A267,""VOLUME""),)"),139628.0)</f>
        <v>139628</v>
      </c>
      <c r="J267" s="64" t="str">
        <f>IFERROR(__xludf.DUMMYFUNCTION("IFERROR(INDEX(SPLIT(A267,"":""),1,2),)"),"CEATLTD")</f>
        <v>CEATLTD</v>
      </c>
      <c r="K267" s="64">
        <f t="shared" si="4"/>
        <v>137</v>
      </c>
      <c r="L267" s="64" t="str">
        <f t="shared" si="5"/>
        <v/>
      </c>
      <c r="M267" s="64">
        <f t="shared" si="6"/>
        <v>685</v>
      </c>
      <c r="N267" s="66">
        <f>IFERROR(__xludf.DUMMYFUNCTION("IFERROR(GOOGLEFINANCE(A267,""TRADETIME""),)"),46086.64583333333)</f>
        <v>46086.64583</v>
      </c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67" t="s">
        <v>314</v>
      </c>
      <c r="B268" s="60" t="str">
        <f>IFERROR(__xludf.DUMMYFUNCTION("IFERROR(GOOGLEFINANCE(A268,""NAME""),)"),"Jupiter Wagons Ltd")</f>
        <v>Jupiter Wagons Ltd</v>
      </c>
      <c r="C268" s="60">
        <f>IFERROR(__xludf.DUMMYFUNCTION("IFERROR(GOOGLEFINANCE(A268,""CHANGE""),)"),6.9)</f>
        <v>6.9</v>
      </c>
      <c r="D268" s="60">
        <f>IFERROR(__xludf.DUMMYFUNCTION("IFERROR(GOOGLEFINANCE(A268,""CHANGEPCT""),)"),2.77)</f>
        <v>2.77</v>
      </c>
      <c r="E268" s="60" t="str">
        <f t="shared" si="1"/>
        <v>2.77%</v>
      </c>
      <c r="F268" s="60">
        <f t="shared" si="2"/>
        <v>2.77</v>
      </c>
      <c r="G268" s="60" t="str">
        <f t="shared" si="3"/>
        <v/>
      </c>
      <c r="H268" s="60">
        <f>IFERROR(__xludf.DUMMYFUNCTION("IFERROR(GOOGLEFINANCE(A268,""PRICE""),)"),255.75)</f>
        <v>255.75</v>
      </c>
      <c r="I268" s="61">
        <f>IFERROR(__xludf.DUMMYFUNCTION("IFERROR(GOOGLEFINANCE(A268,""VOLUME""),)"),1599469.0)</f>
        <v>1599469</v>
      </c>
      <c r="J268" s="60" t="str">
        <f>IFERROR(__xludf.DUMMYFUNCTION("IFERROR(INDEX(SPLIT(A268,"":""),1,2),)"),"JWL")</f>
        <v>JWL</v>
      </c>
      <c r="K268" s="60">
        <f t="shared" si="4"/>
        <v>295</v>
      </c>
      <c r="L268" s="60" t="str">
        <f t="shared" si="5"/>
        <v/>
      </c>
      <c r="M268" s="60">
        <f t="shared" si="6"/>
        <v>233</v>
      </c>
      <c r="N268" s="62">
        <f>IFERROR(__xludf.DUMMYFUNCTION("IFERROR(GOOGLEFINANCE(A268,""TRADETIME""),)"),46086.64584490741)</f>
        <v>46086.64584</v>
      </c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68" t="s">
        <v>315</v>
      </c>
      <c r="B269" s="64" t="str">
        <f>IFERROR(__xludf.DUMMYFUNCTION("IFERROR(GOOGLEFINANCE(A269,""NAME""),)"),"Celebrity Fashions Ltd")</f>
        <v>Celebrity Fashions Ltd</v>
      </c>
      <c r="C269" s="64">
        <f>IFERROR(__xludf.DUMMYFUNCTION("IFERROR(GOOGLEFINANCE(A269,""CHANGE""),)"),0.76)</f>
        <v>0.76</v>
      </c>
      <c r="D269" s="64">
        <f>IFERROR(__xludf.DUMMYFUNCTION("IFERROR(GOOGLEFINANCE(A269,""CHANGEPCT""),)"),10.5)</f>
        <v>10.5</v>
      </c>
      <c r="E269" s="64" t="str">
        <f t="shared" si="1"/>
        <v>10.5%</v>
      </c>
      <c r="F269" s="64">
        <f t="shared" si="2"/>
        <v>10.5</v>
      </c>
      <c r="G269" s="64" t="str">
        <f t="shared" si="3"/>
        <v/>
      </c>
      <c r="H269" s="64">
        <f>IFERROR(__xludf.DUMMYFUNCTION("IFERROR(GOOGLEFINANCE(A269,""PRICE""),)"),8.17)</f>
        <v>8.17</v>
      </c>
      <c r="I269" s="65">
        <f>IFERROR(__xludf.DUMMYFUNCTION("IFERROR(GOOGLEFINANCE(A269,""VOLUME""),)"),47133.0)</f>
        <v>47133</v>
      </c>
      <c r="J269" s="64" t="str">
        <f>IFERROR(__xludf.DUMMYFUNCTION("IFERROR(INDEX(SPLIT(A269,"":""),1,2),)"),"CELEBRITY")</f>
        <v>CELEBRITY</v>
      </c>
      <c r="K269" s="64">
        <f t="shared" si="4"/>
        <v>11</v>
      </c>
      <c r="L269" s="64" t="str">
        <f t="shared" si="5"/>
        <v/>
      </c>
      <c r="M269" s="64">
        <f t="shared" si="6"/>
        <v>954</v>
      </c>
      <c r="N269" s="66">
        <f>IFERROR(__xludf.DUMMYFUNCTION("IFERROR(GOOGLEFINANCE(A269,""TRADETIME""),)"),46086.64583333333)</f>
        <v>46086.64583</v>
      </c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67" t="s">
        <v>316</v>
      </c>
      <c r="B270" s="60" t="str">
        <f>IFERROR(__xludf.DUMMYFUNCTION("IFERROR(GOOGLEFINANCE(A270,""NAME""),)"),"Century Enka Ltd")</f>
        <v>Century Enka Ltd</v>
      </c>
      <c r="C270" s="60">
        <f>IFERROR(__xludf.DUMMYFUNCTION("IFERROR(GOOGLEFINANCE(A270,""CHANGE""),)"),4.7)</f>
        <v>4.7</v>
      </c>
      <c r="D270" s="60">
        <f>IFERROR(__xludf.DUMMYFUNCTION("IFERROR(GOOGLEFINANCE(A270,""CHANGEPCT""),)"),1.14)</f>
        <v>1.14</v>
      </c>
      <c r="E270" s="60" t="str">
        <f t="shared" si="1"/>
        <v>1.14%</v>
      </c>
      <c r="F270" s="60">
        <f t="shared" si="2"/>
        <v>1.14</v>
      </c>
      <c r="G270" s="60" t="str">
        <f t="shared" si="3"/>
        <v/>
      </c>
      <c r="H270" s="60">
        <f>IFERROR(__xludf.DUMMYFUNCTION("IFERROR(GOOGLEFINANCE(A270,""PRICE""),)"),415.25)</f>
        <v>415.25</v>
      </c>
      <c r="I270" s="61">
        <f>IFERROR(__xludf.DUMMYFUNCTION("IFERROR(GOOGLEFINANCE(A270,""VOLUME""),)"),16172.0)</f>
        <v>16172</v>
      </c>
      <c r="J270" s="60" t="str">
        <f>IFERROR(__xludf.DUMMYFUNCTION("IFERROR(INDEX(SPLIT(A270,"":""),1,2),)"),"CENTENKA")</f>
        <v>CENTENKA</v>
      </c>
      <c r="K270" s="60">
        <f t="shared" si="4"/>
        <v>678</v>
      </c>
      <c r="L270" s="60" t="str">
        <f t="shared" si="5"/>
        <v/>
      </c>
      <c r="M270" s="60">
        <f t="shared" si="6"/>
        <v>1184</v>
      </c>
      <c r="N270" s="62">
        <f>IFERROR(__xludf.DUMMYFUNCTION("IFERROR(GOOGLEFINANCE(A270,""TRADETIME""),)"),46086.64583333333)</f>
        <v>46086.64583</v>
      </c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68" t="s">
        <v>317</v>
      </c>
      <c r="B271" s="64" t="str">
        <f>IFERROR(__xludf.DUMMYFUNCTION("IFERROR(GOOGLEFINANCE(A271,""NAME""),)"),"Century Extrusions Ltd")</f>
        <v>Century Extrusions Ltd</v>
      </c>
      <c r="C271" s="64">
        <f>IFERROR(__xludf.DUMMYFUNCTION("IFERROR(GOOGLEFINANCE(A271,""CHANGE""),)"),3.45)</f>
        <v>3.45</v>
      </c>
      <c r="D271" s="64">
        <f>IFERROR(__xludf.DUMMYFUNCTION("IFERROR(GOOGLEFINANCE(A271,""CHANGEPCT""),)"),19.98)</f>
        <v>19.98</v>
      </c>
      <c r="E271" s="64" t="str">
        <f t="shared" si="1"/>
        <v>19.98%</v>
      </c>
      <c r="F271" s="64">
        <f t="shared" si="2"/>
        <v>19.98</v>
      </c>
      <c r="G271" s="64" t="str">
        <f t="shared" si="3"/>
        <v/>
      </c>
      <c r="H271" s="64">
        <f>IFERROR(__xludf.DUMMYFUNCTION("IFERROR(GOOGLEFINANCE(A271,""PRICE""),)"),20.72)</f>
        <v>20.72</v>
      </c>
      <c r="I271" s="65">
        <f>IFERROR(__xludf.DUMMYFUNCTION("IFERROR(GOOGLEFINANCE(A271,""VOLUME""),)"),408583.0)</f>
        <v>408583</v>
      </c>
      <c r="J271" s="64" t="str">
        <f>IFERROR(__xludf.DUMMYFUNCTION("IFERROR(INDEX(SPLIT(A271,"":""),1,2),)"),"CENTEXT")</f>
        <v>CENTEXT</v>
      </c>
      <c r="K271" s="64">
        <f t="shared" si="4"/>
        <v>2</v>
      </c>
      <c r="L271" s="64" t="str">
        <f t="shared" si="5"/>
        <v/>
      </c>
      <c r="M271" s="64">
        <f t="shared" si="6"/>
        <v>439</v>
      </c>
      <c r="N271" s="66">
        <f>IFERROR(__xludf.DUMMYFUNCTION("IFERROR(GOOGLEFINANCE(A271,""TRADETIME""),)"),46086.64583333333)</f>
        <v>46086.64583</v>
      </c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67" t="s">
        <v>318</v>
      </c>
      <c r="B272" s="60" t="str">
        <f>IFERROR(__xludf.DUMMYFUNCTION("IFERROR(GOOGLEFINANCE(A272,""NAME""),)"),"Central Bank of India Ltd")</f>
        <v>Central Bank of India Ltd</v>
      </c>
      <c r="C272" s="60">
        <f>IFERROR(__xludf.DUMMYFUNCTION("IFERROR(GOOGLEFINANCE(A272,""CHANGE""),)"),0.7)</f>
        <v>0.7</v>
      </c>
      <c r="D272" s="60">
        <f>IFERROR(__xludf.DUMMYFUNCTION("IFERROR(GOOGLEFINANCE(A272,""CHANGEPCT""),)"),1.89)</f>
        <v>1.89</v>
      </c>
      <c r="E272" s="60" t="str">
        <f t="shared" si="1"/>
        <v>1.89%</v>
      </c>
      <c r="F272" s="60">
        <f t="shared" si="2"/>
        <v>1.89</v>
      </c>
      <c r="G272" s="60" t="str">
        <f t="shared" si="3"/>
        <v/>
      </c>
      <c r="H272" s="60">
        <f>IFERROR(__xludf.DUMMYFUNCTION("IFERROR(GOOGLEFINANCE(A272,""PRICE""),)"),37.77)</f>
        <v>37.77</v>
      </c>
      <c r="I272" s="61">
        <f>IFERROR(__xludf.DUMMYFUNCTION("IFERROR(GOOGLEFINANCE(A272,""VOLUME""),)"),7046214.0)</f>
        <v>7046214</v>
      </c>
      <c r="J272" s="60" t="str">
        <f>IFERROR(__xludf.DUMMYFUNCTION("IFERROR(INDEX(SPLIT(A272,"":""),1,2),)"),"CENTRALBK")</f>
        <v>CENTRALBK</v>
      </c>
      <c r="K272" s="60">
        <f t="shared" si="4"/>
        <v>463</v>
      </c>
      <c r="L272" s="60" t="str">
        <f t="shared" si="5"/>
        <v/>
      </c>
      <c r="M272" s="60">
        <f t="shared" si="6"/>
        <v>83</v>
      </c>
      <c r="N272" s="62">
        <f>IFERROR(__xludf.DUMMYFUNCTION("IFERROR(GOOGLEFINANCE(A272,""TRADETIME""),)"),46086.64583333333)</f>
        <v>46086.64583</v>
      </c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68" t="s">
        <v>319</v>
      </c>
      <c r="B273" s="64" t="str">
        <f>IFERROR(__xludf.DUMMYFUNCTION("IFERROR(GOOGLEFINANCE(A273,""NAME""),)"),"Centrum Capital Ltd")</f>
        <v>Centrum Capital Ltd</v>
      </c>
      <c r="C273" s="64">
        <f>IFERROR(__xludf.DUMMYFUNCTION("IFERROR(GOOGLEFINANCE(A273,""CHANGE""),)"),-0.24)</f>
        <v>-0.24</v>
      </c>
      <c r="D273" s="64">
        <f>IFERROR(__xludf.DUMMYFUNCTION("IFERROR(GOOGLEFINANCE(A273,""CHANGEPCT""),)"),-1.06)</f>
        <v>-1.06</v>
      </c>
      <c r="E273" s="64" t="str">
        <f t="shared" si="1"/>
        <v>-1.06%</v>
      </c>
      <c r="F273" s="64" t="str">
        <f t="shared" si="2"/>
        <v/>
      </c>
      <c r="G273" s="64">
        <f t="shared" si="3"/>
        <v>-1.06</v>
      </c>
      <c r="H273" s="64">
        <f>IFERROR(__xludf.DUMMYFUNCTION("IFERROR(GOOGLEFINANCE(A273,""PRICE""),)"),22.48)</f>
        <v>22.48</v>
      </c>
      <c r="I273" s="65">
        <f>IFERROR(__xludf.DUMMYFUNCTION("IFERROR(GOOGLEFINANCE(A273,""VOLUME""),)"),374729.0)</f>
        <v>374729</v>
      </c>
      <c r="J273" s="64" t="str">
        <f>IFERROR(__xludf.DUMMYFUNCTION("IFERROR(INDEX(SPLIT(A273,"":""),1,2),)"),"CENTRUM")</f>
        <v>CENTRUM</v>
      </c>
      <c r="K273" s="64" t="str">
        <f t="shared" si="4"/>
        <v/>
      </c>
      <c r="L273" s="64">
        <f t="shared" si="5"/>
        <v>223</v>
      </c>
      <c r="M273" s="64">
        <f t="shared" si="6"/>
        <v>458</v>
      </c>
      <c r="N273" s="66">
        <f>IFERROR(__xludf.DUMMYFUNCTION("IFERROR(GOOGLEFINANCE(A273,""TRADETIME""),)"),46086.64583333333)</f>
        <v>46086.64583</v>
      </c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67" t="s">
        <v>320</v>
      </c>
      <c r="B274" s="60" t="str">
        <f>IFERROR(__xludf.DUMMYFUNCTION("IFERROR(GOOGLEFINANCE(A274,""NAME""),)"),"Centum Electronics Ltd")</f>
        <v>Centum Electronics Ltd</v>
      </c>
      <c r="C274" s="60">
        <f>IFERROR(__xludf.DUMMYFUNCTION("IFERROR(GOOGLEFINANCE(A274,""CHANGE""),)"),100.9)</f>
        <v>100.9</v>
      </c>
      <c r="D274" s="60">
        <f>IFERROR(__xludf.DUMMYFUNCTION("IFERROR(GOOGLEFINANCE(A274,""CHANGEPCT""),)"),3.85)</f>
        <v>3.85</v>
      </c>
      <c r="E274" s="60" t="str">
        <f t="shared" si="1"/>
        <v>3.85%</v>
      </c>
      <c r="F274" s="60">
        <f t="shared" si="2"/>
        <v>3.85</v>
      </c>
      <c r="G274" s="60" t="str">
        <f t="shared" si="3"/>
        <v/>
      </c>
      <c r="H274" s="60">
        <f>IFERROR(__xludf.DUMMYFUNCTION("IFERROR(GOOGLEFINANCE(A274,""PRICE""),)"),2717.6)</f>
        <v>2717.6</v>
      </c>
      <c r="I274" s="61">
        <f>IFERROR(__xludf.DUMMYFUNCTION("IFERROR(GOOGLEFINANCE(A274,""VOLUME""),)"),30680.0)</f>
        <v>30680</v>
      </c>
      <c r="J274" s="60" t="str">
        <f>IFERROR(__xludf.DUMMYFUNCTION("IFERROR(INDEX(SPLIT(A274,"":""),1,2),)"),"CENTUM")</f>
        <v>CENTUM</v>
      </c>
      <c r="K274" s="60">
        <f t="shared" si="4"/>
        <v>151</v>
      </c>
      <c r="L274" s="60" t="str">
        <f t="shared" si="5"/>
        <v/>
      </c>
      <c r="M274" s="60">
        <f t="shared" si="6"/>
        <v>1054</v>
      </c>
      <c r="N274" s="62">
        <f>IFERROR(__xludf.DUMMYFUNCTION("IFERROR(GOOGLEFINANCE(A274,""TRADETIME""),)"),46086.64583333333)</f>
        <v>46086.64583</v>
      </c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63" t="s">
        <v>321</v>
      </c>
      <c r="B275" s="64" t="str">
        <f>IFERROR(__xludf.DUMMYFUNCTION("IFERROR(GOOGLEFINANCE(A275,""NAME""),)"),"Colgate-Palmolive (India) Ltd")</f>
        <v>Colgate-Palmolive (India) Ltd</v>
      </c>
      <c r="C275" s="64">
        <f>IFERROR(__xludf.DUMMYFUNCTION("IFERROR(GOOGLEFINANCE(A275,""CHANGE""),)"),15.3)</f>
        <v>15.3</v>
      </c>
      <c r="D275" s="64">
        <f>IFERROR(__xludf.DUMMYFUNCTION("IFERROR(GOOGLEFINANCE(A275,""CHANGEPCT""),)"),0.7)</f>
        <v>0.7</v>
      </c>
      <c r="E275" s="64" t="str">
        <f t="shared" si="1"/>
        <v>0.7%</v>
      </c>
      <c r="F275" s="64">
        <f t="shared" si="2"/>
        <v>0.7</v>
      </c>
      <c r="G275" s="64" t="str">
        <f t="shared" si="3"/>
        <v/>
      </c>
      <c r="H275" s="64">
        <f>IFERROR(__xludf.DUMMYFUNCTION("IFERROR(GOOGLEFINANCE(A275,""PRICE""),)"),2199.0)</f>
        <v>2199</v>
      </c>
      <c r="I275" s="65">
        <f>IFERROR(__xludf.DUMMYFUNCTION("IFERROR(GOOGLEFINANCE(A275,""VOLUME""),)"),257978.0)</f>
        <v>257978</v>
      </c>
      <c r="J275" s="64" t="str">
        <f>IFERROR(__xludf.DUMMYFUNCTION("IFERROR(INDEX(SPLIT(A275,"":""),1,2),)"),"COLPAL")</f>
        <v>COLPAL</v>
      </c>
      <c r="K275" s="64">
        <f t="shared" si="4"/>
        <v>822</v>
      </c>
      <c r="L275" s="64" t="str">
        <f t="shared" si="5"/>
        <v/>
      </c>
      <c r="M275" s="64">
        <f t="shared" si="6"/>
        <v>547</v>
      </c>
      <c r="N275" s="66">
        <f>IFERROR(__xludf.DUMMYFUNCTION("IFERROR(GOOGLEFINANCE(A275,""TRADETIME""),)"),46086.643530092595)</f>
        <v>46086.64353</v>
      </c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67" t="s">
        <v>322</v>
      </c>
      <c r="B276" s="60" t="str">
        <f>IFERROR(__xludf.DUMMYFUNCTION("IFERROR(GOOGLEFINANCE(A276,""NAME""),)"),"")</f>
        <v/>
      </c>
      <c r="C276" s="60" t="str">
        <f>IFERROR(__xludf.DUMMYFUNCTION("IFERROR(GOOGLEFINANCE(A276,""CHANGE""),)"),"")</f>
        <v/>
      </c>
      <c r="D276" s="60" t="str">
        <f>IFERROR(__xludf.DUMMYFUNCTION("IFERROR(GOOGLEFINANCE(A276,""CHANGEPCT""),)"),"")</f>
        <v/>
      </c>
      <c r="E276" s="60" t="str">
        <f t="shared" si="1"/>
        <v>%</v>
      </c>
      <c r="F276" s="60" t="str">
        <f t="shared" si="2"/>
        <v/>
      </c>
      <c r="G276" s="60" t="str">
        <f t="shared" si="3"/>
        <v/>
      </c>
      <c r="H276" s="60" t="str">
        <f>IFERROR(__xludf.DUMMYFUNCTION("IFERROR(GOOGLEFINANCE(A276,""PRICE""),)"),"")</f>
        <v/>
      </c>
      <c r="I276" s="61" t="str">
        <f>IFERROR(__xludf.DUMMYFUNCTION("IFERROR(GOOGLEFINANCE(A276,""VOLUME""),)"),"")</f>
        <v/>
      </c>
      <c r="J276" s="60" t="str">
        <f>IFERROR(__xludf.DUMMYFUNCTION("IFERROR(INDEX(SPLIT(A276,"":""),1,2),)"),"CENTURYTEX")</f>
        <v>CENTURYTEX</v>
      </c>
      <c r="K276" s="60" t="str">
        <f t="shared" si="4"/>
        <v/>
      </c>
      <c r="L276" s="60" t="str">
        <f t="shared" si="5"/>
        <v/>
      </c>
      <c r="M276" s="60" t="str">
        <f t="shared" si="6"/>
        <v/>
      </c>
      <c r="N276" s="62" t="str">
        <f>IFERROR(__xludf.DUMMYFUNCTION("IFERROR(GOOGLEFINANCE(A276,""TRADETIME""),)"),"")</f>
        <v/>
      </c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68" t="s">
        <v>323</v>
      </c>
      <c r="B277" s="64" t="str">
        <f>IFERROR(__xludf.DUMMYFUNCTION("IFERROR(GOOGLEFINANCE(A277,""NAME""),)"),"Cera Sanitaryware Ltd")</f>
        <v>Cera Sanitaryware Ltd</v>
      </c>
      <c r="C277" s="64">
        <f>IFERROR(__xludf.DUMMYFUNCTION("IFERROR(GOOGLEFINANCE(A277,""CHANGE""),)"),-28.7)</f>
        <v>-28.7</v>
      </c>
      <c r="D277" s="64">
        <f>IFERROR(__xludf.DUMMYFUNCTION("IFERROR(GOOGLEFINANCE(A277,""CHANGEPCT""),)"),-0.6)</f>
        <v>-0.6</v>
      </c>
      <c r="E277" s="64" t="str">
        <f t="shared" si="1"/>
        <v>-0.6%</v>
      </c>
      <c r="F277" s="64" t="str">
        <f t="shared" si="2"/>
        <v/>
      </c>
      <c r="G277" s="64">
        <f t="shared" si="3"/>
        <v>-0.6</v>
      </c>
      <c r="H277" s="64">
        <f>IFERROR(__xludf.DUMMYFUNCTION("IFERROR(GOOGLEFINANCE(A277,""PRICE""),)"),4755.0)</f>
        <v>4755</v>
      </c>
      <c r="I277" s="65">
        <f>IFERROR(__xludf.DUMMYFUNCTION("IFERROR(GOOGLEFINANCE(A277,""VOLUME""),)"),13030.0)</f>
        <v>13030</v>
      </c>
      <c r="J277" s="64" t="str">
        <f>IFERROR(__xludf.DUMMYFUNCTION("IFERROR(INDEX(SPLIT(A277,"":""),1,2),)"),"CERA")</f>
        <v>CERA</v>
      </c>
      <c r="K277" s="64" t="str">
        <f t="shared" si="4"/>
        <v/>
      </c>
      <c r="L277" s="64">
        <f t="shared" si="5"/>
        <v>143</v>
      </c>
      <c r="M277" s="64">
        <f t="shared" si="6"/>
        <v>1213</v>
      </c>
      <c r="N277" s="66">
        <f>IFERROR(__xludf.DUMMYFUNCTION("IFERROR(GOOGLEFINANCE(A277,""TRADETIME""),)"),46086.64584490741)</f>
        <v>46086.64584</v>
      </c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67" t="s">
        <v>324</v>
      </c>
      <c r="B278" s="60" t="str">
        <f>IFERROR(__xludf.DUMMYFUNCTION("IFERROR(GOOGLEFINANCE(A278,""NAME""),)"),"Cerebra Integrated Technologies Ltd")</f>
        <v>Cerebra Integrated Technologies Ltd</v>
      </c>
      <c r="C278" s="60">
        <f>IFERROR(__xludf.DUMMYFUNCTION("IFERROR(GOOGLEFINANCE(A278,""CHANGE""),)"),-0.13)</f>
        <v>-0.13</v>
      </c>
      <c r="D278" s="60">
        <f>IFERROR(__xludf.DUMMYFUNCTION("IFERROR(GOOGLEFINANCE(A278,""CHANGEPCT""),)"),-2.69)</f>
        <v>-2.69</v>
      </c>
      <c r="E278" s="60" t="str">
        <f t="shared" si="1"/>
        <v>-2.69%</v>
      </c>
      <c r="F278" s="60" t="str">
        <f t="shared" si="2"/>
        <v/>
      </c>
      <c r="G278" s="60">
        <f t="shared" si="3"/>
        <v>-2.69</v>
      </c>
      <c r="H278" s="60">
        <f>IFERROR(__xludf.DUMMYFUNCTION("IFERROR(GOOGLEFINANCE(A278,""PRICE""),)"),4.7)</f>
        <v>4.7</v>
      </c>
      <c r="I278" s="61">
        <f>IFERROR(__xludf.DUMMYFUNCTION("IFERROR(GOOGLEFINANCE(A278,""VOLUME""),)"),70048.0)</f>
        <v>70048</v>
      </c>
      <c r="J278" s="60" t="str">
        <f>IFERROR(__xludf.DUMMYFUNCTION("IFERROR(INDEX(SPLIT(A278,"":""),1,2),)"),"CEREBRAINT")</f>
        <v>CEREBRAINT</v>
      </c>
      <c r="K278" s="60" t="str">
        <f t="shared" si="4"/>
        <v/>
      </c>
      <c r="L278" s="60">
        <f t="shared" si="5"/>
        <v>394</v>
      </c>
      <c r="M278" s="60">
        <f t="shared" si="6"/>
        <v>848</v>
      </c>
      <c r="N278" s="62">
        <f>IFERROR(__xludf.DUMMYFUNCTION("IFERROR(GOOGLEFINANCE(A278,""TRADETIME""),)"),46086.63820601851)</f>
        <v>46086.63821</v>
      </c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68" t="s">
        <v>325</v>
      </c>
      <c r="B279" s="64" t="str">
        <f>IFERROR(__xludf.DUMMYFUNCTION("IFERROR(GOOGLEFINANCE(A279,""NAME""),)"),"CESC Ltd")</f>
        <v>CESC Ltd</v>
      </c>
      <c r="C279" s="64">
        <f>IFERROR(__xludf.DUMMYFUNCTION("IFERROR(GOOGLEFINANCE(A279,""CHANGE""),)"),3.36)</f>
        <v>3.36</v>
      </c>
      <c r="D279" s="64">
        <f>IFERROR(__xludf.DUMMYFUNCTION("IFERROR(GOOGLEFINANCE(A279,""CHANGEPCT""),)"),2.21)</f>
        <v>2.21</v>
      </c>
      <c r="E279" s="64" t="str">
        <f t="shared" si="1"/>
        <v>2.21%</v>
      </c>
      <c r="F279" s="64">
        <f t="shared" si="2"/>
        <v>2.21</v>
      </c>
      <c r="G279" s="64" t="str">
        <f t="shared" si="3"/>
        <v/>
      </c>
      <c r="H279" s="64">
        <f>IFERROR(__xludf.DUMMYFUNCTION("IFERROR(GOOGLEFINANCE(A279,""PRICE""),)"),155.69)</f>
        <v>155.69</v>
      </c>
      <c r="I279" s="65">
        <f>IFERROR(__xludf.DUMMYFUNCTION("IFERROR(GOOGLEFINANCE(A279,""VOLUME""),)"),3000746.0)</f>
        <v>3000746</v>
      </c>
      <c r="J279" s="64" t="str">
        <f>IFERROR(__xludf.DUMMYFUNCTION("IFERROR(INDEX(SPLIT(A279,"":""),1,2),)"),"CESC")</f>
        <v>CESC</v>
      </c>
      <c r="K279" s="64">
        <f t="shared" si="4"/>
        <v>396</v>
      </c>
      <c r="L279" s="64" t="str">
        <f t="shared" si="5"/>
        <v/>
      </c>
      <c r="M279" s="64">
        <f t="shared" si="6"/>
        <v>148</v>
      </c>
      <c r="N279" s="66">
        <f>IFERROR(__xludf.DUMMYFUNCTION("IFERROR(GOOGLEFINANCE(A279,""TRADETIME""),)"),46086.64583333333)</f>
        <v>46086.64583</v>
      </c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67" t="s">
        <v>326</v>
      </c>
      <c r="B280" s="60" t="str">
        <f>IFERROR(__xludf.DUMMYFUNCTION("IFERROR(GOOGLEFINANCE(A280,""NAME""),)"),"Capri Global Capital Ltd")</f>
        <v>Capri Global Capital Ltd</v>
      </c>
      <c r="C280" s="60">
        <f>IFERROR(__xludf.DUMMYFUNCTION("IFERROR(GOOGLEFINANCE(A280,""CHANGE""),)"),5.42)</f>
        <v>5.42</v>
      </c>
      <c r="D280" s="60">
        <f>IFERROR(__xludf.DUMMYFUNCTION("IFERROR(GOOGLEFINANCE(A280,""CHANGEPCT""),)"),3.64)</f>
        <v>3.64</v>
      </c>
      <c r="E280" s="60" t="str">
        <f t="shared" si="1"/>
        <v>3.64%</v>
      </c>
      <c r="F280" s="60">
        <f t="shared" si="2"/>
        <v>3.64</v>
      </c>
      <c r="G280" s="60" t="str">
        <f t="shared" si="3"/>
        <v/>
      </c>
      <c r="H280" s="60">
        <f>IFERROR(__xludf.DUMMYFUNCTION("IFERROR(GOOGLEFINANCE(A280,""PRICE""),)"),157.5)</f>
        <v>157.5</v>
      </c>
      <c r="I280" s="61">
        <f>IFERROR(__xludf.DUMMYFUNCTION("IFERROR(GOOGLEFINANCE(A280,""VOLUME""),)"),591082.0)</f>
        <v>591082</v>
      </c>
      <c r="J280" s="60" t="str">
        <f>IFERROR(__xludf.DUMMYFUNCTION("IFERROR(INDEX(SPLIT(A280,"":""),1,2),)"),"CGCL")</f>
        <v>CGCL</v>
      </c>
      <c r="K280" s="60">
        <f t="shared" si="4"/>
        <v>180</v>
      </c>
      <c r="L280" s="60" t="str">
        <f t="shared" si="5"/>
        <v/>
      </c>
      <c r="M280" s="60">
        <f t="shared" si="6"/>
        <v>370</v>
      </c>
      <c r="N280" s="62">
        <f>IFERROR(__xludf.DUMMYFUNCTION("IFERROR(GOOGLEFINANCE(A280,""TRADETIME""),)"),46086.64583333333)</f>
        <v>46086.64583</v>
      </c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68" t="s">
        <v>327</v>
      </c>
      <c r="B281" s="64" t="str">
        <f>IFERROR(__xludf.DUMMYFUNCTION("IFERROR(GOOGLEFINANCE(A281,""NAME""),)"),"CG Power and Industrial Solutions Ltd")</f>
        <v>CG Power and Industrial Solutions Ltd</v>
      </c>
      <c r="C281" s="64">
        <f>IFERROR(__xludf.DUMMYFUNCTION("IFERROR(GOOGLEFINANCE(A281,""CHANGE""),)"),15.8)</f>
        <v>15.8</v>
      </c>
      <c r="D281" s="64">
        <f>IFERROR(__xludf.DUMMYFUNCTION("IFERROR(GOOGLEFINANCE(A281,""CHANGEPCT""),)"),2.31)</f>
        <v>2.31</v>
      </c>
      <c r="E281" s="64" t="str">
        <f t="shared" si="1"/>
        <v>2.31%</v>
      </c>
      <c r="F281" s="64">
        <f t="shared" si="2"/>
        <v>2.31</v>
      </c>
      <c r="G281" s="64" t="str">
        <f t="shared" si="3"/>
        <v/>
      </c>
      <c r="H281" s="64">
        <f>IFERROR(__xludf.DUMMYFUNCTION("IFERROR(GOOGLEFINANCE(A281,""PRICE""),)"),700.7)</f>
        <v>700.7</v>
      </c>
      <c r="I281" s="65">
        <f>IFERROR(__xludf.DUMMYFUNCTION("IFERROR(GOOGLEFINANCE(A281,""VOLUME""),)"),1347935.0)</f>
        <v>1347935</v>
      </c>
      <c r="J281" s="64" t="str">
        <f>IFERROR(__xludf.DUMMYFUNCTION("IFERROR(INDEX(SPLIT(A281,"":""),1,2),)"),"CGPOWER")</f>
        <v>CGPOWER</v>
      </c>
      <c r="K281" s="64">
        <f t="shared" si="4"/>
        <v>374</v>
      </c>
      <c r="L281" s="64" t="str">
        <f t="shared" si="5"/>
        <v/>
      </c>
      <c r="M281" s="64">
        <f t="shared" si="6"/>
        <v>252</v>
      </c>
      <c r="N281" s="66">
        <f>IFERROR(__xludf.DUMMYFUNCTION("IFERROR(GOOGLEFINANCE(A281,""TRADETIME""),)"),46086.64583333333)</f>
        <v>46086.64583</v>
      </c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67" t="s">
        <v>328</v>
      </c>
      <c r="B282" s="60" t="str">
        <f>IFERROR(__xludf.DUMMYFUNCTION("IFERROR(GOOGLEFINANCE(A282,""NAME""),)"),"Chalet Hotels Ltd")</f>
        <v>Chalet Hotels Ltd</v>
      </c>
      <c r="C282" s="60">
        <f>IFERROR(__xludf.DUMMYFUNCTION("IFERROR(GOOGLEFINANCE(A282,""CHANGE""),)"),9.2)</f>
        <v>9.2</v>
      </c>
      <c r="D282" s="60">
        <f>IFERROR(__xludf.DUMMYFUNCTION("IFERROR(GOOGLEFINANCE(A282,""CHANGEPCT""),)"),1.22)</f>
        <v>1.22</v>
      </c>
      <c r="E282" s="60" t="str">
        <f t="shared" si="1"/>
        <v>1.22%</v>
      </c>
      <c r="F282" s="60">
        <f t="shared" si="2"/>
        <v>1.22</v>
      </c>
      <c r="G282" s="60" t="str">
        <f t="shared" si="3"/>
        <v/>
      </c>
      <c r="H282" s="60">
        <f>IFERROR(__xludf.DUMMYFUNCTION("IFERROR(GOOGLEFINANCE(A282,""PRICE""),)"),766.2)</f>
        <v>766.2</v>
      </c>
      <c r="I282" s="61">
        <f>IFERROR(__xludf.DUMMYFUNCTION("IFERROR(GOOGLEFINANCE(A282,""VOLUME""),)"),206784.0)</f>
        <v>206784</v>
      </c>
      <c r="J282" s="60" t="str">
        <f>IFERROR(__xludf.DUMMYFUNCTION("IFERROR(INDEX(SPLIT(A282,"":""),1,2),)"),"CHALET")</f>
        <v>CHALET</v>
      </c>
      <c r="K282" s="60">
        <f t="shared" si="4"/>
        <v>664</v>
      </c>
      <c r="L282" s="60" t="str">
        <f t="shared" si="5"/>
        <v/>
      </c>
      <c r="M282" s="60">
        <f t="shared" si="6"/>
        <v>596</v>
      </c>
      <c r="N282" s="62">
        <f>IFERROR(__xludf.DUMMYFUNCTION("IFERROR(GOOGLEFINANCE(A282,""TRADETIME""),)"),46086.64583333333)</f>
        <v>46086.64583</v>
      </c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68" t="s">
        <v>329</v>
      </c>
      <c r="B283" s="64" t="str">
        <f>IFERROR(__xludf.DUMMYFUNCTION("IFERROR(GOOGLEFINANCE(A283,""NAME""),)"),"Chambal Fertilisers and Chemicals Ltd")</f>
        <v>Chambal Fertilisers and Chemicals Ltd</v>
      </c>
      <c r="C283" s="64">
        <f>IFERROR(__xludf.DUMMYFUNCTION("IFERROR(GOOGLEFINANCE(A283,""CHANGE""),)"),2.8)</f>
        <v>2.8</v>
      </c>
      <c r="D283" s="64">
        <f>IFERROR(__xludf.DUMMYFUNCTION("IFERROR(GOOGLEFINANCE(A283,""CHANGEPCT""),)"),0.65)</f>
        <v>0.65</v>
      </c>
      <c r="E283" s="64" t="str">
        <f t="shared" si="1"/>
        <v>0.65%</v>
      </c>
      <c r="F283" s="64">
        <f t="shared" si="2"/>
        <v>0.65</v>
      </c>
      <c r="G283" s="64" t="str">
        <f t="shared" si="3"/>
        <v/>
      </c>
      <c r="H283" s="64">
        <f>IFERROR(__xludf.DUMMYFUNCTION("IFERROR(GOOGLEFINANCE(A283,""PRICE""),)"),434.05)</f>
        <v>434.05</v>
      </c>
      <c r="I283" s="65">
        <f>IFERROR(__xludf.DUMMYFUNCTION("IFERROR(GOOGLEFINANCE(A283,""VOLUME""),)"),552617.0)</f>
        <v>552617</v>
      </c>
      <c r="J283" s="64" t="str">
        <f>IFERROR(__xludf.DUMMYFUNCTION("IFERROR(INDEX(SPLIT(A283,"":""),1,2),)"),"CHAMBLFERT")</f>
        <v>CHAMBLFERT</v>
      </c>
      <c r="K283" s="64">
        <f t="shared" si="4"/>
        <v>831</v>
      </c>
      <c r="L283" s="64" t="str">
        <f t="shared" si="5"/>
        <v/>
      </c>
      <c r="M283" s="64">
        <f t="shared" si="6"/>
        <v>383</v>
      </c>
      <c r="N283" s="66">
        <f>IFERROR(__xludf.DUMMYFUNCTION("IFERROR(GOOGLEFINANCE(A283,""TRADETIME""),)"),46086.64583333333)</f>
        <v>46086.64583</v>
      </c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67" t="s">
        <v>330</v>
      </c>
      <c r="B284" s="60" t="str">
        <f>IFERROR(__xludf.DUMMYFUNCTION("IFERROR(GOOGLEFINANCE(A284,""NAME""),)"),"Chembond Material Technologies Ltd")</f>
        <v>Chembond Material Technologies Ltd</v>
      </c>
      <c r="C284" s="60">
        <f>IFERROR(__xludf.DUMMYFUNCTION("IFERROR(GOOGLEFINANCE(A284,""CHANGE""),)"),2.47)</f>
        <v>2.47</v>
      </c>
      <c r="D284" s="60">
        <f>IFERROR(__xludf.DUMMYFUNCTION("IFERROR(GOOGLEFINANCE(A284,""CHANGEPCT""),)"),1.77)</f>
        <v>1.77</v>
      </c>
      <c r="E284" s="60" t="str">
        <f t="shared" si="1"/>
        <v>1.77%</v>
      </c>
      <c r="F284" s="60">
        <f t="shared" si="2"/>
        <v>1.77</v>
      </c>
      <c r="G284" s="60" t="str">
        <f t="shared" si="3"/>
        <v/>
      </c>
      <c r="H284" s="60">
        <f>IFERROR(__xludf.DUMMYFUNCTION("IFERROR(GOOGLEFINANCE(A284,""PRICE""),)"),141.9)</f>
        <v>141.9</v>
      </c>
      <c r="I284" s="61">
        <f>IFERROR(__xludf.DUMMYFUNCTION("IFERROR(GOOGLEFINANCE(A284,""VOLUME""),)"),2228.0)</f>
        <v>2228</v>
      </c>
      <c r="J284" s="60" t="str">
        <f>IFERROR(__xludf.DUMMYFUNCTION("IFERROR(INDEX(SPLIT(A284,"":""),1,2),)"),"CHEMBOND")</f>
        <v>CHEMBOND</v>
      </c>
      <c r="K284" s="60">
        <f t="shared" si="4"/>
        <v>504</v>
      </c>
      <c r="L284" s="60" t="str">
        <f t="shared" si="5"/>
        <v/>
      </c>
      <c r="M284" s="60">
        <f t="shared" si="6"/>
        <v>1402</v>
      </c>
      <c r="N284" s="62">
        <f>IFERROR(__xludf.DUMMYFUNCTION("IFERROR(GOOGLEFINANCE(A284,""TRADETIME""),)"),46086.64583333333)</f>
        <v>46086.64583</v>
      </c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68" t="s">
        <v>331</v>
      </c>
      <c r="B285" s="64" t="str">
        <f>IFERROR(__xludf.DUMMYFUNCTION("IFERROR(GOOGLEFINANCE(A285,""NAME""),)"),"Chemcon Speciality Chemicals Ltd")</f>
        <v>Chemcon Speciality Chemicals Ltd</v>
      </c>
      <c r="C285" s="64">
        <f>IFERROR(__xludf.DUMMYFUNCTION("IFERROR(GOOGLEFINANCE(A285,""CHANGE""),)"),4.8)</f>
        <v>4.8</v>
      </c>
      <c r="D285" s="64">
        <f>IFERROR(__xludf.DUMMYFUNCTION("IFERROR(GOOGLEFINANCE(A285,""CHANGEPCT""),)"),2.05)</f>
        <v>2.05</v>
      </c>
      <c r="E285" s="64" t="str">
        <f t="shared" si="1"/>
        <v>2.05%</v>
      </c>
      <c r="F285" s="64">
        <f t="shared" si="2"/>
        <v>2.05</v>
      </c>
      <c r="G285" s="64" t="str">
        <f t="shared" si="3"/>
        <v/>
      </c>
      <c r="H285" s="64">
        <f>IFERROR(__xludf.DUMMYFUNCTION("IFERROR(GOOGLEFINANCE(A285,""PRICE""),)"),161.3)</f>
        <v>161.3</v>
      </c>
      <c r="I285" s="65">
        <f>IFERROR(__xludf.DUMMYFUNCTION("IFERROR(GOOGLEFINANCE(A285,""VOLUME""),)"),47028.0)</f>
        <v>47028</v>
      </c>
      <c r="J285" s="64" t="str">
        <f>IFERROR(__xludf.DUMMYFUNCTION("IFERROR(INDEX(SPLIT(A285,"":""),1,2),)"),"CHEMCON")</f>
        <v>CHEMCON</v>
      </c>
      <c r="K285" s="64">
        <f t="shared" si="4"/>
        <v>430</v>
      </c>
      <c r="L285" s="64" t="str">
        <f t="shared" si="5"/>
        <v/>
      </c>
      <c r="M285" s="64">
        <f t="shared" si="6"/>
        <v>956</v>
      </c>
      <c r="N285" s="66">
        <f>IFERROR(__xludf.DUMMYFUNCTION("IFERROR(GOOGLEFINANCE(A285,""TRADETIME""),)"),46086.64583333333)</f>
        <v>46086.64583</v>
      </c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67" t="s">
        <v>332</v>
      </c>
      <c r="B286" s="60" t="str">
        <f>IFERROR(__xludf.DUMMYFUNCTION("IFERROR(GOOGLEFINANCE(A286,""NAME""),)"),"Chemfab Alkalis Ltd")</f>
        <v>Chemfab Alkalis Ltd</v>
      </c>
      <c r="C286" s="60">
        <f>IFERROR(__xludf.DUMMYFUNCTION("IFERROR(GOOGLEFINANCE(A286,""CHANGE""),)"),21.9)</f>
        <v>21.9</v>
      </c>
      <c r="D286" s="60">
        <f>IFERROR(__xludf.DUMMYFUNCTION("IFERROR(GOOGLEFINANCE(A286,""CHANGEPCT""),)"),3.69)</f>
        <v>3.69</v>
      </c>
      <c r="E286" s="60" t="str">
        <f t="shared" si="1"/>
        <v>3.69%</v>
      </c>
      <c r="F286" s="60">
        <f t="shared" si="2"/>
        <v>3.69</v>
      </c>
      <c r="G286" s="60" t="str">
        <f t="shared" si="3"/>
        <v/>
      </c>
      <c r="H286" s="60">
        <f>IFERROR(__xludf.DUMMYFUNCTION("IFERROR(GOOGLEFINANCE(A286,""PRICE""),)"),383.55)</f>
        <v>383.55</v>
      </c>
      <c r="I286" s="61">
        <f>IFERROR(__xludf.DUMMYFUNCTION("IFERROR(GOOGLEFINANCE(A286,""VOLUME""),)"),8694.0)</f>
        <v>8694</v>
      </c>
      <c r="J286" s="60" t="str">
        <f>IFERROR(__xludf.DUMMYFUNCTION("IFERROR(INDEX(SPLIT(A286,"":""),1,2),)"),"CHEMFAB")</f>
        <v>CHEMFAB</v>
      </c>
      <c r="K286" s="60">
        <f t="shared" si="4"/>
        <v>171</v>
      </c>
      <c r="L286" s="60" t="str">
        <f t="shared" si="5"/>
        <v/>
      </c>
      <c r="M286" s="60">
        <f t="shared" si="6"/>
        <v>1282</v>
      </c>
      <c r="N286" s="62">
        <f>IFERROR(__xludf.DUMMYFUNCTION("IFERROR(GOOGLEFINANCE(A286,""TRADETIME""),)"),46086.64584490741)</f>
        <v>46086.64584</v>
      </c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68" t="s">
        <v>333</v>
      </c>
      <c r="B287" s="64" t="str">
        <f>IFERROR(__xludf.DUMMYFUNCTION("IFERROR(GOOGLEFINANCE(A287,""NAME""),)"),"Chennai Petroleum Corporation Ltd")</f>
        <v>Chennai Petroleum Corporation Ltd</v>
      </c>
      <c r="C287" s="64">
        <f>IFERROR(__xludf.DUMMYFUNCTION("IFERROR(GOOGLEFINANCE(A287,""CHANGE""),)"),0.1)</f>
        <v>0.1</v>
      </c>
      <c r="D287" s="64">
        <f>IFERROR(__xludf.DUMMYFUNCTION("IFERROR(GOOGLEFINANCE(A287,""CHANGEPCT""),)"),0.01)</f>
        <v>0.01</v>
      </c>
      <c r="E287" s="64" t="str">
        <f t="shared" si="1"/>
        <v>0.01%</v>
      </c>
      <c r="F287" s="64">
        <f t="shared" si="2"/>
        <v>0.01</v>
      </c>
      <c r="G287" s="64" t="str">
        <f t="shared" si="3"/>
        <v/>
      </c>
      <c r="H287" s="64">
        <f>IFERROR(__xludf.DUMMYFUNCTION("IFERROR(GOOGLEFINANCE(A287,""PRICE""),)"),996.25)</f>
        <v>996.25</v>
      </c>
      <c r="I287" s="65">
        <f>IFERROR(__xludf.DUMMYFUNCTION("IFERROR(GOOGLEFINANCE(A287,""VOLUME""),)"),6151530.0)</f>
        <v>6151530</v>
      </c>
      <c r="J287" s="64" t="str">
        <f>IFERROR(__xludf.DUMMYFUNCTION("IFERROR(INDEX(SPLIT(A287,"":""),1,2),)"),"CHENNPETRO")</f>
        <v>CHENNPETRO</v>
      </c>
      <c r="K287" s="64">
        <f t="shared" si="4"/>
        <v>1003</v>
      </c>
      <c r="L287" s="64" t="str">
        <f t="shared" si="5"/>
        <v/>
      </c>
      <c r="M287" s="64">
        <f t="shared" si="6"/>
        <v>89</v>
      </c>
      <c r="N287" s="66">
        <f>IFERROR(__xludf.DUMMYFUNCTION("IFERROR(GOOGLEFINANCE(A287,""TRADETIME""),)"),46086.64583333333)</f>
        <v>46086.64583</v>
      </c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67" t="s">
        <v>334</v>
      </c>
      <c r="B288" s="60" t="str">
        <f>IFERROR(__xludf.DUMMYFUNCTION("IFERROR(GOOGLEFINANCE(A288,""NAME""),)"),"Cholamandalam Investment and Fin Co Ltd")</f>
        <v>Cholamandalam Investment and Fin Co Ltd</v>
      </c>
      <c r="C288" s="60">
        <f>IFERROR(__xludf.DUMMYFUNCTION("IFERROR(GOOGLEFINANCE(A288,""CHANGE""),)"),14.4)</f>
        <v>14.4</v>
      </c>
      <c r="D288" s="60">
        <f>IFERROR(__xludf.DUMMYFUNCTION("IFERROR(GOOGLEFINANCE(A288,""CHANGEPCT""),)"),0.74)</f>
        <v>0.74</v>
      </c>
      <c r="E288" s="60" t="str">
        <f t="shared" si="1"/>
        <v>0.74%</v>
      </c>
      <c r="F288" s="60">
        <f t="shared" si="2"/>
        <v>0.74</v>
      </c>
      <c r="G288" s="60" t="str">
        <f t="shared" si="3"/>
        <v/>
      </c>
      <c r="H288" s="60">
        <f>IFERROR(__xludf.DUMMYFUNCTION("IFERROR(GOOGLEFINANCE(A288,""PRICE""),)"),1668.0)</f>
        <v>1668</v>
      </c>
      <c r="I288" s="61">
        <f>IFERROR(__xludf.DUMMYFUNCTION("IFERROR(GOOGLEFINANCE(A288,""VOLUME""),)"),2076333.0)</f>
        <v>2076333</v>
      </c>
      <c r="J288" s="60" t="str">
        <f>IFERROR(__xludf.DUMMYFUNCTION("IFERROR(INDEX(SPLIT(A288,"":""),1,2),)"),"CHOLAFIN")</f>
        <v>CHOLAFIN</v>
      </c>
      <c r="K288" s="60">
        <f t="shared" si="4"/>
        <v>804</v>
      </c>
      <c r="L288" s="60" t="str">
        <f t="shared" si="5"/>
        <v/>
      </c>
      <c r="M288" s="60">
        <f t="shared" si="6"/>
        <v>194</v>
      </c>
      <c r="N288" s="62">
        <f>IFERROR(__xludf.DUMMYFUNCTION("IFERROR(GOOGLEFINANCE(A288,""TRADETIME""),)"),46086.64583333333)</f>
        <v>46086.64583</v>
      </c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68" t="s">
        <v>335</v>
      </c>
      <c r="B289" s="64" t="str">
        <f>IFERROR(__xludf.DUMMYFUNCTION("IFERROR(GOOGLEFINANCE(A289,""NAME""),)"),"Cholamandalam Financial Holdings Ltd")</f>
        <v>Cholamandalam Financial Holdings Ltd</v>
      </c>
      <c r="C289" s="64">
        <f>IFERROR(__xludf.DUMMYFUNCTION("IFERROR(GOOGLEFINANCE(A289,""CHANGE""),)"),10.3)</f>
        <v>10.3</v>
      </c>
      <c r="D289" s="64">
        <f>IFERROR(__xludf.DUMMYFUNCTION("IFERROR(GOOGLEFINANCE(A289,""CHANGEPCT""),)"),0.12)</f>
        <v>0.12</v>
      </c>
      <c r="E289" s="64" t="str">
        <f t="shared" si="1"/>
        <v>0.12%</v>
      </c>
      <c r="F289" s="64">
        <f t="shared" si="2"/>
        <v>0.12</v>
      </c>
      <c r="G289" s="64" t="str">
        <f t="shared" si="3"/>
        <v/>
      </c>
      <c r="H289" s="64">
        <f>IFERROR(__xludf.DUMMYFUNCTION("IFERROR(GOOGLEFINANCE(A289,""PRICE""),)"),1629.5)</f>
        <v>1629.5</v>
      </c>
      <c r="I289" s="65">
        <f>IFERROR(__xludf.DUMMYFUNCTION("IFERROR(GOOGLEFINANCE(A289,""VOLUME""),)"),131285.0)</f>
        <v>131285</v>
      </c>
      <c r="J289" s="64" t="str">
        <f>IFERROR(__xludf.DUMMYFUNCTION("IFERROR(INDEX(SPLIT(A289,"":""),1,2),)"),"CHOLAHLDNG")</f>
        <v>CHOLAHLDNG</v>
      </c>
      <c r="K289" s="64">
        <f t="shared" si="4"/>
        <v>970</v>
      </c>
      <c r="L289" s="64" t="str">
        <f t="shared" si="5"/>
        <v/>
      </c>
      <c r="M289" s="64">
        <f t="shared" si="6"/>
        <v>697</v>
      </c>
      <c r="N289" s="66">
        <f>IFERROR(__xludf.DUMMYFUNCTION("IFERROR(GOOGLEFINANCE(A289,""TRADETIME""),)"),46086.64583333333)</f>
        <v>46086.64583</v>
      </c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67" t="s">
        <v>336</v>
      </c>
      <c r="B290" s="60" t="str">
        <f>IFERROR(__xludf.DUMMYFUNCTION("IFERROR(GOOGLEFINANCE(A290,""NAME""),)"),"Cigniti Technologies Ltd")</f>
        <v>Cigniti Technologies Ltd</v>
      </c>
      <c r="C290" s="60">
        <f>IFERROR(__xludf.DUMMYFUNCTION("IFERROR(GOOGLEFINANCE(A290,""CHANGE""),)"),-7.1)</f>
        <v>-7.1</v>
      </c>
      <c r="D290" s="60">
        <f>IFERROR(__xludf.DUMMYFUNCTION("IFERROR(GOOGLEFINANCE(A290,""CHANGEPCT""),)"),-0.62)</f>
        <v>-0.62</v>
      </c>
      <c r="E290" s="60" t="str">
        <f t="shared" si="1"/>
        <v>-0.62%</v>
      </c>
      <c r="F290" s="60" t="str">
        <f t="shared" si="2"/>
        <v/>
      </c>
      <c r="G290" s="60">
        <f t="shared" si="3"/>
        <v>-0.62</v>
      </c>
      <c r="H290" s="60">
        <f>IFERROR(__xludf.DUMMYFUNCTION("IFERROR(GOOGLEFINANCE(A290,""PRICE""),)"),1143.8)</f>
        <v>1143.8</v>
      </c>
      <c r="I290" s="61">
        <f>IFERROR(__xludf.DUMMYFUNCTION("IFERROR(GOOGLEFINANCE(A290,""VOLUME""),)"),51773.0)</f>
        <v>51773</v>
      </c>
      <c r="J290" s="60" t="str">
        <f>IFERROR(__xludf.DUMMYFUNCTION("IFERROR(INDEX(SPLIT(A290,"":""),1,2),)"),"CIGNITITEC")</f>
        <v>CIGNITITEC</v>
      </c>
      <c r="K290" s="60" t="str">
        <f t="shared" si="4"/>
        <v/>
      </c>
      <c r="L290" s="60">
        <f t="shared" si="5"/>
        <v>147</v>
      </c>
      <c r="M290" s="60">
        <f t="shared" si="6"/>
        <v>924</v>
      </c>
      <c r="N290" s="62">
        <f>IFERROR(__xludf.DUMMYFUNCTION("IFERROR(GOOGLEFINANCE(A290,""TRADETIME""),)"),46086.63983796297)</f>
        <v>46086.63984</v>
      </c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68" t="s">
        <v>337</v>
      </c>
      <c r="B291" s="64" t="str">
        <f>IFERROR(__xludf.DUMMYFUNCTION("IFERROR(GOOGLEFINANCE(A291,""NAME""),)"),"Cineline India Ltd")</f>
        <v>Cineline India Ltd</v>
      </c>
      <c r="C291" s="64">
        <f>IFERROR(__xludf.DUMMYFUNCTION("IFERROR(GOOGLEFINANCE(A291,""CHANGE""),)"),4.4)</f>
        <v>4.4</v>
      </c>
      <c r="D291" s="64">
        <f>IFERROR(__xludf.DUMMYFUNCTION("IFERROR(GOOGLEFINANCE(A291,""CHANGEPCT""),)"),5.2)</f>
        <v>5.2</v>
      </c>
      <c r="E291" s="64" t="str">
        <f t="shared" si="1"/>
        <v>5.2%</v>
      </c>
      <c r="F291" s="64">
        <f t="shared" si="2"/>
        <v>5.2</v>
      </c>
      <c r="G291" s="64" t="str">
        <f t="shared" si="3"/>
        <v/>
      </c>
      <c r="H291" s="64">
        <f>IFERROR(__xludf.DUMMYFUNCTION("IFERROR(GOOGLEFINANCE(A291,""PRICE""),)"),89.0)</f>
        <v>89</v>
      </c>
      <c r="I291" s="65">
        <f>IFERROR(__xludf.DUMMYFUNCTION("IFERROR(GOOGLEFINANCE(A291,""VOLUME""),)"),19606.0)</f>
        <v>19606</v>
      </c>
      <c r="J291" s="64" t="str">
        <f>IFERROR(__xludf.DUMMYFUNCTION("IFERROR(INDEX(SPLIT(A291,"":""),1,2),)"),"CINELINE")</f>
        <v>CINELINE</v>
      </c>
      <c r="K291" s="64">
        <f t="shared" si="4"/>
        <v>61</v>
      </c>
      <c r="L291" s="64" t="str">
        <f t="shared" si="5"/>
        <v/>
      </c>
      <c r="M291" s="64">
        <f t="shared" si="6"/>
        <v>1143</v>
      </c>
      <c r="N291" s="66">
        <f>IFERROR(__xludf.DUMMYFUNCTION("IFERROR(GOOGLEFINANCE(A291,""TRADETIME""),)"),46086.64583333333)</f>
        <v>46086.64583</v>
      </c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67" t="s">
        <v>338</v>
      </c>
      <c r="B292" s="60" t="str">
        <f>IFERROR(__xludf.DUMMYFUNCTION("IFERROR(GOOGLEFINANCE(A292,""NAME""),)"),"Cinevista Ltd")</f>
        <v>Cinevista Ltd</v>
      </c>
      <c r="C292" s="60">
        <f>IFERROR(__xludf.DUMMYFUNCTION("IFERROR(GOOGLEFINANCE(A292,""CHANGE""),)"),0.34)</f>
        <v>0.34</v>
      </c>
      <c r="D292" s="60">
        <f>IFERROR(__xludf.DUMMYFUNCTION("IFERROR(GOOGLEFINANCE(A292,""CHANGEPCT""),)"),2.25)</f>
        <v>2.25</v>
      </c>
      <c r="E292" s="60" t="str">
        <f t="shared" si="1"/>
        <v>2.25%</v>
      </c>
      <c r="F292" s="60">
        <f t="shared" si="2"/>
        <v>2.25</v>
      </c>
      <c r="G292" s="60" t="str">
        <f t="shared" si="3"/>
        <v/>
      </c>
      <c r="H292" s="60">
        <f>IFERROR(__xludf.DUMMYFUNCTION("IFERROR(GOOGLEFINANCE(A292,""PRICE""),)"),15.44)</f>
        <v>15.44</v>
      </c>
      <c r="I292" s="61">
        <f>IFERROR(__xludf.DUMMYFUNCTION("IFERROR(GOOGLEFINANCE(A292,""VOLUME""),)"),63762.0)</f>
        <v>63762</v>
      </c>
      <c r="J292" s="60" t="str">
        <f>IFERROR(__xludf.DUMMYFUNCTION("IFERROR(INDEX(SPLIT(A292,"":""),1,2),)"),"CINEVISTA")</f>
        <v>CINEVISTA</v>
      </c>
      <c r="K292" s="60">
        <f t="shared" si="4"/>
        <v>387</v>
      </c>
      <c r="L292" s="60" t="str">
        <f t="shared" si="5"/>
        <v/>
      </c>
      <c r="M292" s="60">
        <f t="shared" si="6"/>
        <v>866</v>
      </c>
      <c r="N292" s="62">
        <f>IFERROR(__xludf.DUMMYFUNCTION("IFERROR(GOOGLEFINANCE(A292,""TRADETIME""),)"),46086.64583333333)</f>
        <v>46086.64583</v>
      </c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68" t="s">
        <v>339</v>
      </c>
      <c r="B293" s="64" t="str">
        <f>IFERROR(__xludf.DUMMYFUNCTION("IFERROR(GOOGLEFINANCE(A293,""NAME""),)"),"Cipla Ltd")</f>
        <v>Cipla Ltd</v>
      </c>
      <c r="C293" s="64">
        <f>IFERROR(__xludf.DUMMYFUNCTION("IFERROR(GOOGLEFINANCE(A293,""CHANGE""),)"),14.3)</f>
        <v>14.3</v>
      </c>
      <c r="D293" s="64">
        <f>IFERROR(__xludf.DUMMYFUNCTION("IFERROR(GOOGLEFINANCE(A293,""CHANGEPCT""),)"),1.09)</f>
        <v>1.09</v>
      </c>
      <c r="E293" s="64" t="str">
        <f t="shared" si="1"/>
        <v>1.09%</v>
      </c>
      <c r="F293" s="64">
        <f t="shared" si="2"/>
        <v>1.09</v>
      </c>
      <c r="G293" s="64" t="str">
        <f t="shared" si="3"/>
        <v/>
      </c>
      <c r="H293" s="64">
        <f>IFERROR(__xludf.DUMMYFUNCTION("IFERROR(GOOGLEFINANCE(A293,""PRICE""),)"),1327.5)</f>
        <v>1327.5</v>
      </c>
      <c r="I293" s="65">
        <f>IFERROR(__xludf.DUMMYFUNCTION("IFERROR(GOOGLEFINANCE(A293,""VOLUME""),)"),1183939.0)</f>
        <v>1183939</v>
      </c>
      <c r="J293" s="64" t="str">
        <f>IFERROR(__xludf.DUMMYFUNCTION("IFERROR(INDEX(SPLIT(A293,"":""),1,2),)"),"CIPLA")</f>
        <v>CIPLA</v>
      </c>
      <c r="K293" s="64">
        <f t="shared" si="4"/>
        <v>692</v>
      </c>
      <c r="L293" s="64" t="str">
        <f t="shared" si="5"/>
        <v/>
      </c>
      <c r="M293" s="64">
        <f t="shared" si="6"/>
        <v>264</v>
      </c>
      <c r="N293" s="66">
        <f>IFERROR(__xludf.DUMMYFUNCTION("IFERROR(GOOGLEFINANCE(A293,""TRADETIME""),)"),46086.64583333333)</f>
        <v>46086.64583</v>
      </c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67" t="s">
        <v>340</v>
      </c>
      <c r="B294" s="60" t="str">
        <f>IFERROR(__xludf.DUMMYFUNCTION("IFERROR(GOOGLEFINANCE(A294,""NAME""),)"),"CL Educate Ltd")</f>
        <v>CL Educate Ltd</v>
      </c>
      <c r="C294" s="60">
        <f>IFERROR(__xludf.DUMMYFUNCTION("IFERROR(GOOGLEFINANCE(A294,""CHANGE""),)"),2.33)</f>
        <v>2.33</v>
      </c>
      <c r="D294" s="60">
        <f>IFERROR(__xludf.DUMMYFUNCTION("IFERROR(GOOGLEFINANCE(A294,""CHANGEPCT""),)"),5.57)</f>
        <v>5.57</v>
      </c>
      <c r="E294" s="60" t="str">
        <f t="shared" si="1"/>
        <v>5.57%</v>
      </c>
      <c r="F294" s="60">
        <f t="shared" si="2"/>
        <v>5.57</v>
      </c>
      <c r="G294" s="60" t="str">
        <f t="shared" si="3"/>
        <v/>
      </c>
      <c r="H294" s="60">
        <f>IFERROR(__xludf.DUMMYFUNCTION("IFERROR(GOOGLEFINANCE(A294,""PRICE""),)"),44.19)</f>
        <v>44.19</v>
      </c>
      <c r="I294" s="61">
        <f>IFERROR(__xludf.DUMMYFUNCTION("IFERROR(GOOGLEFINANCE(A294,""VOLUME""),)"),121093.0)</f>
        <v>121093</v>
      </c>
      <c r="J294" s="60" t="str">
        <f>IFERROR(__xludf.DUMMYFUNCTION("IFERROR(INDEX(SPLIT(A294,"":""),1,2),)"),"CLEDUCATE")</f>
        <v>CLEDUCATE</v>
      </c>
      <c r="K294" s="60">
        <f t="shared" si="4"/>
        <v>51</v>
      </c>
      <c r="L294" s="60" t="str">
        <f t="shared" si="5"/>
        <v/>
      </c>
      <c r="M294" s="60">
        <f t="shared" si="6"/>
        <v>721</v>
      </c>
      <c r="N294" s="62">
        <f>IFERROR(__xludf.DUMMYFUNCTION("IFERROR(GOOGLEFINANCE(A294,""TRADETIME""),)"),46086.64583333333)</f>
        <v>46086.64583</v>
      </c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68" t="s">
        <v>341</v>
      </c>
      <c r="B295" s="64" t="str">
        <f>IFERROR(__xludf.DUMMYFUNCTION("IFERROR(GOOGLEFINANCE(A295,""NAME""),)"),"")</f>
        <v/>
      </c>
      <c r="C295" s="64" t="str">
        <f>IFERROR(__xludf.DUMMYFUNCTION("IFERROR(GOOGLEFINANCE(A295,""CHANGE""),)"),"")</f>
        <v/>
      </c>
      <c r="D295" s="64" t="str">
        <f>IFERROR(__xludf.DUMMYFUNCTION("IFERROR(GOOGLEFINANCE(A295,""CHANGEPCT""),)"),"")</f>
        <v/>
      </c>
      <c r="E295" s="64" t="str">
        <f t="shared" si="1"/>
        <v>%</v>
      </c>
      <c r="F295" s="64" t="str">
        <f t="shared" si="2"/>
        <v/>
      </c>
      <c r="G295" s="64" t="str">
        <f t="shared" si="3"/>
        <v/>
      </c>
      <c r="H295" s="64" t="str">
        <f>IFERROR(__xludf.DUMMYFUNCTION("IFERROR(GOOGLEFINANCE(A295,""PRICE""),)"),"")</f>
        <v/>
      </c>
      <c r="I295" s="65" t="str">
        <f>IFERROR(__xludf.DUMMYFUNCTION("IFERROR(GOOGLEFINANCE(A295,""VOLUME""),)"),"")</f>
        <v/>
      </c>
      <c r="J295" s="64" t="str">
        <f>IFERROR(__xludf.DUMMYFUNCTION("IFERROR(INDEX(SPLIT(A295,"":""),1,2),)"),"HEUBACHIND")</f>
        <v>HEUBACHIND</v>
      </c>
      <c r="K295" s="64" t="str">
        <f t="shared" si="4"/>
        <v/>
      </c>
      <c r="L295" s="64" t="str">
        <f t="shared" si="5"/>
        <v/>
      </c>
      <c r="M295" s="64" t="str">
        <f t="shared" si="6"/>
        <v/>
      </c>
      <c r="N295" s="66" t="str">
        <f>IFERROR(__xludf.DUMMYFUNCTION("IFERROR(GOOGLEFINANCE(A295,""TRADETIME""),)"),"")</f>
        <v/>
      </c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67" t="s">
        <v>342</v>
      </c>
      <c r="B296" s="60" t="str">
        <f>IFERROR(__xludf.DUMMYFUNCTION("IFERROR(GOOGLEFINANCE(A296,""NAME""),)"),"CMI Ltd")</f>
        <v>CMI Ltd</v>
      </c>
      <c r="C296" s="60">
        <f>IFERROR(__xludf.DUMMYFUNCTION("IFERROR(GOOGLEFINANCE(A296,""CHANGE""),)"),-0.22)</f>
        <v>-0.22</v>
      </c>
      <c r="D296" s="60">
        <f>IFERROR(__xludf.DUMMYFUNCTION("IFERROR(GOOGLEFINANCE(A296,""CHANGEPCT""),)"),-4.97)</f>
        <v>-4.97</v>
      </c>
      <c r="E296" s="60" t="str">
        <f t="shared" si="1"/>
        <v>-4.97%</v>
      </c>
      <c r="F296" s="60" t="str">
        <f t="shared" si="2"/>
        <v/>
      </c>
      <c r="G296" s="60">
        <f t="shared" si="3"/>
        <v>-4.97</v>
      </c>
      <c r="H296" s="60">
        <f>IFERROR(__xludf.DUMMYFUNCTION("IFERROR(GOOGLEFINANCE(A296,""PRICE""),)"),4.21)</f>
        <v>4.21</v>
      </c>
      <c r="I296" s="61">
        <f>IFERROR(__xludf.DUMMYFUNCTION("IFERROR(GOOGLEFINANCE(A296,""VOLUME""),)"),1798.0)</f>
        <v>1798</v>
      </c>
      <c r="J296" s="60" t="str">
        <f>IFERROR(__xludf.DUMMYFUNCTION("IFERROR(INDEX(SPLIT(A296,"":""),1,2),)"),"CMICABLES")</f>
        <v>CMICABLES</v>
      </c>
      <c r="K296" s="60" t="str">
        <f t="shared" si="4"/>
        <v/>
      </c>
      <c r="L296" s="60">
        <f t="shared" si="5"/>
        <v>438</v>
      </c>
      <c r="M296" s="60">
        <f t="shared" si="6"/>
        <v>1412</v>
      </c>
      <c r="N296" s="62">
        <f>IFERROR(__xludf.DUMMYFUNCTION("IFERROR(GOOGLEFINANCE(A296,""TRADETIME""),)"),46083.64583333333)</f>
        <v>46083.64583</v>
      </c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68" t="s">
        <v>343</v>
      </c>
      <c r="B297" s="64" t="str">
        <f>IFERROR(__xludf.DUMMYFUNCTION("IFERROR(GOOGLEFINANCE(A297,""NAME""),)"),"Coal India Ltd")</f>
        <v>Coal India Ltd</v>
      </c>
      <c r="C297" s="64">
        <f>IFERROR(__xludf.DUMMYFUNCTION("IFERROR(GOOGLEFINANCE(A297,""CHANGE""),)"),12.85)</f>
        <v>12.85</v>
      </c>
      <c r="D297" s="64">
        <f>IFERROR(__xludf.DUMMYFUNCTION("IFERROR(GOOGLEFINANCE(A297,""CHANGEPCT""),)"),2.95)</f>
        <v>2.95</v>
      </c>
      <c r="E297" s="64" t="str">
        <f t="shared" si="1"/>
        <v>2.95%</v>
      </c>
      <c r="F297" s="64">
        <f t="shared" si="2"/>
        <v>2.95</v>
      </c>
      <c r="G297" s="64" t="str">
        <f t="shared" si="3"/>
        <v/>
      </c>
      <c r="H297" s="64">
        <f>IFERROR(__xludf.DUMMYFUNCTION("IFERROR(GOOGLEFINANCE(A297,""PRICE""),)"),448.0)</f>
        <v>448</v>
      </c>
      <c r="I297" s="65">
        <f>IFERROR(__xludf.DUMMYFUNCTION("IFERROR(GOOGLEFINANCE(A297,""VOLUME""),)"),3.0098864E7)</f>
        <v>30098864</v>
      </c>
      <c r="J297" s="64" t="str">
        <f>IFERROR(__xludf.DUMMYFUNCTION("IFERROR(INDEX(SPLIT(A297,"":""),1,2),)"),"COALINDIA")</f>
        <v>COALINDIA</v>
      </c>
      <c r="K297" s="64">
        <f t="shared" si="4"/>
        <v>265</v>
      </c>
      <c r="L297" s="64" t="str">
        <f t="shared" si="5"/>
        <v/>
      </c>
      <c r="M297" s="64">
        <f t="shared" si="6"/>
        <v>14</v>
      </c>
      <c r="N297" s="66">
        <f>IFERROR(__xludf.DUMMYFUNCTION("IFERROR(GOOGLEFINANCE(A297,""TRADETIME""),)"),46086.64583333333)</f>
        <v>46086.64583</v>
      </c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67" t="s">
        <v>344</v>
      </c>
      <c r="B298" s="60" t="str">
        <f>IFERROR(__xludf.DUMMYFUNCTION("IFERROR(GOOGLEFINANCE(A298,""NAME""),)"),"Cochin Shipyard Ltd")</f>
        <v>Cochin Shipyard Ltd</v>
      </c>
      <c r="C298" s="60">
        <f>IFERROR(__xludf.DUMMYFUNCTION("IFERROR(GOOGLEFINANCE(A298,""CHANGE""),)"),46.7)</f>
        <v>46.7</v>
      </c>
      <c r="D298" s="60">
        <f>IFERROR(__xludf.DUMMYFUNCTION("IFERROR(GOOGLEFINANCE(A298,""CHANGEPCT""),)"),3.93)</f>
        <v>3.93</v>
      </c>
      <c r="E298" s="60" t="str">
        <f t="shared" si="1"/>
        <v>3.93%</v>
      </c>
      <c r="F298" s="60">
        <f t="shared" si="2"/>
        <v>3.93</v>
      </c>
      <c r="G298" s="60" t="str">
        <f t="shared" si="3"/>
        <v/>
      </c>
      <c r="H298" s="60">
        <f>IFERROR(__xludf.DUMMYFUNCTION("IFERROR(GOOGLEFINANCE(A298,""PRICE""),)"),1453.0)</f>
        <v>1453</v>
      </c>
      <c r="I298" s="61">
        <f>IFERROR(__xludf.DUMMYFUNCTION("IFERROR(GOOGLEFINANCE(A298,""VOLUME""),)"),3363591.0)</f>
        <v>3363591</v>
      </c>
      <c r="J298" s="60" t="str">
        <f>IFERROR(__xludf.DUMMYFUNCTION("IFERROR(INDEX(SPLIT(A298,"":""),1,2),)"),"COCHINSHIP")</f>
        <v>COCHINSHIP</v>
      </c>
      <c r="K298" s="60">
        <f t="shared" si="4"/>
        <v>147</v>
      </c>
      <c r="L298" s="60" t="str">
        <f t="shared" si="5"/>
        <v/>
      </c>
      <c r="M298" s="60">
        <f t="shared" si="6"/>
        <v>137</v>
      </c>
      <c r="N298" s="62">
        <f>IFERROR(__xludf.DUMMYFUNCTION("IFERROR(GOOGLEFINANCE(A298,""TRADETIME""),)"),46086.64583333333)</f>
        <v>46086.64583</v>
      </c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68" t="s">
        <v>345</v>
      </c>
      <c r="B299" s="64" t="str">
        <f>IFERROR(__xludf.DUMMYFUNCTION("IFERROR(GOOGLEFINANCE(A299,""NAME""),)"),"Coforge Ltd")</f>
        <v>Coforge Ltd</v>
      </c>
      <c r="C299" s="64">
        <f>IFERROR(__xludf.DUMMYFUNCTION("IFERROR(GOOGLEFINANCE(A299,""CHANGE""),)"),-17.0)</f>
        <v>-17</v>
      </c>
      <c r="D299" s="64">
        <f>IFERROR(__xludf.DUMMYFUNCTION("IFERROR(GOOGLEFINANCE(A299,""CHANGEPCT""),)"),-1.45)</f>
        <v>-1.45</v>
      </c>
      <c r="E299" s="64" t="str">
        <f t="shared" si="1"/>
        <v>-1.45%</v>
      </c>
      <c r="F299" s="64" t="str">
        <f t="shared" si="2"/>
        <v/>
      </c>
      <c r="G299" s="64">
        <f t="shared" si="3"/>
        <v>-1.45</v>
      </c>
      <c r="H299" s="64">
        <f>IFERROR(__xludf.DUMMYFUNCTION("IFERROR(GOOGLEFINANCE(A299,""PRICE""),)"),1153.0)</f>
        <v>1153</v>
      </c>
      <c r="I299" s="65">
        <f>IFERROR(__xludf.DUMMYFUNCTION("IFERROR(GOOGLEFINANCE(A299,""VOLUME""),)"),3099488.0)</f>
        <v>3099488</v>
      </c>
      <c r="J299" s="64" t="str">
        <f>IFERROR(__xludf.DUMMYFUNCTION("IFERROR(INDEX(SPLIT(A299,"":""),1,2),)"),"COFORGE")</f>
        <v>COFORGE</v>
      </c>
      <c r="K299" s="64" t="str">
        <f t="shared" si="4"/>
        <v/>
      </c>
      <c r="L299" s="64">
        <f t="shared" si="5"/>
        <v>283</v>
      </c>
      <c r="M299" s="64">
        <f t="shared" si="6"/>
        <v>144</v>
      </c>
      <c r="N299" s="66">
        <f>IFERROR(__xludf.DUMMYFUNCTION("IFERROR(GOOGLEFINANCE(A299,""TRADETIME""),)"),46086.64583333333)</f>
        <v>46086.64583</v>
      </c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9" t="s">
        <v>346</v>
      </c>
      <c r="B300" s="60" t="str">
        <f>IFERROR(__xludf.DUMMYFUNCTION("IFERROR(GOOGLEFINANCE(A300,""NAME""),)"),"Cyber Media (India) Ltd")</f>
        <v>Cyber Media (India) Ltd</v>
      </c>
      <c r="C300" s="60">
        <f>IFERROR(__xludf.DUMMYFUNCTION("IFERROR(GOOGLEFINANCE(A300,""CHANGE""),)"),0.5)</f>
        <v>0.5</v>
      </c>
      <c r="D300" s="60">
        <f>IFERROR(__xludf.DUMMYFUNCTION("IFERROR(GOOGLEFINANCE(A300,""CHANGEPCT""),)"),3.58)</f>
        <v>3.58</v>
      </c>
      <c r="E300" s="60" t="str">
        <f t="shared" si="1"/>
        <v>3.58%</v>
      </c>
      <c r="F300" s="60">
        <f t="shared" si="2"/>
        <v>3.58</v>
      </c>
      <c r="G300" s="60" t="str">
        <f t="shared" si="3"/>
        <v/>
      </c>
      <c r="H300" s="60">
        <f>IFERROR(__xludf.DUMMYFUNCTION("IFERROR(GOOGLEFINANCE(A300,""PRICE""),)"),14.48)</f>
        <v>14.48</v>
      </c>
      <c r="I300" s="61">
        <f>IFERROR(__xludf.DUMMYFUNCTION("IFERROR(GOOGLEFINANCE(A300,""VOLUME""),)"),8957.0)</f>
        <v>8957</v>
      </c>
      <c r="J300" s="60" t="str">
        <f>IFERROR(__xludf.DUMMYFUNCTION("IFERROR(INDEX(SPLIT(A300,"":""),1,2),)"),"CYBERMEDIA")</f>
        <v>CYBERMEDIA</v>
      </c>
      <c r="K300" s="60">
        <f t="shared" si="4"/>
        <v>185</v>
      </c>
      <c r="L300" s="60" t="str">
        <f t="shared" si="5"/>
        <v/>
      </c>
      <c r="M300" s="60">
        <f t="shared" si="6"/>
        <v>1278</v>
      </c>
      <c r="N300" s="62">
        <f>IFERROR(__xludf.DUMMYFUNCTION("IFERROR(GOOGLEFINANCE(A300,""TRADETIME""),)"),46086.64583333333)</f>
        <v>46086.64583</v>
      </c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68" t="s">
        <v>347</v>
      </c>
      <c r="B301" s="64" t="str">
        <f>IFERROR(__xludf.DUMMYFUNCTION("IFERROR(GOOGLEFINANCE(A301,""NAME""),)"),"Compuage Infocom Ltd")</f>
        <v>Compuage Infocom Ltd</v>
      </c>
      <c r="C301" s="64">
        <f>IFERROR(__xludf.DUMMYFUNCTION("IFERROR(GOOGLEFINANCE(A301,""CHANGE""),)"),-0.06)</f>
        <v>-0.06</v>
      </c>
      <c r="D301" s="64">
        <f>IFERROR(__xludf.DUMMYFUNCTION("IFERROR(GOOGLEFINANCE(A301,""CHANGEPCT""),)"),-4.32)</f>
        <v>-4.32</v>
      </c>
      <c r="E301" s="64" t="str">
        <f t="shared" si="1"/>
        <v>-4.32%</v>
      </c>
      <c r="F301" s="64" t="str">
        <f t="shared" si="2"/>
        <v/>
      </c>
      <c r="G301" s="64">
        <f t="shared" si="3"/>
        <v>-4.32</v>
      </c>
      <c r="H301" s="64">
        <f>IFERROR(__xludf.DUMMYFUNCTION("IFERROR(GOOGLEFINANCE(A301,""PRICE""),)"),1.33)</f>
        <v>1.33</v>
      </c>
      <c r="I301" s="65">
        <f>IFERROR(__xludf.DUMMYFUNCTION("IFERROR(GOOGLEFINANCE(A301,""VOLUME""),)"),31482.0)</f>
        <v>31482</v>
      </c>
      <c r="J301" s="64" t="str">
        <f>IFERROR(__xludf.DUMMYFUNCTION("IFERROR(INDEX(SPLIT(A301,"":""),1,2),)"),"COMPINFO")</f>
        <v>COMPINFO</v>
      </c>
      <c r="K301" s="64" t="str">
        <f t="shared" si="4"/>
        <v/>
      </c>
      <c r="L301" s="64">
        <f t="shared" si="5"/>
        <v>428</v>
      </c>
      <c r="M301" s="64">
        <f t="shared" si="6"/>
        <v>1047</v>
      </c>
      <c r="N301" s="66">
        <f>IFERROR(__xludf.DUMMYFUNCTION("IFERROR(GOOGLEFINANCE(A301,""TRADETIME""),)"),46086.64583333333)</f>
        <v>46086.64583</v>
      </c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67" t="s">
        <v>348</v>
      </c>
      <c r="B302" s="60" t="str">
        <f>IFERROR(__xludf.DUMMYFUNCTION("IFERROR(GOOGLEFINANCE(A302,""NAME""),)"),"Compucom Software Ltd")</f>
        <v>Compucom Software Ltd</v>
      </c>
      <c r="C302" s="60">
        <f>IFERROR(__xludf.DUMMYFUNCTION("IFERROR(GOOGLEFINANCE(A302,""CHANGE""),)"),-0.32)</f>
        <v>-0.32</v>
      </c>
      <c r="D302" s="60">
        <f>IFERROR(__xludf.DUMMYFUNCTION("IFERROR(GOOGLEFINANCE(A302,""CHANGEPCT""),)"),-2.42)</f>
        <v>-2.42</v>
      </c>
      <c r="E302" s="60" t="str">
        <f t="shared" si="1"/>
        <v>-2.42%</v>
      </c>
      <c r="F302" s="60" t="str">
        <f t="shared" si="2"/>
        <v/>
      </c>
      <c r="G302" s="60">
        <f t="shared" si="3"/>
        <v>-2.42</v>
      </c>
      <c r="H302" s="60">
        <f>IFERROR(__xludf.DUMMYFUNCTION("IFERROR(GOOGLEFINANCE(A302,""PRICE""),)"),12.9)</f>
        <v>12.9</v>
      </c>
      <c r="I302" s="61">
        <f>IFERROR(__xludf.DUMMYFUNCTION("IFERROR(GOOGLEFINANCE(A302,""VOLUME""),)"),44046.0)</f>
        <v>44046</v>
      </c>
      <c r="J302" s="60" t="str">
        <f>IFERROR(__xludf.DUMMYFUNCTION("IFERROR(INDEX(SPLIT(A302,"":""),1,2),)"),"COMPUSOFT")</f>
        <v>COMPUSOFT</v>
      </c>
      <c r="K302" s="60" t="str">
        <f t="shared" si="4"/>
        <v/>
      </c>
      <c r="L302" s="60">
        <f t="shared" si="5"/>
        <v>386</v>
      </c>
      <c r="M302" s="60">
        <f t="shared" si="6"/>
        <v>972</v>
      </c>
      <c r="N302" s="62">
        <f>IFERROR(__xludf.DUMMYFUNCTION("IFERROR(GOOGLEFINANCE(A302,""TRADETIME""),)"),46086.64583333333)</f>
        <v>46086.64583</v>
      </c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68" t="s">
        <v>349</v>
      </c>
      <c r="B303" s="64" t="str">
        <f>IFERROR(__xludf.DUMMYFUNCTION("IFERROR(GOOGLEFINANCE(A303,""NAME""),)"),"Container Corporation of India Ltd")</f>
        <v>Container Corporation of India Ltd</v>
      </c>
      <c r="C303" s="64">
        <f>IFERROR(__xludf.DUMMYFUNCTION("IFERROR(GOOGLEFINANCE(A303,""CHANGE""),)"),18.05)</f>
        <v>18.05</v>
      </c>
      <c r="D303" s="64">
        <f>IFERROR(__xludf.DUMMYFUNCTION("IFERROR(GOOGLEFINANCE(A303,""CHANGEPCT""),)"),4.08)</f>
        <v>4.08</v>
      </c>
      <c r="E303" s="64" t="str">
        <f t="shared" si="1"/>
        <v>4.08%</v>
      </c>
      <c r="F303" s="64">
        <f t="shared" si="2"/>
        <v>4.08</v>
      </c>
      <c r="G303" s="64" t="str">
        <f t="shared" si="3"/>
        <v/>
      </c>
      <c r="H303" s="64">
        <f>IFERROR(__xludf.DUMMYFUNCTION("IFERROR(GOOGLEFINANCE(A303,""PRICE""),)"),481.05)</f>
        <v>481.05</v>
      </c>
      <c r="I303" s="65">
        <f>IFERROR(__xludf.DUMMYFUNCTION("IFERROR(GOOGLEFINANCE(A303,""VOLUME""),)"),1631078.0)</f>
        <v>1631078</v>
      </c>
      <c r="J303" s="64" t="str">
        <f>IFERROR(__xludf.DUMMYFUNCTION("IFERROR(INDEX(SPLIT(A303,"":""),1,2),)"),"CONCOR")</f>
        <v>CONCOR</v>
      </c>
      <c r="K303" s="64">
        <f t="shared" si="4"/>
        <v>136</v>
      </c>
      <c r="L303" s="64" t="str">
        <f t="shared" si="5"/>
        <v/>
      </c>
      <c r="M303" s="64">
        <f t="shared" si="6"/>
        <v>231</v>
      </c>
      <c r="N303" s="66">
        <f>IFERROR(__xludf.DUMMYFUNCTION("IFERROR(GOOGLEFINANCE(A303,""TRADETIME""),)"),46086.64184027778)</f>
        <v>46086.64184</v>
      </c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67" t="s">
        <v>350</v>
      </c>
      <c r="B304" s="60" t="str">
        <f>IFERROR(__xludf.DUMMYFUNCTION("IFERROR(GOOGLEFINANCE(A304,""NAME""),)"),"Confidence Petroleum India Ltd")</f>
        <v>Confidence Petroleum India Ltd</v>
      </c>
      <c r="C304" s="60">
        <f>IFERROR(__xludf.DUMMYFUNCTION("IFERROR(GOOGLEFINANCE(A304,""CHANGE""),)"),-0.8)</f>
        <v>-0.8</v>
      </c>
      <c r="D304" s="60">
        <f>IFERROR(__xludf.DUMMYFUNCTION("IFERROR(GOOGLEFINANCE(A304,""CHANGEPCT""),)"),-2.65)</f>
        <v>-2.65</v>
      </c>
      <c r="E304" s="60" t="str">
        <f t="shared" si="1"/>
        <v>-2.65%</v>
      </c>
      <c r="F304" s="60" t="str">
        <f t="shared" si="2"/>
        <v/>
      </c>
      <c r="G304" s="60">
        <f t="shared" si="3"/>
        <v>-2.65</v>
      </c>
      <c r="H304" s="60">
        <f>IFERROR(__xludf.DUMMYFUNCTION("IFERROR(GOOGLEFINANCE(A304,""PRICE""),)"),29.4)</f>
        <v>29.4</v>
      </c>
      <c r="I304" s="61">
        <f>IFERROR(__xludf.DUMMYFUNCTION("IFERROR(GOOGLEFINANCE(A304,""VOLUME""),)"),607584.0)</f>
        <v>607584</v>
      </c>
      <c r="J304" s="60" t="str">
        <f>IFERROR(__xludf.DUMMYFUNCTION("IFERROR(INDEX(SPLIT(A304,"":""),1,2),)"),"CONFIPET")</f>
        <v>CONFIPET</v>
      </c>
      <c r="K304" s="60" t="str">
        <f t="shared" si="4"/>
        <v/>
      </c>
      <c r="L304" s="60">
        <f t="shared" si="5"/>
        <v>391</v>
      </c>
      <c r="M304" s="60">
        <f t="shared" si="6"/>
        <v>363</v>
      </c>
      <c r="N304" s="62">
        <f>IFERROR(__xludf.DUMMYFUNCTION("IFERROR(GOOGLEFINANCE(A304,""TRADETIME""),)"),46086.64583333333)</f>
        <v>46086.64583</v>
      </c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68" t="s">
        <v>351</v>
      </c>
      <c r="B305" s="64" t="str">
        <f>IFERROR(__xludf.DUMMYFUNCTION("IFERROR(GOOGLEFINANCE(A305,""NAME""),)"),"Consolidated Finvest &amp; Holdings Ltd")</f>
        <v>Consolidated Finvest &amp; Holdings Ltd</v>
      </c>
      <c r="C305" s="64">
        <f>IFERROR(__xludf.DUMMYFUNCTION("IFERROR(GOOGLEFINANCE(A305,""CHANGE""),)"),10.43)</f>
        <v>10.43</v>
      </c>
      <c r="D305" s="64">
        <f>IFERROR(__xludf.DUMMYFUNCTION("IFERROR(GOOGLEFINANCE(A305,""CHANGEPCT""),)"),4.65)</f>
        <v>4.65</v>
      </c>
      <c r="E305" s="64" t="str">
        <f t="shared" si="1"/>
        <v>4.65%</v>
      </c>
      <c r="F305" s="64">
        <f t="shared" si="2"/>
        <v>4.65</v>
      </c>
      <c r="G305" s="64" t="str">
        <f t="shared" si="3"/>
        <v/>
      </c>
      <c r="H305" s="64">
        <f>IFERROR(__xludf.DUMMYFUNCTION("IFERROR(GOOGLEFINANCE(A305,""PRICE""),)"),234.56)</f>
        <v>234.56</v>
      </c>
      <c r="I305" s="65">
        <f>IFERROR(__xludf.DUMMYFUNCTION("IFERROR(GOOGLEFINANCE(A305,""VOLUME""),)"),4828.0)</f>
        <v>4828</v>
      </c>
      <c r="J305" s="64" t="str">
        <f>IFERROR(__xludf.DUMMYFUNCTION("IFERROR(INDEX(SPLIT(A305,"":""),1,2),)"),"CONSOFINVT")</f>
        <v>CONSOFINVT</v>
      </c>
      <c r="K305" s="64">
        <f t="shared" si="4"/>
        <v>102</v>
      </c>
      <c r="L305" s="64" t="str">
        <f t="shared" si="5"/>
        <v/>
      </c>
      <c r="M305" s="64">
        <f t="shared" si="6"/>
        <v>1347</v>
      </c>
      <c r="N305" s="66">
        <f>IFERROR(__xludf.DUMMYFUNCTION("IFERROR(GOOGLEFINANCE(A305,""TRADETIME""),)"),46086.64583333333)</f>
        <v>46086.64583</v>
      </c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67" t="s">
        <v>352</v>
      </c>
      <c r="B306" s="60" t="str">
        <f>IFERROR(__xludf.DUMMYFUNCTION("IFERROR(GOOGLEFINANCE(A306,""NAME""),)"),"Control Print Ltd")</f>
        <v>Control Print Ltd</v>
      </c>
      <c r="C306" s="60">
        <f>IFERROR(__xludf.DUMMYFUNCTION("IFERROR(GOOGLEFINANCE(A306,""CHANGE""),)"),-3.35)</f>
        <v>-3.35</v>
      </c>
      <c r="D306" s="60">
        <f>IFERROR(__xludf.DUMMYFUNCTION("IFERROR(GOOGLEFINANCE(A306,""CHANGEPCT""),)"),-0.2)</f>
        <v>-0.2</v>
      </c>
      <c r="E306" s="60" t="str">
        <f t="shared" si="1"/>
        <v>-0.2%</v>
      </c>
      <c r="F306" s="60" t="str">
        <f t="shared" si="2"/>
        <v/>
      </c>
      <c r="G306" s="60">
        <f t="shared" si="3"/>
        <v>-0.2</v>
      </c>
      <c r="H306" s="60">
        <f>IFERROR(__xludf.DUMMYFUNCTION("IFERROR(GOOGLEFINANCE(A306,""PRICE""),)"),636.0)</f>
        <v>636</v>
      </c>
      <c r="I306" s="61">
        <f>IFERROR(__xludf.DUMMYFUNCTION("IFERROR(GOOGLEFINANCE(A306,""VOLUME""),)"),14886.0)</f>
        <v>14886</v>
      </c>
      <c r="J306" s="60" t="str">
        <f>IFERROR(__xludf.DUMMYFUNCTION("IFERROR(INDEX(SPLIT(A306,"":""),1,2),)"),"CONTROLPR")</f>
        <v>CONTROLPR</v>
      </c>
      <c r="K306" s="60" t="str">
        <f t="shared" si="4"/>
        <v/>
      </c>
      <c r="L306" s="60">
        <f t="shared" si="5"/>
        <v>51</v>
      </c>
      <c r="M306" s="60">
        <f t="shared" si="6"/>
        <v>1197</v>
      </c>
      <c r="N306" s="62">
        <f>IFERROR(__xludf.DUMMYFUNCTION("IFERROR(GOOGLEFINANCE(A306,""TRADETIME""),)"),46086.64585648148)</f>
        <v>46086.64586</v>
      </c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68" t="s">
        <v>353</v>
      </c>
      <c r="B307" s="64" t="str">
        <f>IFERROR(__xludf.DUMMYFUNCTION("IFERROR(GOOGLEFINANCE(A307,""NAME""),)"),"Coral India Finance and Housing Ltd")</f>
        <v>Coral India Finance and Housing Ltd</v>
      </c>
      <c r="C307" s="64">
        <f>IFERROR(__xludf.DUMMYFUNCTION("IFERROR(GOOGLEFINANCE(A307,""CHANGE""),)"),1.07)</f>
        <v>1.07</v>
      </c>
      <c r="D307" s="64">
        <f>IFERROR(__xludf.DUMMYFUNCTION("IFERROR(GOOGLEFINANCE(A307,""CHANGEPCT""),)"),3.26)</f>
        <v>3.26</v>
      </c>
      <c r="E307" s="64" t="str">
        <f t="shared" si="1"/>
        <v>3.26%</v>
      </c>
      <c r="F307" s="64">
        <f t="shared" si="2"/>
        <v>3.26</v>
      </c>
      <c r="G307" s="64" t="str">
        <f t="shared" si="3"/>
        <v/>
      </c>
      <c r="H307" s="64">
        <f>IFERROR(__xludf.DUMMYFUNCTION("IFERROR(GOOGLEFINANCE(A307,""PRICE""),)"),33.9)</f>
        <v>33.9</v>
      </c>
      <c r="I307" s="65">
        <f>IFERROR(__xludf.DUMMYFUNCTION("IFERROR(GOOGLEFINANCE(A307,""VOLUME""),)"),8844.0)</f>
        <v>8844</v>
      </c>
      <c r="J307" s="64" t="str">
        <f>IFERROR(__xludf.DUMMYFUNCTION("IFERROR(INDEX(SPLIT(A307,"":""),1,2),)"),"CORALFINAC")</f>
        <v>CORALFINAC</v>
      </c>
      <c r="K307" s="64">
        <f t="shared" si="4"/>
        <v>217</v>
      </c>
      <c r="L307" s="64" t="str">
        <f t="shared" si="5"/>
        <v/>
      </c>
      <c r="M307" s="64">
        <f t="shared" si="6"/>
        <v>1280</v>
      </c>
      <c r="N307" s="66">
        <f>IFERROR(__xludf.DUMMYFUNCTION("IFERROR(GOOGLEFINANCE(A307,""TRADETIME""),)"),46086.64583333333)</f>
        <v>46086.64583</v>
      </c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67" t="s">
        <v>354</v>
      </c>
      <c r="B308" s="60" t="str">
        <f>IFERROR(__xludf.DUMMYFUNCTION("IFERROR(GOOGLEFINANCE(A308,""NAME""),)"),"Cords Cable Industries Ltd.")</f>
        <v>Cords Cable Industries Ltd.</v>
      </c>
      <c r="C308" s="60">
        <f>IFERROR(__xludf.DUMMYFUNCTION("IFERROR(GOOGLEFINANCE(A308,""CHANGE""),)"),1.25)</f>
        <v>1.25</v>
      </c>
      <c r="D308" s="60">
        <f>IFERROR(__xludf.DUMMYFUNCTION("IFERROR(GOOGLEFINANCE(A308,""CHANGEPCT""),)"),0.77)</f>
        <v>0.77</v>
      </c>
      <c r="E308" s="60" t="str">
        <f t="shared" si="1"/>
        <v>0.77%</v>
      </c>
      <c r="F308" s="60">
        <f t="shared" si="2"/>
        <v>0.77</v>
      </c>
      <c r="G308" s="60" t="str">
        <f t="shared" si="3"/>
        <v/>
      </c>
      <c r="H308" s="60">
        <f>IFERROR(__xludf.DUMMYFUNCTION("IFERROR(GOOGLEFINANCE(A308,""PRICE""),)"),164.35)</f>
        <v>164.35</v>
      </c>
      <c r="I308" s="61">
        <f>IFERROR(__xludf.DUMMYFUNCTION("IFERROR(GOOGLEFINANCE(A308,""VOLUME""),)"),19901.0)</f>
        <v>19901</v>
      </c>
      <c r="J308" s="60" t="str">
        <f>IFERROR(__xludf.DUMMYFUNCTION("IFERROR(INDEX(SPLIT(A308,"":""),1,2),)"),"CORDSCABLE")</f>
        <v>CORDSCABLE</v>
      </c>
      <c r="K308" s="60">
        <f t="shared" si="4"/>
        <v>794</v>
      </c>
      <c r="L308" s="60" t="str">
        <f t="shared" si="5"/>
        <v/>
      </c>
      <c r="M308" s="60">
        <f t="shared" si="6"/>
        <v>1140</v>
      </c>
      <c r="N308" s="62">
        <f>IFERROR(__xludf.DUMMYFUNCTION("IFERROR(GOOGLEFINANCE(A308,""TRADETIME""),)"),46086.64583333333)</f>
        <v>46086.64583</v>
      </c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68" t="s">
        <v>355</v>
      </c>
      <c r="B309" s="64" t="str">
        <f>IFERROR(__xludf.DUMMYFUNCTION("IFERROR(GOOGLEFINANCE(A309,""NAME""),)"),"Coromandel International Ltd")</f>
        <v>Coromandel International Ltd</v>
      </c>
      <c r="C309" s="64">
        <f>IFERROR(__xludf.DUMMYFUNCTION("IFERROR(GOOGLEFINANCE(A309,""CHANGE""),)"),-53.6)</f>
        <v>-53.6</v>
      </c>
      <c r="D309" s="64">
        <f>IFERROR(__xludf.DUMMYFUNCTION("IFERROR(GOOGLEFINANCE(A309,""CHANGEPCT""),)"),-2.54)</f>
        <v>-2.54</v>
      </c>
      <c r="E309" s="64" t="str">
        <f t="shared" si="1"/>
        <v>-2.54%</v>
      </c>
      <c r="F309" s="64" t="str">
        <f t="shared" si="2"/>
        <v/>
      </c>
      <c r="G309" s="64">
        <f t="shared" si="3"/>
        <v>-2.54</v>
      </c>
      <c r="H309" s="64">
        <f>IFERROR(__xludf.DUMMYFUNCTION("IFERROR(GOOGLEFINANCE(A309,""PRICE""),)"),2055.0)</f>
        <v>2055</v>
      </c>
      <c r="I309" s="65">
        <f>IFERROR(__xludf.DUMMYFUNCTION("IFERROR(GOOGLEFINANCE(A309,""VOLUME""),)"),583521.0)</f>
        <v>583521</v>
      </c>
      <c r="J309" s="64" t="str">
        <f>IFERROR(__xludf.DUMMYFUNCTION("IFERROR(INDEX(SPLIT(A309,"":""),1,2),)"),"COROMANDEL")</f>
        <v>COROMANDEL</v>
      </c>
      <c r="K309" s="64" t="str">
        <f t="shared" si="4"/>
        <v/>
      </c>
      <c r="L309" s="64">
        <f t="shared" si="5"/>
        <v>390</v>
      </c>
      <c r="M309" s="64">
        <f t="shared" si="6"/>
        <v>373</v>
      </c>
      <c r="N309" s="66">
        <f>IFERROR(__xludf.DUMMYFUNCTION("IFERROR(GOOGLEFINANCE(A309,""TRADETIME""),)"),46086.64041666666)</f>
        <v>46086.64042</v>
      </c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67" t="s">
        <v>356</v>
      </c>
      <c r="B310" s="60" t="str">
        <f>IFERROR(__xludf.DUMMYFUNCTION("IFERROR(GOOGLEFINANCE(A310,""NAME""),)"),"Cosmo First Ltd")</f>
        <v>Cosmo First Ltd</v>
      </c>
      <c r="C310" s="60">
        <f>IFERROR(__xludf.DUMMYFUNCTION("IFERROR(GOOGLEFINANCE(A310,""CHANGE""),)"),5.9)</f>
        <v>5.9</v>
      </c>
      <c r="D310" s="60">
        <f>IFERROR(__xludf.DUMMYFUNCTION("IFERROR(GOOGLEFINANCE(A310,""CHANGEPCT""),)"),0.88)</f>
        <v>0.88</v>
      </c>
      <c r="E310" s="60" t="str">
        <f t="shared" si="1"/>
        <v>0.88%</v>
      </c>
      <c r="F310" s="60">
        <f t="shared" si="2"/>
        <v>0.88</v>
      </c>
      <c r="G310" s="60" t="str">
        <f t="shared" si="3"/>
        <v/>
      </c>
      <c r="H310" s="60">
        <f>IFERROR(__xludf.DUMMYFUNCTION("IFERROR(GOOGLEFINANCE(A310,""PRICE""),)"),683.0)</f>
        <v>683</v>
      </c>
      <c r="I310" s="61">
        <f>IFERROR(__xludf.DUMMYFUNCTION("IFERROR(GOOGLEFINANCE(A310,""VOLUME""),)"),70214.0)</f>
        <v>70214</v>
      </c>
      <c r="J310" s="60" t="str">
        <f>IFERROR(__xludf.DUMMYFUNCTION("IFERROR(INDEX(SPLIT(A310,"":""),1,2),)"),"COSMOFIRST")</f>
        <v>COSMOFIRST</v>
      </c>
      <c r="K310" s="60">
        <f t="shared" si="4"/>
        <v>758</v>
      </c>
      <c r="L310" s="60" t="str">
        <f t="shared" si="5"/>
        <v/>
      </c>
      <c r="M310" s="60">
        <f t="shared" si="6"/>
        <v>845</v>
      </c>
      <c r="N310" s="62">
        <f>IFERROR(__xludf.DUMMYFUNCTION("IFERROR(GOOGLEFINANCE(A310,""TRADETIME""),)"),46086.64583333333)</f>
        <v>46086.64583</v>
      </c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68" t="s">
        <v>357</v>
      </c>
      <c r="B311" s="64" t="str">
        <f>IFERROR(__xludf.DUMMYFUNCTION("IFERROR(GOOGLEFINANCE(A311,""NAME""),)"),"Country Condo's Ltd")</f>
        <v>Country Condo's Ltd</v>
      </c>
      <c r="C311" s="64">
        <f>IFERROR(__xludf.DUMMYFUNCTION("IFERROR(GOOGLEFINANCE(A311,""CHANGE""),)"),0.05)</f>
        <v>0.05</v>
      </c>
      <c r="D311" s="64">
        <f>IFERROR(__xludf.DUMMYFUNCTION("IFERROR(GOOGLEFINANCE(A311,""CHANGEPCT""),)"),1.0)</f>
        <v>1</v>
      </c>
      <c r="E311" s="64" t="str">
        <f t="shared" si="1"/>
        <v>1%</v>
      </c>
      <c r="F311" s="64">
        <f t="shared" si="2"/>
        <v>1</v>
      </c>
      <c r="G311" s="64" t="str">
        <f t="shared" si="3"/>
        <v/>
      </c>
      <c r="H311" s="64">
        <f>IFERROR(__xludf.DUMMYFUNCTION("IFERROR(GOOGLEFINANCE(A311,""PRICE""),)"),5.04)</f>
        <v>5.04</v>
      </c>
      <c r="I311" s="65">
        <f>IFERROR(__xludf.DUMMYFUNCTION("IFERROR(GOOGLEFINANCE(A311,""VOLUME""),)"),36713.0)</f>
        <v>36713</v>
      </c>
      <c r="J311" s="64" t="str">
        <f>IFERROR(__xludf.DUMMYFUNCTION("IFERROR(INDEX(SPLIT(A311,"":""),1,2),)"),"COUNCODOS")</f>
        <v>COUNCODOS</v>
      </c>
      <c r="K311" s="64">
        <f t="shared" si="4"/>
        <v>723</v>
      </c>
      <c r="L311" s="64" t="str">
        <f t="shared" si="5"/>
        <v/>
      </c>
      <c r="M311" s="64">
        <f t="shared" si="6"/>
        <v>1006</v>
      </c>
      <c r="N311" s="66">
        <f>IFERROR(__xludf.DUMMYFUNCTION("IFERROR(GOOGLEFINANCE(A311,""TRADETIME""),)"),46086.64583333333)</f>
        <v>46086.64583</v>
      </c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67" t="s">
        <v>358</v>
      </c>
      <c r="B312" s="60" t="str">
        <f>IFERROR(__xludf.DUMMYFUNCTION("IFERROR(GOOGLEFINANCE(A312,""NAME""),)"),"")</f>
        <v/>
      </c>
      <c r="C312" s="60" t="str">
        <f>IFERROR(__xludf.DUMMYFUNCTION("IFERROR(GOOGLEFINANCE(A312,""CHANGE""),)"),"")</f>
        <v/>
      </c>
      <c r="D312" s="60" t="str">
        <f>IFERROR(__xludf.DUMMYFUNCTION("IFERROR(GOOGLEFINANCE(A312,""CHANGEPCT""),)"),"")</f>
        <v/>
      </c>
      <c r="E312" s="60" t="str">
        <f t="shared" si="1"/>
        <v>%</v>
      </c>
      <c r="F312" s="60" t="str">
        <f t="shared" si="2"/>
        <v/>
      </c>
      <c r="G312" s="60" t="str">
        <f t="shared" si="3"/>
        <v/>
      </c>
      <c r="H312" s="60" t="str">
        <f>IFERROR(__xludf.DUMMYFUNCTION("IFERROR(GOOGLEFINANCE(A312,""PRICE""),)"),"")</f>
        <v/>
      </c>
      <c r="I312" s="61" t="str">
        <f>IFERROR(__xludf.DUMMYFUNCTION("IFERROR(GOOGLEFINANCE(A312,""VOLUME""),)"),"")</f>
        <v/>
      </c>
      <c r="J312" s="60" t="str">
        <f>IFERROR(__xludf.DUMMYFUNCTION("IFERROR(INDEX(SPLIT(A312,"":""),1,2),)"),"CREATIVE")</f>
        <v>CREATIVE</v>
      </c>
      <c r="K312" s="60" t="str">
        <f t="shared" si="4"/>
        <v/>
      </c>
      <c r="L312" s="60" t="str">
        <f t="shared" si="5"/>
        <v/>
      </c>
      <c r="M312" s="60" t="str">
        <f t="shared" si="6"/>
        <v/>
      </c>
      <c r="N312" s="62" t="str">
        <f>IFERROR(__xludf.DUMMYFUNCTION("IFERROR(GOOGLEFINANCE(A312,""TRADETIME""),)"),"")</f>
        <v/>
      </c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68" t="s">
        <v>359</v>
      </c>
      <c r="B313" s="64" t="str">
        <f>IFERROR(__xludf.DUMMYFUNCTION("IFERROR(GOOGLEFINANCE(A313,""NAME""),)"),"Creative Eye Ltd")</f>
        <v>Creative Eye Ltd</v>
      </c>
      <c r="C313" s="64">
        <f>IFERROR(__xludf.DUMMYFUNCTION("IFERROR(GOOGLEFINANCE(A313,""CHANGE""),)"),0.82)</f>
        <v>0.82</v>
      </c>
      <c r="D313" s="64">
        <f>IFERROR(__xludf.DUMMYFUNCTION("IFERROR(GOOGLEFINANCE(A313,""CHANGEPCT""),)"),19.83)</f>
        <v>19.83</v>
      </c>
      <c r="E313" s="64" t="str">
        <f t="shared" si="1"/>
        <v>19.83%</v>
      </c>
      <c r="F313" s="64">
        <f t="shared" si="2"/>
        <v>19.83</v>
      </c>
      <c r="G313" s="64" t="str">
        <f t="shared" si="3"/>
        <v/>
      </c>
      <c r="H313" s="64">
        <f>IFERROR(__xludf.DUMMYFUNCTION("IFERROR(GOOGLEFINANCE(A313,""PRICE""),)"),6.95)</f>
        <v>6.95</v>
      </c>
      <c r="I313" s="65">
        <f>IFERROR(__xludf.DUMMYFUNCTION("IFERROR(GOOGLEFINANCE(A313,""VOLUME""),)"),50890.0)</f>
        <v>50890</v>
      </c>
      <c r="J313" s="64" t="str">
        <f>IFERROR(__xludf.DUMMYFUNCTION("IFERROR(INDEX(SPLIT(A313,"":""),1,2),)"),"CREATIVEYE")</f>
        <v>CREATIVEYE</v>
      </c>
      <c r="K313" s="64">
        <f t="shared" si="4"/>
        <v>4</v>
      </c>
      <c r="L313" s="64" t="str">
        <f t="shared" si="5"/>
        <v/>
      </c>
      <c r="M313" s="64">
        <f t="shared" si="6"/>
        <v>931</v>
      </c>
      <c r="N313" s="66">
        <f>IFERROR(__xludf.DUMMYFUNCTION("IFERROR(GOOGLEFINANCE(A313,""TRADETIME""),)"),46086.64583333333)</f>
        <v>46086.64583</v>
      </c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67" t="s">
        <v>360</v>
      </c>
      <c r="B314" s="60" t="str">
        <f>IFERROR(__xludf.DUMMYFUNCTION("IFERROR(GOOGLEFINANCE(A314,""NAME""),)"),"CreditAccess Grameen Ltd")</f>
        <v>CreditAccess Grameen Ltd</v>
      </c>
      <c r="C314" s="60">
        <f>IFERROR(__xludf.DUMMYFUNCTION("IFERROR(GOOGLEFINANCE(A314,""CHANGE""),)"),-16.5)</f>
        <v>-16.5</v>
      </c>
      <c r="D314" s="60">
        <f>IFERROR(__xludf.DUMMYFUNCTION("IFERROR(GOOGLEFINANCE(A314,""CHANGEPCT""),)"),-1.35)</f>
        <v>-1.35</v>
      </c>
      <c r="E314" s="60" t="str">
        <f t="shared" si="1"/>
        <v>-1.35%</v>
      </c>
      <c r="F314" s="60" t="str">
        <f t="shared" si="2"/>
        <v/>
      </c>
      <c r="G314" s="60">
        <f t="shared" si="3"/>
        <v>-1.35</v>
      </c>
      <c r="H314" s="60">
        <f>IFERROR(__xludf.DUMMYFUNCTION("IFERROR(GOOGLEFINANCE(A314,""PRICE""),)"),1209.0)</f>
        <v>1209</v>
      </c>
      <c r="I314" s="61">
        <f>IFERROR(__xludf.DUMMYFUNCTION("IFERROR(GOOGLEFINANCE(A314,""VOLUME""),)"),361435.0)</f>
        <v>361435</v>
      </c>
      <c r="J314" s="60" t="str">
        <f>IFERROR(__xludf.DUMMYFUNCTION("IFERROR(INDEX(SPLIT(A314,"":""),1,2),)"),"CREDITACC")</f>
        <v>CREDITACC</v>
      </c>
      <c r="K314" s="60" t="str">
        <f t="shared" si="4"/>
        <v/>
      </c>
      <c r="L314" s="60">
        <f t="shared" si="5"/>
        <v>273</v>
      </c>
      <c r="M314" s="60">
        <f t="shared" si="6"/>
        <v>471</v>
      </c>
      <c r="N314" s="62">
        <f>IFERROR(__xludf.DUMMYFUNCTION("IFERROR(GOOGLEFINANCE(A314,""TRADETIME""),)"),46086.64586805555)</f>
        <v>46086.64587</v>
      </c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68" t="s">
        <v>361</v>
      </c>
      <c r="B315" s="64" t="str">
        <f>IFERROR(__xludf.DUMMYFUNCTION("IFERROR(GOOGLEFINANCE(A315,""NAME""),)"),"Crest Ventures Ltd")</f>
        <v>Crest Ventures Ltd</v>
      </c>
      <c r="C315" s="64">
        <f>IFERROR(__xludf.DUMMYFUNCTION("IFERROR(GOOGLEFINANCE(A315,""CHANGE""),)"),-5.6)</f>
        <v>-5.6</v>
      </c>
      <c r="D315" s="64">
        <f>IFERROR(__xludf.DUMMYFUNCTION("IFERROR(GOOGLEFINANCE(A315,""CHANGEPCT""),)"),-1.71)</f>
        <v>-1.71</v>
      </c>
      <c r="E315" s="64" t="str">
        <f t="shared" si="1"/>
        <v>-1.71%</v>
      </c>
      <c r="F315" s="64" t="str">
        <f t="shared" si="2"/>
        <v/>
      </c>
      <c r="G315" s="64">
        <f t="shared" si="3"/>
        <v>-1.71</v>
      </c>
      <c r="H315" s="64">
        <f>IFERROR(__xludf.DUMMYFUNCTION("IFERROR(GOOGLEFINANCE(A315,""PRICE""),)"),321.05)</f>
        <v>321.05</v>
      </c>
      <c r="I315" s="65">
        <f>IFERROR(__xludf.DUMMYFUNCTION("IFERROR(GOOGLEFINANCE(A315,""VOLUME""),)"),6893.0)</f>
        <v>6893</v>
      </c>
      <c r="J315" s="64" t="str">
        <f>IFERROR(__xludf.DUMMYFUNCTION("IFERROR(INDEX(SPLIT(A315,"":""),1,2),)"),"CREST")</f>
        <v>CREST</v>
      </c>
      <c r="K315" s="64" t="str">
        <f t="shared" si="4"/>
        <v/>
      </c>
      <c r="L315" s="64">
        <f t="shared" si="5"/>
        <v>312</v>
      </c>
      <c r="M315" s="64">
        <f t="shared" si="6"/>
        <v>1310</v>
      </c>
      <c r="N315" s="66">
        <f>IFERROR(__xludf.DUMMYFUNCTION("IFERROR(GOOGLEFINANCE(A315,""TRADETIME""),)"),46086.64583333333)</f>
        <v>46086.64583</v>
      </c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67" t="s">
        <v>362</v>
      </c>
      <c r="B316" s="60" t="str">
        <f>IFERROR(__xludf.DUMMYFUNCTION("IFERROR(GOOGLEFINANCE(A316,""NAME""),)"),"Crisil Ltd")</f>
        <v>Crisil Ltd</v>
      </c>
      <c r="C316" s="60">
        <f>IFERROR(__xludf.DUMMYFUNCTION("IFERROR(GOOGLEFINANCE(A316,""CHANGE""),)"),-24.7)</f>
        <v>-24.7</v>
      </c>
      <c r="D316" s="60">
        <f>IFERROR(__xludf.DUMMYFUNCTION("IFERROR(GOOGLEFINANCE(A316,""CHANGEPCT""),)"),-0.57)</f>
        <v>-0.57</v>
      </c>
      <c r="E316" s="60" t="str">
        <f t="shared" si="1"/>
        <v>-0.57%</v>
      </c>
      <c r="F316" s="60" t="str">
        <f t="shared" si="2"/>
        <v/>
      </c>
      <c r="G316" s="60">
        <f t="shared" si="3"/>
        <v>-0.57</v>
      </c>
      <c r="H316" s="60">
        <f>IFERROR(__xludf.DUMMYFUNCTION("IFERROR(GOOGLEFINANCE(A316,""PRICE""),)"),4290.0)</f>
        <v>4290</v>
      </c>
      <c r="I316" s="61">
        <f>IFERROR(__xludf.DUMMYFUNCTION("IFERROR(GOOGLEFINANCE(A316,""VOLUME""),)"),26154.0)</f>
        <v>26154</v>
      </c>
      <c r="J316" s="60" t="str">
        <f>IFERROR(__xludf.DUMMYFUNCTION("IFERROR(INDEX(SPLIT(A316,"":""),1,2),)"),"CRISIL")</f>
        <v>CRISIL</v>
      </c>
      <c r="K316" s="60" t="str">
        <f t="shared" si="4"/>
        <v/>
      </c>
      <c r="L316" s="60">
        <f t="shared" si="5"/>
        <v>135</v>
      </c>
      <c r="M316" s="60">
        <f t="shared" si="6"/>
        <v>1085</v>
      </c>
      <c r="N316" s="62">
        <f>IFERROR(__xludf.DUMMYFUNCTION("IFERROR(GOOGLEFINANCE(A316,""TRADETIME""),)"),46086.64585648148)</f>
        <v>46086.64586</v>
      </c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68" t="s">
        <v>363</v>
      </c>
      <c r="B317" s="64" t="str">
        <f>IFERROR(__xludf.DUMMYFUNCTION("IFERROR(GOOGLEFINANCE(A317,""NAME""),)"),"Crompton Greaves Consumer Electricls Ltd")</f>
        <v>Crompton Greaves Consumer Electricls Ltd</v>
      </c>
      <c r="C317" s="64">
        <f>IFERROR(__xludf.DUMMYFUNCTION("IFERROR(GOOGLEFINANCE(A317,""CHANGE""),)"),4.65)</f>
        <v>4.65</v>
      </c>
      <c r="D317" s="64">
        <f>IFERROR(__xludf.DUMMYFUNCTION("IFERROR(GOOGLEFINANCE(A317,""CHANGEPCT""),)"),1.9)</f>
        <v>1.9</v>
      </c>
      <c r="E317" s="64" t="str">
        <f t="shared" si="1"/>
        <v>1.9%</v>
      </c>
      <c r="F317" s="64">
        <f t="shared" si="2"/>
        <v>1.9</v>
      </c>
      <c r="G317" s="64" t="str">
        <f t="shared" si="3"/>
        <v/>
      </c>
      <c r="H317" s="64">
        <f>IFERROR(__xludf.DUMMYFUNCTION("IFERROR(GOOGLEFINANCE(A317,""PRICE""),)"),250.0)</f>
        <v>250</v>
      </c>
      <c r="I317" s="65">
        <f>IFERROR(__xludf.DUMMYFUNCTION("IFERROR(GOOGLEFINANCE(A317,""VOLUME""),)"),1376830.0)</f>
        <v>1376830</v>
      </c>
      <c r="J317" s="64" t="str">
        <f>IFERROR(__xludf.DUMMYFUNCTION("IFERROR(INDEX(SPLIT(A317,"":""),1,2),)"),"CROMPTON")</f>
        <v>CROMPTON</v>
      </c>
      <c r="K317" s="64">
        <f t="shared" si="4"/>
        <v>460</v>
      </c>
      <c r="L317" s="64" t="str">
        <f t="shared" si="5"/>
        <v/>
      </c>
      <c r="M317" s="64">
        <f t="shared" si="6"/>
        <v>248</v>
      </c>
      <c r="N317" s="66">
        <f>IFERROR(__xludf.DUMMYFUNCTION("IFERROR(GOOGLEFINANCE(A317,""TRADETIME""),)"),46086.64584490741)</f>
        <v>46086.64584</v>
      </c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67" t="s">
        <v>364</v>
      </c>
      <c r="B318" s="60" t="str">
        <f>IFERROR(__xludf.DUMMYFUNCTION("IFERROR(GOOGLEFINANCE(A318,""NAME""),)"),"CSB Bank Ltd")</f>
        <v>CSB Bank Ltd</v>
      </c>
      <c r="C318" s="60">
        <f>IFERROR(__xludf.DUMMYFUNCTION("IFERROR(GOOGLEFINANCE(A318,""CHANGE""),)"),5.9)</f>
        <v>5.9</v>
      </c>
      <c r="D318" s="60">
        <f>IFERROR(__xludf.DUMMYFUNCTION("IFERROR(GOOGLEFINANCE(A318,""CHANGEPCT""),)"),1.61)</f>
        <v>1.61</v>
      </c>
      <c r="E318" s="60" t="str">
        <f t="shared" si="1"/>
        <v>1.61%</v>
      </c>
      <c r="F318" s="60">
        <f t="shared" si="2"/>
        <v>1.61</v>
      </c>
      <c r="G318" s="60" t="str">
        <f t="shared" si="3"/>
        <v/>
      </c>
      <c r="H318" s="60">
        <f>IFERROR(__xludf.DUMMYFUNCTION("IFERROR(GOOGLEFINANCE(A318,""PRICE""),)"),372.7)</f>
        <v>372.7</v>
      </c>
      <c r="I318" s="61">
        <f>IFERROR(__xludf.DUMMYFUNCTION("IFERROR(GOOGLEFINANCE(A318,""VOLUME""),)"),260620.0)</f>
        <v>260620</v>
      </c>
      <c r="J318" s="60" t="str">
        <f>IFERROR(__xludf.DUMMYFUNCTION("IFERROR(INDEX(SPLIT(A318,"":""),1,2),)"),"CSBBANK")</f>
        <v>CSBBANK</v>
      </c>
      <c r="K318" s="60">
        <f t="shared" si="4"/>
        <v>538</v>
      </c>
      <c r="L318" s="60" t="str">
        <f t="shared" si="5"/>
        <v/>
      </c>
      <c r="M318" s="60">
        <f t="shared" si="6"/>
        <v>543</v>
      </c>
      <c r="N318" s="62">
        <f>IFERROR(__xludf.DUMMYFUNCTION("IFERROR(GOOGLEFINANCE(A318,""TRADETIME""),)"),46086.64037037037)</f>
        <v>46086.64037</v>
      </c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68" t="s">
        <v>365</v>
      </c>
      <c r="B319" s="64" t="str">
        <f>IFERROR(__xludf.DUMMYFUNCTION("IFERROR(GOOGLEFINANCE(A319,""NAME""),)"),"Cambridge Technology Enterprises Limited")</f>
        <v>Cambridge Technology Enterprises Limited</v>
      </c>
      <c r="C319" s="64">
        <f>IFERROR(__xludf.DUMMYFUNCTION("IFERROR(GOOGLEFINANCE(A319,""CHANGE""),)"),-1.22)</f>
        <v>-1.22</v>
      </c>
      <c r="D319" s="64">
        <f>IFERROR(__xludf.DUMMYFUNCTION("IFERROR(GOOGLEFINANCE(A319,""CHANGEPCT""),)"),-3.26)</f>
        <v>-3.26</v>
      </c>
      <c r="E319" s="64" t="str">
        <f t="shared" si="1"/>
        <v>-3.26%</v>
      </c>
      <c r="F319" s="64" t="str">
        <f t="shared" si="2"/>
        <v/>
      </c>
      <c r="G319" s="64">
        <f t="shared" si="3"/>
        <v>-3.26</v>
      </c>
      <c r="H319" s="64">
        <f>IFERROR(__xludf.DUMMYFUNCTION("IFERROR(GOOGLEFINANCE(A319,""PRICE""),)"),26.11)</f>
        <v>26.11</v>
      </c>
      <c r="I319" s="65">
        <f>IFERROR(__xludf.DUMMYFUNCTION("IFERROR(GOOGLEFINANCE(A319,""VOLUME""),)"),42894.0)</f>
        <v>42894</v>
      </c>
      <c r="J319" s="64" t="str">
        <f>IFERROR(__xludf.DUMMYFUNCTION("IFERROR(INDEX(SPLIT(A319,"":""),1,2),)"),"CTE")</f>
        <v>CTE</v>
      </c>
      <c r="K319" s="64" t="str">
        <f t="shared" si="4"/>
        <v/>
      </c>
      <c r="L319" s="64">
        <f t="shared" si="5"/>
        <v>413</v>
      </c>
      <c r="M319" s="64">
        <f t="shared" si="6"/>
        <v>978</v>
      </c>
      <c r="N319" s="66">
        <f>IFERROR(__xludf.DUMMYFUNCTION("IFERROR(GOOGLEFINANCE(A319,""TRADETIME""),)"),46086.64583333333)</f>
        <v>46086.64583</v>
      </c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67" t="s">
        <v>366</v>
      </c>
      <c r="B320" s="60" t="str">
        <f>IFERROR(__xludf.DUMMYFUNCTION("IFERROR(GOOGLEFINANCE(A320,""NAME""),)"),"City Union Bank Ltd")</f>
        <v>City Union Bank Ltd</v>
      </c>
      <c r="C320" s="60">
        <f>IFERROR(__xludf.DUMMYFUNCTION("IFERROR(GOOGLEFINANCE(A320,""CHANGE""),)"),7.35)</f>
        <v>7.35</v>
      </c>
      <c r="D320" s="60">
        <f>IFERROR(__xludf.DUMMYFUNCTION("IFERROR(GOOGLEFINANCE(A320,""CHANGEPCT""),)"),2.64)</f>
        <v>2.64</v>
      </c>
      <c r="E320" s="60" t="str">
        <f t="shared" si="1"/>
        <v>2.64%</v>
      </c>
      <c r="F320" s="60">
        <f t="shared" si="2"/>
        <v>2.64</v>
      </c>
      <c r="G320" s="60" t="str">
        <f t="shared" si="3"/>
        <v/>
      </c>
      <c r="H320" s="60">
        <f>IFERROR(__xludf.DUMMYFUNCTION("IFERROR(GOOGLEFINANCE(A320,""PRICE""),)"),268.4)</f>
        <v>268.4</v>
      </c>
      <c r="I320" s="61">
        <f>IFERROR(__xludf.DUMMYFUNCTION("IFERROR(GOOGLEFINANCE(A320,""VOLUME""),)"),2041310.0)</f>
        <v>2041310</v>
      </c>
      <c r="J320" s="60" t="str">
        <f>IFERROR(__xludf.DUMMYFUNCTION("IFERROR(INDEX(SPLIT(A320,"":""),1,2),)"),"CUB")</f>
        <v>CUB</v>
      </c>
      <c r="K320" s="60">
        <f t="shared" si="4"/>
        <v>316</v>
      </c>
      <c r="L320" s="60" t="str">
        <f t="shared" si="5"/>
        <v/>
      </c>
      <c r="M320" s="60">
        <f t="shared" si="6"/>
        <v>199</v>
      </c>
      <c r="N320" s="62">
        <f>IFERROR(__xludf.DUMMYFUNCTION("IFERROR(GOOGLEFINANCE(A320,""TRADETIME""),)"),46086.64583333333)</f>
        <v>46086.64583</v>
      </c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68" t="s">
        <v>367</v>
      </c>
      <c r="B321" s="64" t="str">
        <f>IFERROR(__xludf.DUMMYFUNCTION("IFERROR(GOOGLEFINANCE(A321,""NAME""),)"),"Cubex Tubings Ltd")</f>
        <v>Cubex Tubings Ltd</v>
      </c>
      <c r="C321" s="64">
        <f>IFERROR(__xludf.DUMMYFUNCTION("IFERROR(GOOGLEFINANCE(A321,""CHANGE""),)"),-1.48)</f>
        <v>-1.48</v>
      </c>
      <c r="D321" s="64">
        <f>IFERROR(__xludf.DUMMYFUNCTION("IFERROR(GOOGLEFINANCE(A321,""CHANGEPCT""),)"),-1.59)</f>
        <v>-1.59</v>
      </c>
      <c r="E321" s="64" t="str">
        <f t="shared" si="1"/>
        <v>-1.59%</v>
      </c>
      <c r="F321" s="64" t="str">
        <f t="shared" si="2"/>
        <v/>
      </c>
      <c r="G321" s="64">
        <f t="shared" si="3"/>
        <v>-1.59</v>
      </c>
      <c r="H321" s="64">
        <f>IFERROR(__xludf.DUMMYFUNCTION("IFERROR(GOOGLEFINANCE(A321,""PRICE""),)"),95.8)</f>
        <v>95.8</v>
      </c>
      <c r="I321" s="65">
        <f>IFERROR(__xludf.DUMMYFUNCTION("IFERROR(GOOGLEFINANCE(A321,""VOLUME""),)"),160646.0)</f>
        <v>160646</v>
      </c>
      <c r="J321" s="64" t="str">
        <f>IFERROR(__xludf.DUMMYFUNCTION("IFERROR(INDEX(SPLIT(A321,"":""),1,2),)"),"CUBEXTUB")</f>
        <v>CUBEXTUB</v>
      </c>
      <c r="K321" s="64" t="str">
        <f t="shared" si="4"/>
        <v/>
      </c>
      <c r="L321" s="64">
        <f t="shared" si="5"/>
        <v>299</v>
      </c>
      <c r="M321" s="64">
        <f t="shared" si="6"/>
        <v>657</v>
      </c>
      <c r="N321" s="66">
        <f>IFERROR(__xludf.DUMMYFUNCTION("IFERROR(GOOGLEFINANCE(A321,""TRADETIME""),)"),46086.64034722222)</f>
        <v>46086.64035</v>
      </c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67" t="s">
        <v>368</v>
      </c>
      <c r="B322" s="60" t="str">
        <f>IFERROR(__xludf.DUMMYFUNCTION("IFERROR(GOOGLEFINANCE(A322,""NAME""),)"),"Cummins India Ltd")</f>
        <v>Cummins India Ltd</v>
      </c>
      <c r="C322" s="60">
        <f>IFERROR(__xludf.DUMMYFUNCTION("IFERROR(GOOGLEFINANCE(A322,""CHANGE""),)"),219.3)</f>
        <v>219.3</v>
      </c>
      <c r="D322" s="60">
        <f>IFERROR(__xludf.DUMMYFUNCTION("IFERROR(GOOGLEFINANCE(A322,""CHANGEPCT""),)"),4.78)</f>
        <v>4.78</v>
      </c>
      <c r="E322" s="60" t="str">
        <f t="shared" si="1"/>
        <v>4.78%</v>
      </c>
      <c r="F322" s="60">
        <f t="shared" si="2"/>
        <v>4.78</v>
      </c>
      <c r="G322" s="60" t="str">
        <f t="shared" si="3"/>
        <v/>
      </c>
      <c r="H322" s="60">
        <f>IFERROR(__xludf.DUMMYFUNCTION("IFERROR(GOOGLEFINANCE(A322,""PRICE""),)"),4804.1)</f>
        <v>4804.1</v>
      </c>
      <c r="I322" s="61">
        <f>IFERROR(__xludf.DUMMYFUNCTION("IFERROR(GOOGLEFINANCE(A322,""VOLUME""),)"),957437.0)</f>
        <v>957437</v>
      </c>
      <c r="J322" s="60" t="str">
        <f>IFERROR(__xludf.DUMMYFUNCTION("IFERROR(INDEX(SPLIT(A322,"":""),1,2),)"),"CUMMINSIND")</f>
        <v>CUMMINSIND</v>
      </c>
      <c r="K322" s="60">
        <f t="shared" si="4"/>
        <v>91</v>
      </c>
      <c r="L322" s="60" t="str">
        <f t="shared" si="5"/>
        <v/>
      </c>
      <c r="M322" s="60">
        <f t="shared" si="6"/>
        <v>289</v>
      </c>
      <c r="N322" s="62">
        <f>IFERROR(__xludf.DUMMYFUNCTION("IFERROR(GOOGLEFINANCE(A322,""TRADETIME""),)"),46086.64583333333)</f>
        <v>46086.64583</v>
      </c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68" t="s">
        <v>369</v>
      </c>
      <c r="B323" s="64" t="str">
        <f>IFERROR(__xludf.DUMMYFUNCTION("IFERROR(GOOGLEFINANCE(A323,""NAME""),)"),"Cupid Ltd")</f>
        <v>Cupid Ltd</v>
      </c>
      <c r="C323" s="64">
        <f>IFERROR(__xludf.DUMMYFUNCTION("IFERROR(GOOGLEFINANCE(A323,""CHANGE""),)"),31.35)</f>
        <v>31.35</v>
      </c>
      <c r="D323" s="64">
        <f>IFERROR(__xludf.DUMMYFUNCTION("IFERROR(GOOGLEFINANCE(A323,""CHANGEPCT""),)"),8.27)</f>
        <v>8.27</v>
      </c>
      <c r="E323" s="64" t="str">
        <f t="shared" si="1"/>
        <v>8.27%</v>
      </c>
      <c r="F323" s="64">
        <f t="shared" si="2"/>
        <v>8.27</v>
      </c>
      <c r="G323" s="64" t="str">
        <f t="shared" si="3"/>
        <v/>
      </c>
      <c r="H323" s="64">
        <f>IFERROR(__xludf.DUMMYFUNCTION("IFERROR(GOOGLEFINANCE(A323,""PRICE""),)"),410.5)</f>
        <v>410.5</v>
      </c>
      <c r="I323" s="65">
        <f>IFERROR(__xludf.DUMMYFUNCTION("IFERROR(GOOGLEFINANCE(A323,""VOLUME""),)"),7359317.0)</f>
        <v>7359317</v>
      </c>
      <c r="J323" s="64" t="str">
        <f>IFERROR(__xludf.DUMMYFUNCTION("IFERROR(INDEX(SPLIT(A323,"":""),1,2),)"),"CUPID")</f>
        <v>CUPID</v>
      </c>
      <c r="K323" s="64">
        <f t="shared" si="4"/>
        <v>19</v>
      </c>
      <c r="L323" s="64" t="str">
        <f t="shared" si="5"/>
        <v/>
      </c>
      <c r="M323" s="64">
        <f t="shared" si="6"/>
        <v>81</v>
      </c>
      <c r="N323" s="66">
        <f>IFERROR(__xludf.DUMMYFUNCTION("IFERROR(GOOGLEFINANCE(A323,""TRADETIME""),)"),46086.64583333333)</f>
        <v>46086.64583</v>
      </c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9" t="s">
        <v>370</v>
      </c>
      <c r="B324" s="60" t="str">
        <f>IFERROR(__xludf.DUMMYFUNCTION("IFERROR(GOOGLEFINANCE(A324,""NAME""),)"),"Dixon Technologies (India) Ltd")</f>
        <v>Dixon Technologies (India) Ltd</v>
      </c>
      <c r="C324" s="60">
        <f>IFERROR(__xludf.DUMMYFUNCTION("IFERROR(GOOGLEFINANCE(A324,""CHANGE""),)"),56.0)</f>
        <v>56</v>
      </c>
      <c r="D324" s="60">
        <f>IFERROR(__xludf.DUMMYFUNCTION("IFERROR(GOOGLEFINANCE(A324,""CHANGEPCT""),)"),0.55)</f>
        <v>0.55</v>
      </c>
      <c r="E324" s="60" t="str">
        <f t="shared" si="1"/>
        <v>0.55%</v>
      </c>
      <c r="F324" s="60">
        <f t="shared" si="2"/>
        <v>0.55</v>
      </c>
      <c r="G324" s="60" t="str">
        <f t="shared" si="3"/>
        <v/>
      </c>
      <c r="H324" s="60">
        <f>IFERROR(__xludf.DUMMYFUNCTION("IFERROR(GOOGLEFINANCE(A324,""PRICE""),)"),10192.0)</f>
        <v>10192</v>
      </c>
      <c r="I324" s="61">
        <f>IFERROR(__xludf.DUMMYFUNCTION("IFERROR(GOOGLEFINANCE(A324,""VOLUME""),)"),587039.0)</f>
        <v>587039</v>
      </c>
      <c r="J324" s="60" t="str">
        <f>IFERROR(__xludf.DUMMYFUNCTION("IFERROR(INDEX(SPLIT(A324,"":""),1,2),)"),"DIXON")</f>
        <v>DIXON</v>
      </c>
      <c r="K324" s="60">
        <f t="shared" si="4"/>
        <v>861</v>
      </c>
      <c r="L324" s="60" t="str">
        <f t="shared" si="5"/>
        <v/>
      </c>
      <c r="M324" s="60">
        <f t="shared" si="6"/>
        <v>372</v>
      </c>
      <c r="N324" s="62">
        <f>IFERROR(__xludf.DUMMYFUNCTION("IFERROR(GOOGLEFINANCE(A324,""TRADETIME""),)"),46086.64584490741)</f>
        <v>46086.64584</v>
      </c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68" t="s">
        <v>371</v>
      </c>
      <c r="B325" s="64" t="str">
        <f>IFERROR(__xludf.DUMMYFUNCTION("IFERROR(GOOGLEFINANCE(A325,""NAME""),)"),"Cybertech Systems and Software Ltd")</f>
        <v>Cybertech Systems and Software Ltd</v>
      </c>
      <c r="C325" s="64">
        <f>IFERROR(__xludf.DUMMYFUNCTION("IFERROR(GOOGLEFINANCE(A325,""CHANGE""),)"),0.33)</f>
        <v>0.33</v>
      </c>
      <c r="D325" s="64">
        <f>IFERROR(__xludf.DUMMYFUNCTION("IFERROR(GOOGLEFINANCE(A325,""CHANGEPCT""),)"),0.32)</f>
        <v>0.32</v>
      </c>
      <c r="E325" s="64" t="str">
        <f t="shared" si="1"/>
        <v>0.32%</v>
      </c>
      <c r="F325" s="64">
        <f t="shared" si="2"/>
        <v>0.32</v>
      </c>
      <c r="G325" s="64" t="str">
        <f t="shared" si="3"/>
        <v/>
      </c>
      <c r="H325" s="64">
        <f>IFERROR(__xludf.DUMMYFUNCTION("IFERROR(GOOGLEFINANCE(A325,""PRICE""),)"),104.0)</f>
        <v>104</v>
      </c>
      <c r="I325" s="65">
        <f>IFERROR(__xludf.DUMMYFUNCTION("IFERROR(GOOGLEFINANCE(A325,""VOLUME""),)"),36947.0)</f>
        <v>36947</v>
      </c>
      <c r="J325" s="64" t="str">
        <f>IFERROR(__xludf.DUMMYFUNCTION("IFERROR(INDEX(SPLIT(A325,"":""),1,2),)"),"CYBERTECH")</f>
        <v>CYBERTECH</v>
      </c>
      <c r="K325" s="64">
        <f t="shared" si="4"/>
        <v>924</v>
      </c>
      <c r="L325" s="64" t="str">
        <f t="shared" si="5"/>
        <v/>
      </c>
      <c r="M325" s="64">
        <f t="shared" si="6"/>
        <v>1005</v>
      </c>
      <c r="N325" s="66">
        <f>IFERROR(__xludf.DUMMYFUNCTION("IFERROR(GOOGLEFINANCE(A325,""TRADETIME""),)"),46086.64583333333)</f>
        <v>46086.64583</v>
      </c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67" t="s">
        <v>372</v>
      </c>
      <c r="B326" s="60" t="str">
        <f>IFERROR(__xludf.DUMMYFUNCTION("IFERROR(GOOGLEFINANCE(A326,""NAME""),)"),"Cyient Ltd")</f>
        <v>Cyient Ltd</v>
      </c>
      <c r="C326" s="60">
        <f>IFERROR(__xludf.DUMMYFUNCTION("IFERROR(GOOGLEFINANCE(A326,""CHANGE""),)"),-0.15)</f>
        <v>-0.15</v>
      </c>
      <c r="D326" s="60">
        <f>IFERROR(__xludf.DUMMYFUNCTION("IFERROR(GOOGLEFINANCE(A326,""CHANGEPCT""),)"),-0.02)</f>
        <v>-0.02</v>
      </c>
      <c r="E326" s="60" t="str">
        <f t="shared" si="1"/>
        <v>-0.02%</v>
      </c>
      <c r="F326" s="60" t="str">
        <f t="shared" si="2"/>
        <v/>
      </c>
      <c r="G326" s="60">
        <f t="shared" si="3"/>
        <v>-0.02</v>
      </c>
      <c r="H326" s="60">
        <f>IFERROR(__xludf.DUMMYFUNCTION("IFERROR(GOOGLEFINANCE(A326,""PRICE""),)"),882.1)</f>
        <v>882.1</v>
      </c>
      <c r="I326" s="61">
        <f>IFERROR(__xludf.DUMMYFUNCTION("IFERROR(GOOGLEFINANCE(A326,""VOLUME""),)"),195904.0)</f>
        <v>195904</v>
      </c>
      <c r="J326" s="60" t="str">
        <f>IFERROR(__xludf.DUMMYFUNCTION("IFERROR(INDEX(SPLIT(A326,"":""),1,2),)"),"CYIENT")</f>
        <v>CYIENT</v>
      </c>
      <c r="K326" s="60" t="str">
        <f t="shared" si="4"/>
        <v/>
      </c>
      <c r="L326" s="60">
        <f t="shared" si="5"/>
        <v>2</v>
      </c>
      <c r="M326" s="60">
        <f t="shared" si="6"/>
        <v>612</v>
      </c>
      <c r="N326" s="62">
        <f>IFERROR(__xludf.DUMMYFUNCTION("IFERROR(GOOGLEFINANCE(A326,""TRADETIME""),)"),46086.64583333333)</f>
        <v>46086.64583</v>
      </c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68" t="s">
        <v>373</v>
      </c>
      <c r="B327" s="64" t="str">
        <f>IFERROR(__xludf.DUMMYFUNCTION("IFERROR(GOOGLEFINANCE(A327,""NAME""),)"),"")</f>
        <v/>
      </c>
      <c r="C327" s="64" t="str">
        <f>IFERROR(__xludf.DUMMYFUNCTION("IFERROR(GOOGLEFINANCE(A327,""CHANGE""),)"),"")</f>
        <v/>
      </c>
      <c r="D327" s="64" t="str">
        <f>IFERROR(__xludf.DUMMYFUNCTION("IFERROR(GOOGLEFINANCE(A327,""CHANGEPCT""),)"),"")</f>
        <v/>
      </c>
      <c r="E327" s="64" t="str">
        <f t="shared" si="1"/>
        <v>%</v>
      </c>
      <c r="F327" s="64" t="str">
        <f t="shared" si="2"/>
        <v/>
      </c>
      <c r="G327" s="64" t="str">
        <f t="shared" si="3"/>
        <v/>
      </c>
      <c r="H327" s="64" t="str">
        <f>IFERROR(__xludf.DUMMYFUNCTION("IFERROR(GOOGLEFINANCE(A327,""PRICE""),)"),"")</f>
        <v/>
      </c>
      <c r="I327" s="65" t="str">
        <f>IFERROR(__xludf.DUMMYFUNCTION("IFERROR(GOOGLEFINANCE(A327,""VOLUME""),)"),"")</f>
        <v/>
      </c>
      <c r="J327" s="64" t="str">
        <f>IFERROR(__xludf.DUMMYFUNCTION("IFERROR(INDEX(SPLIT(A327,"":""),1,2),)"),"DAAWAT")</f>
        <v>DAAWAT</v>
      </c>
      <c r="K327" s="64" t="str">
        <f t="shared" si="4"/>
        <v/>
      </c>
      <c r="L327" s="64" t="str">
        <f t="shared" si="5"/>
        <v/>
      </c>
      <c r="M327" s="64" t="str">
        <f t="shared" si="6"/>
        <v/>
      </c>
      <c r="N327" s="66" t="str">
        <f>IFERROR(__xludf.DUMMYFUNCTION("IFERROR(GOOGLEFINANCE(A327,""TRADETIME""),)"),"")</f>
        <v/>
      </c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67" t="s">
        <v>374</v>
      </c>
      <c r="B328" s="60" t="str">
        <f>IFERROR(__xludf.DUMMYFUNCTION("IFERROR(GOOGLEFINANCE(A328,""NAME""),)"),"Dabur India Ltd")</f>
        <v>Dabur India Ltd</v>
      </c>
      <c r="C328" s="60">
        <f>IFERROR(__xludf.DUMMYFUNCTION("IFERROR(GOOGLEFINANCE(A328,""CHANGE""),)"),0.75)</f>
        <v>0.75</v>
      </c>
      <c r="D328" s="60">
        <f>IFERROR(__xludf.DUMMYFUNCTION("IFERROR(GOOGLEFINANCE(A328,""CHANGEPCT""),)"),0.15)</f>
        <v>0.15</v>
      </c>
      <c r="E328" s="60" t="str">
        <f t="shared" si="1"/>
        <v>0.15%</v>
      </c>
      <c r="F328" s="60">
        <f t="shared" si="2"/>
        <v>0.15</v>
      </c>
      <c r="G328" s="60" t="str">
        <f t="shared" si="3"/>
        <v/>
      </c>
      <c r="H328" s="60">
        <f>IFERROR(__xludf.DUMMYFUNCTION("IFERROR(GOOGLEFINANCE(A328,""PRICE""),)"),488.15)</f>
        <v>488.15</v>
      </c>
      <c r="I328" s="61">
        <f>IFERROR(__xludf.DUMMYFUNCTION("IFERROR(GOOGLEFINANCE(A328,""VOLUME""),)"),972426.0)</f>
        <v>972426</v>
      </c>
      <c r="J328" s="60" t="str">
        <f>IFERROR(__xludf.DUMMYFUNCTION("IFERROR(INDEX(SPLIT(A328,"":""),1,2),)"),"DABUR")</f>
        <v>DABUR</v>
      </c>
      <c r="K328" s="60">
        <f t="shared" si="4"/>
        <v>963</v>
      </c>
      <c r="L328" s="60" t="str">
        <f t="shared" si="5"/>
        <v/>
      </c>
      <c r="M328" s="60">
        <f t="shared" si="6"/>
        <v>287</v>
      </c>
      <c r="N328" s="62">
        <f>IFERROR(__xludf.DUMMYFUNCTION("IFERROR(GOOGLEFINANCE(A328,""TRADETIME""),)"),46086.64584490741)</f>
        <v>46086.64584</v>
      </c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68" t="s">
        <v>375</v>
      </c>
      <c r="B329" s="64" t="str">
        <f>IFERROR(__xludf.DUMMYFUNCTION("IFERROR(GOOGLEFINANCE(A329,""NAME""),)"),"Dalmia Bharat Ltd")</f>
        <v>Dalmia Bharat Ltd</v>
      </c>
      <c r="C329" s="64">
        <f>IFERROR(__xludf.DUMMYFUNCTION("IFERROR(GOOGLEFINANCE(A329,""CHANGE""),)"),34.6)</f>
        <v>34.6</v>
      </c>
      <c r="D329" s="64">
        <f>IFERROR(__xludf.DUMMYFUNCTION("IFERROR(GOOGLEFINANCE(A329,""CHANGEPCT""),)"),1.97)</f>
        <v>1.97</v>
      </c>
      <c r="E329" s="64" t="str">
        <f t="shared" si="1"/>
        <v>1.97%</v>
      </c>
      <c r="F329" s="64">
        <f t="shared" si="2"/>
        <v>1.97</v>
      </c>
      <c r="G329" s="64" t="str">
        <f t="shared" si="3"/>
        <v/>
      </c>
      <c r="H329" s="64">
        <f>IFERROR(__xludf.DUMMYFUNCTION("IFERROR(GOOGLEFINANCE(A329,""PRICE""),)"),1933.0)</f>
        <v>1933</v>
      </c>
      <c r="I329" s="65">
        <f>IFERROR(__xludf.DUMMYFUNCTION("IFERROR(GOOGLEFINANCE(A329,""VOLUME""),)"),103976.0)</f>
        <v>103976</v>
      </c>
      <c r="J329" s="64" t="str">
        <f>IFERROR(__xludf.DUMMYFUNCTION("IFERROR(INDEX(SPLIT(A329,"":""),1,2),)"),"DALBHARAT")</f>
        <v>DALBHARAT</v>
      </c>
      <c r="K329" s="64">
        <f t="shared" si="4"/>
        <v>448</v>
      </c>
      <c r="L329" s="64" t="str">
        <f t="shared" si="5"/>
        <v/>
      </c>
      <c r="M329" s="64">
        <f t="shared" si="6"/>
        <v>752</v>
      </c>
      <c r="N329" s="66">
        <f>IFERROR(__xludf.DUMMYFUNCTION("IFERROR(GOOGLEFINANCE(A329,""TRADETIME""),)"),46086.64238425926)</f>
        <v>46086.64238</v>
      </c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67" t="s">
        <v>376</v>
      </c>
      <c r="B330" s="60" t="str">
        <f>IFERROR(__xludf.DUMMYFUNCTION("IFERROR(GOOGLEFINANCE(A330,""NAME""),)"),"Dalmia Bharat Sugar and Industries Ltd")</f>
        <v>Dalmia Bharat Sugar and Industries Ltd</v>
      </c>
      <c r="C330" s="60">
        <f>IFERROR(__xludf.DUMMYFUNCTION("IFERROR(GOOGLEFINANCE(A330,""CHANGE""),)"),-6.55)</f>
        <v>-6.55</v>
      </c>
      <c r="D330" s="60">
        <f>IFERROR(__xludf.DUMMYFUNCTION("IFERROR(GOOGLEFINANCE(A330,""CHANGEPCT""),)"),-2.42)</f>
        <v>-2.42</v>
      </c>
      <c r="E330" s="60" t="str">
        <f t="shared" si="1"/>
        <v>-2.42%</v>
      </c>
      <c r="F330" s="60" t="str">
        <f t="shared" si="2"/>
        <v/>
      </c>
      <c r="G330" s="60">
        <f t="shared" si="3"/>
        <v>-2.42</v>
      </c>
      <c r="H330" s="60">
        <f>IFERROR(__xludf.DUMMYFUNCTION("IFERROR(GOOGLEFINANCE(A330,""PRICE""),)"),314.0)</f>
        <v>314</v>
      </c>
      <c r="I330" s="61">
        <f>IFERROR(__xludf.DUMMYFUNCTION("IFERROR(GOOGLEFINANCE(A330,""VOLUME""),)"),85571.0)</f>
        <v>85571</v>
      </c>
      <c r="J330" s="60" t="str">
        <f>IFERROR(__xludf.DUMMYFUNCTION("IFERROR(INDEX(SPLIT(A330,"":""),1,2),)"),"DALMIASUG")</f>
        <v>DALMIASUG</v>
      </c>
      <c r="K330" s="60" t="str">
        <f t="shared" si="4"/>
        <v/>
      </c>
      <c r="L330" s="60">
        <f t="shared" si="5"/>
        <v>387</v>
      </c>
      <c r="M330" s="60">
        <f t="shared" si="6"/>
        <v>797</v>
      </c>
      <c r="N330" s="62">
        <f>IFERROR(__xludf.DUMMYFUNCTION("IFERROR(GOOGLEFINANCE(A330,""TRADETIME""),)"),46086.64583333333)</f>
        <v>46086.64583</v>
      </c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68" t="s">
        <v>377</v>
      </c>
      <c r="B331" s="64" t="str">
        <f>IFERROR(__xludf.DUMMYFUNCTION("IFERROR(GOOGLEFINANCE(A331,""NAME""),)"),"Damodar Industries Ltd")</f>
        <v>Damodar Industries Ltd</v>
      </c>
      <c r="C331" s="64">
        <f>IFERROR(__xludf.DUMMYFUNCTION("IFERROR(GOOGLEFINANCE(A331,""CHANGE""),)"),0.52)</f>
        <v>0.52</v>
      </c>
      <c r="D331" s="64">
        <f>IFERROR(__xludf.DUMMYFUNCTION("IFERROR(GOOGLEFINANCE(A331,""CHANGEPCT""),)"),2.08)</f>
        <v>2.08</v>
      </c>
      <c r="E331" s="64" t="str">
        <f t="shared" si="1"/>
        <v>2.08%</v>
      </c>
      <c r="F331" s="64">
        <f t="shared" si="2"/>
        <v>2.08</v>
      </c>
      <c r="G331" s="64" t="str">
        <f t="shared" si="3"/>
        <v/>
      </c>
      <c r="H331" s="64">
        <f>IFERROR(__xludf.DUMMYFUNCTION("IFERROR(GOOGLEFINANCE(A331,""PRICE""),)"),24.52)</f>
        <v>24.52</v>
      </c>
      <c r="I331" s="65">
        <f>IFERROR(__xludf.DUMMYFUNCTION("IFERROR(GOOGLEFINANCE(A331,""VOLUME""),)"),273.0)</f>
        <v>273</v>
      </c>
      <c r="J331" s="64" t="str">
        <f>IFERROR(__xludf.DUMMYFUNCTION("IFERROR(INDEX(SPLIT(A331,"":""),1,2),)"),"DAMODARIND")</f>
        <v>DAMODARIND</v>
      </c>
      <c r="K331" s="64">
        <f t="shared" si="4"/>
        <v>423</v>
      </c>
      <c r="L331" s="64" t="str">
        <f t="shared" si="5"/>
        <v/>
      </c>
      <c r="M331" s="64">
        <f t="shared" si="6"/>
        <v>1452</v>
      </c>
      <c r="N331" s="66">
        <f>IFERROR(__xludf.DUMMYFUNCTION("IFERROR(GOOGLEFINANCE(A331,""TRADETIME""),)"),46086.64583333333)</f>
        <v>46086.64583</v>
      </c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67" t="s">
        <v>378</v>
      </c>
      <c r="B332" s="60" t="str">
        <f>IFERROR(__xludf.DUMMYFUNCTION("IFERROR(GOOGLEFINANCE(A332,""NAME""),)"),"Dangee Dums Ltd")</f>
        <v>Dangee Dums Ltd</v>
      </c>
      <c r="C332" s="60">
        <f>IFERROR(__xludf.DUMMYFUNCTION("IFERROR(GOOGLEFINANCE(A332,""CHANGE""),)"),0.02)</f>
        <v>0.02</v>
      </c>
      <c r="D332" s="60">
        <f>IFERROR(__xludf.DUMMYFUNCTION("IFERROR(GOOGLEFINANCE(A332,""CHANGEPCT""),)"),1.33)</f>
        <v>1.33</v>
      </c>
      <c r="E332" s="60" t="str">
        <f t="shared" si="1"/>
        <v>1.33%</v>
      </c>
      <c r="F332" s="60">
        <f t="shared" si="2"/>
        <v>1.33</v>
      </c>
      <c r="G332" s="60" t="str">
        <f t="shared" si="3"/>
        <v/>
      </c>
      <c r="H332" s="60">
        <f>IFERROR(__xludf.DUMMYFUNCTION("IFERROR(GOOGLEFINANCE(A332,""PRICE""),)"),3.04)</f>
        <v>3.04</v>
      </c>
      <c r="I332" s="61">
        <f>IFERROR(__xludf.DUMMYFUNCTION("IFERROR(GOOGLEFINANCE(A332,""VOLUME""),)"),47052.0)</f>
        <v>47052</v>
      </c>
      <c r="J332" s="60" t="str">
        <f>IFERROR(__xludf.DUMMYFUNCTION("IFERROR(INDEX(SPLIT(A332,"":""),1,2),)"),"DANGEE")</f>
        <v>DANGEE</v>
      </c>
      <c r="K332" s="60">
        <f t="shared" si="4"/>
        <v>626</v>
      </c>
      <c r="L332" s="60" t="str">
        <f t="shared" si="5"/>
        <v/>
      </c>
      <c r="M332" s="60">
        <f t="shared" si="6"/>
        <v>955</v>
      </c>
      <c r="N332" s="62">
        <f>IFERROR(__xludf.DUMMYFUNCTION("IFERROR(GOOGLEFINANCE(A332,""TRADETIME""),)"),46086.64583333333)</f>
        <v>46086.64583</v>
      </c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68" t="s">
        <v>379</v>
      </c>
      <c r="B333" s="64" t="str">
        <f>IFERROR(__xludf.DUMMYFUNCTION("IFERROR(GOOGLEFINANCE(A333,""NAME""),)"),"Datamatics Global Services Ltd")</f>
        <v>Datamatics Global Services Ltd</v>
      </c>
      <c r="C333" s="64">
        <f>IFERROR(__xludf.DUMMYFUNCTION("IFERROR(GOOGLEFINANCE(A333,""CHANGE""),)"),13.15)</f>
        <v>13.15</v>
      </c>
      <c r="D333" s="64">
        <f>IFERROR(__xludf.DUMMYFUNCTION("IFERROR(GOOGLEFINANCE(A333,""CHANGEPCT""),)"),1.87)</f>
        <v>1.87</v>
      </c>
      <c r="E333" s="64" t="str">
        <f t="shared" si="1"/>
        <v>1.87%</v>
      </c>
      <c r="F333" s="64">
        <f t="shared" si="2"/>
        <v>1.87</v>
      </c>
      <c r="G333" s="64" t="str">
        <f t="shared" si="3"/>
        <v/>
      </c>
      <c r="H333" s="64">
        <f>IFERROR(__xludf.DUMMYFUNCTION("IFERROR(GOOGLEFINANCE(A333,""PRICE""),)"),716.4)</f>
        <v>716.4</v>
      </c>
      <c r="I333" s="65">
        <f>IFERROR(__xludf.DUMMYFUNCTION("IFERROR(GOOGLEFINANCE(A333,""VOLUME""),)"),104232.0)</f>
        <v>104232</v>
      </c>
      <c r="J333" s="64" t="str">
        <f>IFERROR(__xludf.DUMMYFUNCTION("IFERROR(INDEX(SPLIT(A333,"":""),1,2),)"),"DATAMATICS")</f>
        <v>DATAMATICS</v>
      </c>
      <c r="K333" s="64">
        <f t="shared" si="4"/>
        <v>469</v>
      </c>
      <c r="L333" s="64" t="str">
        <f t="shared" si="5"/>
        <v/>
      </c>
      <c r="M333" s="64">
        <f t="shared" si="6"/>
        <v>751</v>
      </c>
      <c r="N333" s="66">
        <f>IFERROR(__xludf.DUMMYFUNCTION("IFERROR(GOOGLEFINANCE(A333,""TRADETIME""),)"),46086.64584490741)</f>
        <v>46086.64584</v>
      </c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67" t="s">
        <v>380</v>
      </c>
      <c r="B334" s="60" t="str">
        <f>IFERROR(__xludf.DUMMYFUNCTION("IFERROR(GOOGLEFINANCE(A334,""NAME""),)"),"DB Corp Ltd")</f>
        <v>DB Corp Ltd</v>
      </c>
      <c r="C334" s="60">
        <f>IFERROR(__xludf.DUMMYFUNCTION("IFERROR(GOOGLEFINANCE(A334,""CHANGE""),)"),3.86)</f>
        <v>3.86</v>
      </c>
      <c r="D334" s="60">
        <f>IFERROR(__xludf.DUMMYFUNCTION("IFERROR(GOOGLEFINANCE(A334,""CHANGEPCT""),)"),1.81)</f>
        <v>1.81</v>
      </c>
      <c r="E334" s="60" t="str">
        <f t="shared" si="1"/>
        <v>1.81%</v>
      </c>
      <c r="F334" s="60">
        <f t="shared" si="2"/>
        <v>1.81</v>
      </c>
      <c r="G334" s="60" t="str">
        <f t="shared" si="3"/>
        <v/>
      </c>
      <c r="H334" s="60">
        <f>IFERROR(__xludf.DUMMYFUNCTION("IFERROR(GOOGLEFINANCE(A334,""PRICE""),)"),216.99)</f>
        <v>216.99</v>
      </c>
      <c r="I334" s="61">
        <f>IFERROR(__xludf.DUMMYFUNCTION("IFERROR(GOOGLEFINANCE(A334,""VOLUME""),)"),21516.0)</f>
        <v>21516</v>
      </c>
      <c r="J334" s="60" t="str">
        <f>IFERROR(__xludf.DUMMYFUNCTION("IFERROR(INDEX(SPLIT(A334,"":""),1,2),)"),"DBCORP")</f>
        <v>DBCORP</v>
      </c>
      <c r="K334" s="60">
        <f t="shared" si="4"/>
        <v>493</v>
      </c>
      <c r="L334" s="60" t="str">
        <f t="shared" si="5"/>
        <v/>
      </c>
      <c r="M334" s="60">
        <f t="shared" si="6"/>
        <v>1125</v>
      </c>
      <c r="N334" s="62">
        <f>IFERROR(__xludf.DUMMYFUNCTION("IFERROR(GOOGLEFINANCE(A334,""TRADETIME""),)"),46086.64583333333)</f>
        <v>46086.64583</v>
      </c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68" t="s">
        <v>381</v>
      </c>
      <c r="B335" s="64" t="str">
        <f>IFERROR(__xludf.DUMMYFUNCTION("IFERROR(GOOGLEFINANCE(A335,""NAME""),)"),"Dilip Buildcon Ltd")</f>
        <v>Dilip Buildcon Ltd</v>
      </c>
      <c r="C335" s="64">
        <f>IFERROR(__xludf.DUMMYFUNCTION("IFERROR(GOOGLEFINANCE(A335,""CHANGE""),)"),11.5)</f>
        <v>11.5</v>
      </c>
      <c r="D335" s="64">
        <f>IFERROR(__xludf.DUMMYFUNCTION("IFERROR(GOOGLEFINANCE(A335,""CHANGEPCT""),)"),2.72)</f>
        <v>2.72</v>
      </c>
      <c r="E335" s="64" t="str">
        <f t="shared" si="1"/>
        <v>2.72%</v>
      </c>
      <c r="F335" s="64">
        <f t="shared" si="2"/>
        <v>2.72</v>
      </c>
      <c r="G335" s="64" t="str">
        <f t="shared" si="3"/>
        <v/>
      </c>
      <c r="H335" s="64">
        <f>IFERROR(__xludf.DUMMYFUNCTION("IFERROR(GOOGLEFINANCE(A335,""PRICE""),)"),435.05)</f>
        <v>435.05</v>
      </c>
      <c r="I335" s="65">
        <f>IFERROR(__xludf.DUMMYFUNCTION("IFERROR(GOOGLEFINANCE(A335,""VOLUME""),)"),312055.0)</f>
        <v>312055</v>
      </c>
      <c r="J335" s="64" t="str">
        <f>IFERROR(__xludf.DUMMYFUNCTION("IFERROR(INDEX(SPLIT(A335,"":""),1,2),)"),"DBL")</f>
        <v>DBL</v>
      </c>
      <c r="K335" s="64">
        <f t="shared" si="4"/>
        <v>307</v>
      </c>
      <c r="L335" s="64" t="str">
        <f t="shared" si="5"/>
        <v/>
      </c>
      <c r="M335" s="64">
        <f t="shared" si="6"/>
        <v>499</v>
      </c>
      <c r="N335" s="66">
        <f>IFERROR(__xludf.DUMMYFUNCTION("IFERROR(GOOGLEFINANCE(A335,""TRADETIME""),)"),46086.64583333333)</f>
        <v>46086.64583</v>
      </c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67" t="s">
        <v>382</v>
      </c>
      <c r="B336" s="60" t="str">
        <f>IFERROR(__xludf.DUMMYFUNCTION("IFERROR(GOOGLEFINANCE(A336,""NAME""),)"),"Valor Estate Ltd")</f>
        <v>Valor Estate Ltd</v>
      </c>
      <c r="C336" s="60">
        <f>IFERROR(__xludf.DUMMYFUNCTION("IFERROR(GOOGLEFINANCE(A336,""CHANGE""),)"),1.27)</f>
        <v>1.27</v>
      </c>
      <c r="D336" s="60">
        <f>IFERROR(__xludf.DUMMYFUNCTION("IFERROR(GOOGLEFINANCE(A336,""CHANGEPCT""),)"),1.53)</f>
        <v>1.53</v>
      </c>
      <c r="E336" s="60" t="str">
        <f t="shared" si="1"/>
        <v>1.53%</v>
      </c>
      <c r="F336" s="60">
        <f t="shared" si="2"/>
        <v>1.53</v>
      </c>
      <c r="G336" s="60" t="str">
        <f t="shared" si="3"/>
        <v/>
      </c>
      <c r="H336" s="60">
        <f>IFERROR(__xludf.DUMMYFUNCTION("IFERROR(GOOGLEFINANCE(A336,""PRICE""),)"),103.49)</f>
        <v>103.49</v>
      </c>
      <c r="I336" s="61">
        <f>IFERROR(__xludf.DUMMYFUNCTION("IFERROR(GOOGLEFINANCE(A336,""VOLUME""),)"),1429535.0)</f>
        <v>1429535</v>
      </c>
      <c r="J336" s="60" t="str">
        <f>IFERROR(__xludf.DUMMYFUNCTION("IFERROR(INDEX(SPLIT(A336,"":""),1,2),)"),"DBREALTY")</f>
        <v>DBREALTY</v>
      </c>
      <c r="K336" s="60">
        <f t="shared" si="4"/>
        <v>558</v>
      </c>
      <c r="L336" s="60" t="str">
        <f t="shared" si="5"/>
        <v/>
      </c>
      <c r="M336" s="60">
        <f t="shared" si="6"/>
        <v>244</v>
      </c>
      <c r="N336" s="62">
        <f>IFERROR(__xludf.DUMMYFUNCTION("IFERROR(GOOGLEFINANCE(A336,""TRADETIME""),)"),46086.64584490741)</f>
        <v>46086.64584</v>
      </c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63" t="s">
        <v>383</v>
      </c>
      <c r="B337" s="64" t="str">
        <f>IFERROR(__xludf.DUMMYFUNCTION("IFERROR(GOOGLEFINANCE(A337,""NAME""),)"),"DB (International) Stock Brokers Ltd")</f>
        <v>DB (International) Stock Brokers Ltd</v>
      </c>
      <c r="C337" s="64">
        <f>IFERROR(__xludf.DUMMYFUNCTION("IFERROR(GOOGLEFINANCE(A337,""CHANGE""),)"),0.51)</f>
        <v>0.51</v>
      </c>
      <c r="D337" s="64">
        <f>IFERROR(__xludf.DUMMYFUNCTION("IFERROR(GOOGLEFINANCE(A337,""CHANGEPCT""),)"),2.03)</f>
        <v>2.03</v>
      </c>
      <c r="E337" s="64" t="str">
        <f t="shared" si="1"/>
        <v>2.03%</v>
      </c>
      <c r="F337" s="64">
        <f t="shared" si="2"/>
        <v>2.03</v>
      </c>
      <c r="G337" s="64" t="str">
        <f t="shared" si="3"/>
        <v/>
      </c>
      <c r="H337" s="64">
        <f>IFERROR(__xludf.DUMMYFUNCTION("IFERROR(GOOGLEFINANCE(A337,""PRICE""),)"),25.6)</f>
        <v>25.6</v>
      </c>
      <c r="I337" s="65">
        <f>IFERROR(__xludf.DUMMYFUNCTION("IFERROR(GOOGLEFINANCE(A337,""VOLUME""),)"),9801.0)</f>
        <v>9801</v>
      </c>
      <c r="J337" s="64" t="str">
        <f>IFERROR(__xludf.DUMMYFUNCTION("IFERROR(INDEX(SPLIT(A337,"":""),1,2),)"),"DBSTOCKBRO")</f>
        <v>DBSTOCKBRO</v>
      </c>
      <c r="K337" s="64">
        <f t="shared" si="4"/>
        <v>432</v>
      </c>
      <c r="L337" s="64" t="str">
        <f t="shared" si="5"/>
        <v/>
      </c>
      <c r="M337" s="64">
        <f t="shared" si="6"/>
        <v>1264</v>
      </c>
      <c r="N337" s="66">
        <f>IFERROR(__xludf.DUMMYFUNCTION("IFERROR(GOOGLEFINANCE(A337,""TRADETIME""),)"),46086.64583333333)</f>
        <v>46086.64583</v>
      </c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67" t="s">
        <v>384</v>
      </c>
      <c r="B338" s="60" t="str">
        <f>IFERROR(__xludf.DUMMYFUNCTION("IFERROR(GOOGLEFINANCE(A338,""NAME""),)"),"Dishman Carbogen Amcis Ltd")</f>
        <v>Dishman Carbogen Amcis Ltd</v>
      </c>
      <c r="C338" s="60">
        <f>IFERROR(__xludf.DUMMYFUNCTION("IFERROR(GOOGLEFINANCE(A338,""CHANGE""),)"),1.37)</f>
        <v>1.37</v>
      </c>
      <c r="D338" s="60">
        <f>IFERROR(__xludf.DUMMYFUNCTION("IFERROR(GOOGLEFINANCE(A338,""CHANGEPCT""),)"),0.84)</f>
        <v>0.84</v>
      </c>
      <c r="E338" s="60" t="str">
        <f t="shared" si="1"/>
        <v>0.84%</v>
      </c>
      <c r="F338" s="60">
        <f t="shared" si="2"/>
        <v>0.84</v>
      </c>
      <c r="G338" s="60" t="str">
        <f t="shared" si="3"/>
        <v/>
      </c>
      <c r="H338" s="60">
        <f>IFERROR(__xludf.DUMMYFUNCTION("IFERROR(GOOGLEFINANCE(A338,""PRICE""),)"),165.38)</f>
        <v>165.38</v>
      </c>
      <c r="I338" s="61">
        <f>IFERROR(__xludf.DUMMYFUNCTION("IFERROR(GOOGLEFINANCE(A338,""VOLUME""),)"),441433.0)</f>
        <v>441433</v>
      </c>
      <c r="J338" s="60" t="str">
        <f>IFERROR(__xludf.DUMMYFUNCTION("IFERROR(INDEX(SPLIT(A338,"":""),1,2),)"),"DCAL")</f>
        <v>DCAL</v>
      </c>
      <c r="K338" s="60">
        <f t="shared" si="4"/>
        <v>766</v>
      </c>
      <c r="L338" s="60" t="str">
        <f t="shared" si="5"/>
        <v/>
      </c>
      <c r="M338" s="60">
        <f t="shared" si="6"/>
        <v>421</v>
      </c>
      <c r="N338" s="62">
        <f>IFERROR(__xludf.DUMMYFUNCTION("IFERROR(GOOGLEFINANCE(A338,""TRADETIME""),)"),46086.64585648148)</f>
        <v>46086.64586</v>
      </c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68" t="s">
        <v>385</v>
      </c>
      <c r="B339" s="64" t="str">
        <f>IFERROR(__xludf.DUMMYFUNCTION("IFERROR(GOOGLEFINANCE(A339,""NAME""),)"),"DCB Bank Ltd")</f>
        <v>DCB Bank Ltd</v>
      </c>
      <c r="C339" s="64">
        <f>IFERROR(__xludf.DUMMYFUNCTION("IFERROR(GOOGLEFINANCE(A339,""CHANGE""),)"),0.58)</f>
        <v>0.58</v>
      </c>
      <c r="D339" s="64">
        <f>IFERROR(__xludf.DUMMYFUNCTION("IFERROR(GOOGLEFINANCE(A339,""CHANGEPCT""),)"),0.33)</f>
        <v>0.33</v>
      </c>
      <c r="E339" s="64" t="str">
        <f t="shared" si="1"/>
        <v>0.33%</v>
      </c>
      <c r="F339" s="64">
        <f t="shared" si="2"/>
        <v>0.33</v>
      </c>
      <c r="G339" s="64" t="str">
        <f t="shared" si="3"/>
        <v/>
      </c>
      <c r="H339" s="64">
        <f>IFERROR(__xludf.DUMMYFUNCTION("IFERROR(GOOGLEFINANCE(A339,""PRICE""),)"),174.0)</f>
        <v>174</v>
      </c>
      <c r="I339" s="65">
        <f>IFERROR(__xludf.DUMMYFUNCTION("IFERROR(GOOGLEFINANCE(A339,""VOLUME""),)"),2210629.0)</f>
        <v>2210629</v>
      </c>
      <c r="J339" s="64" t="str">
        <f>IFERROR(__xludf.DUMMYFUNCTION("IFERROR(INDEX(SPLIT(A339,"":""),1,2),)"),"DCBBANK")</f>
        <v>DCBBANK</v>
      </c>
      <c r="K339" s="64">
        <f t="shared" si="4"/>
        <v>921</v>
      </c>
      <c r="L339" s="64" t="str">
        <f t="shared" si="5"/>
        <v/>
      </c>
      <c r="M339" s="64">
        <f t="shared" si="6"/>
        <v>186</v>
      </c>
      <c r="N339" s="66">
        <f>IFERROR(__xludf.DUMMYFUNCTION("IFERROR(GOOGLEFINANCE(A339,""TRADETIME""),)"),46086.64037037037)</f>
        <v>46086.64037</v>
      </c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67" t="s">
        <v>386</v>
      </c>
      <c r="B340" s="60" t="str">
        <f>IFERROR(__xludf.DUMMYFUNCTION("IFERROR(GOOGLEFINANCE(A340,""NAME""),)"),"DCM Ltd")</f>
        <v>DCM Ltd</v>
      </c>
      <c r="C340" s="60">
        <f>IFERROR(__xludf.DUMMYFUNCTION("IFERROR(GOOGLEFINANCE(A340,""CHANGE""),)"),1.69)</f>
        <v>1.69</v>
      </c>
      <c r="D340" s="60">
        <f>IFERROR(__xludf.DUMMYFUNCTION("IFERROR(GOOGLEFINANCE(A340,""CHANGEPCT""),)"),2.42)</f>
        <v>2.42</v>
      </c>
      <c r="E340" s="60" t="str">
        <f t="shared" si="1"/>
        <v>2.42%</v>
      </c>
      <c r="F340" s="60">
        <f t="shared" si="2"/>
        <v>2.42</v>
      </c>
      <c r="G340" s="60" t="str">
        <f t="shared" si="3"/>
        <v/>
      </c>
      <c r="H340" s="60">
        <f>IFERROR(__xludf.DUMMYFUNCTION("IFERROR(GOOGLEFINANCE(A340,""PRICE""),)"),71.92)</f>
        <v>71.92</v>
      </c>
      <c r="I340" s="61">
        <f>IFERROR(__xludf.DUMMYFUNCTION("IFERROR(GOOGLEFINANCE(A340,""VOLUME""),)"),7679.0)</f>
        <v>7679</v>
      </c>
      <c r="J340" s="60" t="str">
        <f>IFERROR(__xludf.DUMMYFUNCTION("IFERROR(INDEX(SPLIT(A340,"":""),1,2),)"),"DCM")</f>
        <v>DCM</v>
      </c>
      <c r="K340" s="60">
        <f t="shared" si="4"/>
        <v>350</v>
      </c>
      <c r="L340" s="60" t="str">
        <f t="shared" si="5"/>
        <v/>
      </c>
      <c r="M340" s="60">
        <f t="shared" si="6"/>
        <v>1304</v>
      </c>
      <c r="N340" s="62">
        <f>IFERROR(__xludf.DUMMYFUNCTION("IFERROR(GOOGLEFINANCE(A340,""TRADETIME""),)"),46086.64583333333)</f>
        <v>46086.64583</v>
      </c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68" t="s">
        <v>387</v>
      </c>
      <c r="B341" s="64" t="str">
        <f>IFERROR(__xludf.DUMMYFUNCTION("IFERROR(GOOGLEFINANCE(A341,""NAME""),)"),"DCM Financial Services Ltd")</f>
        <v>DCM Financial Services Ltd</v>
      </c>
      <c r="C341" s="64">
        <f>IFERROR(__xludf.DUMMYFUNCTION("IFERROR(GOOGLEFINANCE(A341,""CHANGE""),)"),0.06)</f>
        <v>0.06</v>
      </c>
      <c r="D341" s="64">
        <f>IFERROR(__xludf.DUMMYFUNCTION("IFERROR(GOOGLEFINANCE(A341,""CHANGEPCT""),)"),1.43)</f>
        <v>1.43</v>
      </c>
      <c r="E341" s="64" t="str">
        <f t="shared" si="1"/>
        <v>1.43%</v>
      </c>
      <c r="F341" s="64">
        <f t="shared" si="2"/>
        <v>1.43</v>
      </c>
      <c r="G341" s="64" t="str">
        <f t="shared" si="3"/>
        <v/>
      </c>
      <c r="H341" s="64">
        <f>IFERROR(__xludf.DUMMYFUNCTION("IFERROR(GOOGLEFINANCE(A341,""PRICE""),)"),4.24)</f>
        <v>4.24</v>
      </c>
      <c r="I341" s="65">
        <f>IFERROR(__xludf.DUMMYFUNCTION("IFERROR(GOOGLEFINANCE(A341,""VOLUME""),)"),6602.0)</f>
        <v>6602</v>
      </c>
      <c r="J341" s="64" t="str">
        <f>IFERROR(__xludf.DUMMYFUNCTION("IFERROR(INDEX(SPLIT(A341,"":""),1,2),)"),"DCMFINSERV")</f>
        <v>DCMFINSERV</v>
      </c>
      <c r="K341" s="64">
        <f t="shared" si="4"/>
        <v>596</v>
      </c>
      <c r="L341" s="64" t="str">
        <f t="shared" si="5"/>
        <v/>
      </c>
      <c r="M341" s="64">
        <f t="shared" si="6"/>
        <v>1314</v>
      </c>
      <c r="N341" s="66">
        <f>IFERROR(__xludf.DUMMYFUNCTION("IFERROR(GOOGLEFINANCE(A341,""TRADETIME""),)"),46086.64583333333)</f>
        <v>46086.64583</v>
      </c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67" t="s">
        <v>388</v>
      </c>
      <c r="B342" s="60" t="str">
        <f>IFERROR(__xludf.DUMMYFUNCTION("IFERROR(GOOGLEFINANCE(A342,""NAME""),)"),"DCM Nouvelle Ltd")</f>
        <v>DCM Nouvelle Ltd</v>
      </c>
      <c r="C342" s="60">
        <f>IFERROR(__xludf.DUMMYFUNCTION("IFERROR(GOOGLEFINANCE(A342,""CHANGE""),)"),0.37)</f>
        <v>0.37</v>
      </c>
      <c r="D342" s="60">
        <f>IFERROR(__xludf.DUMMYFUNCTION("IFERROR(GOOGLEFINANCE(A342,""CHANGEPCT""),)"),0.27)</f>
        <v>0.27</v>
      </c>
      <c r="E342" s="60" t="str">
        <f t="shared" si="1"/>
        <v>0.27%</v>
      </c>
      <c r="F342" s="60">
        <f t="shared" si="2"/>
        <v>0.27</v>
      </c>
      <c r="G342" s="60" t="str">
        <f t="shared" si="3"/>
        <v/>
      </c>
      <c r="H342" s="60">
        <f>IFERROR(__xludf.DUMMYFUNCTION("IFERROR(GOOGLEFINANCE(A342,""PRICE""),)"),131.48)</f>
        <v>131.48</v>
      </c>
      <c r="I342" s="61">
        <f>IFERROR(__xludf.DUMMYFUNCTION("IFERROR(GOOGLEFINANCE(A342,""VOLUME""),)"),4676.0)</f>
        <v>4676</v>
      </c>
      <c r="J342" s="60" t="str">
        <f>IFERROR(__xludf.DUMMYFUNCTION("IFERROR(INDEX(SPLIT(A342,"":""),1,2),)"),"DCMNVL")</f>
        <v>DCMNVL</v>
      </c>
      <c r="K342" s="60">
        <f t="shared" si="4"/>
        <v>936</v>
      </c>
      <c r="L342" s="60" t="str">
        <f t="shared" si="5"/>
        <v/>
      </c>
      <c r="M342" s="60">
        <f t="shared" si="6"/>
        <v>1353</v>
      </c>
      <c r="N342" s="62">
        <f>IFERROR(__xludf.DUMMYFUNCTION("IFERROR(GOOGLEFINANCE(A342,""TRADETIME""),)"),46086.64583333333)</f>
        <v>46086.64583</v>
      </c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68" t="s">
        <v>389</v>
      </c>
      <c r="B343" s="64" t="str">
        <f>IFERROR(__xludf.DUMMYFUNCTION("IFERROR(GOOGLEFINANCE(A343,""NAME""),)"),"DCM Shriram Ltd")</f>
        <v>DCM Shriram Ltd</v>
      </c>
      <c r="C343" s="64">
        <f>IFERROR(__xludf.DUMMYFUNCTION("IFERROR(GOOGLEFINANCE(A343,""CHANGE""),)"),-24.0)</f>
        <v>-24</v>
      </c>
      <c r="D343" s="64">
        <f>IFERROR(__xludf.DUMMYFUNCTION("IFERROR(GOOGLEFINANCE(A343,""CHANGEPCT""),)"),-2.37)</f>
        <v>-2.37</v>
      </c>
      <c r="E343" s="64" t="str">
        <f t="shared" si="1"/>
        <v>-2.37%</v>
      </c>
      <c r="F343" s="64" t="str">
        <f t="shared" si="2"/>
        <v/>
      </c>
      <c r="G343" s="64">
        <f t="shared" si="3"/>
        <v>-2.37</v>
      </c>
      <c r="H343" s="64">
        <f>IFERROR(__xludf.DUMMYFUNCTION("IFERROR(GOOGLEFINANCE(A343,""PRICE""),)"),990.0)</f>
        <v>990</v>
      </c>
      <c r="I343" s="65">
        <f>IFERROR(__xludf.DUMMYFUNCTION("IFERROR(GOOGLEFINANCE(A343,""VOLUME""),)"),44565.0)</f>
        <v>44565</v>
      </c>
      <c r="J343" s="64" t="str">
        <f>IFERROR(__xludf.DUMMYFUNCTION("IFERROR(INDEX(SPLIT(A343,"":""),1,2),)"),"DCMSHRIRAM")</f>
        <v>DCMSHRIRAM</v>
      </c>
      <c r="K343" s="64" t="str">
        <f t="shared" si="4"/>
        <v/>
      </c>
      <c r="L343" s="64">
        <f t="shared" si="5"/>
        <v>380</v>
      </c>
      <c r="M343" s="64">
        <f t="shared" si="6"/>
        <v>969</v>
      </c>
      <c r="N343" s="66">
        <f>IFERROR(__xludf.DUMMYFUNCTION("IFERROR(GOOGLEFINANCE(A343,""TRADETIME""),)"),46086.6396875)</f>
        <v>46086.63969</v>
      </c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67" t="s">
        <v>390</v>
      </c>
      <c r="B344" s="60" t="str">
        <f>IFERROR(__xludf.DUMMYFUNCTION("IFERROR(GOOGLEFINANCE(A344,""NAME""),)"),"DCW Ltd")</f>
        <v>DCW Ltd</v>
      </c>
      <c r="C344" s="60">
        <f>IFERROR(__xludf.DUMMYFUNCTION("IFERROR(GOOGLEFINANCE(A344,""CHANGE""),)"),-0.21)</f>
        <v>-0.21</v>
      </c>
      <c r="D344" s="60">
        <f>IFERROR(__xludf.DUMMYFUNCTION("IFERROR(GOOGLEFINANCE(A344,""CHANGEPCT""),)"),-0.47)</f>
        <v>-0.47</v>
      </c>
      <c r="E344" s="60" t="str">
        <f t="shared" si="1"/>
        <v>-0.47%</v>
      </c>
      <c r="F344" s="60" t="str">
        <f t="shared" si="2"/>
        <v/>
      </c>
      <c r="G344" s="60">
        <f t="shared" si="3"/>
        <v>-0.47</v>
      </c>
      <c r="H344" s="60">
        <f>IFERROR(__xludf.DUMMYFUNCTION("IFERROR(GOOGLEFINANCE(A344,""PRICE""),)"),44.2)</f>
        <v>44.2</v>
      </c>
      <c r="I344" s="61">
        <f>IFERROR(__xludf.DUMMYFUNCTION("IFERROR(GOOGLEFINANCE(A344,""VOLUME""),)"),1000958.0)</f>
        <v>1000958</v>
      </c>
      <c r="J344" s="60" t="str">
        <f>IFERROR(__xludf.DUMMYFUNCTION("IFERROR(INDEX(SPLIT(A344,"":""),1,2),)"),"DCW")</f>
        <v>DCW</v>
      </c>
      <c r="K344" s="60" t="str">
        <f t="shared" si="4"/>
        <v/>
      </c>
      <c r="L344" s="60">
        <f t="shared" si="5"/>
        <v>112</v>
      </c>
      <c r="M344" s="60">
        <f t="shared" si="6"/>
        <v>281</v>
      </c>
      <c r="N344" s="62">
        <f>IFERROR(__xludf.DUMMYFUNCTION("IFERROR(GOOGLEFINANCE(A344,""TRADETIME""),)"),46086.64583333333)</f>
        <v>46086.64583</v>
      </c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68" t="s">
        <v>391</v>
      </c>
      <c r="B345" s="64" t="str">
        <f>IFERROR(__xludf.DUMMYFUNCTION("IFERROR(GOOGLEFINANCE(A345,""NAME""),)"),"Deccan Cements Ltd")</f>
        <v>Deccan Cements Ltd</v>
      </c>
      <c r="C345" s="64">
        <f>IFERROR(__xludf.DUMMYFUNCTION("IFERROR(GOOGLEFINANCE(A345,""CHANGE""),)"),6.1)</f>
        <v>6.1</v>
      </c>
      <c r="D345" s="64">
        <f>IFERROR(__xludf.DUMMYFUNCTION("IFERROR(GOOGLEFINANCE(A345,""CHANGEPCT""),)"),0.8)</f>
        <v>0.8</v>
      </c>
      <c r="E345" s="64" t="str">
        <f t="shared" si="1"/>
        <v>0.8%</v>
      </c>
      <c r="F345" s="64">
        <f t="shared" si="2"/>
        <v>0.8</v>
      </c>
      <c r="G345" s="64" t="str">
        <f t="shared" si="3"/>
        <v/>
      </c>
      <c r="H345" s="64">
        <f>IFERROR(__xludf.DUMMYFUNCTION("IFERROR(GOOGLEFINANCE(A345,""PRICE""),)"),697.0)</f>
        <v>697</v>
      </c>
      <c r="I345" s="65">
        <f>IFERROR(__xludf.DUMMYFUNCTION("IFERROR(GOOGLEFINANCE(A345,""VOLUME""),)"),21219.0)</f>
        <v>21219</v>
      </c>
      <c r="J345" s="64" t="str">
        <f>IFERROR(__xludf.DUMMYFUNCTION("IFERROR(INDEX(SPLIT(A345,"":""),1,2),)"),"DECCANCE")</f>
        <v>DECCANCE</v>
      </c>
      <c r="K345" s="64">
        <f t="shared" si="4"/>
        <v>781</v>
      </c>
      <c r="L345" s="64" t="str">
        <f t="shared" si="5"/>
        <v/>
      </c>
      <c r="M345" s="64">
        <f t="shared" si="6"/>
        <v>1129</v>
      </c>
      <c r="N345" s="66">
        <f>IFERROR(__xludf.DUMMYFUNCTION("IFERROR(GOOGLEFINANCE(A345,""TRADETIME""),)"),46086.64583333333)</f>
        <v>46086.64583</v>
      </c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67" t="s">
        <v>392</v>
      </c>
      <c r="B346" s="60" t="str">
        <f>IFERROR(__xludf.DUMMYFUNCTION("IFERROR(GOOGLEFINANCE(A346,""NAME""),)"),"Deepak Frtlsrs and Ptrchmcls Corp Ltd")</f>
        <v>Deepak Frtlsrs and Ptrchmcls Corp Ltd</v>
      </c>
      <c r="C346" s="60">
        <f>IFERROR(__xludf.DUMMYFUNCTION("IFERROR(GOOGLEFINANCE(A346,""CHANGE""),)"),7.4)</f>
        <v>7.4</v>
      </c>
      <c r="D346" s="60">
        <f>IFERROR(__xludf.DUMMYFUNCTION("IFERROR(GOOGLEFINANCE(A346,""CHANGEPCT""),)"),0.79)</f>
        <v>0.79</v>
      </c>
      <c r="E346" s="60" t="str">
        <f t="shared" si="1"/>
        <v>0.79%</v>
      </c>
      <c r="F346" s="60">
        <f t="shared" si="2"/>
        <v>0.79</v>
      </c>
      <c r="G346" s="60" t="str">
        <f t="shared" si="3"/>
        <v/>
      </c>
      <c r="H346" s="60">
        <f>IFERROR(__xludf.DUMMYFUNCTION("IFERROR(GOOGLEFINANCE(A346,""PRICE""),)"),949.95)</f>
        <v>949.95</v>
      </c>
      <c r="I346" s="61">
        <f>IFERROR(__xludf.DUMMYFUNCTION("IFERROR(GOOGLEFINANCE(A346,""VOLUME""),)"),240255.0)</f>
        <v>240255</v>
      </c>
      <c r="J346" s="60" t="str">
        <f>IFERROR(__xludf.DUMMYFUNCTION("IFERROR(INDEX(SPLIT(A346,"":""),1,2),)"),"DEEPAKFERT")</f>
        <v>DEEPAKFERT</v>
      </c>
      <c r="K346" s="60">
        <f t="shared" si="4"/>
        <v>786</v>
      </c>
      <c r="L346" s="60" t="str">
        <f t="shared" si="5"/>
        <v/>
      </c>
      <c r="M346" s="60">
        <f t="shared" si="6"/>
        <v>563</v>
      </c>
      <c r="N346" s="62">
        <f>IFERROR(__xludf.DUMMYFUNCTION("IFERROR(GOOGLEFINANCE(A346,""TRADETIME""),)"),46086.642638888894)</f>
        <v>46086.64264</v>
      </c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68" t="s">
        <v>393</v>
      </c>
      <c r="B347" s="64" t="str">
        <f>IFERROR(__xludf.DUMMYFUNCTION("IFERROR(GOOGLEFINANCE(A347,""NAME""),)"),"Deepak Nitrite Ltd")</f>
        <v>Deepak Nitrite Ltd</v>
      </c>
      <c r="C347" s="64">
        <f>IFERROR(__xludf.DUMMYFUNCTION("IFERROR(GOOGLEFINANCE(A347,""CHANGE""),)"),46.3)</f>
        <v>46.3</v>
      </c>
      <c r="D347" s="64">
        <f>IFERROR(__xludf.DUMMYFUNCTION("IFERROR(GOOGLEFINANCE(A347,""CHANGEPCT""),)"),3.11)</f>
        <v>3.11</v>
      </c>
      <c r="E347" s="64" t="str">
        <f t="shared" si="1"/>
        <v>3.11%</v>
      </c>
      <c r="F347" s="64">
        <f t="shared" si="2"/>
        <v>3.11</v>
      </c>
      <c r="G347" s="64" t="str">
        <f t="shared" si="3"/>
        <v/>
      </c>
      <c r="H347" s="64">
        <f>IFERROR(__xludf.DUMMYFUNCTION("IFERROR(GOOGLEFINANCE(A347,""PRICE""),)"),1535.1)</f>
        <v>1535.1</v>
      </c>
      <c r="I347" s="65">
        <f>IFERROR(__xludf.DUMMYFUNCTION("IFERROR(GOOGLEFINANCE(A347,""VOLUME""),)"),267245.0)</f>
        <v>267245</v>
      </c>
      <c r="J347" s="64" t="str">
        <f>IFERROR(__xludf.DUMMYFUNCTION("IFERROR(INDEX(SPLIT(A347,"":""),1,2),)"),"DEEPAKNTR")</f>
        <v>DEEPAKNTR</v>
      </c>
      <c r="K347" s="64">
        <f t="shared" si="4"/>
        <v>234</v>
      </c>
      <c r="L347" s="64" t="str">
        <f t="shared" si="5"/>
        <v/>
      </c>
      <c r="M347" s="64">
        <f t="shared" si="6"/>
        <v>537</v>
      </c>
      <c r="N347" s="66">
        <f>IFERROR(__xludf.DUMMYFUNCTION("IFERROR(GOOGLEFINANCE(A347,""TRADETIME""),)"),46086.64584490741)</f>
        <v>46086.64584</v>
      </c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67" t="s">
        <v>394</v>
      </c>
      <c r="B348" s="60" t="str">
        <f>IFERROR(__xludf.DUMMYFUNCTION("IFERROR(GOOGLEFINANCE(A348,""NAME""),)"),"")</f>
        <v/>
      </c>
      <c r="C348" s="60" t="str">
        <f>IFERROR(__xludf.DUMMYFUNCTION("IFERROR(GOOGLEFINANCE(A348,""CHANGE""),)"),"")</f>
        <v/>
      </c>
      <c r="D348" s="60" t="str">
        <f>IFERROR(__xludf.DUMMYFUNCTION("IFERROR(GOOGLEFINANCE(A348,""CHANGEPCT""),)"),"")</f>
        <v/>
      </c>
      <c r="E348" s="60" t="str">
        <f t="shared" si="1"/>
        <v>%</v>
      </c>
      <c r="F348" s="60" t="str">
        <f t="shared" si="2"/>
        <v/>
      </c>
      <c r="G348" s="60" t="str">
        <f t="shared" si="3"/>
        <v/>
      </c>
      <c r="H348" s="60" t="str">
        <f>IFERROR(__xludf.DUMMYFUNCTION("IFERROR(GOOGLEFINANCE(A348,""PRICE""),)"),"")</f>
        <v/>
      </c>
      <c r="I348" s="61" t="str">
        <f>IFERROR(__xludf.DUMMYFUNCTION("IFERROR(GOOGLEFINANCE(A348,""VOLUME""),)"),"")</f>
        <v/>
      </c>
      <c r="J348" s="60" t="str">
        <f>IFERROR(__xludf.DUMMYFUNCTION("IFERROR(INDEX(SPLIT(A348,"":""),1,2),)"),"DEEPENR")</f>
        <v>DEEPENR</v>
      </c>
      <c r="K348" s="60" t="str">
        <f t="shared" si="4"/>
        <v/>
      </c>
      <c r="L348" s="60" t="str">
        <f t="shared" si="5"/>
        <v/>
      </c>
      <c r="M348" s="60" t="str">
        <f t="shared" si="6"/>
        <v/>
      </c>
      <c r="N348" s="62" t="str">
        <f>IFERROR(__xludf.DUMMYFUNCTION("IFERROR(GOOGLEFINANCE(A348,""TRADETIME""),)"),"")</f>
        <v/>
      </c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68" t="s">
        <v>395</v>
      </c>
      <c r="B349" s="64" t="str">
        <f>IFERROR(__xludf.DUMMYFUNCTION("IFERROR(GOOGLEFINANCE(A349,""NAME""),)"),"Delta Corp Ltd")</f>
        <v>Delta Corp Ltd</v>
      </c>
      <c r="C349" s="64">
        <f>IFERROR(__xludf.DUMMYFUNCTION("IFERROR(GOOGLEFINANCE(A349,""CHANGE""),)"),0.48)</f>
        <v>0.48</v>
      </c>
      <c r="D349" s="64">
        <f>IFERROR(__xludf.DUMMYFUNCTION("IFERROR(GOOGLEFINANCE(A349,""CHANGEPCT""),)"),0.83)</f>
        <v>0.83</v>
      </c>
      <c r="E349" s="64" t="str">
        <f t="shared" si="1"/>
        <v>0.83%</v>
      </c>
      <c r="F349" s="64">
        <f t="shared" si="2"/>
        <v>0.83</v>
      </c>
      <c r="G349" s="64" t="str">
        <f t="shared" si="3"/>
        <v/>
      </c>
      <c r="H349" s="64">
        <f>IFERROR(__xludf.DUMMYFUNCTION("IFERROR(GOOGLEFINANCE(A349,""PRICE""),)"),58.55)</f>
        <v>58.55</v>
      </c>
      <c r="I349" s="65">
        <f>IFERROR(__xludf.DUMMYFUNCTION("IFERROR(GOOGLEFINANCE(A349,""VOLUME""),)"),791169.0)</f>
        <v>791169</v>
      </c>
      <c r="J349" s="64" t="str">
        <f>IFERROR(__xludf.DUMMYFUNCTION("IFERROR(INDEX(SPLIT(A349,"":""),1,2),)"),"DELTACORP")</f>
        <v>DELTACORP</v>
      </c>
      <c r="K349" s="64">
        <f t="shared" si="4"/>
        <v>772</v>
      </c>
      <c r="L349" s="64" t="str">
        <f t="shared" si="5"/>
        <v/>
      </c>
      <c r="M349" s="64">
        <f t="shared" si="6"/>
        <v>318</v>
      </c>
      <c r="N349" s="66">
        <f>IFERROR(__xludf.DUMMYFUNCTION("IFERROR(GOOGLEFINANCE(A349,""TRADETIME""),)"),46086.64583333333)</f>
        <v>46086.64583</v>
      </c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67" t="s">
        <v>396</v>
      </c>
      <c r="B350" s="60" t="str">
        <f>IFERROR(__xludf.DUMMYFUNCTION("IFERROR(GOOGLEFINANCE(A350,""NAME""),)"),"Delta Manufacturing Ltd")</f>
        <v>Delta Manufacturing Ltd</v>
      </c>
      <c r="C350" s="60">
        <f>IFERROR(__xludf.DUMMYFUNCTION("IFERROR(GOOGLEFINANCE(A350,""CHANGE""),)"),2.58)</f>
        <v>2.58</v>
      </c>
      <c r="D350" s="60">
        <f>IFERROR(__xludf.DUMMYFUNCTION("IFERROR(GOOGLEFINANCE(A350,""CHANGEPCT""),)"),4.81)</f>
        <v>4.81</v>
      </c>
      <c r="E350" s="60" t="str">
        <f t="shared" si="1"/>
        <v>4.81%</v>
      </c>
      <c r="F350" s="60">
        <f t="shared" si="2"/>
        <v>4.81</v>
      </c>
      <c r="G350" s="60" t="str">
        <f t="shared" si="3"/>
        <v/>
      </c>
      <c r="H350" s="60">
        <f>IFERROR(__xludf.DUMMYFUNCTION("IFERROR(GOOGLEFINANCE(A350,""PRICE""),)"),56.2)</f>
        <v>56.2</v>
      </c>
      <c r="I350" s="61">
        <f>IFERROR(__xludf.DUMMYFUNCTION("IFERROR(GOOGLEFINANCE(A350,""VOLUME""),)"),13558.0)</f>
        <v>13558</v>
      </c>
      <c r="J350" s="60" t="str">
        <f>IFERROR(__xludf.DUMMYFUNCTION("IFERROR(INDEX(SPLIT(A350,"":""),1,2),)"),"DELTAMAGNT")</f>
        <v>DELTAMAGNT</v>
      </c>
      <c r="K350" s="60">
        <f t="shared" si="4"/>
        <v>89</v>
      </c>
      <c r="L350" s="60" t="str">
        <f t="shared" si="5"/>
        <v/>
      </c>
      <c r="M350" s="60">
        <f t="shared" si="6"/>
        <v>1207</v>
      </c>
      <c r="N350" s="62">
        <f>IFERROR(__xludf.DUMMYFUNCTION("IFERROR(GOOGLEFINANCE(A350,""TRADETIME""),)"),46086.64583333333)</f>
        <v>46086.64583</v>
      </c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68" t="s">
        <v>397</v>
      </c>
      <c r="B351" s="64" t="str">
        <f>IFERROR(__xludf.DUMMYFUNCTION("IFERROR(GOOGLEFINANCE(A351,""NAME""),)"),"DEN Networks Ltd")</f>
        <v>DEN Networks Ltd</v>
      </c>
      <c r="C351" s="64">
        <f>IFERROR(__xludf.DUMMYFUNCTION("IFERROR(GOOGLEFINANCE(A351,""CHANGE""),)"),-0.01)</f>
        <v>-0.01</v>
      </c>
      <c r="D351" s="64">
        <f>IFERROR(__xludf.DUMMYFUNCTION("IFERROR(GOOGLEFINANCE(A351,""CHANGEPCT""),)"),-0.04)</f>
        <v>-0.04</v>
      </c>
      <c r="E351" s="64" t="str">
        <f t="shared" si="1"/>
        <v>-0.04%</v>
      </c>
      <c r="F351" s="64" t="str">
        <f t="shared" si="2"/>
        <v/>
      </c>
      <c r="G351" s="64">
        <f t="shared" si="3"/>
        <v>-0.04</v>
      </c>
      <c r="H351" s="64">
        <f>IFERROR(__xludf.DUMMYFUNCTION("IFERROR(GOOGLEFINANCE(A351,""PRICE""),)"),27.05)</f>
        <v>27.05</v>
      </c>
      <c r="I351" s="65">
        <f>IFERROR(__xludf.DUMMYFUNCTION("IFERROR(GOOGLEFINANCE(A351,""VOLUME""),)"),1299654.0)</f>
        <v>1299654</v>
      </c>
      <c r="J351" s="64" t="str">
        <f>IFERROR(__xludf.DUMMYFUNCTION("IFERROR(INDEX(SPLIT(A351,"":""),1,2),)"),"DEN")</f>
        <v>DEN</v>
      </c>
      <c r="K351" s="64" t="str">
        <f t="shared" si="4"/>
        <v/>
      </c>
      <c r="L351" s="64">
        <f t="shared" si="5"/>
        <v>7</v>
      </c>
      <c r="M351" s="64">
        <f t="shared" si="6"/>
        <v>256</v>
      </c>
      <c r="N351" s="66">
        <f>IFERROR(__xludf.DUMMYFUNCTION("IFERROR(GOOGLEFINANCE(A351,""TRADETIME""),)"),46086.64583333333)</f>
        <v>46086.64583</v>
      </c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67" t="s">
        <v>398</v>
      </c>
      <c r="B352" s="60" t="str">
        <f>IFERROR(__xludf.DUMMYFUNCTION("IFERROR(GOOGLEFINANCE(A352,""NAME""),)"),"De Nora India Ltd")</f>
        <v>De Nora India Ltd</v>
      </c>
      <c r="C352" s="60">
        <f>IFERROR(__xludf.DUMMYFUNCTION("IFERROR(GOOGLEFINANCE(A352,""CHANGE""),)"),9.0)</f>
        <v>9</v>
      </c>
      <c r="D352" s="60">
        <f>IFERROR(__xludf.DUMMYFUNCTION("IFERROR(GOOGLEFINANCE(A352,""CHANGEPCT""),)"),1.33)</f>
        <v>1.33</v>
      </c>
      <c r="E352" s="60" t="str">
        <f t="shared" si="1"/>
        <v>1.33%</v>
      </c>
      <c r="F352" s="60">
        <f t="shared" si="2"/>
        <v>1.33</v>
      </c>
      <c r="G352" s="60" t="str">
        <f t="shared" si="3"/>
        <v/>
      </c>
      <c r="H352" s="60">
        <f>IFERROR(__xludf.DUMMYFUNCTION("IFERROR(GOOGLEFINANCE(A352,""PRICE""),)"),685.0)</f>
        <v>685</v>
      </c>
      <c r="I352" s="61">
        <f>IFERROR(__xludf.DUMMYFUNCTION("IFERROR(GOOGLEFINANCE(A352,""VOLUME""),)"),5490.0)</f>
        <v>5490</v>
      </c>
      <c r="J352" s="60" t="str">
        <f>IFERROR(__xludf.DUMMYFUNCTION("IFERROR(INDEX(SPLIT(A352,"":""),1,2),)"),"DENORA")</f>
        <v>DENORA</v>
      </c>
      <c r="K352" s="60">
        <f t="shared" si="4"/>
        <v>627</v>
      </c>
      <c r="L352" s="60" t="str">
        <f t="shared" si="5"/>
        <v/>
      </c>
      <c r="M352" s="60">
        <f t="shared" si="6"/>
        <v>1333</v>
      </c>
      <c r="N352" s="62">
        <f>IFERROR(__xludf.DUMMYFUNCTION("IFERROR(GOOGLEFINANCE(A352,""TRADETIME""),)"),46086.63974537037)</f>
        <v>46086.63975</v>
      </c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68" t="s">
        <v>399</v>
      </c>
      <c r="B353" s="64" t="str">
        <f>IFERROR(__xludf.DUMMYFUNCTION("IFERROR(GOOGLEFINANCE(A353,""NAME""),)"),"")</f>
        <v/>
      </c>
      <c r="C353" s="64" t="str">
        <f>IFERROR(__xludf.DUMMYFUNCTION("IFERROR(GOOGLEFINANCE(A353,""CHANGE""),)"),"")</f>
        <v/>
      </c>
      <c r="D353" s="64" t="str">
        <f>IFERROR(__xludf.DUMMYFUNCTION("IFERROR(GOOGLEFINANCE(A353,""CHANGEPCT""),)"),"")</f>
        <v/>
      </c>
      <c r="E353" s="64" t="str">
        <f t="shared" si="1"/>
        <v>%</v>
      </c>
      <c r="F353" s="64" t="str">
        <f t="shared" si="2"/>
        <v/>
      </c>
      <c r="G353" s="64" t="str">
        <f t="shared" si="3"/>
        <v/>
      </c>
      <c r="H353" s="64" t="str">
        <f>IFERROR(__xludf.DUMMYFUNCTION("IFERROR(GOOGLEFINANCE(A353,""PRICE""),)"),"")</f>
        <v/>
      </c>
      <c r="I353" s="65" t="str">
        <f>IFERROR(__xludf.DUMMYFUNCTION("IFERROR(GOOGLEFINANCE(A353,""VOLUME""),)"),"")</f>
        <v/>
      </c>
      <c r="J353" s="64" t="str">
        <f>IFERROR(__xludf.DUMMYFUNCTION("IFERROR(INDEX(SPLIT(A353,"":""),1,2),)"),"DFMFOODS")</f>
        <v>DFMFOODS</v>
      </c>
      <c r="K353" s="64" t="str">
        <f t="shared" si="4"/>
        <v/>
      </c>
      <c r="L353" s="64" t="str">
        <f t="shared" si="5"/>
        <v/>
      </c>
      <c r="M353" s="64" t="str">
        <f t="shared" si="6"/>
        <v/>
      </c>
      <c r="N353" s="66" t="str">
        <f>IFERROR(__xludf.DUMMYFUNCTION("IFERROR(GOOGLEFINANCE(A353,""TRADETIME""),)"),"")</f>
        <v/>
      </c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67" t="s">
        <v>400</v>
      </c>
      <c r="B354" s="60" t="str">
        <f>IFERROR(__xludf.DUMMYFUNCTION("IFERROR(GOOGLEFINANCE(A354,""NAME""),)"),"Digicontent Ltd")</f>
        <v>Digicontent Ltd</v>
      </c>
      <c r="C354" s="60">
        <f>IFERROR(__xludf.DUMMYFUNCTION("IFERROR(GOOGLEFINANCE(A354,""CHANGE""),)"),0.95)</f>
        <v>0.95</v>
      </c>
      <c r="D354" s="60">
        <f>IFERROR(__xludf.DUMMYFUNCTION("IFERROR(GOOGLEFINANCE(A354,""CHANGEPCT""),)"),3.68)</f>
        <v>3.68</v>
      </c>
      <c r="E354" s="60" t="str">
        <f t="shared" si="1"/>
        <v>3.68%</v>
      </c>
      <c r="F354" s="60">
        <f t="shared" si="2"/>
        <v>3.68</v>
      </c>
      <c r="G354" s="60" t="str">
        <f t="shared" si="3"/>
        <v/>
      </c>
      <c r="H354" s="60">
        <f>IFERROR(__xludf.DUMMYFUNCTION("IFERROR(GOOGLEFINANCE(A354,""PRICE""),)"),26.75)</f>
        <v>26.75</v>
      </c>
      <c r="I354" s="61">
        <f>IFERROR(__xludf.DUMMYFUNCTION("IFERROR(GOOGLEFINANCE(A354,""VOLUME""),)"),51868.0)</f>
        <v>51868</v>
      </c>
      <c r="J354" s="60" t="str">
        <f>IFERROR(__xludf.DUMMYFUNCTION("IFERROR(INDEX(SPLIT(A354,"":""),1,2),)"),"DGCONTENT")</f>
        <v>DGCONTENT</v>
      </c>
      <c r="K354" s="60">
        <f t="shared" si="4"/>
        <v>173</v>
      </c>
      <c r="L354" s="60" t="str">
        <f t="shared" si="5"/>
        <v/>
      </c>
      <c r="M354" s="60">
        <f t="shared" si="6"/>
        <v>923</v>
      </c>
      <c r="N354" s="62">
        <f>IFERROR(__xludf.DUMMYFUNCTION("IFERROR(GOOGLEFINANCE(A354,""TRADETIME""),)"),46086.63916666667)</f>
        <v>46086.63917</v>
      </c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68" t="s">
        <v>401</v>
      </c>
      <c r="B355" s="64" t="str">
        <f>IFERROR(__xludf.DUMMYFUNCTION("IFERROR(GOOGLEFINANCE(A355,""NAME""),)"),"Dhampur Sugar Mills Ltd")</f>
        <v>Dhampur Sugar Mills Ltd</v>
      </c>
      <c r="C355" s="64">
        <f>IFERROR(__xludf.DUMMYFUNCTION("IFERROR(GOOGLEFINANCE(A355,""CHANGE""),)"),-1.07)</f>
        <v>-1.07</v>
      </c>
      <c r="D355" s="64">
        <f>IFERROR(__xludf.DUMMYFUNCTION("IFERROR(GOOGLEFINANCE(A355,""CHANGEPCT""),)"),-0.83)</f>
        <v>-0.83</v>
      </c>
      <c r="E355" s="64" t="str">
        <f t="shared" si="1"/>
        <v>-0.83%</v>
      </c>
      <c r="F355" s="64" t="str">
        <f t="shared" si="2"/>
        <v/>
      </c>
      <c r="G355" s="64">
        <f t="shared" si="3"/>
        <v>-0.83</v>
      </c>
      <c r="H355" s="64">
        <f>IFERROR(__xludf.DUMMYFUNCTION("IFERROR(GOOGLEFINANCE(A355,""PRICE""),)"),127.95)</f>
        <v>127.95</v>
      </c>
      <c r="I355" s="65">
        <f>IFERROR(__xludf.DUMMYFUNCTION("IFERROR(GOOGLEFINANCE(A355,""VOLUME""),)"),514884.0)</f>
        <v>514884</v>
      </c>
      <c r="J355" s="64" t="str">
        <f>IFERROR(__xludf.DUMMYFUNCTION("IFERROR(INDEX(SPLIT(A355,"":""),1,2),)"),"DHAMPURSUG")</f>
        <v>DHAMPURSUG</v>
      </c>
      <c r="K355" s="64" t="str">
        <f t="shared" si="4"/>
        <v/>
      </c>
      <c r="L355" s="64">
        <f t="shared" si="5"/>
        <v>188</v>
      </c>
      <c r="M355" s="64">
        <f t="shared" si="6"/>
        <v>395</v>
      </c>
      <c r="N355" s="66">
        <f>IFERROR(__xludf.DUMMYFUNCTION("IFERROR(GOOGLEFINANCE(A355,""TRADETIME""),)"),46086.64583333333)</f>
        <v>46086.64583</v>
      </c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67" t="s">
        <v>402</v>
      </c>
      <c r="B356" s="60" t="str">
        <f>IFERROR(__xludf.DUMMYFUNCTION("IFERROR(GOOGLEFINANCE(A356,""NAME""),)"),"Dhanlaxmi Bank Ltd")</f>
        <v>Dhanlaxmi Bank Ltd</v>
      </c>
      <c r="C356" s="60">
        <f>IFERROR(__xludf.DUMMYFUNCTION("IFERROR(GOOGLEFINANCE(A356,""CHANGE""),)"),0.04)</f>
        <v>0.04</v>
      </c>
      <c r="D356" s="60">
        <f>IFERROR(__xludf.DUMMYFUNCTION("IFERROR(GOOGLEFINANCE(A356,""CHANGEPCT""),)"),0.17)</f>
        <v>0.17</v>
      </c>
      <c r="E356" s="60" t="str">
        <f t="shared" si="1"/>
        <v>0.17%</v>
      </c>
      <c r="F356" s="60">
        <f t="shared" si="2"/>
        <v>0.17</v>
      </c>
      <c r="G356" s="60" t="str">
        <f t="shared" si="3"/>
        <v/>
      </c>
      <c r="H356" s="60">
        <f>IFERROR(__xludf.DUMMYFUNCTION("IFERROR(GOOGLEFINANCE(A356,""PRICE""),)"),23.4)</f>
        <v>23.4</v>
      </c>
      <c r="I356" s="61">
        <f>IFERROR(__xludf.DUMMYFUNCTION("IFERROR(GOOGLEFINANCE(A356,""VOLUME""),)"),360010.0)</f>
        <v>360010</v>
      </c>
      <c r="J356" s="60" t="str">
        <f>IFERROR(__xludf.DUMMYFUNCTION("IFERROR(INDEX(SPLIT(A356,"":""),1,2),)"),"DHANBANK")</f>
        <v>DHANBANK</v>
      </c>
      <c r="K356" s="60">
        <f t="shared" si="4"/>
        <v>960</v>
      </c>
      <c r="L356" s="60" t="str">
        <f t="shared" si="5"/>
        <v/>
      </c>
      <c r="M356" s="60">
        <f t="shared" si="6"/>
        <v>473</v>
      </c>
      <c r="N356" s="62">
        <f>IFERROR(__xludf.DUMMYFUNCTION("IFERROR(GOOGLEFINANCE(A356,""TRADETIME""),)"),46086.64584490741)</f>
        <v>46086.64584</v>
      </c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68" t="s">
        <v>403</v>
      </c>
      <c r="B357" s="64" t="str">
        <f>IFERROR(__xludf.DUMMYFUNCTION("IFERROR(GOOGLEFINANCE(A357,""NAME""),)"),"")</f>
        <v/>
      </c>
      <c r="C357" s="64" t="str">
        <f>IFERROR(__xludf.DUMMYFUNCTION("IFERROR(GOOGLEFINANCE(A357,""CHANGE""),)"),"")</f>
        <v/>
      </c>
      <c r="D357" s="64" t="str">
        <f>IFERROR(__xludf.DUMMYFUNCTION("IFERROR(GOOGLEFINANCE(A357,""CHANGEPCT""),)"),"")</f>
        <v/>
      </c>
      <c r="E357" s="64" t="str">
        <f t="shared" si="1"/>
        <v>%</v>
      </c>
      <c r="F357" s="64" t="str">
        <f t="shared" si="2"/>
        <v/>
      </c>
      <c r="G357" s="64" t="str">
        <f t="shared" si="3"/>
        <v/>
      </c>
      <c r="H357" s="64" t="str">
        <f>IFERROR(__xludf.DUMMYFUNCTION("IFERROR(GOOGLEFINANCE(A357,""PRICE""),)"),"")</f>
        <v/>
      </c>
      <c r="I357" s="65" t="str">
        <f>IFERROR(__xludf.DUMMYFUNCTION("IFERROR(GOOGLEFINANCE(A357,""VOLUME""),)"),"")</f>
        <v/>
      </c>
      <c r="J357" s="64" t="str">
        <f>IFERROR(__xludf.DUMMYFUNCTION("IFERROR(INDEX(SPLIT(A357,"":""),1,2),)"),"DHANI")</f>
        <v>DHANI</v>
      </c>
      <c r="K357" s="64" t="str">
        <f t="shared" si="4"/>
        <v/>
      </c>
      <c r="L357" s="64" t="str">
        <f t="shared" si="5"/>
        <v/>
      </c>
      <c r="M357" s="64" t="str">
        <f t="shared" si="6"/>
        <v/>
      </c>
      <c r="N357" s="66" t="str">
        <f>IFERROR(__xludf.DUMMYFUNCTION("IFERROR(GOOGLEFINANCE(A357,""TRADETIME""),)"),"")</f>
        <v/>
      </c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67" t="s">
        <v>404</v>
      </c>
      <c r="B358" s="60" t="str">
        <f>IFERROR(__xludf.DUMMYFUNCTION("IFERROR(GOOGLEFINANCE(A358,""NAME""),)"),"Dhanuka Agritech Ltd")</f>
        <v>Dhanuka Agritech Ltd</v>
      </c>
      <c r="C358" s="60">
        <f>IFERROR(__xludf.DUMMYFUNCTION("IFERROR(GOOGLEFINANCE(A358,""CHANGE""),)"),3.9)</f>
        <v>3.9</v>
      </c>
      <c r="D358" s="60">
        <f>IFERROR(__xludf.DUMMYFUNCTION("IFERROR(GOOGLEFINANCE(A358,""CHANGEPCT""),)"),0.39)</f>
        <v>0.39</v>
      </c>
      <c r="E358" s="60" t="str">
        <f t="shared" si="1"/>
        <v>0.39%</v>
      </c>
      <c r="F358" s="60">
        <f t="shared" si="2"/>
        <v>0.39</v>
      </c>
      <c r="G358" s="60" t="str">
        <f t="shared" si="3"/>
        <v/>
      </c>
      <c r="H358" s="60">
        <f>IFERROR(__xludf.DUMMYFUNCTION("IFERROR(GOOGLEFINANCE(A358,""PRICE""),)"),992.0)</f>
        <v>992</v>
      </c>
      <c r="I358" s="61">
        <f>IFERROR(__xludf.DUMMYFUNCTION("IFERROR(GOOGLEFINANCE(A358,""VOLUME""),)"),48695.0)</f>
        <v>48695</v>
      </c>
      <c r="J358" s="60" t="str">
        <f>IFERROR(__xludf.DUMMYFUNCTION("IFERROR(INDEX(SPLIT(A358,"":""),1,2),)"),"DHANUKA")</f>
        <v>DHANUKA</v>
      </c>
      <c r="K358" s="60">
        <f t="shared" si="4"/>
        <v>906</v>
      </c>
      <c r="L358" s="60" t="str">
        <f t="shared" si="5"/>
        <v/>
      </c>
      <c r="M358" s="60">
        <f t="shared" si="6"/>
        <v>942</v>
      </c>
      <c r="N358" s="62">
        <f>IFERROR(__xludf.DUMMYFUNCTION("IFERROR(GOOGLEFINANCE(A358,""TRADETIME""),)"),46086.640543981484)</f>
        <v>46086.64054</v>
      </c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68" t="s">
        <v>405</v>
      </c>
      <c r="B359" s="64" t="str">
        <f>IFERROR(__xludf.DUMMYFUNCTION("IFERROR(GOOGLEFINANCE(A359,""NAME""),)"),"")</f>
        <v/>
      </c>
      <c r="C359" s="64" t="str">
        <f>IFERROR(__xludf.DUMMYFUNCTION("IFERROR(GOOGLEFINANCE(A359,""CHANGE""),)"),"")</f>
        <v/>
      </c>
      <c r="D359" s="64" t="str">
        <f>IFERROR(__xludf.DUMMYFUNCTION("IFERROR(GOOGLEFINANCE(A359,""CHANGEPCT""),)"),"")</f>
        <v/>
      </c>
      <c r="E359" s="64" t="str">
        <f t="shared" si="1"/>
        <v>%</v>
      </c>
      <c r="F359" s="64" t="str">
        <f t="shared" si="2"/>
        <v/>
      </c>
      <c r="G359" s="64" t="str">
        <f t="shared" si="3"/>
        <v/>
      </c>
      <c r="H359" s="64" t="str">
        <f>IFERROR(__xludf.DUMMYFUNCTION("IFERROR(GOOGLEFINANCE(A359,""PRICE""),)"),"")</f>
        <v/>
      </c>
      <c r="I359" s="65" t="str">
        <f>IFERROR(__xludf.DUMMYFUNCTION("IFERROR(GOOGLEFINANCE(A359,""VOLUME""),)"),"")</f>
        <v/>
      </c>
      <c r="J359" s="64" t="str">
        <f>IFERROR(__xludf.DUMMYFUNCTION("IFERROR(INDEX(SPLIT(A359,"":""),1,2),)"),"DHARSUGAR")</f>
        <v>DHARSUGAR</v>
      </c>
      <c r="K359" s="64" t="str">
        <f t="shared" si="4"/>
        <v/>
      </c>
      <c r="L359" s="64" t="str">
        <f t="shared" si="5"/>
        <v/>
      </c>
      <c r="M359" s="64" t="str">
        <f t="shared" si="6"/>
        <v/>
      </c>
      <c r="N359" s="66" t="str">
        <f>IFERROR(__xludf.DUMMYFUNCTION("IFERROR(GOOGLEFINANCE(A359,""TRADETIME""),)"),"")</f>
        <v/>
      </c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67" t="s">
        <v>406</v>
      </c>
      <c r="B360" s="60" t="str">
        <f>IFERROR(__xludf.DUMMYFUNCTION("IFERROR(GOOGLEFINANCE(A360,""NAME""),)"),"Dhunseri Investments Ltd")</f>
        <v>Dhunseri Investments Ltd</v>
      </c>
      <c r="C360" s="60">
        <f>IFERROR(__xludf.DUMMYFUNCTION("IFERROR(GOOGLEFINANCE(A360,""CHANGE""),)"),-10.2)</f>
        <v>-10.2</v>
      </c>
      <c r="D360" s="60">
        <f>IFERROR(__xludf.DUMMYFUNCTION("IFERROR(GOOGLEFINANCE(A360,""CHANGEPCT""),)"),-1.13)</f>
        <v>-1.13</v>
      </c>
      <c r="E360" s="60" t="str">
        <f t="shared" si="1"/>
        <v>-1.13%</v>
      </c>
      <c r="F360" s="60" t="str">
        <f t="shared" si="2"/>
        <v/>
      </c>
      <c r="G360" s="60">
        <f t="shared" si="3"/>
        <v>-1.13</v>
      </c>
      <c r="H360" s="60">
        <f>IFERROR(__xludf.DUMMYFUNCTION("IFERROR(GOOGLEFINANCE(A360,""PRICE""),)"),890.05)</f>
        <v>890.05</v>
      </c>
      <c r="I360" s="61">
        <f>IFERROR(__xludf.DUMMYFUNCTION("IFERROR(GOOGLEFINANCE(A360,""VOLUME""),)"),1084.0)</f>
        <v>1084</v>
      </c>
      <c r="J360" s="60" t="str">
        <f>IFERROR(__xludf.DUMMYFUNCTION("IFERROR(INDEX(SPLIT(A360,"":""),1,2),)"),"DHUNINV")</f>
        <v>DHUNINV</v>
      </c>
      <c r="K360" s="60" t="str">
        <f t="shared" si="4"/>
        <v/>
      </c>
      <c r="L360" s="60">
        <f t="shared" si="5"/>
        <v>232</v>
      </c>
      <c r="M360" s="60">
        <f t="shared" si="6"/>
        <v>1430</v>
      </c>
      <c r="N360" s="62">
        <f>IFERROR(__xludf.DUMMYFUNCTION("IFERROR(GOOGLEFINANCE(A360,""TRADETIME""),)"),46086.64583333333)</f>
        <v>46086.64583</v>
      </c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68" t="s">
        <v>407</v>
      </c>
      <c r="B361" s="64" t="str">
        <f>IFERROR(__xludf.DUMMYFUNCTION("IFERROR(GOOGLEFINANCE(A361,""NAME""),)"),"Prataap Snacks Ltd")</f>
        <v>Prataap Snacks Ltd</v>
      </c>
      <c r="C361" s="64">
        <f>IFERROR(__xludf.DUMMYFUNCTION("IFERROR(GOOGLEFINANCE(A361,""CHANGE""),)"),-12.3)</f>
        <v>-12.3</v>
      </c>
      <c r="D361" s="64">
        <f>IFERROR(__xludf.DUMMYFUNCTION("IFERROR(GOOGLEFINANCE(A361,""CHANGEPCT""),)"),-1.21)</f>
        <v>-1.21</v>
      </c>
      <c r="E361" s="64" t="str">
        <f t="shared" si="1"/>
        <v>-1.21%</v>
      </c>
      <c r="F361" s="64" t="str">
        <f t="shared" si="2"/>
        <v/>
      </c>
      <c r="G361" s="64">
        <f t="shared" si="3"/>
        <v>-1.21</v>
      </c>
      <c r="H361" s="64">
        <f>IFERROR(__xludf.DUMMYFUNCTION("IFERROR(GOOGLEFINANCE(A361,""PRICE""),)"),1005.1)</f>
        <v>1005.1</v>
      </c>
      <c r="I361" s="65">
        <f>IFERROR(__xludf.DUMMYFUNCTION("IFERROR(GOOGLEFINANCE(A361,""VOLUME""),)"),54989.0)</f>
        <v>54989</v>
      </c>
      <c r="J361" s="64" t="str">
        <f>IFERROR(__xludf.DUMMYFUNCTION("IFERROR(INDEX(SPLIT(A361,"":""),1,2),)"),"DIAMONDYD")</f>
        <v>DIAMONDYD</v>
      </c>
      <c r="K361" s="64" t="str">
        <f t="shared" si="4"/>
        <v/>
      </c>
      <c r="L361" s="64">
        <f t="shared" si="5"/>
        <v>252</v>
      </c>
      <c r="M361" s="64">
        <f t="shared" si="6"/>
        <v>905</v>
      </c>
      <c r="N361" s="66">
        <f>IFERROR(__xludf.DUMMYFUNCTION("IFERROR(GOOGLEFINANCE(A361,""TRADETIME""),)"),46086.64586805555)</f>
        <v>46086.64587</v>
      </c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67" t="s">
        <v>408</v>
      </c>
      <c r="B362" s="60" t="str">
        <f>IFERROR(__xludf.DUMMYFUNCTION("IFERROR(GOOGLEFINANCE(A362,""NAME""),)"),"DIC India Ltd")</f>
        <v>DIC India Ltd</v>
      </c>
      <c r="C362" s="60">
        <f>IFERROR(__xludf.DUMMYFUNCTION("IFERROR(GOOGLEFINANCE(A362,""CHANGE""),)"),6.85)</f>
        <v>6.85</v>
      </c>
      <c r="D362" s="60">
        <f>IFERROR(__xludf.DUMMYFUNCTION("IFERROR(GOOGLEFINANCE(A362,""CHANGEPCT""),)"),1.83)</f>
        <v>1.83</v>
      </c>
      <c r="E362" s="60" t="str">
        <f t="shared" si="1"/>
        <v>1.83%</v>
      </c>
      <c r="F362" s="60">
        <f t="shared" si="2"/>
        <v>1.83</v>
      </c>
      <c r="G362" s="60" t="str">
        <f t="shared" si="3"/>
        <v/>
      </c>
      <c r="H362" s="60">
        <f>IFERROR(__xludf.DUMMYFUNCTION("IFERROR(GOOGLEFINANCE(A362,""PRICE""),)"),520.0)</f>
        <v>520</v>
      </c>
      <c r="I362" s="61">
        <f>IFERROR(__xludf.DUMMYFUNCTION("IFERROR(GOOGLEFINANCE(A362,""VOLUME""),)"),1579.0)</f>
        <v>1579</v>
      </c>
      <c r="J362" s="60" t="str">
        <f>IFERROR(__xludf.DUMMYFUNCTION("IFERROR(INDEX(SPLIT(A362,"":""),1,2),)"),"DICIND")</f>
        <v>DICIND</v>
      </c>
      <c r="K362" s="60">
        <f t="shared" si="4"/>
        <v>489</v>
      </c>
      <c r="L362" s="60" t="str">
        <f t="shared" si="5"/>
        <v/>
      </c>
      <c r="M362" s="60">
        <f t="shared" si="6"/>
        <v>1417</v>
      </c>
      <c r="N362" s="62">
        <f>IFERROR(__xludf.DUMMYFUNCTION("IFERROR(GOOGLEFINANCE(A362,""TRADETIME""),)"),46086.64583333333)</f>
        <v>46086.64583</v>
      </c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68" t="s">
        <v>409</v>
      </c>
      <c r="B363" s="64" t="str">
        <f>IFERROR(__xludf.DUMMYFUNCTION("IFERROR(GOOGLEFINANCE(A363,""NAME""),)"),"Digispice Technologies Ltd")</f>
        <v>Digispice Technologies Ltd</v>
      </c>
      <c r="C363" s="64">
        <f>IFERROR(__xludf.DUMMYFUNCTION("IFERROR(GOOGLEFINANCE(A363,""CHANGE""),)"),0.37)</f>
        <v>0.37</v>
      </c>
      <c r="D363" s="64">
        <f>IFERROR(__xludf.DUMMYFUNCTION("IFERROR(GOOGLEFINANCE(A363,""CHANGEPCT""),)"),2.2)</f>
        <v>2.2</v>
      </c>
      <c r="E363" s="64" t="str">
        <f t="shared" si="1"/>
        <v>2.2%</v>
      </c>
      <c r="F363" s="64">
        <f t="shared" si="2"/>
        <v>2.2</v>
      </c>
      <c r="G363" s="64" t="str">
        <f t="shared" si="3"/>
        <v/>
      </c>
      <c r="H363" s="64">
        <f>IFERROR(__xludf.DUMMYFUNCTION("IFERROR(GOOGLEFINANCE(A363,""PRICE""),)"),17.2)</f>
        <v>17.2</v>
      </c>
      <c r="I363" s="65">
        <f>IFERROR(__xludf.DUMMYFUNCTION("IFERROR(GOOGLEFINANCE(A363,""VOLUME""),)"),202272.0)</f>
        <v>202272</v>
      </c>
      <c r="J363" s="64" t="str">
        <f>IFERROR(__xludf.DUMMYFUNCTION("IFERROR(INDEX(SPLIT(A363,"":""),1,2),)"),"DIGISPICE")</f>
        <v>DIGISPICE</v>
      </c>
      <c r="K363" s="64">
        <f t="shared" si="4"/>
        <v>400</v>
      </c>
      <c r="L363" s="64" t="str">
        <f t="shared" si="5"/>
        <v/>
      </c>
      <c r="M363" s="64">
        <f t="shared" si="6"/>
        <v>603</v>
      </c>
      <c r="N363" s="66">
        <f>IFERROR(__xludf.DUMMYFUNCTION("IFERROR(GOOGLEFINANCE(A363,""TRADETIME""),)"),46086.64585648148)</f>
        <v>46086.64586</v>
      </c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67" t="s">
        <v>410</v>
      </c>
      <c r="B364" s="60" t="str">
        <f>IFERROR(__xludf.DUMMYFUNCTION("IFERROR(GOOGLEFINANCE(A364,""NAME""),)"),"Dish TV India Ltd")</f>
        <v>Dish TV India Ltd</v>
      </c>
      <c r="C364" s="60">
        <f>IFERROR(__xludf.DUMMYFUNCTION("IFERROR(GOOGLEFINANCE(A364,""CHANGE""),)"),-0.03)</f>
        <v>-0.03</v>
      </c>
      <c r="D364" s="60">
        <f>IFERROR(__xludf.DUMMYFUNCTION("IFERROR(GOOGLEFINANCE(A364,""CHANGEPCT""),)"),-1.14)</f>
        <v>-1.14</v>
      </c>
      <c r="E364" s="60" t="str">
        <f t="shared" si="1"/>
        <v>-1.14%</v>
      </c>
      <c r="F364" s="60" t="str">
        <f t="shared" si="2"/>
        <v/>
      </c>
      <c r="G364" s="60">
        <f t="shared" si="3"/>
        <v>-1.14</v>
      </c>
      <c r="H364" s="60">
        <f>IFERROR(__xludf.DUMMYFUNCTION("IFERROR(GOOGLEFINANCE(A364,""PRICE""),)"),2.6)</f>
        <v>2.6</v>
      </c>
      <c r="I364" s="61">
        <f>IFERROR(__xludf.DUMMYFUNCTION("IFERROR(GOOGLEFINANCE(A364,""VOLUME""),)"),4065266.0)</f>
        <v>4065266</v>
      </c>
      <c r="J364" s="60" t="str">
        <f>IFERROR(__xludf.DUMMYFUNCTION("IFERROR(INDEX(SPLIT(A364,"":""),1,2),)"),"DISHTV")</f>
        <v>DISHTV</v>
      </c>
      <c r="K364" s="60" t="str">
        <f t="shared" si="4"/>
        <v/>
      </c>
      <c r="L364" s="60">
        <f t="shared" si="5"/>
        <v>235</v>
      </c>
      <c r="M364" s="60">
        <f t="shared" si="6"/>
        <v>124</v>
      </c>
      <c r="N364" s="62">
        <f>IFERROR(__xludf.DUMMYFUNCTION("IFERROR(GOOGLEFINANCE(A364,""TRADETIME""),)"),46086.64583333333)</f>
        <v>46086.64583</v>
      </c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68" t="s">
        <v>411</v>
      </c>
      <c r="B365" s="64" t="str">
        <f>IFERROR(__xludf.DUMMYFUNCTION("IFERROR(GOOGLEFINANCE(A365,""NAME""),)"),"Divi's Laboratories Ltd")</f>
        <v>Divi's Laboratories Ltd</v>
      </c>
      <c r="C365" s="64">
        <f>IFERROR(__xludf.DUMMYFUNCTION("IFERROR(GOOGLEFINANCE(A365,""CHANGE""),)"),34.0)</f>
        <v>34</v>
      </c>
      <c r="D365" s="64">
        <f>IFERROR(__xludf.DUMMYFUNCTION("IFERROR(GOOGLEFINANCE(A365,""CHANGEPCT""),)"),0.54)</f>
        <v>0.54</v>
      </c>
      <c r="E365" s="64" t="str">
        <f t="shared" si="1"/>
        <v>0.54%</v>
      </c>
      <c r="F365" s="64">
        <f t="shared" si="2"/>
        <v>0.54</v>
      </c>
      <c r="G365" s="64" t="str">
        <f t="shared" si="3"/>
        <v/>
      </c>
      <c r="H365" s="64">
        <f>IFERROR(__xludf.DUMMYFUNCTION("IFERROR(GOOGLEFINANCE(A365,""PRICE""),)"),6350.0)</f>
        <v>6350</v>
      </c>
      <c r="I365" s="65">
        <f>IFERROR(__xludf.DUMMYFUNCTION("IFERROR(GOOGLEFINANCE(A365,""VOLUME""),)"),291178.0)</f>
        <v>291178</v>
      </c>
      <c r="J365" s="64" t="str">
        <f>IFERROR(__xludf.DUMMYFUNCTION("IFERROR(INDEX(SPLIT(A365,"":""),1,2),)"),"DIVISLAB")</f>
        <v>DIVISLAB</v>
      </c>
      <c r="K365" s="64">
        <f t="shared" si="4"/>
        <v>865</v>
      </c>
      <c r="L365" s="64" t="str">
        <f t="shared" si="5"/>
        <v/>
      </c>
      <c r="M365" s="64">
        <f t="shared" si="6"/>
        <v>514</v>
      </c>
      <c r="N365" s="66">
        <f>IFERROR(__xludf.DUMMYFUNCTION("IFERROR(GOOGLEFINANCE(A365,""TRADETIME""),)"),46086.64583333333)</f>
        <v>46086.64583</v>
      </c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9" t="s">
        <v>412</v>
      </c>
      <c r="B366" s="60" t="str">
        <f>IFERROR(__xludf.DUMMYFUNCTION("IFERROR(GOOGLEFINANCE(A366,""NAME""),)"),"D Link (India) Limited")</f>
        <v>D Link (India) Limited</v>
      </c>
      <c r="C366" s="60">
        <f>IFERROR(__xludf.DUMMYFUNCTION("IFERROR(GOOGLEFINANCE(A366,""CHANGE""),)"),2.55)</f>
        <v>2.55</v>
      </c>
      <c r="D366" s="60">
        <f>IFERROR(__xludf.DUMMYFUNCTION("IFERROR(GOOGLEFINANCE(A366,""CHANGEPCT""),)"),0.65)</f>
        <v>0.65</v>
      </c>
      <c r="E366" s="60" t="str">
        <f t="shared" si="1"/>
        <v>0.65%</v>
      </c>
      <c r="F366" s="60">
        <f t="shared" si="2"/>
        <v>0.65</v>
      </c>
      <c r="G366" s="60" t="str">
        <f t="shared" si="3"/>
        <v/>
      </c>
      <c r="H366" s="60">
        <f>IFERROR(__xludf.DUMMYFUNCTION("IFERROR(GOOGLEFINANCE(A366,""PRICE""),)"),395.0)</f>
        <v>395</v>
      </c>
      <c r="I366" s="61">
        <f>IFERROR(__xludf.DUMMYFUNCTION("IFERROR(GOOGLEFINANCE(A366,""VOLUME""),)"),46801.0)</f>
        <v>46801</v>
      </c>
      <c r="J366" s="60" t="str">
        <f>IFERROR(__xludf.DUMMYFUNCTION("IFERROR(INDEX(SPLIT(A366,"":""),1,2),)"),"DLINKINDIA")</f>
        <v>DLINKINDIA</v>
      </c>
      <c r="K366" s="60">
        <f t="shared" si="4"/>
        <v>832</v>
      </c>
      <c r="L366" s="60" t="str">
        <f t="shared" si="5"/>
        <v/>
      </c>
      <c r="M366" s="60">
        <f t="shared" si="6"/>
        <v>957</v>
      </c>
      <c r="N366" s="62">
        <f>IFERROR(__xludf.DUMMYFUNCTION("IFERROR(GOOGLEFINANCE(A366,""TRADETIME""),)"),46086.64585648148)</f>
        <v>46086.64586</v>
      </c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68" t="s">
        <v>413</v>
      </c>
      <c r="B367" s="64" t="str">
        <f>IFERROR(__xludf.DUMMYFUNCTION("IFERROR(GOOGLEFINANCE(A367,""NAME""),)"),"DLF Ltd")</f>
        <v>DLF Ltd</v>
      </c>
      <c r="C367" s="64">
        <f>IFERROR(__xludf.DUMMYFUNCTION("IFERROR(GOOGLEFINANCE(A367,""CHANGE""),)"),16.95)</f>
        <v>16.95</v>
      </c>
      <c r="D367" s="64">
        <f>IFERROR(__xludf.DUMMYFUNCTION("IFERROR(GOOGLEFINANCE(A367,""CHANGEPCT""),)"),2.93)</f>
        <v>2.93</v>
      </c>
      <c r="E367" s="64" t="str">
        <f t="shared" si="1"/>
        <v>2.93%</v>
      </c>
      <c r="F367" s="64">
        <f t="shared" si="2"/>
        <v>2.93</v>
      </c>
      <c r="G367" s="64" t="str">
        <f t="shared" si="3"/>
        <v/>
      </c>
      <c r="H367" s="64">
        <f>IFERROR(__xludf.DUMMYFUNCTION("IFERROR(GOOGLEFINANCE(A367,""PRICE""),)"),586.0)</f>
        <v>586</v>
      </c>
      <c r="I367" s="65">
        <f>IFERROR(__xludf.DUMMYFUNCTION("IFERROR(GOOGLEFINANCE(A367,""VOLUME""),)"),7827584.0)</f>
        <v>7827584</v>
      </c>
      <c r="J367" s="64" t="str">
        <f>IFERROR(__xludf.DUMMYFUNCTION("IFERROR(INDEX(SPLIT(A367,"":""),1,2),)"),"DLF")</f>
        <v>DLF</v>
      </c>
      <c r="K367" s="64">
        <f t="shared" si="4"/>
        <v>268</v>
      </c>
      <c r="L367" s="64" t="str">
        <f t="shared" si="5"/>
        <v/>
      </c>
      <c r="M367" s="64">
        <f t="shared" si="6"/>
        <v>77</v>
      </c>
      <c r="N367" s="66">
        <f>IFERROR(__xludf.DUMMYFUNCTION("IFERROR(GOOGLEFINANCE(A367,""TRADETIME""),)"),46086.64583333333)</f>
        <v>46086.64583</v>
      </c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9" t="s">
        <v>414</v>
      </c>
      <c r="B368" s="60" t="str">
        <f>IFERROR(__xludf.DUMMYFUNCTION("IFERROR(GOOGLEFINANCE(A368,""NAME""),)"),"E I D-Parry (India) Ltd")</f>
        <v>E I D-Parry (India) Ltd</v>
      </c>
      <c r="C368" s="60">
        <f>IFERROR(__xludf.DUMMYFUNCTION("IFERROR(GOOGLEFINANCE(A368,""CHANGE""),)"),-15.4)</f>
        <v>-15.4</v>
      </c>
      <c r="D368" s="60">
        <f>IFERROR(__xludf.DUMMYFUNCTION("IFERROR(GOOGLEFINANCE(A368,""CHANGEPCT""),)"),-1.8)</f>
        <v>-1.8</v>
      </c>
      <c r="E368" s="60" t="str">
        <f t="shared" si="1"/>
        <v>-1.8%</v>
      </c>
      <c r="F368" s="60" t="str">
        <f t="shared" si="2"/>
        <v/>
      </c>
      <c r="G368" s="60">
        <f t="shared" si="3"/>
        <v>-1.8</v>
      </c>
      <c r="H368" s="60">
        <f>IFERROR(__xludf.DUMMYFUNCTION("IFERROR(GOOGLEFINANCE(A368,""PRICE""),)"),838.5)</f>
        <v>838.5</v>
      </c>
      <c r="I368" s="61">
        <f>IFERROR(__xludf.DUMMYFUNCTION("IFERROR(GOOGLEFINANCE(A368,""VOLUME""),)"),352030.0)</f>
        <v>352030</v>
      </c>
      <c r="J368" s="60" t="str">
        <f>IFERROR(__xludf.DUMMYFUNCTION("IFERROR(INDEX(SPLIT(A368,"":""),1,2),)"),"EIDPARRY")</f>
        <v>EIDPARRY</v>
      </c>
      <c r="K368" s="60" t="str">
        <f t="shared" si="4"/>
        <v/>
      </c>
      <c r="L368" s="60">
        <f t="shared" si="5"/>
        <v>323</v>
      </c>
      <c r="M368" s="60">
        <f t="shared" si="6"/>
        <v>479</v>
      </c>
      <c r="N368" s="62">
        <f>IFERROR(__xludf.DUMMYFUNCTION("IFERROR(GOOGLEFINANCE(A368,""TRADETIME""),)"),46086.64583333333)</f>
        <v>46086.64583</v>
      </c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68" t="s">
        <v>415</v>
      </c>
      <c r="B369" s="64" t="str">
        <f>IFERROR(__xludf.DUMMYFUNCTION("IFERROR(GOOGLEFINANCE(A369,""NAME""),)"),"Avenue Supermarts Ltd")</f>
        <v>Avenue Supermarts Ltd</v>
      </c>
      <c r="C369" s="64">
        <f>IFERROR(__xludf.DUMMYFUNCTION("IFERROR(GOOGLEFINANCE(A369,""CHANGE""),)"),89.1)</f>
        <v>89.1</v>
      </c>
      <c r="D369" s="64">
        <f>IFERROR(__xludf.DUMMYFUNCTION("IFERROR(GOOGLEFINANCE(A369,""CHANGEPCT""),)"),2.37)</f>
        <v>2.37</v>
      </c>
      <c r="E369" s="64" t="str">
        <f t="shared" si="1"/>
        <v>2.37%</v>
      </c>
      <c r="F369" s="64">
        <f t="shared" si="2"/>
        <v>2.37</v>
      </c>
      <c r="G369" s="64" t="str">
        <f t="shared" si="3"/>
        <v/>
      </c>
      <c r="H369" s="64">
        <f>IFERROR(__xludf.DUMMYFUNCTION("IFERROR(GOOGLEFINANCE(A369,""PRICE""),)"),3850.0)</f>
        <v>3850</v>
      </c>
      <c r="I369" s="65">
        <f>IFERROR(__xludf.DUMMYFUNCTION("IFERROR(GOOGLEFINANCE(A369,""VOLUME""),)"),516188.0)</f>
        <v>516188</v>
      </c>
      <c r="J369" s="64" t="str">
        <f>IFERROR(__xludf.DUMMYFUNCTION("IFERROR(INDEX(SPLIT(A369,"":""),1,2),)"),"DMART")</f>
        <v>DMART</v>
      </c>
      <c r="K369" s="64">
        <f t="shared" si="4"/>
        <v>361</v>
      </c>
      <c r="L369" s="64" t="str">
        <f t="shared" si="5"/>
        <v/>
      </c>
      <c r="M369" s="64">
        <f t="shared" si="6"/>
        <v>394</v>
      </c>
      <c r="N369" s="66">
        <f>IFERROR(__xludf.DUMMYFUNCTION("IFERROR(GOOGLEFINANCE(A369,""TRADETIME""),)"),46086.64583333333)</f>
        <v>46086.64583</v>
      </c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67" t="s">
        <v>416</v>
      </c>
      <c r="B370" s="60" t="str">
        <f>IFERROR(__xludf.DUMMYFUNCTION("IFERROR(GOOGLEFINANCE(A370,""NAME""),)"),"Dolat Algotech Ltd")</f>
        <v>Dolat Algotech Ltd</v>
      </c>
      <c r="C370" s="60">
        <f>IFERROR(__xludf.DUMMYFUNCTION("IFERROR(GOOGLEFINANCE(A370,""CHANGE""),)"),-1.39)</f>
        <v>-1.39</v>
      </c>
      <c r="D370" s="60">
        <f>IFERROR(__xludf.DUMMYFUNCTION("IFERROR(GOOGLEFINANCE(A370,""CHANGEPCT""),)"),-1.81)</f>
        <v>-1.81</v>
      </c>
      <c r="E370" s="60" t="str">
        <f t="shared" si="1"/>
        <v>-1.81%</v>
      </c>
      <c r="F370" s="60" t="str">
        <f t="shared" si="2"/>
        <v/>
      </c>
      <c r="G370" s="60">
        <f t="shared" si="3"/>
        <v>-1.81</v>
      </c>
      <c r="H370" s="60">
        <f>IFERROR(__xludf.DUMMYFUNCTION("IFERROR(GOOGLEFINANCE(A370,""PRICE""),)"),75.5)</f>
        <v>75.5</v>
      </c>
      <c r="I370" s="61">
        <f>IFERROR(__xludf.DUMMYFUNCTION("IFERROR(GOOGLEFINANCE(A370,""VOLUME""),)"),118191.0)</f>
        <v>118191</v>
      </c>
      <c r="J370" s="60" t="str">
        <f>IFERROR(__xludf.DUMMYFUNCTION("IFERROR(INDEX(SPLIT(A370,"":""),1,2),)"),"DOLATALGO")</f>
        <v>DOLATALGO</v>
      </c>
      <c r="K370" s="60" t="str">
        <f t="shared" si="4"/>
        <v/>
      </c>
      <c r="L370" s="60">
        <f t="shared" si="5"/>
        <v>325</v>
      </c>
      <c r="M370" s="60">
        <f t="shared" si="6"/>
        <v>728</v>
      </c>
      <c r="N370" s="62">
        <f>IFERROR(__xludf.DUMMYFUNCTION("IFERROR(GOOGLEFINANCE(A370,""TRADETIME""),)"),46086.64583333333)</f>
        <v>46086.64583</v>
      </c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68" t="s">
        <v>417</v>
      </c>
      <c r="B371" s="64" t="str">
        <f>IFERROR(__xludf.DUMMYFUNCTION("IFERROR(GOOGLEFINANCE(A371,""NAME""),)"),"Dollar Industries Ltd")</f>
        <v>Dollar Industries Ltd</v>
      </c>
      <c r="C371" s="64">
        <f>IFERROR(__xludf.DUMMYFUNCTION("IFERROR(GOOGLEFINANCE(A371,""CHANGE""),)"),7.9)</f>
        <v>7.9</v>
      </c>
      <c r="D371" s="64">
        <f>IFERROR(__xludf.DUMMYFUNCTION("IFERROR(GOOGLEFINANCE(A371,""CHANGEPCT""),)"),2.97)</f>
        <v>2.97</v>
      </c>
      <c r="E371" s="64" t="str">
        <f t="shared" si="1"/>
        <v>2.97%</v>
      </c>
      <c r="F371" s="64">
        <f t="shared" si="2"/>
        <v>2.97</v>
      </c>
      <c r="G371" s="64" t="str">
        <f t="shared" si="3"/>
        <v/>
      </c>
      <c r="H371" s="64">
        <f>IFERROR(__xludf.DUMMYFUNCTION("IFERROR(GOOGLEFINANCE(A371,""PRICE""),)"),272.55)</f>
        <v>272.55</v>
      </c>
      <c r="I371" s="65">
        <f>IFERROR(__xludf.DUMMYFUNCTION("IFERROR(GOOGLEFINANCE(A371,""VOLUME""),)"),150834.0)</f>
        <v>150834</v>
      </c>
      <c r="J371" s="64" t="str">
        <f>IFERROR(__xludf.DUMMYFUNCTION("IFERROR(INDEX(SPLIT(A371,"":""),1,2),)"),"DOLLAR")</f>
        <v>DOLLAR</v>
      </c>
      <c r="K371" s="64">
        <f t="shared" si="4"/>
        <v>260</v>
      </c>
      <c r="L371" s="64" t="str">
        <f t="shared" si="5"/>
        <v/>
      </c>
      <c r="M371" s="64">
        <f t="shared" si="6"/>
        <v>673</v>
      </c>
      <c r="N371" s="66">
        <f>IFERROR(__xludf.DUMMYFUNCTION("IFERROR(GOOGLEFINANCE(A371,""TRADETIME""),)"),46086.64583333333)</f>
        <v>46086.64583</v>
      </c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67" t="s">
        <v>418</v>
      </c>
      <c r="B372" s="60" t="str">
        <f>IFERROR(__xludf.DUMMYFUNCTION("IFERROR(GOOGLEFINANCE(A372,""NAME""),)"),"Donear Industries Ltd")</f>
        <v>Donear Industries Ltd</v>
      </c>
      <c r="C372" s="60">
        <f>IFERROR(__xludf.DUMMYFUNCTION("IFERROR(GOOGLEFINANCE(A372,""CHANGE""),)"),4.0)</f>
        <v>4</v>
      </c>
      <c r="D372" s="60">
        <f>IFERROR(__xludf.DUMMYFUNCTION("IFERROR(GOOGLEFINANCE(A372,""CHANGEPCT""),)"),3.48)</f>
        <v>3.48</v>
      </c>
      <c r="E372" s="60" t="str">
        <f t="shared" si="1"/>
        <v>3.48%</v>
      </c>
      <c r="F372" s="60">
        <f t="shared" si="2"/>
        <v>3.48</v>
      </c>
      <c r="G372" s="60" t="str">
        <f t="shared" si="3"/>
        <v/>
      </c>
      <c r="H372" s="60">
        <f>IFERROR(__xludf.DUMMYFUNCTION("IFERROR(GOOGLEFINANCE(A372,""PRICE""),)"),89.88)</f>
        <v>89.88</v>
      </c>
      <c r="I372" s="61">
        <f>IFERROR(__xludf.DUMMYFUNCTION("IFERROR(GOOGLEFINANCE(A372,""VOLUME""),)"),51536.0)</f>
        <v>51536</v>
      </c>
      <c r="J372" s="60" t="str">
        <f>IFERROR(__xludf.DUMMYFUNCTION("IFERROR(INDEX(SPLIT(A372,"":""),1,2),)"),"DONEAR")</f>
        <v>DONEAR</v>
      </c>
      <c r="K372" s="60">
        <f t="shared" si="4"/>
        <v>191</v>
      </c>
      <c r="L372" s="60" t="str">
        <f t="shared" si="5"/>
        <v/>
      </c>
      <c r="M372" s="60">
        <f t="shared" si="6"/>
        <v>925</v>
      </c>
      <c r="N372" s="62">
        <f>IFERROR(__xludf.DUMMYFUNCTION("IFERROR(GOOGLEFINANCE(A372,""TRADETIME""),)"),46086.64583333333)</f>
        <v>46086.64583</v>
      </c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68" t="s">
        <v>419</v>
      </c>
      <c r="B373" s="64" t="str">
        <f>IFERROR(__xludf.DUMMYFUNCTION("IFERROR(GOOGLEFINANCE(A373,""NAME""),)"),"D P Abhushan Ltd")</f>
        <v>D P Abhushan Ltd</v>
      </c>
      <c r="C373" s="64">
        <f>IFERROR(__xludf.DUMMYFUNCTION("IFERROR(GOOGLEFINANCE(A373,""CHANGE""),)"),-14.0)</f>
        <v>-14</v>
      </c>
      <c r="D373" s="64">
        <f>IFERROR(__xludf.DUMMYFUNCTION("IFERROR(GOOGLEFINANCE(A373,""CHANGEPCT""),)"),-1.3)</f>
        <v>-1.3</v>
      </c>
      <c r="E373" s="64" t="str">
        <f t="shared" si="1"/>
        <v>-1.3%</v>
      </c>
      <c r="F373" s="64" t="str">
        <f t="shared" si="2"/>
        <v/>
      </c>
      <c r="G373" s="64">
        <f t="shared" si="3"/>
        <v>-1.3</v>
      </c>
      <c r="H373" s="64">
        <f>IFERROR(__xludf.DUMMYFUNCTION("IFERROR(GOOGLEFINANCE(A373,""PRICE""),)"),1070.0)</f>
        <v>1070</v>
      </c>
      <c r="I373" s="65">
        <f>IFERROR(__xludf.DUMMYFUNCTION("IFERROR(GOOGLEFINANCE(A373,""VOLUME""),)"),66588.0)</f>
        <v>66588</v>
      </c>
      <c r="J373" s="64" t="str">
        <f>IFERROR(__xludf.DUMMYFUNCTION("IFERROR(INDEX(SPLIT(A373,"":""),1,2),)"),"DPABHUSHAN")</f>
        <v>DPABHUSHAN</v>
      </c>
      <c r="K373" s="64" t="str">
        <f t="shared" si="4"/>
        <v/>
      </c>
      <c r="L373" s="64">
        <f t="shared" si="5"/>
        <v>264</v>
      </c>
      <c r="M373" s="64">
        <f t="shared" si="6"/>
        <v>857</v>
      </c>
      <c r="N373" s="66">
        <f>IFERROR(__xludf.DUMMYFUNCTION("IFERROR(GOOGLEFINANCE(A373,""TRADETIME""),)"),46086.64583333333)</f>
        <v>46086.64583</v>
      </c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67" t="s">
        <v>420</v>
      </c>
      <c r="B374" s="60" t="str">
        <f>IFERROR(__xludf.DUMMYFUNCTION("IFERROR(GOOGLEFINANCE(A374,""NAME""),)"),"India Power Corporation Ltd")</f>
        <v>India Power Corporation Ltd</v>
      </c>
      <c r="C374" s="60">
        <f>IFERROR(__xludf.DUMMYFUNCTION("IFERROR(GOOGLEFINANCE(A374,""CHANGE""),)"),0.2)</f>
        <v>0.2</v>
      </c>
      <c r="D374" s="60">
        <f>IFERROR(__xludf.DUMMYFUNCTION("IFERROR(GOOGLEFINANCE(A374,""CHANGEPCT""),)"),2.31)</f>
        <v>2.31</v>
      </c>
      <c r="E374" s="60" t="str">
        <f t="shared" si="1"/>
        <v>2.31%</v>
      </c>
      <c r="F374" s="60">
        <f t="shared" si="2"/>
        <v>2.31</v>
      </c>
      <c r="G374" s="60" t="str">
        <f t="shared" si="3"/>
        <v/>
      </c>
      <c r="H374" s="60">
        <f>IFERROR(__xludf.DUMMYFUNCTION("IFERROR(GOOGLEFINANCE(A374,""PRICE""),)"),8.83)</f>
        <v>8.83</v>
      </c>
      <c r="I374" s="61">
        <f>IFERROR(__xludf.DUMMYFUNCTION("IFERROR(GOOGLEFINANCE(A374,""VOLUME""),)"),82726.0)</f>
        <v>82726</v>
      </c>
      <c r="J374" s="60" t="str">
        <f>IFERROR(__xludf.DUMMYFUNCTION("IFERROR(INDEX(SPLIT(A374,"":""),1,2),)"),"DPSCLTD")</f>
        <v>DPSCLTD</v>
      </c>
      <c r="K374" s="60">
        <f t="shared" si="4"/>
        <v>375</v>
      </c>
      <c r="L374" s="60" t="str">
        <f t="shared" si="5"/>
        <v/>
      </c>
      <c r="M374" s="60">
        <f t="shared" si="6"/>
        <v>805</v>
      </c>
      <c r="N374" s="62">
        <f>IFERROR(__xludf.DUMMYFUNCTION("IFERROR(GOOGLEFINANCE(A374,""TRADETIME""),)"),46086.64583333333)</f>
        <v>46086.64583</v>
      </c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68" t="s">
        <v>421</v>
      </c>
      <c r="B375" s="64" t="str">
        <f>IFERROR(__xludf.DUMMYFUNCTION("IFERROR(GOOGLEFINANCE(A375,""NAME""),)"),"D P Wires Ltd")</f>
        <v>D P Wires Ltd</v>
      </c>
      <c r="C375" s="64">
        <f>IFERROR(__xludf.DUMMYFUNCTION("IFERROR(GOOGLEFINANCE(A375,""CHANGE""),)"),4.59)</f>
        <v>4.59</v>
      </c>
      <c r="D375" s="64">
        <f>IFERROR(__xludf.DUMMYFUNCTION("IFERROR(GOOGLEFINANCE(A375,""CHANGEPCT""),)"),3.32)</f>
        <v>3.32</v>
      </c>
      <c r="E375" s="64" t="str">
        <f t="shared" si="1"/>
        <v>3.32%</v>
      </c>
      <c r="F375" s="64">
        <f t="shared" si="2"/>
        <v>3.32</v>
      </c>
      <c r="G375" s="64" t="str">
        <f t="shared" si="3"/>
        <v/>
      </c>
      <c r="H375" s="64">
        <f>IFERROR(__xludf.DUMMYFUNCTION("IFERROR(GOOGLEFINANCE(A375,""PRICE""),)"),142.2)</f>
        <v>142.2</v>
      </c>
      <c r="I375" s="65">
        <f>IFERROR(__xludf.DUMMYFUNCTION("IFERROR(GOOGLEFINANCE(A375,""VOLUME""),)"),13512.0)</f>
        <v>13512</v>
      </c>
      <c r="J375" s="64" t="str">
        <f>IFERROR(__xludf.DUMMYFUNCTION("IFERROR(INDEX(SPLIT(A375,"":""),1,2),)"),"DPWIRES")</f>
        <v>DPWIRES</v>
      </c>
      <c r="K375" s="64">
        <f t="shared" si="4"/>
        <v>209</v>
      </c>
      <c r="L375" s="64" t="str">
        <f t="shared" si="5"/>
        <v/>
      </c>
      <c r="M375" s="64">
        <f t="shared" si="6"/>
        <v>1208</v>
      </c>
      <c r="N375" s="66">
        <f>IFERROR(__xludf.DUMMYFUNCTION("IFERROR(GOOGLEFINANCE(A375,""TRADETIME""),)"),46086.64583333333)</f>
        <v>46086.64583</v>
      </c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67" t="s">
        <v>422</v>
      </c>
      <c r="B376" s="60" t="str">
        <f>IFERROR(__xludf.DUMMYFUNCTION("IFERROR(GOOGLEFINANCE(A376,""NAME""),)"),"Dredging Corporation of India Ltd")</f>
        <v>Dredging Corporation of India Ltd</v>
      </c>
      <c r="C376" s="60">
        <f>IFERROR(__xludf.DUMMYFUNCTION("IFERROR(GOOGLEFINANCE(A376,""CHANGE""),)"),-3.8)</f>
        <v>-3.8</v>
      </c>
      <c r="D376" s="60">
        <f>IFERROR(__xludf.DUMMYFUNCTION("IFERROR(GOOGLEFINANCE(A376,""CHANGEPCT""),)"),-0.69)</f>
        <v>-0.69</v>
      </c>
      <c r="E376" s="60" t="str">
        <f t="shared" si="1"/>
        <v>-0.69%</v>
      </c>
      <c r="F376" s="60" t="str">
        <f t="shared" si="2"/>
        <v/>
      </c>
      <c r="G376" s="60">
        <f t="shared" si="3"/>
        <v>-0.69</v>
      </c>
      <c r="H376" s="60">
        <f>IFERROR(__xludf.DUMMYFUNCTION("IFERROR(GOOGLEFINANCE(A376,""PRICE""),)"),966.6)</f>
        <v>966.6</v>
      </c>
      <c r="I376" s="61">
        <f>IFERROR(__xludf.DUMMYFUNCTION("IFERROR(GOOGLEFINANCE(A376,""VOLUME""),)"),363760.0)</f>
        <v>363760</v>
      </c>
      <c r="J376" s="60" t="str">
        <f>IFERROR(__xludf.DUMMYFUNCTION("IFERROR(INDEX(SPLIT(A376,"":""),1,2),)"),"DREDGECORP")</f>
        <v>DREDGECORP</v>
      </c>
      <c r="K376" s="60" t="str">
        <f t="shared" si="4"/>
        <v/>
      </c>
      <c r="L376" s="60">
        <f t="shared" si="5"/>
        <v>165</v>
      </c>
      <c r="M376" s="60">
        <f t="shared" si="6"/>
        <v>470</v>
      </c>
      <c r="N376" s="62">
        <f>IFERROR(__xludf.DUMMYFUNCTION("IFERROR(GOOGLEFINANCE(A376,""TRADETIME""),)"),46086.64586805555)</f>
        <v>46086.64587</v>
      </c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68" t="s">
        <v>423</v>
      </c>
      <c r="B377" s="64" t="str">
        <f>IFERROR(__xludf.DUMMYFUNCTION("IFERROR(GOOGLEFINANCE(A377,""NAME""),)"),"Dr Reddy's Laboratories Ltd")</f>
        <v>Dr Reddy's Laboratories Ltd</v>
      </c>
      <c r="C377" s="64">
        <f>IFERROR(__xludf.DUMMYFUNCTION("IFERROR(GOOGLEFINANCE(A377,""CHANGE""),)"),21.8)</f>
        <v>21.8</v>
      </c>
      <c r="D377" s="64">
        <f>IFERROR(__xludf.DUMMYFUNCTION("IFERROR(GOOGLEFINANCE(A377,""CHANGEPCT""),)"),1.38)</f>
        <v>1.38</v>
      </c>
      <c r="E377" s="64" t="str">
        <f t="shared" si="1"/>
        <v>1.38%</v>
      </c>
      <c r="F377" s="64">
        <f t="shared" si="2"/>
        <v>1.38</v>
      </c>
      <c r="G377" s="64" t="str">
        <f t="shared" si="3"/>
        <v/>
      </c>
      <c r="H377" s="64">
        <f>IFERROR(__xludf.DUMMYFUNCTION("IFERROR(GOOGLEFINANCE(A377,""PRICE""),)"),1309.0)</f>
        <v>1309</v>
      </c>
      <c r="I377" s="65">
        <f>IFERROR(__xludf.DUMMYFUNCTION("IFERROR(GOOGLEFINANCE(A377,""VOLUME""),)"),1060444.0)</f>
        <v>1060444</v>
      </c>
      <c r="J377" s="64" t="str">
        <f>IFERROR(__xludf.DUMMYFUNCTION("IFERROR(INDEX(SPLIT(A377,"":""),1,2),)"),"DRREDDY")</f>
        <v>DRREDDY</v>
      </c>
      <c r="K377" s="64">
        <f t="shared" si="4"/>
        <v>609</v>
      </c>
      <c r="L377" s="64" t="str">
        <f t="shared" si="5"/>
        <v/>
      </c>
      <c r="M377" s="64">
        <f t="shared" si="6"/>
        <v>276</v>
      </c>
      <c r="N377" s="66">
        <f>IFERROR(__xludf.DUMMYFUNCTION("IFERROR(GOOGLEFINANCE(A377,""TRADETIME""),)"),46086.64584490741)</f>
        <v>46086.64584</v>
      </c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67" t="s">
        <v>424</v>
      </c>
      <c r="B378" s="60" t="str">
        <f>IFERROR(__xludf.DUMMYFUNCTION("IFERROR(GOOGLEFINANCE(A378,""NAME""),)"),"Dynacons Systems and Solutions Ltd")</f>
        <v>Dynacons Systems and Solutions Ltd</v>
      </c>
      <c r="C378" s="60">
        <f>IFERROR(__xludf.DUMMYFUNCTION("IFERROR(GOOGLEFINANCE(A378,""CHANGE""),)"),12.9)</f>
        <v>12.9</v>
      </c>
      <c r="D378" s="60">
        <f>IFERROR(__xludf.DUMMYFUNCTION("IFERROR(GOOGLEFINANCE(A378,""CHANGEPCT""),)"),1.49)</f>
        <v>1.49</v>
      </c>
      <c r="E378" s="60" t="str">
        <f t="shared" si="1"/>
        <v>1.49%</v>
      </c>
      <c r="F378" s="60">
        <f t="shared" si="2"/>
        <v>1.49</v>
      </c>
      <c r="G378" s="60" t="str">
        <f t="shared" si="3"/>
        <v/>
      </c>
      <c r="H378" s="60">
        <f>IFERROR(__xludf.DUMMYFUNCTION("IFERROR(GOOGLEFINANCE(A378,""PRICE""),)"),878.3)</f>
        <v>878.3</v>
      </c>
      <c r="I378" s="61">
        <f>IFERROR(__xludf.DUMMYFUNCTION("IFERROR(GOOGLEFINANCE(A378,""VOLUME""),)"),24102.0)</f>
        <v>24102</v>
      </c>
      <c r="J378" s="60" t="str">
        <f>IFERROR(__xludf.DUMMYFUNCTION("IFERROR(INDEX(SPLIT(A378,"":""),1,2),)"),"DSSL")</f>
        <v>DSSL</v>
      </c>
      <c r="K378" s="60">
        <f t="shared" si="4"/>
        <v>576</v>
      </c>
      <c r="L378" s="60" t="str">
        <f t="shared" si="5"/>
        <v/>
      </c>
      <c r="M378" s="60">
        <f t="shared" si="6"/>
        <v>1109</v>
      </c>
      <c r="N378" s="62">
        <f>IFERROR(__xludf.DUMMYFUNCTION("IFERROR(GOOGLEFINANCE(A378,""TRADETIME""),)"),46086.64583333333)</f>
        <v>46086.64583</v>
      </c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68" t="s">
        <v>425</v>
      </c>
      <c r="B379" s="64" t="str">
        <f>IFERROR(__xludf.DUMMYFUNCTION("IFERROR(GOOGLEFINANCE(A379,""NAME""),)"),"Dhunseri Tea &amp; Industries Ltd")</f>
        <v>Dhunseri Tea &amp; Industries Ltd</v>
      </c>
      <c r="C379" s="64">
        <f>IFERROR(__xludf.DUMMYFUNCTION("IFERROR(GOOGLEFINANCE(A379,""CHANGE""),)"),2.94)</f>
        <v>2.94</v>
      </c>
      <c r="D379" s="64">
        <f>IFERROR(__xludf.DUMMYFUNCTION("IFERROR(GOOGLEFINANCE(A379,""CHANGEPCT""),)"),2.22)</f>
        <v>2.22</v>
      </c>
      <c r="E379" s="64" t="str">
        <f t="shared" si="1"/>
        <v>2.22%</v>
      </c>
      <c r="F379" s="64">
        <f t="shared" si="2"/>
        <v>2.22</v>
      </c>
      <c r="G379" s="64" t="str">
        <f t="shared" si="3"/>
        <v/>
      </c>
      <c r="H379" s="64">
        <f>IFERROR(__xludf.DUMMYFUNCTION("IFERROR(GOOGLEFINANCE(A379,""PRICE""),)"),135.06)</f>
        <v>135.06</v>
      </c>
      <c r="I379" s="65">
        <f>IFERROR(__xludf.DUMMYFUNCTION("IFERROR(GOOGLEFINANCE(A379,""VOLUME""),)"),469.0)</f>
        <v>469</v>
      </c>
      <c r="J379" s="64" t="str">
        <f>IFERROR(__xludf.DUMMYFUNCTION("IFERROR(INDEX(SPLIT(A379,"":""),1,2),)"),"DTIL")</f>
        <v>DTIL</v>
      </c>
      <c r="K379" s="64">
        <f t="shared" si="4"/>
        <v>394</v>
      </c>
      <c r="L379" s="64" t="str">
        <f t="shared" si="5"/>
        <v/>
      </c>
      <c r="M379" s="64">
        <f t="shared" si="6"/>
        <v>1443</v>
      </c>
      <c r="N379" s="66">
        <f>IFERROR(__xludf.DUMMYFUNCTION("IFERROR(GOOGLEFINANCE(A379,""TRADETIME""),)"),46086.64583333333)</f>
        <v>46086.64583</v>
      </c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67" t="s">
        <v>426</v>
      </c>
      <c r="B380" s="60" t="str">
        <f>IFERROR(__xludf.DUMMYFUNCTION("IFERROR(GOOGLEFINANCE(A380,""NAME""),)"),"Ducon Infratechnologies Ltd")</f>
        <v>Ducon Infratechnologies Ltd</v>
      </c>
      <c r="C380" s="60">
        <f>IFERROR(__xludf.DUMMYFUNCTION("IFERROR(GOOGLEFINANCE(A380,""CHANGE""),)"),-0.03)</f>
        <v>-0.03</v>
      </c>
      <c r="D380" s="60">
        <f>IFERROR(__xludf.DUMMYFUNCTION("IFERROR(GOOGLEFINANCE(A380,""CHANGEPCT""),)"),-0.62)</f>
        <v>-0.62</v>
      </c>
      <c r="E380" s="60" t="str">
        <f t="shared" si="1"/>
        <v>-0.62%</v>
      </c>
      <c r="F380" s="60" t="str">
        <f t="shared" si="2"/>
        <v/>
      </c>
      <c r="G380" s="60">
        <f t="shared" si="3"/>
        <v>-0.62</v>
      </c>
      <c r="H380" s="60">
        <f>IFERROR(__xludf.DUMMYFUNCTION("IFERROR(GOOGLEFINANCE(A380,""PRICE""),)"),3.19)</f>
        <v>3.19</v>
      </c>
      <c r="I380" s="61">
        <f>IFERROR(__xludf.DUMMYFUNCTION("IFERROR(GOOGLEFINANCE(A380,""VOLUME""),)"),263570.0)</f>
        <v>263570</v>
      </c>
      <c r="J380" s="60" t="str">
        <f>IFERROR(__xludf.DUMMYFUNCTION("IFERROR(INDEX(SPLIT(A380,"":""),1,2),)"),"DUCON")</f>
        <v>DUCON</v>
      </c>
      <c r="K380" s="60" t="str">
        <f t="shared" si="4"/>
        <v/>
      </c>
      <c r="L380" s="60">
        <f t="shared" si="5"/>
        <v>148</v>
      </c>
      <c r="M380" s="60">
        <f t="shared" si="6"/>
        <v>538</v>
      </c>
      <c r="N380" s="62">
        <f>IFERROR(__xludf.DUMMYFUNCTION("IFERROR(GOOGLEFINANCE(A380,""TRADETIME""),)"),46086.64584490741)</f>
        <v>46086.64584</v>
      </c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68" t="s">
        <v>427</v>
      </c>
      <c r="B381" s="64" t="str">
        <f>IFERROR(__xludf.DUMMYFUNCTION("IFERROR(GOOGLEFINANCE(A381,""NAME""),)"),"Dhunseri Ventures Ltd")</f>
        <v>Dhunseri Ventures Ltd</v>
      </c>
      <c r="C381" s="64">
        <f>IFERROR(__xludf.DUMMYFUNCTION("IFERROR(GOOGLEFINANCE(A381,""CHANGE""),)"),1.77)</f>
        <v>1.77</v>
      </c>
      <c r="D381" s="64">
        <f>IFERROR(__xludf.DUMMYFUNCTION("IFERROR(GOOGLEFINANCE(A381,""CHANGEPCT""),)"),0.78)</f>
        <v>0.78</v>
      </c>
      <c r="E381" s="64" t="str">
        <f t="shared" si="1"/>
        <v>0.78%</v>
      </c>
      <c r="F381" s="64">
        <f t="shared" si="2"/>
        <v>0.78</v>
      </c>
      <c r="G381" s="64" t="str">
        <f t="shared" si="3"/>
        <v/>
      </c>
      <c r="H381" s="64">
        <f>IFERROR(__xludf.DUMMYFUNCTION("IFERROR(GOOGLEFINANCE(A381,""PRICE""),)"),228.22)</f>
        <v>228.22</v>
      </c>
      <c r="I381" s="65">
        <f>IFERROR(__xludf.DUMMYFUNCTION("IFERROR(GOOGLEFINANCE(A381,""VOLUME""),)"),26198.0)</f>
        <v>26198</v>
      </c>
      <c r="J381" s="64" t="str">
        <f>IFERROR(__xludf.DUMMYFUNCTION("IFERROR(INDEX(SPLIT(A381,"":""),1,2),)"),"DVL")</f>
        <v>DVL</v>
      </c>
      <c r="K381" s="64">
        <f t="shared" si="4"/>
        <v>790</v>
      </c>
      <c r="L381" s="64" t="str">
        <f t="shared" si="5"/>
        <v/>
      </c>
      <c r="M381" s="64">
        <f t="shared" si="6"/>
        <v>1084</v>
      </c>
      <c r="N381" s="66">
        <f>IFERROR(__xludf.DUMMYFUNCTION("IFERROR(GOOGLEFINANCE(A381,""TRADETIME""),)"),46086.64583333333)</f>
        <v>46086.64583</v>
      </c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67" t="s">
        <v>428</v>
      </c>
      <c r="B382" s="60" t="str">
        <f>IFERROR(__xludf.DUMMYFUNCTION("IFERROR(GOOGLEFINANCE(A382,""NAME""),)"),"Dwarikesh Sugar Industries Ltd")</f>
        <v>Dwarikesh Sugar Industries Ltd</v>
      </c>
      <c r="C382" s="60">
        <f>IFERROR(__xludf.DUMMYFUNCTION("IFERROR(GOOGLEFINANCE(A382,""CHANGE""),)"),0.77)</f>
        <v>0.77</v>
      </c>
      <c r="D382" s="60">
        <f>IFERROR(__xludf.DUMMYFUNCTION("IFERROR(GOOGLEFINANCE(A382,""CHANGEPCT""),)"),1.94)</f>
        <v>1.94</v>
      </c>
      <c r="E382" s="60" t="str">
        <f t="shared" si="1"/>
        <v>1.94%</v>
      </c>
      <c r="F382" s="60">
        <f t="shared" si="2"/>
        <v>1.94</v>
      </c>
      <c r="G382" s="60" t="str">
        <f t="shared" si="3"/>
        <v/>
      </c>
      <c r="H382" s="60">
        <f>IFERROR(__xludf.DUMMYFUNCTION("IFERROR(GOOGLEFINANCE(A382,""PRICE""),)"),40.4)</f>
        <v>40.4</v>
      </c>
      <c r="I382" s="61">
        <f>IFERROR(__xludf.DUMMYFUNCTION("IFERROR(GOOGLEFINANCE(A382,""VOLUME""),)"),2036056.0)</f>
        <v>2036056</v>
      </c>
      <c r="J382" s="60" t="str">
        <f>IFERROR(__xludf.DUMMYFUNCTION("IFERROR(INDEX(SPLIT(A382,"":""),1,2),)"),"DWARKESH")</f>
        <v>DWARKESH</v>
      </c>
      <c r="K382" s="60">
        <f t="shared" si="4"/>
        <v>453</v>
      </c>
      <c r="L382" s="60" t="str">
        <f t="shared" si="5"/>
        <v/>
      </c>
      <c r="M382" s="60">
        <f t="shared" si="6"/>
        <v>200</v>
      </c>
      <c r="N382" s="62">
        <f>IFERROR(__xludf.DUMMYFUNCTION("IFERROR(GOOGLEFINANCE(A382,""TRADETIME""),)"),46086.64583333333)</f>
        <v>46086.64583</v>
      </c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68" t="s">
        <v>429</v>
      </c>
      <c r="B383" s="64" t="str">
        <f>IFERROR(__xludf.DUMMYFUNCTION("IFERROR(GOOGLEFINANCE(A383,""NAME""),)"),"Dynamatic Technologies Ltd")</f>
        <v>Dynamatic Technologies Ltd</v>
      </c>
      <c r="C383" s="64">
        <f>IFERROR(__xludf.DUMMYFUNCTION("IFERROR(GOOGLEFINANCE(A383,""CHANGE""),)"),2.0)</f>
        <v>2</v>
      </c>
      <c r="D383" s="64">
        <f>IFERROR(__xludf.DUMMYFUNCTION("IFERROR(GOOGLEFINANCE(A383,""CHANGEPCT""),)"),0.02)</f>
        <v>0.02</v>
      </c>
      <c r="E383" s="64" t="str">
        <f t="shared" si="1"/>
        <v>0.02%</v>
      </c>
      <c r="F383" s="64">
        <f t="shared" si="2"/>
        <v>0.02</v>
      </c>
      <c r="G383" s="64" t="str">
        <f t="shared" si="3"/>
        <v/>
      </c>
      <c r="H383" s="64">
        <f>IFERROR(__xludf.DUMMYFUNCTION("IFERROR(GOOGLEFINANCE(A383,""PRICE""),)"),10672.0)</f>
        <v>10672</v>
      </c>
      <c r="I383" s="65">
        <f>IFERROR(__xludf.DUMMYFUNCTION("IFERROR(GOOGLEFINANCE(A383,""VOLUME""),)"),35357.0)</f>
        <v>35357</v>
      </c>
      <c r="J383" s="64" t="str">
        <f>IFERROR(__xludf.DUMMYFUNCTION("IFERROR(INDEX(SPLIT(A383,"":""),1,2),)"),"DYNAMATECH")</f>
        <v>DYNAMATECH</v>
      </c>
      <c r="K383" s="64">
        <f t="shared" si="4"/>
        <v>997</v>
      </c>
      <c r="L383" s="64" t="str">
        <f t="shared" si="5"/>
        <v/>
      </c>
      <c r="M383" s="64">
        <f t="shared" si="6"/>
        <v>1016</v>
      </c>
      <c r="N383" s="66">
        <f>IFERROR(__xludf.DUMMYFUNCTION("IFERROR(GOOGLEFINANCE(A383,""TRADETIME""),)"),46086.640428240746)</f>
        <v>46086.64043</v>
      </c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67" t="s">
        <v>430</v>
      </c>
      <c r="B384" s="60" t="str">
        <f>IFERROR(__xludf.DUMMYFUNCTION("IFERROR(GOOGLEFINANCE(A384,""NAME""),)"),"Dynemic Products Ltd")</f>
        <v>Dynemic Products Ltd</v>
      </c>
      <c r="C384" s="60">
        <f>IFERROR(__xludf.DUMMYFUNCTION("IFERROR(GOOGLEFINANCE(A384,""CHANGE""),)"),2.26)</f>
        <v>2.26</v>
      </c>
      <c r="D384" s="60">
        <f>IFERROR(__xludf.DUMMYFUNCTION("IFERROR(GOOGLEFINANCE(A384,""CHANGEPCT""),)"),1.02)</f>
        <v>1.02</v>
      </c>
      <c r="E384" s="60" t="str">
        <f t="shared" si="1"/>
        <v>1.02%</v>
      </c>
      <c r="F384" s="60">
        <f t="shared" si="2"/>
        <v>1.02</v>
      </c>
      <c r="G384" s="60" t="str">
        <f t="shared" si="3"/>
        <v/>
      </c>
      <c r="H384" s="60">
        <f>IFERROR(__xludf.DUMMYFUNCTION("IFERROR(GOOGLEFINANCE(A384,""PRICE""),)"),224.0)</f>
        <v>224</v>
      </c>
      <c r="I384" s="61">
        <f>IFERROR(__xludf.DUMMYFUNCTION("IFERROR(GOOGLEFINANCE(A384,""VOLUME""),)"),17224.0)</f>
        <v>17224</v>
      </c>
      <c r="J384" s="60" t="str">
        <f>IFERROR(__xludf.DUMMYFUNCTION("IFERROR(INDEX(SPLIT(A384,"":""),1,2),)"),"DYNPRO")</f>
        <v>DYNPRO</v>
      </c>
      <c r="K384" s="60">
        <f t="shared" si="4"/>
        <v>715</v>
      </c>
      <c r="L384" s="60" t="str">
        <f t="shared" si="5"/>
        <v/>
      </c>
      <c r="M384" s="60">
        <f t="shared" si="6"/>
        <v>1176</v>
      </c>
      <c r="N384" s="62">
        <f>IFERROR(__xludf.DUMMYFUNCTION("IFERROR(GOOGLEFINANCE(A384,""TRADETIME""),)"),46086.64583333333)</f>
        <v>46086.64583</v>
      </c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68" t="s">
        <v>431</v>
      </c>
      <c r="B385" s="64" t="str">
        <f>IFERROR(__xludf.DUMMYFUNCTION("IFERROR(GOOGLEFINANCE(A385,""NAME""),)"),"Delphi World Money Ltd")</f>
        <v>Delphi World Money Ltd</v>
      </c>
      <c r="C385" s="64">
        <f>IFERROR(__xludf.DUMMYFUNCTION("IFERROR(GOOGLEFINANCE(A385,""CHANGE""),)"),0.74)</f>
        <v>0.74</v>
      </c>
      <c r="D385" s="64">
        <f>IFERROR(__xludf.DUMMYFUNCTION("IFERROR(GOOGLEFINANCE(A385,""CHANGEPCT""),)"),6.13)</f>
        <v>6.13</v>
      </c>
      <c r="E385" s="64" t="str">
        <f t="shared" si="1"/>
        <v>6.13%</v>
      </c>
      <c r="F385" s="64">
        <f t="shared" si="2"/>
        <v>6.13</v>
      </c>
      <c r="G385" s="64" t="str">
        <f t="shared" si="3"/>
        <v/>
      </c>
      <c r="H385" s="64">
        <f>IFERROR(__xludf.DUMMYFUNCTION("IFERROR(GOOGLEFINANCE(A385,""PRICE""),)"),12.25)</f>
        <v>12.25</v>
      </c>
      <c r="I385" s="65">
        <f>IFERROR(__xludf.DUMMYFUNCTION("IFERROR(GOOGLEFINANCE(A385,""VOLUME""),)"),767823.0)</f>
        <v>767823</v>
      </c>
      <c r="J385" s="64" t="str">
        <f>IFERROR(__xludf.DUMMYFUNCTION("IFERROR(INDEX(SPLIT(A385,"":""),1,2),)"),"DELPHIFX")</f>
        <v>DELPHIFX</v>
      </c>
      <c r="K385" s="64">
        <f t="shared" si="4"/>
        <v>40</v>
      </c>
      <c r="L385" s="64" t="str">
        <f t="shared" si="5"/>
        <v/>
      </c>
      <c r="M385" s="64">
        <f t="shared" si="6"/>
        <v>322</v>
      </c>
      <c r="N385" s="66">
        <f>IFERROR(__xludf.DUMMYFUNCTION("IFERROR(GOOGLEFINANCE(A385,""TRADETIME""),)"),46086.64583333333)</f>
        <v>46086.64583</v>
      </c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67" t="s">
        <v>432</v>
      </c>
      <c r="B386" s="60" t="str">
        <f>IFERROR(__xludf.DUMMYFUNCTION("IFERROR(GOOGLEFINANCE(A386,""NAME""),)"),"eClerx Services Limited")</f>
        <v>eClerx Services Limited</v>
      </c>
      <c r="C386" s="60">
        <f>IFERROR(__xludf.DUMMYFUNCTION("IFERROR(GOOGLEFINANCE(A386,""CHANGE""),)"),-108.3)</f>
        <v>-108.3</v>
      </c>
      <c r="D386" s="60">
        <f>IFERROR(__xludf.DUMMYFUNCTION("IFERROR(GOOGLEFINANCE(A386,""CHANGEPCT""),)"),-3.36)</f>
        <v>-3.36</v>
      </c>
      <c r="E386" s="60" t="str">
        <f t="shared" si="1"/>
        <v>-3.36%</v>
      </c>
      <c r="F386" s="60" t="str">
        <f t="shared" si="2"/>
        <v/>
      </c>
      <c r="G386" s="60">
        <f t="shared" si="3"/>
        <v>-3.36</v>
      </c>
      <c r="H386" s="60">
        <f>IFERROR(__xludf.DUMMYFUNCTION("IFERROR(GOOGLEFINANCE(A386,""PRICE""),)"),3103.1)</f>
        <v>3103.1</v>
      </c>
      <c r="I386" s="61">
        <f>IFERROR(__xludf.DUMMYFUNCTION("IFERROR(GOOGLEFINANCE(A386,""VOLUME""),)"),131137.0)</f>
        <v>131137</v>
      </c>
      <c r="J386" s="60" t="str">
        <f>IFERROR(__xludf.DUMMYFUNCTION("IFERROR(INDEX(SPLIT(A386,"":""),1,2),)"),"ECLERX")</f>
        <v>ECLERX</v>
      </c>
      <c r="K386" s="60" t="str">
        <f t="shared" si="4"/>
        <v/>
      </c>
      <c r="L386" s="60">
        <f t="shared" si="5"/>
        <v>415</v>
      </c>
      <c r="M386" s="60">
        <f t="shared" si="6"/>
        <v>699</v>
      </c>
      <c r="N386" s="62">
        <f>IFERROR(__xludf.DUMMYFUNCTION("IFERROR(GOOGLEFINANCE(A386,""TRADETIME""),)"),46086.64583333333)</f>
        <v>46086.64583</v>
      </c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68" t="s">
        <v>433</v>
      </c>
      <c r="B387" s="64" t="str">
        <f>IFERROR(__xludf.DUMMYFUNCTION("IFERROR(GOOGLEFINANCE(A387,""NAME""),)"),"Edelweiss Financial Services Ltd")</f>
        <v>Edelweiss Financial Services Ltd</v>
      </c>
      <c r="C387" s="64">
        <f>IFERROR(__xludf.DUMMYFUNCTION("IFERROR(GOOGLEFINANCE(A387,""CHANGE""),)"),1.34)</f>
        <v>1.34</v>
      </c>
      <c r="D387" s="64">
        <f>IFERROR(__xludf.DUMMYFUNCTION("IFERROR(GOOGLEFINANCE(A387,""CHANGEPCT""),)"),1.24)</f>
        <v>1.24</v>
      </c>
      <c r="E387" s="64" t="str">
        <f t="shared" si="1"/>
        <v>1.24%</v>
      </c>
      <c r="F387" s="64">
        <f t="shared" si="2"/>
        <v>1.24</v>
      </c>
      <c r="G387" s="64" t="str">
        <f t="shared" si="3"/>
        <v/>
      </c>
      <c r="H387" s="64">
        <f>IFERROR(__xludf.DUMMYFUNCTION("IFERROR(GOOGLEFINANCE(A387,""PRICE""),)"),109.13)</f>
        <v>109.13</v>
      </c>
      <c r="I387" s="65">
        <f>IFERROR(__xludf.DUMMYFUNCTION("IFERROR(GOOGLEFINANCE(A387,""VOLUME""),)"),5421275.0)</f>
        <v>5421275</v>
      </c>
      <c r="J387" s="64" t="str">
        <f>IFERROR(__xludf.DUMMYFUNCTION("IFERROR(INDEX(SPLIT(A387,"":""),1,2),)"),"EDELWEISS")</f>
        <v>EDELWEISS</v>
      </c>
      <c r="K387" s="64">
        <f t="shared" si="4"/>
        <v>656</v>
      </c>
      <c r="L387" s="64" t="str">
        <f t="shared" si="5"/>
        <v/>
      </c>
      <c r="M387" s="64">
        <f t="shared" si="6"/>
        <v>101</v>
      </c>
      <c r="N387" s="66">
        <f>IFERROR(__xludf.DUMMYFUNCTION("IFERROR(GOOGLEFINANCE(A387,""TRADETIME""),)"),46086.64584490741)</f>
        <v>46086.64584</v>
      </c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67" t="s">
        <v>434</v>
      </c>
      <c r="B388" s="60" t="str">
        <f>IFERROR(__xludf.DUMMYFUNCTION("IFERROR(GOOGLEFINANCE(A388,""NAME""),)"),"Educomp Solutions Ltd")</f>
        <v>Educomp Solutions Ltd</v>
      </c>
      <c r="C388" s="60">
        <f>IFERROR(__xludf.DUMMYFUNCTION("IFERROR(GOOGLEFINANCE(A388,""CHANGE""),)"),-0.02)</f>
        <v>-0.02</v>
      </c>
      <c r="D388" s="60">
        <f>IFERROR(__xludf.DUMMYFUNCTION("IFERROR(GOOGLEFINANCE(A388,""CHANGEPCT""),)"),-1.87)</f>
        <v>-1.87</v>
      </c>
      <c r="E388" s="60" t="str">
        <f t="shared" si="1"/>
        <v>-1.87%</v>
      </c>
      <c r="F388" s="60" t="str">
        <f t="shared" si="2"/>
        <v/>
      </c>
      <c r="G388" s="60">
        <f t="shared" si="3"/>
        <v>-1.87</v>
      </c>
      <c r="H388" s="60">
        <f>IFERROR(__xludf.DUMMYFUNCTION("IFERROR(GOOGLEFINANCE(A388,""PRICE""),)"),1.05)</f>
        <v>1.05</v>
      </c>
      <c r="I388" s="61">
        <f>IFERROR(__xludf.DUMMYFUNCTION("IFERROR(GOOGLEFINANCE(A388,""VOLUME""),)"),143189.0)</f>
        <v>143189</v>
      </c>
      <c r="J388" s="60" t="str">
        <f>IFERROR(__xludf.DUMMYFUNCTION("IFERROR(INDEX(SPLIT(A388,"":""),1,2),)"),"EDUCOMP")</f>
        <v>EDUCOMP</v>
      </c>
      <c r="K388" s="60" t="str">
        <f t="shared" si="4"/>
        <v/>
      </c>
      <c r="L388" s="60">
        <f t="shared" si="5"/>
        <v>332</v>
      </c>
      <c r="M388" s="60">
        <f t="shared" si="6"/>
        <v>684</v>
      </c>
      <c r="N388" s="62">
        <f>IFERROR(__xludf.DUMMYFUNCTION("IFERROR(GOOGLEFINANCE(A388,""TRADETIME""),)"),46083.64583333333)</f>
        <v>46083.64583</v>
      </c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68" t="s">
        <v>435</v>
      </c>
      <c r="B389" s="64" t="str">
        <f>IFERROR(__xludf.DUMMYFUNCTION("IFERROR(GOOGLEFINANCE(A389,""NAME""),)"),"Eicher Motors Ltd")</f>
        <v>Eicher Motors Ltd</v>
      </c>
      <c r="C389" s="64">
        <f>IFERROR(__xludf.DUMMYFUNCTION("IFERROR(GOOGLEFINANCE(A389,""CHANGE""),)"),123.5)</f>
        <v>123.5</v>
      </c>
      <c r="D389" s="64">
        <f>IFERROR(__xludf.DUMMYFUNCTION("IFERROR(GOOGLEFINANCE(A389,""CHANGEPCT""),)"),1.51)</f>
        <v>1.51</v>
      </c>
      <c r="E389" s="64" t="str">
        <f t="shared" si="1"/>
        <v>1.51%</v>
      </c>
      <c r="F389" s="64">
        <f t="shared" si="2"/>
        <v>1.51</v>
      </c>
      <c r="G389" s="64" t="str">
        <f t="shared" si="3"/>
        <v/>
      </c>
      <c r="H389" s="64">
        <f>IFERROR(__xludf.DUMMYFUNCTION("IFERROR(GOOGLEFINANCE(A389,""PRICE""),)"),7742.0)</f>
        <v>7742</v>
      </c>
      <c r="I389" s="65">
        <f>IFERROR(__xludf.DUMMYFUNCTION("IFERROR(GOOGLEFINANCE(A389,""VOLUME""),)"),568136.0)</f>
        <v>568136</v>
      </c>
      <c r="J389" s="64" t="str">
        <f>IFERROR(__xludf.DUMMYFUNCTION("IFERROR(INDEX(SPLIT(A389,"":""),1,2),)"),"EICHERMOT")</f>
        <v>EICHERMOT</v>
      </c>
      <c r="K389" s="64">
        <f t="shared" si="4"/>
        <v>569</v>
      </c>
      <c r="L389" s="64" t="str">
        <f t="shared" si="5"/>
        <v/>
      </c>
      <c r="M389" s="64">
        <f t="shared" si="6"/>
        <v>382</v>
      </c>
      <c r="N389" s="66">
        <f>IFERROR(__xludf.DUMMYFUNCTION("IFERROR(GOOGLEFINANCE(A389,""TRADETIME""),)"),46086.64583333333)</f>
        <v>46086.64583</v>
      </c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9" t="s">
        <v>436</v>
      </c>
      <c r="B390" s="60" t="str">
        <f>IFERROR(__xludf.DUMMYFUNCTION("IFERROR(GOOGLEFINANCE(A390,""NAME""),)"),"Electrotherm (India) Ltd")</f>
        <v>Electrotherm (India) Ltd</v>
      </c>
      <c r="C390" s="60">
        <f>IFERROR(__xludf.DUMMYFUNCTION("IFERROR(GOOGLEFINANCE(A390,""CHANGE""),)"),-9.2)</f>
        <v>-9.2</v>
      </c>
      <c r="D390" s="60">
        <f>IFERROR(__xludf.DUMMYFUNCTION("IFERROR(GOOGLEFINANCE(A390,""CHANGEPCT""),)"),-1.39)</f>
        <v>-1.39</v>
      </c>
      <c r="E390" s="60" t="str">
        <f t="shared" si="1"/>
        <v>-1.39%</v>
      </c>
      <c r="F390" s="60" t="str">
        <f t="shared" si="2"/>
        <v/>
      </c>
      <c r="G390" s="60">
        <f t="shared" si="3"/>
        <v>-1.39</v>
      </c>
      <c r="H390" s="60">
        <f>IFERROR(__xludf.DUMMYFUNCTION("IFERROR(GOOGLEFINANCE(A390,""PRICE""),)"),653.0)</f>
        <v>653</v>
      </c>
      <c r="I390" s="61">
        <f>IFERROR(__xludf.DUMMYFUNCTION("IFERROR(GOOGLEFINANCE(A390,""VOLUME""),)"),12390.0)</f>
        <v>12390</v>
      </c>
      <c r="J390" s="60" t="str">
        <f>IFERROR(__xludf.DUMMYFUNCTION("IFERROR(INDEX(SPLIT(A390,"":""),1,2),)"),"ELECTHERM")</f>
        <v>ELECTHERM</v>
      </c>
      <c r="K390" s="60" t="str">
        <f t="shared" si="4"/>
        <v/>
      </c>
      <c r="L390" s="60">
        <f t="shared" si="5"/>
        <v>281</v>
      </c>
      <c r="M390" s="60">
        <f t="shared" si="6"/>
        <v>1225</v>
      </c>
      <c r="N390" s="62">
        <f>IFERROR(__xludf.DUMMYFUNCTION("IFERROR(GOOGLEFINANCE(A390,""TRADETIME""),)"),46086.64583333333)</f>
        <v>46086.64583</v>
      </c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68" t="s">
        <v>437</v>
      </c>
      <c r="B391" s="64" t="str">
        <f>IFERROR(__xludf.DUMMYFUNCTION("IFERROR(GOOGLEFINANCE(A391,""NAME""),)"),"EIH Associated Hotels Ltd")</f>
        <v>EIH Associated Hotels Ltd</v>
      </c>
      <c r="C391" s="64">
        <f>IFERROR(__xludf.DUMMYFUNCTION("IFERROR(GOOGLEFINANCE(A391,""CHANGE""),)"),9.2)</f>
        <v>9.2</v>
      </c>
      <c r="D391" s="64">
        <f>IFERROR(__xludf.DUMMYFUNCTION("IFERROR(GOOGLEFINANCE(A391,""CHANGEPCT""),)"),2.94)</f>
        <v>2.94</v>
      </c>
      <c r="E391" s="64" t="str">
        <f t="shared" si="1"/>
        <v>2.94%</v>
      </c>
      <c r="F391" s="64">
        <f t="shared" si="2"/>
        <v>2.94</v>
      </c>
      <c r="G391" s="64" t="str">
        <f t="shared" si="3"/>
        <v/>
      </c>
      <c r="H391" s="64">
        <f>IFERROR(__xludf.DUMMYFUNCTION("IFERROR(GOOGLEFINANCE(A391,""PRICE""),)"),324.0)</f>
        <v>324</v>
      </c>
      <c r="I391" s="65">
        <f>IFERROR(__xludf.DUMMYFUNCTION("IFERROR(GOOGLEFINANCE(A391,""VOLUME""),)"),152747.0)</f>
        <v>152747</v>
      </c>
      <c r="J391" s="64" t="str">
        <f>IFERROR(__xludf.DUMMYFUNCTION("IFERROR(INDEX(SPLIT(A391,"":""),1,2),)"),"EIHAHOTELS")</f>
        <v>EIHAHOTELS</v>
      </c>
      <c r="K391" s="64">
        <f t="shared" si="4"/>
        <v>266</v>
      </c>
      <c r="L391" s="64" t="str">
        <f t="shared" si="5"/>
        <v/>
      </c>
      <c r="M391" s="64">
        <f t="shared" si="6"/>
        <v>670</v>
      </c>
      <c r="N391" s="66">
        <f>IFERROR(__xludf.DUMMYFUNCTION("IFERROR(GOOGLEFINANCE(A391,""TRADETIME""),)"),46086.642905092594)</f>
        <v>46086.64291</v>
      </c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67" t="s">
        <v>438</v>
      </c>
      <c r="B392" s="60" t="str">
        <f>IFERROR(__xludf.DUMMYFUNCTION("IFERROR(GOOGLEFINANCE(A392,""NAME""),)"),"EIH Ltd")</f>
        <v>EIH Ltd</v>
      </c>
      <c r="C392" s="60">
        <f>IFERROR(__xludf.DUMMYFUNCTION("IFERROR(GOOGLEFINANCE(A392,""CHANGE""),)"),12.05)</f>
        <v>12.05</v>
      </c>
      <c r="D392" s="60">
        <f>IFERROR(__xludf.DUMMYFUNCTION("IFERROR(GOOGLEFINANCE(A392,""CHANGEPCT""),)"),3.99)</f>
        <v>3.99</v>
      </c>
      <c r="E392" s="60" t="str">
        <f t="shared" si="1"/>
        <v>3.99%</v>
      </c>
      <c r="F392" s="60">
        <f t="shared" si="2"/>
        <v>3.99</v>
      </c>
      <c r="G392" s="60" t="str">
        <f t="shared" si="3"/>
        <v/>
      </c>
      <c r="H392" s="60">
        <f>IFERROR(__xludf.DUMMYFUNCTION("IFERROR(GOOGLEFINANCE(A392,""PRICE""),)"),324.6)</f>
        <v>324.6</v>
      </c>
      <c r="I392" s="61">
        <f>IFERROR(__xludf.DUMMYFUNCTION("IFERROR(GOOGLEFINANCE(A392,""VOLUME""),)"),7970940.0)</f>
        <v>7970940</v>
      </c>
      <c r="J392" s="60" t="str">
        <f>IFERROR(__xludf.DUMMYFUNCTION("IFERROR(INDEX(SPLIT(A392,"":""),1,2),)"),"EIHOTEL")</f>
        <v>EIHOTEL</v>
      </c>
      <c r="K392" s="60">
        <f t="shared" si="4"/>
        <v>143</v>
      </c>
      <c r="L392" s="60" t="str">
        <f t="shared" si="5"/>
        <v/>
      </c>
      <c r="M392" s="60">
        <f t="shared" si="6"/>
        <v>76</v>
      </c>
      <c r="N392" s="62">
        <f>IFERROR(__xludf.DUMMYFUNCTION("IFERROR(GOOGLEFINANCE(A392,""TRADETIME""),)"),46086.64584490741)</f>
        <v>46086.64584</v>
      </c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63" t="s">
        <v>439</v>
      </c>
      <c r="B393" s="64" t="str">
        <f>IFERROR(__xludf.DUMMYFUNCTION("IFERROR(GOOGLEFINANCE(A393,""NAME""),)"),"Entertainment Network (India) Ltd")</f>
        <v>Entertainment Network (India) Ltd</v>
      </c>
      <c r="C393" s="64">
        <f>IFERROR(__xludf.DUMMYFUNCTION("IFERROR(GOOGLEFINANCE(A393,""CHANGE""),)"),1.17)</f>
        <v>1.17</v>
      </c>
      <c r="D393" s="64">
        <f>IFERROR(__xludf.DUMMYFUNCTION("IFERROR(GOOGLEFINANCE(A393,""CHANGEPCT""),)"),1.11)</f>
        <v>1.11</v>
      </c>
      <c r="E393" s="64" t="str">
        <f t="shared" si="1"/>
        <v>1.11%</v>
      </c>
      <c r="F393" s="64">
        <f t="shared" si="2"/>
        <v>1.11</v>
      </c>
      <c r="G393" s="64" t="str">
        <f t="shared" si="3"/>
        <v/>
      </c>
      <c r="H393" s="64">
        <f>IFERROR(__xludf.DUMMYFUNCTION("IFERROR(GOOGLEFINANCE(A393,""PRICE""),)"),106.75)</f>
        <v>106.75</v>
      </c>
      <c r="I393" s="65">
        <f>IFERROR(__xludf.DUMMYFUNCTION("IFERROR(GOOGLEFINANCE(A393,""VOLUME""),)"),24749.0)</f>
        <v>24749</v>
      </c>
      <c r="J393" s="64" t="str">
        <f>IFERROR(__xludf.DUMMYFUNCTION("IFERROR(INDEX(SPLIT(A393,"":""),1,2),)"),"ENIL")</f>
        <v>ENIL</v>
      </c>
      <c r="K393" s="64">
        <f t="shared" si="4"/>
        <v>687</v>
      </c>
      <c r="L393" s="64" t="str">
        <f t="shared" si="5"/>
        <v/>
      </c>
      <c r="M393" s="64">
        <f t="shared" si="6"/>
        <v>1098</v>
      </c>
      <c r="N393" s="66">
        <f>IFERROR(__xludf.DUMMYFUNCTION("IFERROR(GOOGLEFINANCE(A393,""TRADETIME""),)"),46086.64583333333)</f>
        <v>46086.64583</v>
      </c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67" t="s">
        <v>440</v>
      </c>
      <c r="B394" s="60" t="str">
        <f>IFERROR(__xludf.DUMMYFUNCTION("IFERROR(GOOGLEFINANCE(A394,""NAME""),)"),"Everest Kanto Cylinder Ltd")</f>
        <v>Everest Kanto Cylinder Ltd</v>
      </c>
      <c r="C394" s="60">
        <f>IFERROR(__xludf.DUMMYFUNCTION("IFERROR(GOOGLEFINANCE(A394,""CHANGE""),)"),0.48)</f>
        <v>0.48</v>
      </c>
      <c r="D394" s="60">
        <f>IFERROR(__xludf.DUMMYFUNCTION("IFERROR(GOOGLEFINANCE(A394,""CHANGEPCT""),)"),0.2)</f>
        <v>0.2</v>
      </c>
      <c r="E394" s="60" t="str">
        <f t="shared" si="1"/>
        <v>0.2%</v>
      </c>
      <c r="F394" s="60">
        <f t="shared" si="2"/>
        <v>0.2</v>
      </c>
      <c r="G394" s="60" t="str">
        <f t="shared" si="3"/>
        <v/>
      </c>
      <c r="H394" s="60">
        <f>IFERROR(__xludf.DUMMYFUNCTION("IFERROR(GOOGLEFINANCE(A394,""PRICE""),)"),105.18)</f>
        <v>105.18</v>
      </c>
      <c r="I394" s="61">
        <f>IFERROR(__xludf.DUMMYFUNCTION("IFERROR(GOOGLEFINANCE(A394,""VOLUME""),)"),164441.0)</f>
        <v>164441</v>
      </c>
      <c r="J394" s="60" t="str">
        <f>IFERROR(__xludf.DUMMYFUNCTION("IFERROR(INDEX(SPLIT(A394,"":""),1,2),)"),"EKC")</f>
        <v>EKC</v>
      </c>
      <c r="K394" s="60">
        <f t="shared" si="4"/>
        <v>950</v>
      </c>
      <c r="L394" s="60" t="str">
        <f t="shared" si="5"/>
        <v/>
      </c>
      <c r="M394" s="60">
        <f t="shared" si="6"/>
        <v>648</v>
      </c>
      <c r="N394" s="62">
        <f>IFERROR(__xludf.DUMMYFUNCTION("IFERROR(GOOGLEFINANCE(A394,""TRADETIME""),)"),46086.64585648148)</f>
        <v>46086.64586</v>
      </c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68" t="s">
        <v>441</v>
      </c>
      <c r="B395" s="64" t="str">
        <f>IFERROR(__xludf.DUMMYFUNCTION("IFERROR(GOOGLEFINANCE(A395,""NAME""),)"),"Elecon Engineering Company Ltd")</f>
        <v>Elecon Engineering Company Ltd</v>
      </c>
      <c r="C395" s="64">
        <f>IFERROR(__xludf.DUMMYFUNCTION("IFERROR(GOOGLEFINANCE(A395,""CHANGE""),)"),8.45)</f>
        <v>8.45</v>
      </c>
      <c r="D395" s="64">
        <f>IFERROR(__xludf.DUMMYFUNCTION("IFERROR(GOOGLEFINANCE(A395,""CHANGEPCT""),)"),1.17)</f>
        <v>1.17</v>
      </c>
      <c r="E395" s="64" t="str">
        <f t="shared" si="1"/>
        <v>1.17%</v>
      </c>
      <c r="F395" s="64">
        <f t="shared" si="2"/>
        <v>1.17</v>
      </c>
      <c r="G395" s="64" t="str">
        <f t="shared" si="3"/>
        <v/>
      </c>
      <c r="H395" s="64">
        <f>IFERROR(__xludf.DUMMYFUNCTION("IFERROR(GOOGLEFINANCE(A395,""PRICE""),)"),397.0)</f>
        <v>397</v>
      </c>
      <c r="I395" s="65">
        <f>IFERROR(__xludf.DUMMYFUNCTION("IFERROR(GOOGLEFINANCE(A395,""VOLUME""),)"),214598.0)</f>
        <v>214598</v>
      </c>
      <c r="J395" s="64" t="str">
        <f>IFERROR(__xludf.DUMMYFUNCTION("IFERROR(INDEX(SPLIT(A395,"":""),1,2),)"),"ELECON")</f>
        <v>ELECON</v>
      </c>
      <c r="K395" s="64">
        <f t="shared" si="4"/>
        <v>672</v>
      </c>
      <c r="L395" s="64" t="str">
        <f t="shared" si="5"/>
        <v/>
      </c>
      <c r="M395" s="64">
        <f t="shared" si="6"/>
        <v>584</v>
      </c>
      <c r="N395" s="66">
        <f>IFERROR(__xludf.DUMMYFUNCTION("IFERROR(GOOGLEFINANCE(A395,""TRADETIME""),)"),46086.64584490741)</f>
        <v>46086.64584</v>
      </c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67" t="s">
        <v>442</v>
      </c>
      <c r="B396" s="60" t="str">
        <f>IFERROR(__xludf.DUMMYFUNCTION("IFERROR(GOOGLEFINANCE(A396,""NAME""),)"),"Electrosteel Castings Ltd")</f>
        <v>Electrosteel Castings Ltd</v>
      </c>
      <c r="C396" s="60">
        <f>IFERROR(__xludf.DUMMYFUNCTION("IFERROR(GOOGLEFINANCE(A396,""CHANGE""),)"),-0.78)</f>
        <v>-0.78</v>
      </c>
      <c r="D396" s="60">
        <f>IFERROR(__xludf.DUMMYFUNCTION("IFERROR(GOOGLEFINANCE(A396,""CHANGEPCT""),)"),-1.19)</f>
        <v>-1.19</v>
      </c>
      <c r="E396" s="60" t="str">
        <f t="shared" si="1"/>
        <v>-1.19%</v>
      </c>
      <c r="F396" s="60" t="str">
        <f t="shared" si="2"/>
        <v/>
      </c>
      <c r="G396" s="60">
        <f t="shared" si="3"/>
        <v>-1.19</v>
      </c>
      <c r="H396" s="60">
        <f>IFERROR(__xludf.DUMMYFUNCTION("IFERROR(GOOGLEFINANCE(A396,""PRICE""),)"),64.55)</f>
        <v>64.55</v>
      </c>
      <c r="I396" s="61">
        <f>IFERROR(__xludf.DUMMYFUNCTION("IFERROR(GOOGLEFINANCE(A396,""VOLUME""),)"),2027540.0)</f>
        <v>2027540</v>
      </c>
      <c r="J396" s="60" t="str">
        <f>IFERROR(__xludf.DUMMYFUNCTION("IFERROR(INDEX(SPLIT(A396,"":""),1,2),)"),"ELECTCAST")</f>
        <v>ELECTCAST</v>
      </c>
      <c r="K396" s="60" t="str">
        <f t="shared" si="4"/>
        <v/>
      </c>
      <c r="L396" s="60">
        <f t="shared" si="5"/>
        <v>246</v>
      </c>
      <c r="M396" s="60">
        <f t="shared" si="6"/>
        <v>201</v>
      </c>
      <c r="N396" s="62">
        <f>IFERROR(__xludf.DUMMYFUNCTION("IFERROR(GOOGLEFINANCE(A396,""TRADETIME""),)"),46086.64583333333)</f>
        <v>46086.64583</v>
      </c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63" t="s">
        <v>443</v>
      </c>
      <c r="B397" s="64" t="str">
        <f>IFERROR(__xludf.DUMMYFUNCTION("IFERROR(GOOGLEFINANCE(A397,""NAME""),)"),"Federal-Mogul Goetze (India) Ltd")</f>
        <v>Federal-Mogul Goetze (India) Ltd</v>
      </c>
      <c r="C397" s="64">
        <f>IFERROR(__xludf.DUMMYFUNCTION("IFERROR(GOOGLEFINANCE(A397,""CHANGE""),)"),-1.2)</f>
        <v>-1.2</v>
      </c>
      <c r="D397" s="64">
        <f>IFERROR(__xludf.DUMMYFUNCTION("IFERROR(GOOGLEFINANCE(A397,""CHANGEPCT""),)"),-0.5)</f>
        <v>-0.5</v>
      </c>
      <c r="E397" s="64" t="str">
        <f t="shared" si="1"/>
        <v>-0.5%</v>
      </c>
      <c r="F397" s="64" t="str">
        <f t="shared" si="2"/>
        <v/>
      </c>
      <c r="G397" s="64">
        <f t="shared" si="3"/>
        <v>-0.5</v>
      </c>
      <c r="H397" s="64">
        <f>IFERROR(__xludf.DUMMYFUNCTION("IFERROR(GOOGLEFINANCE(A397,""PRICE""),)"),386.8)</f>
        <v>386.8</v>
      </c>
      <c r="I397" s="65">
        <f>IFERROR(__xludf.DUMMYFUNCTION("IFERROR(GOOGLEFINANCE(A397,""VOLUME""),)"),61517.0)</f>
        <v>61517</v>
      </c>
      <c r="J397" s="64" t="str">
        <f>IFERROR(__xludf.DUMMYFUNCTION("IFERROR(INDEX(SPLIT(A397,"":""),1,2),)"),"FMGOETZE")</f>
        <v>FMGOETZE</v>
      </c>
      <c r="K397" s="64" t="str">
        <f t="shared" si="4"/>
        <v/>
      </c>
      <c r="L397" s="64">
        <f t="shared" si="5"/>
        <v>118</v>
      </c>
      <c r="M397" s="64">
        <f t="shared" si="6"/>
        <v>874</v>
      </c>
      <c r="N397" s="66">
        <f>IFERROR(__xludf.DUMMYFUNCTION("IFERROR(GOOGLEFINANCE(A397,""TRADETIME""),)"),46086.64583333333)</f>
        <v>46086.64583</v>
      </c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67" t="s">
        <v>444</v>
      </c>
      <c r="B398" s="60" t="str">
        <f>IFERROR(__xludf.DUMMYFUNCTION("IFERROR(GOOGLEFINANCE(A398,""NAME""),)"),"ELGI Equipments Ltd")</f>
        <v>ELGI Equipments Ltd</v>
      </c>
      <c r="C398" s="60">
        <f>IFERROR(__xludf.DUMMYFUNCTION("IFERROR(GOOGLEFINANCE(A398,""CHANGE""),)"),22.4)</f>
        <v>22.4</v>
      </c>
      <c r="D398" s="60">
        <f>IFERROR(__xludf.DUMMYFUNCTION("IFERROR(GOOGLEFINANCE(A398,""CHANGEPCT""),)"),4.5)</f>
        <v>4.5</v>
      </c>
      <c r="E398" s="60" t="str">
        <f t="shared" si="1"/>
        <v>4.5%</v>
      </c>
      <c r="F398" s="60">
        <f t="shared" si="2"/>
        <v>4.5</v>
      </c>
      <c r="G398" s="60" t="str">
        <f t="shared" si="3"/>
        <v/>
      </c>
      <c r="H398" s="60">
        <f>IFERROR(__xludf.DUMMYFUNCTION("IFERROR(GOOGLEFINANCE(A398,""PRICE""),)"),519.95)</f>
        <v>519.95</v>
      </c>
      <c r="I398" s="61">
        <f>IFERROR(__xludf.DUMMYFUNCTION("IFERROR(GOOGLEFINANCE(A398,""VOLUME""),)"),509397.0)</f>
        <v>509397</v>
      </c>
      <c r="J398" s="60" t="str">
        <f>IFERROR(__xludf.DUMMYFUNCTION("IFERROR(INDEX(SPLIT(A398,"":""),1,2),)"),"ELGIEQUIP")</f>
        <v>ELGIEQUIP</v>
      </c>
      <c r="K398" s="60">
        <f t="shared" si="4"/>
        <v>111</v>
      </c>
      <c r="L398" s="60" t="str">
        <f t="shared" si="5"/>
        <v/>
      </c>
      <c r="M398" s="60">
        <f t="shared" si="6"/>
        <v>399</v>
      </c>
      <c r="N398" s="62">
        <f>IFERROR(__xludf.DUMMYFUNCTION("IFERROR(GOOGLEFINANCE(A398,""TRADETIME""),)"),46086.64583333333)</f>
        <v>46086.64583</v>
      </c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68" t="s">
        <v>445</v>
      </c>
      <c r="B399" s="64" t="str">
        <f>IFERROR(__xludf.DUMMYFUNCTION("IFERROR(GOOGLEFINANCE(A399,""NAME""),)"),"ELGI Rubber Co Ltd")</f>
        <v>ELGI Rubber Co Ltd</v>
      </c>
      <c r="C399" s="64">
        <f>IFERROR(__xludf.DUMMYFUNCTION("IFERROR(GOOGLEFINANCE(A399,""CHANGE""),)"),7.65)</f>
        <v>7.65</v>
      </c>
      <c r="D399" s="64">
        <f>IFERROR(__xludf.DUMMYFUNCTION("IFERROR(GOOGLEFINANCE(A399,""CHANGEPCT""),)"),20.0)</f>
        <v>20</v>
      </c>
      <c r="E399" s="64" t="str">
        <f t="shared" si="1"/>
        <v>20%</v>
      </c>
      <c r="F399" s="64">
        <f t="shared" si="2"/>
        <v>20</v>
      </c>
      <c r="G399" s="64" t="str">
        <f t="shared" si="3"/>
        <v/>
      </c>
      <c r="H399" s="64">
        <f>IFERROR(__xludf.DUMMYFUNCTION("IFERROR(GOOGLEFINANCE(A399,""PRICE""),)"),45.9)</f>
        <v>45.9</v>
      </c>
      <c r="I399" s="65">
        <f>IFERROR(__xludf.DUMMYFUNCTION("IFERROR(GOOGLEFINANCE(A399,""VOLUME""),)"),760412.0)</f>
        <v>760412</v>
      </c>
      <c r="J399" s="64" t="str">
        <f>IFERROR(__xludf.DUMMYFUNCTION("IFERROR(INDEX(SPLIT(A399,"":""),1,2),)"),"ELGIRUBCO")</f>
        <v>ELGIRUBCO</v>
      </c>
      <c r="K399" s="64">
        <f t="shared" si="4"/>
        <v>1</v>
      </c>
      <c r="L399" s="64" t="str">
        <f t="shared" si="5"/>
        <v/>
      </c>
      <c r="M399" s="64">
        <f t="shared" si="6"/>
        <v>325</v>
      </c>
      <c r="N399" s="66">
        <f>IFERROR(__xludf.DUMMYFUNCTION("IFERROR(GOOGLEFINANCE(A399,""TRADETIME""),)"),46086.64583333333)</f>
        <v>46086.64583</v>
      </c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67" t="s">
        <v>446</v>
      </c>
      <c r="B400" s="60" t="str">
        <f>IFERROR(__xludf.DUMMYFUNCTION("IFERROR(GOOGLEFINANCE(A400,""NAME""),)"),"Emami Ltd")</f>
        <v>Emami Ltd</v>
      </c>
      <c r="C400" s="60">
        <f>IFERROR(__xludf.DUMMYFUNCTION("IFERROR(GOOGLEFINANCE(A400,""CHANGE""),)"),7.7)</f>
        <v>7.7</v>
      </c>
      <c r="D400" s="60">
        <f>IFERROR(__xludf.DUMMYFUNCTION("IFERROR(GOOGLEFINANCE(A400,""CHANGEPCT""),)"),2.08)</f>
        <v>2.08</v>
      </c>
      <c r="E400" s="60" t="str">
        <f t="shared" si="1"/>
        <v>2.08%</v>
      </c>
      <c r="F400" s="60">
        <f t="shared" si="2"/>
        <v>2.08</v>
      </c>
      <c r="G400" s="60" t="str">
        <f t="shared" si="3"/>
        <v/>
      </c>
      <c r="H400" s="60">
        <f>IFERROR(__xludf.DUMMYFUNCTION("IFERROR(GOOGLEFINANCE(A400,""PRICE""),)"),467.7)</f>
        <v>467.7</v>
      </c>
      <c r="I400" s="61">
        <f>IFERROR(__xludf.DUMMYFUNCTION("IFERROR(GOOGLEFINANCE(A400,""VOLUME""),)"),436267.0)</f>
        <v>436267</v>
      </c>
      <c r="J400" s="60" t="str">
        <f>IFERROR(__xludf.DUMMYFUNCTION("IFERROR(INDEX(SPLIT(A400,"":""),1,2),)"),"EMAMILTD")</f>
        <v>EMAMILTD</v>
      </c>
      <c r="K400" s="60">
        <f t="shared" si="4"/>
        <v>424</v>
      </c>
      <c r="L400" s="60" t="str">
        <f t="shared" si="5"/>
        <v/>
      </c>
      <c r="M400" s="60">
        <f t="shared" si="6"/>
        <v>425</v>
      </c>
      <c r="N400" s="62">
        <f>IFERROR(__xludf.DUMMYFUNCTION("IFERROR(GOOGLEFINANCE(A400,""TRADETIME""),)"),46086.64585648148)</f>
        <v>46086.64586</v>
      </c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68" t="s">
        <v>447</v>
      </c>
      <c r="B401" s="64" t="str">
        <f>IFERROR(__xludf.DUMMYFUNCTION("IFERROR(GOOGLEFINANCE(A401,""NAME""),)"),"Emami Paper Mills Ltd")</f>
        <v>Emami Paper Mills Ltd</v>
      </c>
      <c r="C401" s="64">
        <f>IFERROR(__xludf.DUMMYFUNCTION("IFERROR(GOOGLEFINANCE(A401,""CHANGE""),)"),0.45)</f>
        <v>0.45</v>
      </c>
      <c r="D401" s="64">
        <f>IFERROR(__xludf.DUMMYFUNCTION("IFERROR(GOOGLEFINANCE(A401,""CHANGEPCT""),)"),0.56)</f>
        <v>0.56</v>
      </c>
      <c r="E401" s="64" t="str">
        <f t="shared" si="1"/>
        <v>0.56%</v>
      </c>
      <c r="F401" s="64">
        <f t="shared" si="2"/>
        <v>0.56</v>
      </c>
      <c r="G401" s="64" t="str">
        <f t="shared" si="3"/>
        <v/>
      </c>
      <c r="H401" s="64">
        <f>IFERROR(__xludf.DUMMYFUNCTION("IFERROR(GOOGLEFINANCE(A401,""PRICE""),)"),80.15)</f>
        <v>80.15</v>
      </c>
      <c r="I401" s="65">
        <f>IFERROR(__xludf.DUMMYFUNCTION("IFERROR(GOOGLEFINANCE(A401,""VOLUME""),)"),7311.0)</f>
        <v>7311</v>
      </c>
      <c r="J401" s="64" t="str">
        <f>IFERROR(__xludf.DUMMYFUNCTION("IFERROR(INDEX(SPLIT(A401,"":""),1,2),)"),"EMAMIPAP")</f>
        <v>EMAMIPAP</v>
      </c>
      <c r="K401" s="64">
        <f t="shared" si="4"/>
        <v>858</v>
      </c>
      <c r="L401" s="64" t="str">
        <f t="shared" si="5"/>
        <v/>
      </c>
      <c r="M401" s="64">
        <f t="shared" si="6"/>
        <v>1306</v>
      </c>
      <c r="N401" s="66">
        <f>IFERROR(__xludf.DUMMYFUNCTION("IFERROR(GOOGLEFINANCE(A401,""TRADETIME""),)"),46086.64583333333)</f>
        <v>46086.64583</v>
      </c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67" t="s">
        <v>448</v>
      </c>
      <c r="B402" s="60" t="str">
        <f>IFERROR(__xludf.DUMMYFUNCTION("IFERROR(GOOGLEFINANCE(A402,""NAME""),)"),"Emami Realty Ltd")</f>
        <v>Emami Realty Ltd</v>
      </c>
      <c r="C402" s="60">
        <f>IFERROR(__xludf.DUMMYFUNCTION("IFERROR(GOOGLEFINANCE(A402,""CHANGE""),)"),0.29)</f>
        <v>0.29</v>
      </c>
      <c r="D402" s="60">
        <f>IFERROR(__xludf.DUMMYFUNCTION("IFERROR(GOOGLEFINANCE(A402,""CHANGEPCT""),)"),0.46)</f>
        <v>0.46</v>
      </c>
      <c r="E402" s="60" t="str">
        <f t="shared" si="1"/>
        <v>0.46%</v>
      </c>
      <c r="F402" s="60">
        <f t="shared" si="2"/>
        <v>0.46</v>
      </c>
      <c r="G402" s="60" t="str">
        <f t="shared" si="3"/>
        <v/>
      </c>
      <c r="H402" s="60">
        <f>IFERROR(__xludf.DUMMYFUNCTION("IFERROR(GOOGLEFINANCE(A402,""PRICE""),)"),62.99)</f>
        <v>62.99</v>
      </c>
      <c r="I402" s="61">
        <f>IFERROR(__xludf.DUMMYFUNCTION("IFERROR(GOOGLEFINANCE(A402,""VOLUME""),)"),4214.0)</f>
        <v>4214</v>
      </c>
      <c r="J402" s="60" t="str">
        <f>IFERROR(__xludf.DUMMYFUNCTION("IFERROR(INDEX(SPLIT(A402,"":""),1,2),)"),"EMAMIREAL")</f>
        <v>EMAMIREAL</v>
      </c>
      <c r="K402" s="60">
        <f t="shared" si="4"/>
        <v>890</v>
      </c>
      <c r="L402" s="60" t="str">
        <f t="shared" si="5"/>
        <v/>
      </c>
      <c r="M402" s="60">
        <f t="shared" si="6"/>
        <v>1366</v>
      </c>
      <c r="N402" s="62">
        <f>IFERROR(__xludf.DUMMYFUNCTION("IFERROR(GOOGLEFINANCE(A402,""TRADETIME""),)"),46086.64583333333)</f>
        <v>46086.64583</v>
      </c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68" t="s">
        <v>449</v>
      </c>
      <c r="B403" s="64" t="str">
        <f>IFERROR(__xludf.DUMMYFUNCTION("IFERROR(GOOGLEFINANCE(A403,""NAME""),)"),"Emkay Global Financial Services Ltd")</f>
        <v>Emkay Global Financial Services Ltd</v>
      </c>
      <c r="C403" s="64">
        <f>IFERROR(__xludf.DUMMYFUNCTION("IFERROR(GOOGLEFINANCE(A403,""CHANGE""),)"),6.24)</f>
        <v>6.24</v>
      </c>
      <c r="D403" s="64">
        <f>IFERROR(__xludf.DUMMYFUNCTION("IFERROR(GOOGLEFINANCE(A403,""CHANGEPCT""),)"),2.76)</f>
        <v>2.76</v>
      </c>
      <c r="E403" s="64" t="str">
        <f t="shared" si="1"/>
        <v>2.76%</v>
      </c>
      <c r="F403" s="64">
        <f t="shared" si="2"/>
        <v>2.76</v>
      </c>
      <c r="G403" s="64" t="str">
        <f t="shared" si="3"/>
        <v/>
      </c>
      <c r="H403" s="64">
        <f>IFERROR(__xludf.DUMMYFUNCTION("IFERROR(GOOGLEFINANCE(A403,""PRICE""),)"),232.58)</f>
        <v>232.58</v>
      </c>
      <c r="I403" s="65">
        <f>IFERROR(__xludf.DUMMYFUNCTION("IFERROR(GOOGLEFINANCE(A403,""VOLUME""),)"),7958.0)</f>
        <v>7958</v>
      </c>
      <c r="J403" s="64" t="str">
        <f>IFERROR(__xludf.DUMMYFUNCTION("IFERROR(INDEX(SPLIT(A403,"":""),1,2),)"),"EMKAY")</f>
        <v>EMKAY</v>
      </c>
      <c r="K403" s="64">
        <f t="shared" si="4"/>
        <v>299</v>
      </c>
      <c r="L403" s="64" t="str">
        <f t="shared" si="5"/>
        <v/>
      </c>
      <c r="M403" s="64">
        <f t="shared" si="6"/>
        <v>1300</v>
      </c>
      <c r="N403" s="66">
        <f>IFERROR(__xludf.DUMMYFUNCTION("IFERROR(GOOGLEFINANCE(A403,""TRADETIME""),)"),46086.64583333333)</f>
        <v>46086.64583</v>
      </c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67" t="s">
        <v>450</v>
      </c>
      <c r="B404" s="60" t="str">
        <f>IFERROR(__xludf.DUMMYFUNCTION("IFERROR(GOOGLEFINANCE(A404,""NAME""),)"),"Emmbi Industries Ltd")</f>
        <v>Emmbi Industries Ltd</v>
      </c>
      <c r="C404" s="60">
        <f>IFERROR(__xludf.DUMMYFUNCTION("IFERROR(GOOGLEFINANCE(A404,""CHANGE""),)"),-0.49)</f>
        <v>-0.49</v>
      </c>
      <c r="D404" s="60">
        <f>IFERROR(__xludf.DUMMYFUNCTION("IFERROR(GOOGLEFINANCE(A404,""CHANGEPCT""),)"),-0.58)</f>
        <v>-0.58</v>
      </c>
      <c r="E404" s="60" t="str">
        <f t="shared" si="1"/>
        <v>-0.58%</v>
      </c>
      <c r="F404" s="60" t="str">
        <f t="shared" si="2"/>
        <v/>
      </c>
      <c r="G404" s="60">
        <f t="shared" si="3"/>
        <v>-0.58</v>
      </c>
      <c r="H404" s="60">
        <f>IFERROR(__xludf.DUMMYFUNCTION("IFERROR(GOOGLEFINANCE(A404,""PRICE""),)"),84.5)</f>
        <v>84.5</v>
      </c>
      <c r="I404" s="61">
        <f>IFERROR(__xludf.DUMMYFUNCTION("IFERROR(GOOGLEFINANCE(A404,""VOLUME""),)"),11410.0)</f>
        <v>11410</v>
      </c>
      <c r="J404" s="60" t="str">
        <f>IFERROR(__xludf.DUMMYFUNCTION("IFERROR(INDEX(SPLIT(A404,"":""),1,2),)"),"EMMBI")</f>
        <v>EMMBI</v>
      </c>
      <c r="K404" s="60" t="str">
        <f t="shared" si="4"/>
        <v/>
      </c>
      <c r="L404" s="60">
        <f t="shared" si="5"/>
        <v>139</v>
      </c>
      <c r="M404" s="60">
        <f t="shared" si="6"/>
        <v>1239</v>
      </c>
      <c r="N404" s="62">
        <f>IFERROR(__xludf.DUMMYFUNCTION("IFERROR(GOOGLEFINANCE(A404,""TRADETIME""),)"),46086.64583333333)</f>
        <v>46086.64583</v>
      </c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68" t="s">
        <v>451</v>
      </c>
      <c r="B405" s="64" t="str">
        <f>IFERROR(__xludf.DUMMYFUNCTION("IFERROR(GOOGLEFINANCE(A405,""NAME""),)"),"Endurance Technologies Ltd")</f>
        <v>Endurance Technologies Ltd</v>
      </c>
      <c r="C405" s="64">
        <f>IFERROR(__xludf.DUMMYFUNCTION("IFERROR(GOOGLEFINANCE(A405,""CHANGE""),)"),2.4)</f>
        <v>2.4</v>
      </c>
      <c r="D405" s="64">
        <f>IFERROR(__xludf.DUMMYFUNCTION("IFERROR(GOOGLEFINANCE(A405,""CHANGEPCT""),)"),-0.06)</f>
        <v>-0.06</v>
      </c>
      <c r="E405" s="64" t="str">
        <f t="shared" si="1"/>
        <v>-0.06%</v>
      </c>
      <c r="F405" s="64" t="str">
        <f t="shared" si="2"/>
        <v/>
      </c>
      <c r="G405" s="64">
        <f t="shared" si="3"/>
        <v>-0.06</v>
      </c>
      <c r="H405" s="64">
        <f>IFERROR(__xludf.DUMMYFUNCTION("IFERROR(GOOGLEFINANCE(A405,""PRICE""),)"),2507.4)</f>
        <v>2507.4</v>
      </c>
      <c r="I405" s="65">
        <f>IFERROR(__xludf.DUMMYFUNCTION("IFERROR(GOOGLEFINANCE(A405,""VOLUME""),)"),76467.0)</f>
        <v>76467</v>
      </c>
      <c r="J405" s="64" t="str">
        <f>IFERROR(__xludf.DUMMYFUNCTION("IFERROR(INDEX(SPLIT(A405,"":""),1,2),)"),"ENDURANCE")</f>
        <v>ENDURANCE</v>
      </c>
      <c r="K405" s="64" t="str">
        <f t="shared" si="4"/>
        <v/>
      </c>
      <c r="L405" s="64">
        <f t="shared" si="5"/>
        <v>16</v>
      </c>
      <c r="M405" s="64">
        <f t="shared" si="6"/>
        <v>824</v>
      </c>
      <c r="N405" s="66">
        <f>IFERROR(__xludf.DUMMYFUNCTION("IFERROR(GOOGLEFINANCE(A405,""TRADETIME""),)"),46086.64583333333)</f>
        <v>46086.64583</v>
      </c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67" t="s">
        <v>452</v>
      </c>
      <c r="B406" s="60" t="str">
        <f>IFERROR(__xludf.DUMMYFUNCTION("IFERROR(GOOGLEFINANCE(A406,""NAME""),)"),"Energy Development Company Ltd")</f>
        <v>Energy Development Company Ltd</v>
      </c>
      <c r="C406" s="60">
        <f>IFERROR(__xludf.DUMMYFUNCTION("IFERROR(GOOGLEFINANCE(A406,""CHANGE""),)"),0.41)</f>
        <v>0.41</v>
      </c>
      <c r="D406" s="60">
        <f>IFERROR(__xludf.DUMMYFUNCTION("IFERROR(GOOGLEFINANCE(A406,""CHANGEPCT""),)"),2.65)</f>
        <v>2.65</v>
      </c>
      <c r="E406" s="60" t="str">
        <f t="shared" si="1"/>
        <v>2.65%</v>
      </c>
      <c r="F406" s="60">
        <f t="shared" si="2"/>
        <v>2.65</v>
      </c>
      <c r="G406" s="60" t="str">
        <f t="shared" si="3"/>
        <v/>
      </c>
      <c r="H406" s="60">
        <f>IFERROR(__xludf.DUMMYFUNCTION("IFERROR(GOOGLEFINANCE(A406,""PRICE""),)"),15.89)</f>
        <v>15.89</v>
      </c>
      <c r="I406" s="61">
        <f>IFERROR(__xludf.DUMMYFUNCTION("IFERROR(GOOGLEFINANCE(A406,""VOLUME""),)"),18714.0)</f>
        <v>18714</v>
      </c>
      <c r="J406" s="60" t="str">
        <f>IFERROR(__xludf.DUMMYFUNCTION("IFERROR(INDEX(SPLIT(A406,"":""),1,2),)"),"ENERGYDEV")</f>
        <v>ENERGYDEV</v>
      </c>
      <c r="K406" s="60">
        <f t="shared" si="4"/>
        <v>315</v>
      </c>
      <c r="L406" s="60" t="str">
        <f t="shared" si="5"/>
        <v/>
      </c>
      <c r="M406" s="60">
        <f t="shared" si="6"/>
        <v>1160</v>
      </c>
      <c r="N406" s="62">
        <f>IFERROR(__xludf.DUMMYFUNCTION("IFERROR(GOOGLEFINANCE(A406,""TRADETIME""),)"),46086.64585648148)</f>
        <v>46086.64586</v>
      </c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68" t="s">
        <v>453</v>
      </c>
      <c r="B407" s="64" t="str">
        <f>IFERROR(__xludf.DUMMYFUNCTION("IFERROR(GOOGLEFINANCE(A407,""NAME""),)"),"Engineers India Ltd")</f>
        <v>Engineers India Ltd</v>
      </c>
      <c r="C407" s="64">
        <f>IFERROR(__xludf.DUMMYFUNCTION("IFERROR(GOOGLEFINANCE(A407,""CHANGE""),)"),2.53)</f>
        <v>2.53</v>
      </c>
      <c r="D407" s="64">
        <f>IFERROR(__xludf.DUMMYFUNCTION("IFERROR(GOOGLEFINANCE(A407,""CHANGEPCT""),)"),1.25)</f>
        <v>1.25</v>
      </c>
      <c r="E407" s="64" t="str">
        <f t="shared" si="1"/>
        <v>1.25%</v>
      </c>
      <c r="F407" s="64">
        <f t="shared" si="2"/>
        <v>1.25</v>
      </c>
      <c r="G407" s="64" t="str">
        <f t="shared" si="3"/>
        <v/>
      </c>
      <c r="H407" s="64">
        <f>IFERROR(__xludf.DUMMYFUNCTION("IFERROR(GOOGLEFINANCE(A407,""PRICE""),)"),204.76)</f>
        <v>204.76</v>
      </c>
      <c r="I407" s="65">
        <f>IFERROR(__xludf.DUMMYFUNCTION("IFERROR(GOOGLEFINANCE(A407,""VOLUME""),)"),3832568.0)</f>
        <v>3832568</v>
      </c>
      <c r="J407" s="64" t="str">
        <f>IFERROR(__xludf.DUMMYFUNCTION("IFERROR(INDEX(SPLIT(A407,"":""),1,2),)"),"ENGINERSIN")</f>
        <v>ENGINERSIN</v>
      </c>
      <c r="K407" s="64">
        <f t="shared" si="4"/>
        <v>654</v>
      </c>
      <c r="L407" s="64" t="str">
        <f t="shared" si="5"/>
        <v/>
      </c>
      <c r="M407" s="64">
        <f t="shared" si="6"/>
        <v>126</v>
      </c>
      <c r="N407" s="66">
        <f>IFERROR(__xludf.DUMMYFUNCTION("IFERROR(GOOGLEFINANCE(A407,""TRADETIME""),)"),46086.64583333333)</f>
        <v>46086.64583</v>
      </c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9" t="s">
        <v>454</v>
      </c>
      <c r="B408" s="60" t="str">
        <f>IFERROR(__xludf.DUMMYFUNCTION("IFERROR(GOOGLEFINANCE(A408,""NAME""),)"),"Gail (India) Ltd")</f>
        <v>Gail (India) Ltd</v>
      </c>
      <c r="C408" s="60">
        <f>IFERROR(__xludf.DUMMYFUNCTION("IFERROR(GOOGLEFINANCE(A408,""CHANGE""),)"),1.19)</f>
        <v>1.19</v>
      </c>
      <c r="D408" s="60">
        <f>IFERROR(__xludf.DUMMYFUNCTION("IFERROR(GOOGLEFINANCE(A408,""CHANGEPCT""),)"),0.77)</f>
        <v>0.77</v>
      </c>
      <c r="E408" s="60" t="str">
        <f t="shared" si="1"/>
        <v>0.77%</v>
      </c>
      <c r="F408" s="60">
        <f t="shared" si="2"/>
        <v>0.77</v>
      </c>
      <c r="G408" s="60" t="str">
        <f t="shared" si="3"/>
        <v/>
      </c>
      <c r="H408" s="60">
        <f>IFERROR(__xludf.DUMMYFUNCTION("IFERROR(GOOGLEFINANCE(A408,""PRICE""),)"),155.8)</f>
        <v>155.8</v>
      </c>
      <c r="I408" s="61">
        <f>IFERROR(__xludf.DUMMYFUNCTION("IFERROR(GOOGLEFINANCE(A408,""VOLUME""),)"),1.756778E7)</f>
        <v>17567780</v>
      </c>
      <c r="J408" s="60" t="str">
        <f>IFERROR(__xludf.DUMMYFUNCTION("IFERROR(INDEX(SPLIT(A408,"":""),1,2),)"),"GAIL")</f>
        <v>GAIL</v>
      </c>
      <c r="K408" s="60">
        <f t="shared" si="4"/>
        <v>795</v>
      </c>
      <c r="L408" s="60" t="str">
        <f t="shared" si="5"/>
        <v/>
      </c>
      <c r="M408" s="60">
        <f t="shared" si="6"/>
        <v>38</v>
      </c>
      <c r="N408" s="62">
        <f>IFERROR(__xludf.DUMMYFUNCTION("IFERROR(GOOGLEFINANCE(A408,""TRADETIME""),)"),46086.64584490741)</f>
        <v>46086.64584</v>
      </c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68" t="s">
        <v>455</v>
      </c>
      <c r="B409" s="64" t="str">
        <f>IFERROR(__xludf.DUMMYFUNCTION("IFERROR(GOOGLEFINANCE(A409,""NAME""),)"),"EPL Ltd")</f>
        <v>EPL Ltd</v>
      </c>
      <c r="C409" s="64">
        <f>IFERROR(__xludf.DUMMYFUNCTION("IFERROR(GOOGLEFINANCE(A409,""CHANGE""),)"),-6.68)</f>
        <v>-6.68</v>
      </c>
      <c r="D409" s="64">
        <f>IFERROR(__xludf.DUMMYFUNCTION("IFERROR(GOOGLEFINANCE(A409,""CHANGEPCT""),)"),-3.4)</f>
        <v>-3.4</v>
      </c>
      <c r="E409" s="64" t="str">
        <f t="shared" si="1"/>
        <v>-3.4%</v>
      </c>
      <c r="F409" s="64" t="str">
        <f t="shared" si="2"/>
        <v/>
      </c>
      <c r="G409" s="64">
        <f t="shared" si="3"/>
        <v>-3.4</v>
      </c>
      <c r="H409" s="64">
        <f>IFERROR(__xludf.DUMMYFUNCTION("IFERROR(GOOGLEFINANCE(A409,""PRICE""),)"),197.9)</f>
        <v>197.9</v>
      </c>
      <c r="I409" s="65">
        <f>IFERROR(__xludf.DUMMYFUNCTION("IFERROR(GOOGLEFINANCE(A409,""VOLUME""),)"),582389.0)</f>
        <v>582389</v>
      </c>
      <c r="J409" s="64" t="str">
        <f>IFERROR(__xludf.DUMMYFUNCTION("IFERROR(INDEX(SPLIT(A409,"":""),1,2),)"),"EPL")</f>
        <v>EPL</v>
      </c>
      <c r="K409" s="64" t="str">
        <f t="shared" si="4"/>
        <v/>
      </c>
      <c r="L409" s="64">
        <f t="shared" si="5"/>
        <v>418</v>
      </c>
      <c r="M409" s="64">
        <f t="shared" si="6"/>
        <v>375</v>
      </c>
      <c r="N409" s="66">
        <f>IFERROR(__xludf.DUMMYFUNCTION("IFERROR(GOOGLEFINANCE(A409,""TRADETIME""),)"),46086.64584490741)</f>
        <v>46086.64584</v>
      </c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67" t="s">
        <v>456</v>
      </c>
      <c r="B410" s="60" t="str">
        <f>IFERROR(__xludf.DUMMYFUNCTION("IFERROR(GOOGLEFINANCE(A410,""NAME""),)"),"Equitas Small Finance Bank Ltd")</f>
        <v>Equitas Small Finance Bank Ltd</v>
      </c>
      <c r="C410" s="60">
        <f>IFERROR(__xludf.DUMMYFUNCTION("IFERROR(GOOGLEFINANCE(A410,""CHANGE""),)"),-0.33)</f>
        <v>-0.33</v>
      </c>
      <c r="D410" s="60">
        <f>IFERROR(__xludf.DUMMYFUNCTION("IFERROR(GOOGLEFINANCE(A410,""CHANGEPCT""),)"),-0.57)</f>
        <v>-0.57</v>
      </c>
      <c r="E410" s="60" t="str">
        <f t="shared" si="1"/>
        <v>-0.57%</v>
      </c>
      <c r="F410" s="60" t="str">
        <f t="shared" si="2"/>
        <v/>
      </c>
      <c r="G410" s="60">
        <f t="shared" si="3"/>
        <v>-0.57</v>
      </c>
      <c r="H410" s="60">
        <f>IFERROR(__xludf.DUMMYFUNCTION("IFERROR(GOOGLEFINANCE(A410,""PRICE""),)"),57.7)</f>
        <v>57.7</v>
      </c>
      <c r="I410" s="61">
        <f>IFERROR(__xludf.DUMMYFUNCTION("IFERROR(GOOGLEFINANCE(A410,""VOLUME""),)"),3798259.0)</f>
        <v>3798259</v>
      </c>
      <c r="J410" s="60" t="str">
        <f>IFERROR(__xludf.DUMMYFUNCTION("IFERROR(INDEX(SPLIT(A410,"":""),1,2),)"),"EQUITASBNK")</f>
        <v>EQUITASBNK</v>
      </c>
      <c r="K410" s="60" t="str">
        <f t="shared" si="4"/>
        <v/>
      </c>
      <c r="L410" s="60">
        <f t="shared" si="5"/>
        <v>136</v>
      </c>
      <c r="M410" s="60">
        <f t="shared" si="6"/>
        <v>128</v>
      </c>
      <c r="N410" s="62">
        <f>IFERROR(__xludf.DUMMYFUNCTION("IFERROR(GOOGLEFINANCE(A410,""TRADETIME""),)"),46086.64583333333)</f>
        <v>46086.64583</v>
      </c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68" t="s">
        <v>457</v>
      </c>
      <c r="B411" s="64" t="str">
        <f>IFERROR(__xludf.DUMMYFUNCTION("IFERROR(GOOGLEFINANCE(A411,""NAME""),)"),"Eris Lifesciences Ltd")</f>
        <v>Eris Lifesciences Ltd</v>
      </c>
      <c r="C411" s="64">
        <f>IFERROR(__xludf.DUMMYFUNCTION("IFERROR(GOOGLEFINANCE(A411,""CHANGE""),)"),11.9)</f>
        <v>11.9</v>
      </c>
      <c r="D411" s="64">
        <f>IFERROR(__xludf.DUMMYFUNCTION("IFERROR(GOOGLEFINANCE(A411,""CHANGEPCT""),)"),0.88)</f>
        <v>0.88</v>
      </c>
      <c r="E411" s="64" t="str">
        <f t="shared" si="1"/>
        <v>0.88%</v>
      </c>
      <c r="F411" s="64">
        <f t="shared" si="2"/>
        <v>0.88</v>
      </c>
      <c r="G411" s="64" t="str">
        <f t="shared" si="3"/>
        <v/>
      </c>
      <c r="H411" s="64">
        <f>IFERROR(__xludf.DUMMYFUNCTION("IFERROR(GOOGLEFINANCE(A411,""PRICE""),)"),1370.0)</f>
        <v>1370</v>
      </c>
      <c r="I411" s="65">
        <f>IFERROR(__xludf.DUMMYFUNCTION("IFERROR(GOOGLEFINANCE(A411,""VOLUME""),)"),34594.0)</f>
        <v>34594</v>
      </c>
      <c r="J411" s="64" t="str">
        <f>IFERROR(__xludf.DUMMYFUNCTION("IFERROR(INDEX(SPLIT(A411,"":""),1,2),)"),"ERIS")</f>
        <v>ERIS</v>
      </c>
      <c r="K411" s="64">
        <f t="shared" si="4"/>
        <v>759</v>
      </c>
      <c r="L411" s="64" t="str">
        <f t="shared" si="5"/>
        <v/>
      </c>
      <c r="M411" s="64">
        <f t="shared" si="6"/>
        <v>1023</v>
      </c>
      <c r="N411" s="66">
        <f>IFERROR(__xludf.DUMMYFUNCTION("IFERROR(GOOGLEFINANCE(A411,""TRADETIME""),)"),46086.64583333333)</f>
        <v>46086.64583</v>
      </c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67" t="s">
        <v>458</v>
      </c>
      <c r="B412" s="60" t="str">
        <f>IFERROR(__xludf.DUMMYFUNCTION("IFERROR(GOOGLEFINANCE(A412,""NAME""),)"),"")</f>
        <v/>
      </c>
      <c r="C412" s="60" t="str">
        <f>IFERROR(__xludf.DUMMYFUNCTION("IFERROR(GOOGLEFINANCE(A412,""CHANGE""),)"),"")</f>
        <v/>
      </c>
      <c r="D412" s="60" t="str">
        <f>IFERROR(__xludf.DUMMYFUNCTION("IFERROR(GOOGLEFINANCE(A412,""CHANGEPCT""),)"),"")</f>
        <v/>
      </c>
      <c r="E412" s="60" t="str">
        <f t="shared" si="1"/>
        <v>%</v>
      </c>
      <c r="F412" s="60" t="str">
        <f t="shared" si="2"/>
        <v/>
      </c>
      <c r="G412" s="60" t="str">
        <f t="shared" si="3"/>
        <v/>
      </c>
      <c r="H412" s="60" t="str">
        <f>IFERROR(__xludf.DUMMYFUNCTION("IFERROR(GOOGLEFINANCE(A412,""PRICE""),)"),"")</f>
        <v/>
      </c>
      <c r="I412" s="61" t="str">
        <f>IFERROR(__xludf.DUMMYFUNCTION("IFERROR(GOOGLEFINANCE(A412,""VOLUME""),)"),"")</f>
        <v/>
      </c>
      <c r="J412" s="60" t="str">
        <f>IFERROR(__xludf.DUMMYFUNCTION("IFERROR(INDEX(SPLIT(A412,"":""),1,2),)"),"EROSMEDIA")</f>
        <v>EROSMEDIA</v>
      </c>
      <c r="K412" s="60" t="str">
        <f t="shared" si="4"/>
        <v/>
      </c>
      <c r="L412" s="60" t="str">
        <f t="shared" si="5"/>
        <v/>
      </c>
      <c r="M412" s="60" t="str">
        <f t="shared" si="6"/>
        <v/>
      </c>
      <c r="N412" s="62" t="str">
        <f>IFERROR(__xludf.DUMMYFUNCTION("IFERROR(GOOGLEFINANCE(A412,""TRADETIME""),)"),"")</f>
        <v/>
      </c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68" t="s">
        <v>459</v>
      </c>
      <c r="B413" s="64" t="str">
        <f>IFERROR(__xludf.DUMMYFUNCTION("IFERROR(GOOGLEFINANCE(A413,""NAME""),)"),"ESAB India Ltd")</f>
        <v>ESAB India Ltd</v>
      </c>
      <c r="C413" s="64">
        <f>IFERROR(__xludf.DUMMYFUNCTION("IFERROR(GOOGLEFINANCE(A413,""CHANGE""),)"),58.0)</f>
        <v>58</v>
      </c>
      <c r="D413" s="64">
        <f>IFERROR(__xludf.DUMMYFUNCTION("IFERROR(GOOGLEFINANCE(A413,""CHANGEPCT""),)"),1.09)</f>
        <v>1.09</v>
      </c>
      <c r="E413" s="64" t="str">
        <f t="shared" si="1"/>
        <v>1.09%</v>
      </c>
      <c r="F413" s="64">
        <f t="shared" si="2"/>
        <v>1.09</v>
      </c>
      <c r="G413" s="64" t="str">
        <f t="shared" si="3"/>
        <v/>
      </c>
      <c r="H413" s="64">
        <f>IFERROR(__xludf.DUMMYFUNCTION("IFERROR(GOOGLEFINANCE(A413,""PRICE""),)"),5378.5)</f>
        <v>5378.5</v>
      </c>
      <c r="I413" s="65">
        <f>IFERROR(__xludf.DUMMYFUNCTION("IFERROR(GOOGLEFINANCE(A413,""VOLUME""),)"),2236.0)</f>
        <v>2236</v>
      </c>
      <c r="J413" s="64" t="str">
        <f>IFERROR(__xludf.DUMMYFUNCTION("IFERROR(INDEX(SPLIT(A413,"":""),1,2),)"),"ESABINDIA")</f>
        <v>ESABINDIA</v>
      </c>
      <c r="K413" s="64">
        <f t="shared" si="4"/>
        <v>693</v>
      </c>
      <c r="L413" s="64" t="str">
        <f t="shared" si="5"/>
        <v/>
      </c>
      <c r="M413" s="64">
        <f t="shared" si="6"/>
        <v>1400</v>
      </c>
      <c r="N413" s="66">
        <f>IFERROR(__xludf.DUMMYFUNCTION("IFERROR(GOOGLEFINANCE(A413,""TRADETIME""),)"),46086.64583333333)</f>
        <v>46086.64583</v>
      </c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67" t="s">
        <v>460</v>
      </c>
      <c r="B414" s="60" t="str">
        <f>IFERROR(__xludf.DUMMYFUNCTION("IFERROR(GOOGLEFINANCE(A414,""NAME""),)"),"Escorts Kubota Ltd")</f>
        <v>Escorts Kubota Ltd</v>
      </c>
      <c r="C414" s="60">
        <f>IFERROR(__xludf.DUMMYFUNCTION("IFERROR(GOOGLEFINANCE(A414,""CHANGE""),)"),72.7)</f>
        <v>72.7</v>
      </c>
      <c r="D414" s="60">
        <f>IFERROR(__xludf.DUMMYFUNCTION("IFERROR(GOOGLEFINANCE(A414,""CHANGEPCT""),)"),2.23)</f>
        <v>2.23</v>
      </c>
      <c r="E414" s="60" t="str">
        <f t="shared" si="1"/>
        <v>2.23%</v>
      </c>
      <c r="F414" s="60">
        <f t="shared" si="2"/>
        <v>2.23</v>
      </c>
      <c r="G414" s="60" t="str">
        <f t="shared" si="3"/>
        <v/>
      </c>
      <c r="H414" s="60">
        <f>IFERROR(__xludf.DUMMYFUNCTION("IFERROR(GOOGLEFINANCE(A414,""PRICE""),)"),3339.1)</f>
        <v>3339.1</v>
      </c>
      <c r="I414" s="61">
        <f>IFERROR(__xludf.DUMMYFUNCTION("IFERROR(GOOGLEFINANCE(A414,""VOLUME""),)"),68959.0)</f>
        <v>68959</v>
      </c>
      <c r="J414" s="60" t="str">
        <f>IFERROR(__xludf.DUMMYFUNCTION("IFERROR(INDEX(SPLIT(A414,"":""),1,2),)"),"ESCORTS")</f>
        <v>ESCORTS</v>
      </c>
      <c r="K414" s="60">
        <f t="shared" si="4"/>
        <v>392</v>
      </c>
      <c r="L414" s="60" t="str">
        <f t="shared" si="5"/>
        <v/>
      </c>
      <c r="M414" s="60">
        <f t="shared" si="6"/>
        <v>852</v>
      </c>
      <c r="N414" s="62">
        <f>IFERROR(__xludf.DUMMYFUNCTION("IFERROR(GOOGLEFINANCE(A414,""TRADETIME""),)"),46086.64583333333)</f>
        <v>46086.64583</v>
      </c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68" t="s">
        <v>461</v>
      </c>
      <c r="B415" s="64" t="str">
        <f>IFERROR(__xludf.DUMMYFUNCTION("IFERROR(GOOGLEFINANCE(A415,""NAME""),)"),"Essar Shipping Ltd")</f>
        <v>Essar Shipping Ltd</v>
      </c>
      <c r="C415" s="64">
        <f>IFERROR(__xludf.DUMMYFUNCTION("IFERROR(GOOGLEFINANCE(A415,""CHANGE""),)"),2.0)</f>
        <v>2</v>
      </c>
      <c r="D415" s="64">
        <f>IFERROR(__xludf.DUMMYFUNCTION("IFERROR(GOOGLEFINANCE(A415,""CHANGEPCT""),)"),8.49)</f>
        <v>8.49</v>
      </c>
      <c r="E415" s="64" t="str">
        <f t="shared" si="1"/>
        <v>8.49%</v>
      </c>
      <c r="F415" s="64">
        <f t="shared" si="2"/>
        <v>8.49</v>
      </c>
      <c r="G415" s="64" t="str">
        <f t="shared" si="3"/>
        <v/>
      </c>
      <c r="H415" s="64">
        <f>IFERROR(__xludf.DUMMYFUNCTION("IFERROR(GOOGLEFINANCE(A415,""PRICE""),)"),25.55)</f>
        <v>25.55</v>
      </c>
      <c r="I415" s="65">
        <f>IFERROR(__xludf.DUMMYFUNCTION("IFERROR(GOOGLEFINANCE(A415,""VOLUME""),)"),1567911.0)</f>
        <v>1567911</v>
      </c>
      <c r="J415" s="64" t="str">
        <f>IFERROR(__xludf.DUMMYFUNCTION("IFERROR(INDEX(SPLIT(A415,"":""),1,2),)"),"ESSARSHPNG")</f>
        <v>ESSARSHPNG</v>
      </c>
      <c r="K415" s="64">
        <f t="shared" si="4"/>
        <v>17</v>
      </c>
      <c r="L415" s="64" t="str">
        <f t="shared" si="5"/>
        <v/>
      </c>
      <c r="M415" s="64">
        <f t="shared" si="6"/>
        <v>235</v>
      </c>
      <c r="N415" s="66">
        <f>IFERROR(__xludf.DUMMYFUNCTION("IFERROR(GOOGLEFINANCE(A415,""TRADETIME""),)"),46086.64583333333)</f>
        <v>46086.64583</v>
      </c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67" t="s">
        <v>462</v>
      </c>
      <c r="B416" s="60" t="str">
        <f>IFERROR(__xludf.DUMMYFUNCTION("IFERROR(GOOGLEFINANCE(A416,""NAME""),)"),"Ester Industries Ltd")</f>
        <v>Ester Industries Ltd</v>
      </c>
      <c r="C416" s="60">
        <f>IFERROR(__xludf.DUMMYFUNCTION("IFERROR(GOOGLEFINANCE(A416,""CHANGE""),)"),-0.5)</f>
        <v>-0.5</v>
      </c>
      <c r="D416" s="60">
        <f>IFERROR(__xludf.DUMMYFUNCTION("IFERROR(GOOGLEFINANCE(A416,""CHANGEPCT""),)"),-0.7)</f>
        <v>-0.7</v>
      </c>
      <c r="E416" s="60" t="str">
        <f t="shared" si="1"/>
        <v>-0.7%</v>
      </c>
      <c r="F416" s="60" t="str">
        <f t="shared" si="2"/>
        <v/>
      </c>
      <c r="G416" s="60">
        <f t="shared" si="3"/>
        <v>-0.7</v>
      </c>
      <c r="H416" s="60">
        <f>IFERROR(__xludf.DUMMYFUNCTION("IFERROR(GOOGLEFINANCE(A416,""PRICE""),)"),96.66)</f>
        <v>96.66</v>
      </c>
      <c r="I416" s="61">
        <f>IFERROR(__xludf.DUMMYFUNCTION("IFERROR(GOOGLEFINANCE(A416,""VOLUME""),)"),64539.0)</f>
        <v>64539</v>
      </c>
      <c r="J416" s="60" t="str">
        <f>IFERROR(__xludf.DUMMYFUNCTION("IFERROR(INDEX(SPLIT(A416,"":""),1,2),)"),"ESTER")</f>
        <v>ESTER</v>
      </c>
      <c r="K416" s="60" t="str">
        <f t="shared" si="4"/>
        <v/>
      </c>
      <c r="L416" s="60">
        <f t="shared" si="5"/>
        <v>169</v>
      </c>
      <c r="M416" s="60">
        <f t="shared" si="6"/>
        <v>860</v>
      </c>
      <c r="N416" s="62">
        <f>IFERROR(__xludf.DUMMYFUNCTION("IFERROR(GOOGLEFINANCE(A416,""TRADETIME""),)"),46086.64583333333)</f>
        <v>46086.64583</v>
      </c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68" t="s">
        <v>463</v>
      </c>
      <c r="B417" s="64" t="str">
        <f>IFERROR(__xludf.DUMMYFUNCTION("IFERROR(GOOGLEFINANCE(A417,""NAME""),)"),"Eurotex Industries And Exports Ltd")</f>
        <v>Eurotex Industries And Exports Ltd</v>
      </c>
      <c r="C417" s="64">
        <f>IFERROR(__xludf.DUMMYFUNCTION("IFERROR(GOOGLEFINANCE(A417,""CHANGE""),)"),-0.48)</f>
        <v>-0.48</v>
      </c>
      <c r="D417" s="64">
        <f>IFERROR(__xludf.DUMMYFUNCTION("IFERROR(GOOGLEFINANCE(A417,""CHANGEPCT""),)"),-3.7)</f>
        <v>-3.7</v>
      </c>
      <c r="E417" s="64" t="str">
        <f t="shared" si="1"/>
        <v>-3.7%</v>
      </c>
      <c r="F417" s="64" t="str">
        <f t="shared" si="2"/>
        <v/>
      </c>
      <c r="G417" s="64">
        <f t="shared" si="3"/>
        <v>-3.7</v>
      </c>
      <c r="H417" s="64">
        <f>IFERROR(__xludf.DUMMYFUNCTION("IFERROR(GOOGLEFINANCE(A417,""PRICE""),)"),13.49)</f>
        <v>13.49</v>
      </c>
      <c r="I417" s="65">
        <f>IFERROR(__xludf.DUMMYFUNCTION("IFERROR(GOOGLEFINANCE(A417,""VOLUME""),)"),5051.0)</f>
        <v>5051</v>
      </c>
      <c r="J417" s="64" t="str">
        <f>IFERROR(__xludf.DUMMYFUNCTION("IFERROR(INDEX(SPLIT(A417,"":""),1,2),)"),"EUROTEXIND")</f>
        <v>EUROTEXIND</v>
      </c>
      <c r="K417" s="64" t="str">
        <f t="shared" si="4"/>
        <v/>
      </c>
      <c r="L417" s="64">
        <f t="shared" si="5"/>
        <v>424</v>
      </c>
      <c r="M417" s="64">
        <f t="shared" si="6"/>
        <v>1342</v>
      </c>
      <c r="N417" s="66">
        <f>IFERROR(__xludf.DUMMYFUNCTION("IFERROR(GOOGLEFINANCE(A417,""TRADETIME""),)"),46086.64586805555)</f>
        <v>46086.64587</v>
      </c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67" t="s">
        <v>464</v>
      </c>
      <c r="B418" s="60" t="str">
        <f>IFERROR(__xludf.DUMMYFUNCTION("IFERROR(GOOGLEFINANCE(A418,""NAME""),)"),"Eveready Industries India Ltd")</f>
        <v>Eveready Industries India Ltd</v>
      </c>
      <c r="C418" s="60">
        <f>IFERROR(__xludf.DUMMYFUNCTION("IFERROR(GOOGLEFINANCE(A418,""CHANGE""),)"),1.3)</f>
        <v>1.3</v>
      </c>
      <c r="D418" s="60">
        <f>IFERROR(__xludf.DUMMYFUNCTION("IFERROR(GOOGLEFINANCE(A418,""CHANGEPCT""),)"),0.71)</f>
        <v>0.71</v>
      </c>
      <c r="E418" s="60" t="str">
        <f t="shared" si="1"/>
        <v>0.71%</v>
      </c>
      <c r="F418" s="60">
        <f t="shared" si="2"/>
        <v>0.71</v>
      </c>
      <c r="G418" s="60" t="str">
        <f t="shared" si="3"/>
        <v/>
      </c>
      <c r="H418" s="60">
        <f>IFERROR(__xludf.DUMMYFUNCTION("IFERROR(GOOGLEFINANCE(A418,""PRICE""),)"),326.5)</f>
        <v>326.5</v>
      </c>
      <c r="I418" s="61">
        <f>IFERROR(__xludf.DUMMYFUNCTION("IFERROR(GOOGLEFINANCE(A418,""VOLUME""),)"),58267.0)</f>
        <v>58267</v>
      </c>
      <c r="J418" s="60" t="str">
        <f>IFERROR(__xludf.DUMMYFUNCTION("IFERROR(INDEX(SPLIT(A418,"":""),1,2),)"),"EVEREADY")</f>
        <v>EVEREADY</v>
      </c>
      <c r="K418" s="60">
        <f t="shared" si="4"/>
        <v>820</v>
      </c>
      <c r="L418" s="60" t="str">
        <f t="shared" si="5"/>
        <v/>
      </c>
      <c r="M418" s="60">
        <f t="shared" si="6"/>
        <v>887</v>
      </c>
      <c r="N418" s="62">
        <f>IFERROR(__xludf.DUMMYFUNCTION("IFERROR(GOOGLEFINANCE(A418,""TRADETIME""),)"),46086.64583333333)</f>
        <v>46086.64583</v>
      </c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68" t="s">
        <v>465</v>
      </c>
      <c r="B419" s="64" t="str">
        <f>IFERROR(__xludf.DUMMYFUNCTION("IFERROR(GOOGLEFINANCE(A419,""NAME""),)"),"Everest Industries Ltd")</f>
        <v>Everest Industries Ltd</v>
      </c>
      <c r="C419" s="64">
        <f>IFERROR(__xludf.DUMMYFUNCTION("IFERROR(GOOGLEFINANCE(A419,""CHANGE""),)"),-5.1)</f>
        <v>-5.1</v>
      </c>
      <c r="D419" s="64">
        <f>IFERROR(__xludf.DUMMYFUNCTION("IFERROR(GOOGLEFINANCE(A419,""CHANGEPCT""),)"),-1.31)</f>
        <v>-1.31</v>
      </c>
      <c r="E419" s="64" t="str">
        <f t="shared" si="1"/>
        <v>-1.31%</v>
      </c>
      <c r="F419" s="64" t="str">
        <f t="shared" si="2"/>
        <v/>
      </c>
      <c r="G419" s="64">
        <f t="shared" si="3"/>
        <v>-1.31</v>
      </c>
      <c r="H419" s="64">
        <f>IFERROR(__xludf.DUMMYFUNCTION("IFERROR(GOOGLEFINANCE(A419,""PRICE""),)"),385.0)</f>
        <v>385</v>
      </c>
      <c r="I419" s="65">
        <f>IFERROR(__xludf.DUMMYFUNCTION("IFERROR(GOOGLEFINANCE(A419,""VOLUME""),)"),4218.0)</f>
        <v>4218</v>
      </c>
      <c r="J419" s="64" t="str">
        <f>IFERROR(__xludf.DUMMYFUNCTION("IFERROR(INDEX(SPLIT(A419,"":""),1,2),)"),"EVERESTIND")</f>
        <v>EVERESTIND</v>
      </c>
      <c r="K419" s="64" t="str">
        <f t="shared" si="4"/>
        <v/>
      </c>
      <c r="L419" s="64">
        <f t="shared" si="5"/>
        <v>267</v>
      </c>
      <c r="M419" s="64">
        <f t="shared" si="6"/>
        <v>1364</v>
      </c>
      <c r="N419" s="66">
        <f>IFERROR(__xludf.DUMMYFUNCTION("IFERROR(GOOGLEFINANCE(A419,""TRADETIME""),)"),46086.64583333333)</f>
        <v>46086.64583</v>
      </c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67" t="s">
        <v>466</v>
      </c>
      <c r="B420" s="60" t="str">
        <f>IFERROR(__xludf.DUMMYFUNCTION("IFERROR(GOOGLEFINANCE(A420,""NAME""),)"),"Excel Realty N Infra Ltd")</f>
        <v>Excel Realty N Infra Ltd</v>
      </c>
      <c r="C420" s="60">
        <f>IFERROR(__xludf.DUMMYFUNCTION("IFERROR(GOOGLEFINANCE(A420,""CHANGE""),)"),-0.01)</f>
        <v>-0.01</v>
      </c>
      <c r="D420" s="60">
        <f>IFERROR(__xludf.DUMMYFUNCTION("IFERROR(GOOGLEFINANCE(A420,""CHANGEPCT""),)"),-0.94)</f>
        <v>-0.94</v>
      </c>
      <c r="E420" s="60" t="str">
        <f t="shared" si="1"/>
        <v>-0.94%</v>
      </c>
      <c r="F420" s="60" t="str">
        <f t="shared" si="2"/>
        <v/>
      </c>
      <c r="G420" s="60">
        <f t="shared" si="3"/>
        <v>-0.94</v>
      </c>
      <c r="H420" s="60">
        <f>IFERROR(__xludf.DUMMYFUNCTION("IFERROR(GOOGLEFINANCE(A420,""PRICE""),)"),1.05)</f>
        <v>1.05</v>
      </c>
      <c r="I420" s="61">
        <f>IFERROR(__xludf.DUMMYFUNCTION("IFERROR(GOOGLEFINANCE(A420,""VOLUME""),)"),2688650.0)</f>
        <v>2688650</v>
      </c>
      <c r="J420" s="60" t="str">
        <f>IFERROR(__xludf.DUMMYFUNCTION("IFERROR(INDEX(SPLIT(A420,"":""),1,2),)"),"EXCEL")</f>
        <v>EXCEL</v>
      </c>
      <c r="K420" s="60" t="str">
        <f t="shared" si="4"/>
        <v/>
      </c>
      <c r="L420" s="60">
        <f t="shared" si="5"/>
        <v>208</v>
      </c>
      <c r="M420" s="60">
        <f t="shared" si="6"/>
        <v>164</v>
      </c>
      <c r="N420" s="62">
        <f>IFERROR(__xludf.DUMMYFUNCTION("IFERROR(GOOGLEFINANCE(A420,""TRADETIME""),)"),46086.64583333333)</f>
        <v>46086.64583</v>
      </c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68" t="s">
        <v>467</v>
      </c>
      <c r="B421" s="64" t="str">
        <f>IFERROR(__xludf.DUMMYFUNCTION("IFERROR(GOOGLEFINANCE(A421,""NAME""),)"),"Excel Industries Ltd")</f>
        <v>Excel Industries Ltd</v>
      </c>
      <c r="C421" s="64">
        <f>IFERROR(__xludf.DUMMYFUNCTION("IFERROR(GOOGLEFINANCE(A421,""CHANGE""),)"),14.05)</f>
        <v>14.05</v>
      </c>
      <c r="D421" s="64">
        <f>IFERROR(__xludf.DUMMYFUNCTION("IFERROR(GOOGLEFINANCE(A421,""CHANGEPCT""),)"),1.58)</f>
        <v>1.58</v>
      </c>
      <c r="E421" s="64" t="str">
        <f t="shared" si="1"/>
        <v>1.58%</v>
      </c>
      <c r="F421" s="64">
        <f t="shared" si="2"/>
        <v>1.58</v>
      </c>
      <c r="G421" s="64" t="str">
        <f t="shared" si="3"/>
        <v/>
      </c>
      <c r="H421" s="64">
        <f>IFERROR(__xludf.DUMMYFUNCTION("IFERROR(GOOGLEFINANCE(A421,""PRICE""),)"),903.0)</f>
        <v>903</v>
      </c>
      <c r="I421" s="65">
        <f>IFERROR(__xludf.DUMMYFUNCTION("IFERROR(GOOGLEFINANCE(A421,""VOLUME""),)"),5919.0)</f>
        <v>5919</v>
      </c>
      <c r="J421" s="64" t="str">
        <f>IFERROR(__xludf.DUMMYFUNCTION("IFERROR(INDEX(SPLIT(A421,"":""),1,2),)"),"EXCELINDUS")</f>
        <v>EXCELINDUS</v>
      </c>
      <c r="K421" s="64">
        <f t="shared" si="4"/>
        <v>543</v>
      </c>
      <c r="L421" s="64" t="str">
        <f t="shared" si="5"/>
        <v/>
      </c>
      <c r="M421" s="64">
        <f t="shared" si="6"/>
        <v>1327</v>
      </c>
      <c r="N421" s="66">
        <f>IFERROR(__xludf.DUMMYFUNCTION("IFERROR(GOOGLEFINANCE(A421,""TRADETIME""),)"),46086.64583333333)</f>
        <v>46086.64583</v>
      </c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67" t="s">
        <v>468</v>
      </c>
      <c r="B422" s="60" t="str">
        <f>IFERROR(__xludf.DUMMYFUNCTION("IFERROR(GOOGLEFINANCE(A422,""NAME""),)"),"Exide Industries Ltd")</f>
        <v>Exide Industries Ltd</v>
      </c>
      <c r="C422" s="60">
        <f>IFERROR(__xludf.DUMMYFUNCTION("IFERROR(GOOGLEFINANCE(A422,""CHANGE""),)"),6.2)</f>
        <v>6.2</v>
      </c>
      <c r="D422" s="60">
        <f>IFERROR(__xludf.DUMMYFUNCTION("IFERROR(GOOGLEFINANCE(A422,""CHANGEPCT""),)"),1.97)</f>
        <v>1.97</v>
      </c>
      <c r="E422" s="60" t="str">
        <f t="shared" si="1"/>
        <v>1.97%</v>
      </c>
      <c r="F422" s="60">
        <f t="shared" si="2"/>
        <v>1.97</v>
      </c>
      <c r="G422" s="60" t="str">
        <f t="shared" si="3"/>
        <v/>
      </c>
      <c r="H422" s="60">
        <f>IFERROR(__xludf.DUMMYFUNCTION("IFERROR(GOOGLEFINANCE(A422,""PRICE""),)"),320.15)</f>
        <v>320.15</v>
      </c>
      <c r="I422" s="61">
        <f>IFERROR(__xludf.DUMMYFUNCTION("IFERROR(GOOGLEFINANCE(A422,""VOLUME""),)"),1306295.0)</f>
        <v>1306295</v>
      </c>
      <c r="J422" s="60" t="str">
        <f>IFERROR(__xludf.DUMMYFUNCTION("IFERROR(INDEX(SPLIT(A422,"":""),1,2),)"),"EXIDEIND")</f>
        <v>EXIDEIND</v>
      </c>
      <c r="K422" s="60">
        <f t="shared" si="4"/>
        <v>449</v>
      </c>
      <c r="L422" s="60" t="str">
        <f t="shared" si="5"/>
        <v/>
      </c>
      <c r="M422" s="60">
        <f t="shared" si="6"/>
        <v>254</v>
      </c>
      <c r="N422" s="62">
        <f>IFERROR(__xludf.DUMMYFUNCTION("IFERROR(GOOGLEFINANCE(A422,""TRADETIME""),)"),46086.64584490741)</f>
        <v>46086.64584</v>
      </c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68" t="s">
        <v>469</v>
      </c>
      <c r="B423" s="64" t="str">
        <f>IFERROR(__xludf.DUMMYFUNCTION("IFERROR(GOOGLEFINANCE(A423,""NAME""),)"),"Expleo Solutions Ltd")</f>
        <v>Expleo Solutions Ltd</v>
      </c>
      <c r="C423" s="64">
        <f>IFERROR(__xludf.DUMMYFUNCTION("IFERROR(GOOGLEFINANCE(A423,""CHANGE""),)"),18.7)</f>
        <v>18.7</v>
      </c>
      <c r="D423" s="64">
        <f>IFERROR(__xludf.DUMMYFUNCTION("IFERROR(GOOGLEFINANCE(A423,""CHANGEPCT""),)"),2.52)</f>
        <v>2.52</v>
      </c>
      <c r="E423" s="64" t="str">
        <f t="shared" si="1"/>
        <v>2.52%</v>
      </c>
      <c r="F423" s="64">
        <f t="shared" si="2"/>
        <v>2.52</v>
      </c>
      <c r="G423" s="64" t="str">
        <f t="shared" si="3"/>
        <v/>
      </c>
      <c r="H423" s="64">
        <f>IFERROR(__xludf.DUMMYFUNCTION("IFERROR(GOOGLEFINANCE(A423,""PRICE""),)"),760.0)</f>
        <v>760</v>
      </c>
      <c r="I423" s="65">
        <f>IFERROR(__xludf.DUMMYFUNCTION("IFERROR(GOOGLEFINANCE(A423,""VOLUME""),)"),17982.0)</f>
        <v>17982</v>
      </c>
      <c r="J423" s="64" t="str">
        <f>IFERROR(__xludf.DUMMYFUNCTION("IFERROR(INDEX(SPLIT(A423,"":""),1,2),)"),"EXPLEOSOL")</f>
        <v>EXPLEOSOL</v>
      </c>
      <c r="K423" s="64">
        <f t="shared" si="4"/>
        <v>338</v>
      </c>
      <c r="L423" s="64" t="str">
        <f t="shared" si="5"/>
        <v/>
      </c>
      <c r="M423" s="64">
        <f t="shared" si="6"/>
        <v>1168</v>
      </c>
      <c r="N423" s="66">
        <f>IFERROR(__xludf.DUMMYFUNCTION("IFERROR(GOOGLEFINANCE(A423,""TRADETIME""),)"),46086.64583333333)</f>
        <v>46086.64583</v>
      </c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67" t="s">
        <v>470</v>
      </c>
      <c r="B424" s="60" t="str">
        <f>IFERROR(__xludf.DUMMYFUNCTION("IFERROR(GOOGLEFINANCE(A424,""NAME""),)"),"Fertilisers And Chemicals Travancore Ltd")</f>
        <v>Fertilisers And Chemicals Travancore Ltd</v>
      </c>
      <c r="C424" s="60">
        <f>IFERROR(__xludf.DUMMYFUNCTION("IFERROR(GOOGLEFINANCE(A424,""CHANGE""),)"),9.75)</f>
        <v>9.75</v>
      </c>
      <c r="D424" s="60">
        <f>IFERROR(__xludf.DUMMYFUNCTION("IFERROR(GOOGLEFINANCE(A424,""CHANGEPCT""),)"),1.46)</f>
        <v>1.46</v>
      </c>
      <c r="E424" s="60" t="str">
        <f t="shared" si="1"/>
        <v>1.46%</v>
      </c>
      <c r="F424" s="60">
        <f t="shared" si="2"/>
        <v>1.46</v>
      </c>
      <c r="G424" s="60" t="str">
        <f t="shared" si="3"/>
        <v/>
      </c>
      <c r="H424" s="60">
        <f>IFERROR(__xludf.DUMMYFUNCTION("IFERROR(GOOGLEFINANCE(A424,""PRICE""),)"),679.5)</f>
        <v>679.5</v>
      </c>
      <c r="I424" s="61">
        <f>IFERROR(__xludf.DUMMYFUNCTION("IFERROR(GOOGLEFINANCE(A424,""VOLUME""),)"),153150.0)</f>
        <v>153150</v>
      </c>
      <c r="J424" s="60" t="str">
        <f>IFERROR(__xludf.DUMMYFUNCTION("IFERROR(INDEX(SPLIT(A424,"":""),1,2),)"),"FACT")</f>
        <v>FACT</v>
      </c>
      <c r="K424" s="60">
        <f t="shared" si="4"/>
        <v>583</v>
      </c>
      <c r="L424" s="60" t="str">
        <f t="shared" si="5"/>
        <v/>
      </c>
      <c r="M424" s="60">
        <f t="shared" si="6"/>
        <v>669</v>
      </c>
      <c r="N424" s="62">
        <f>IFERROR(__xludf.DUMMYFUNCTION("IFERROR(GOOGLEFINANCE(A424,""TRADETIME""),)"),46086.64583333333)</f>
        <v>46086.64583</v>
      </c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68" t="s">
        <v>471</v>
      </c>
      <c r="B425" s="64" t="str">
        <f>IFERROR(__xludf.DUMMYFUNCTION("IFERROR(GOOGLEFINANCE(A425,""NAME""),)"),"Fairchem Organics Ltd")</f>
        <v>Fairchem Organics Ltd</v>
      </c>
      <c r="C425" s="64">
        <f>IFERROR(__xludf.DUMMYFUNCTION("IFERROR(GOOGLEFINANCE(A425,""CHANGE""),)"),-7.0)</f>
        <v>-7</v>
      </c>
      <c r="D425" s="64">
        <f>IFERROR(__xludf.DUMMYFUNCTION("IFERROR(GOOGLEFINANCE(A425,""CHANGEPCT""),)"),-1.24)</f>
        <v>-1.24</v>
      </c>
      <c r="E425" s="64" t="str">
        <f t="shared" si="1"/>
        <v>-1.24%</v>
      </c>
      <c r="F425" s="64" t="str">
        <f t="shared" si="2"/>
        <v/>
      </c>
      <c r="G425" s="64">
        <f t="shared" si="3"/>
        <v>-1.24</v>
      </c>
      <c r="H425" s="64">
        <f>IFERROR(__xludf.DUMMYFUNCTION("IFERROR(GOOGLEFINANCE(A425,""PRICE""),)"),556.0)</f>
        <v>556</v>
      </c>
      <c r="I425" s="65">
        <f>IFERROR(__xludf.DUMMYFUNCTION("IFERROR(GOOGLEFINANCE(A425,""VOLUME""),)"),16524.0)</f>
        <v>16524</v>
      </c>
      <c r="J425" s="64" t="str">
        <f>IFERROR(__xludf.DUMMYFUNCTION("IFERROR(INDEX(SPLIT(A425,"":""),1,2),)"),"FAIRCHEMOR")</f>
        <v>FAIRCHEMOR</v>
      </c>
      <c r="K425" s="64" t="str">
        <f t="shared" si="4"/>
        <v/>
      </c>
      <c r="L425" s="64">
        <f t="shared" si="5"/>
        <v>258</v>
      </c>
      <c r="M425" s="64">
        <f t="shared" si="6"/>
        <v>1179</v>
      </c>
      <c r="N425" s="66">
        <f>IFERROR(__xludf.DUMMYFUNCTION("IFERROR(GOOGLEFINANCE(A425,""TRADETIME""),)"),46086.64583333333)</f>
        <v>46086.64583</v>
      </c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67" t="s">
        <v>472</v>
      </c>
      <c r="B426" s="60" t="str">
        <f>IFERROR(__xludf.DUMMYFUNCTION("IFERROR(GOOGLEFINANCE(A426,""NAME""),)"),"Fineotex Chemical Ltd")</f>
        <v>Fineotex Chemical Ltd</v>
      </c>
      <c r="C426" s="60">
        <f>IFERROR(__xludf.DUMMYFUNCTION("IFERROR(GOOGLEFINANCE(A426,""CHANGE""),)"),0.12)</f>
        <v>0.12</v>
      </c>
      <c r="D426" s="60">
        <f>IFERROR(__xludf.DUMMYFUNCTION("IFERROR(GOOGLEFINANCE(A426,""CHANGEPCT""),)"),0.54)</f>
        <v>0.54</v>
      </c>
      <c r="E426" s="60" t="str">
        <f t="shared" si="1"/>
        <v>0.54%</v>
      </c>
      <c r="F426" s="60">
        <f t="shared" si="2"/>
        <v>0.54</v>
      </c>
      <c r="G426" s="60" t="str">
        <f t="shared" si="3"/>
        <v/>
      </c>
      <c r="H426" s="60">
        <f>IFERROR(__xludf.DUMMYFUNCTION("IFERROR(GOOGLEFINANCE(A426,""PRICE""),)"),22.27)</f>
        <v>22.27</v>
      </c>
      <c r="I426" s="61">
        <f>IFERROR(__xludf.DUMMYFUNCTION("IFERROR(GOOGLEFINANCE(A426,""VOLUME""),)"),1596372.0)</f>
        <v>1596372</v>
      </c>
      <c r="J426" s="60" t="str">
        <f>IFERROR(__xludf.DUMMYFUNCTION("IFERROR(INDEX(SPLIT(A426,"":""),1,2),)"),"FCL")</f>
        <v>FCL</v>
      </c>
      <c r="K426" s="60">
        <f t="shared" si="4"/>
        <v>866</v>
      </c>
      <c r="L426" s="60" t="str">
        <f t="shared" si="5"/>
        <v/>
      </c>
      <c r="M426" s="60">
        <f t="shared" si="6"/>
        <v>234</v>
      </c>
      <c r="N426" s="62">
        <f>IFERROR(__xludf.DUMMYFUNCTION("IFERROR(GOOGLEFINANCE(A426,""TRADETIME""),)"),46086.644062499996)</f>
        <v>46086.64406</v>
      </c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68" t="s">
        <v>473</v>
      </c>
      <c r="B427" s="64" t="str">
        <f>IFERROR(__xludf.DUMMYFUNCTION("IFERROR(GOOGLEFINANCE(A427,""NAME""),)"),"Future Consumer Ltd")</f>
        <v>Future Consumer Ltd</v>
      </c>
      <c r="C427" s="64">
        <f>IFERROR(__xludf.DUMMYFUNCTION("IFERROR(GOOGLEFINANCE(A427,""CHANGE""),)"),-0.01)</f>
        <v>-0.01</v>
      </c>
      <c r="D427" s="64">
        <f>IFERROR(__xludf.DUMMYFUNCTION("IFERROR(GOOGLEFINANCE(A427,""CHANGEPCT""),)"),-2.78)</f>
        <v>-2.78</v>
      </c>
      <c r="E427" s="64" t="str">
        <f t="shared" si="1"/>
        <v>-2.78%</v>
      </c>
      <c r="F427" s="64" t="str">
        <f t="shared" si="2"/>
        <v/>
      </c>
      <c r="G427" s="64">
        <f t="shared" si="3"/>
        <v>-2.78</v>
      </c>
      <c r="H427" s="64">
        <f>IFERROR(__xludf.DUMMYFUNCTION("IFERROR(GOOGLEFINANCE(A427,""PRICE""),)"),0.35)</f>
        <v>0.35</v>
      </c>
      <c r="I427" s="65">
        <f>IFERROR(__xludf.DUMMYFUNCTION("IFERROR(GOOGLEFINANCE(A427,""VOLUME""),)"),1885475.0)</f>
        <v>1885475</v>
      </c>
      <c r="J427" s="64" t="str">
        <f>IFERROR(__xludf.DUMMYFUNCTION("IFERROR(INDEX(SPLIT(A427,"":""),1,2),)"),"FCONSUMER")</f>
        <v>FCONSUMER</v>
      </c>
      <c r="K427" s="64" t="str">
        <f t="shared" si="4"/>
        <v/>
      </c>
      <c r="L427" s="64">
        <f t="shared" si="5"/>
        <v>399</v>
      </c>
      <c r="M427" s="64">
        <f t="shared" si="6"/>
        <v>215</v>
      </c>
      <c r="N427" s="66">
        <f>IFERROR(__xludf.DUMMYFUNCTION("IFERROR(GOOGLEFINANCE(A427,""TRADETIME""),)"),46083.64583333333)</f>
        <v>46083.64583</v>
      </c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67" t="s">
        <v>474</v>
      </c>
      <c r="B428" s="60" t="str">
        <f>IFERROR(__xludf.DUMMYFUNCTION("IFERROR(GOOGLEFINANCE(A428,""NAME""),)"),"FCS Software Solutions Ltd")</f>
        <v>FCS Software Solutions Ltd</v>
      </c>
      <c r="C428" s="60">
        <f>IFERROR(__xludf.DUMMYFUNCTION("IFERROR(GOOGLEFINANCE(A428,""CHANGE""),)"),0.03)</f>
        <v>0.03</v>
      </c>
      <c r="D428" s="60">
        <f>IFERROR(__xludf.DUMMYFUNCTION("IFERROR(GOOGLEFINANCE(A428,""CHANGEPCT""),)"),2.04)</f>
        <v>2.04</v>
      </c>
      <c r="E428" s="60" t="str">
        <f t="shared" si="1"/>
        <v>2.04%</v>
      </c>
      <c r="F428" s="60">
        <f t="shared" si="2"/>
        <v>2.04</v>
      </c>
      <c r="G428" s="60" t="str">
        <f t="shared" si="3"/>
        <v/>
      </c>
      <c r="H428" s="60">
        <f>IFERROR(__xludf.DUMMYFUNCTION("IFERROR(GOOGLEFINANCE(A428,""PRICE""),)"),1.5)</f>
        <v>1.5</v>
      </c>
      <c r="I428" s="61">
        <f>IFERROR(__xludf.DUMMYFUNCTION("IFERROR(GOOGLEFINANCE(A428,""VOLUME""),)"),1409760.0)</f>
        <v>1409760</v>
      </c>
      <c r="J428" s="60" t="str">
        <f>IFERROR(__xludf.DUMMYFUNCTION("IFERROR(INDEX(SPLIT(A428,"":""),1,2),)"),"FCSSOFT")</f>
        <v>FCSSOFT</v>
      </c>
      <c r="K428" s="60">
        <f t="shared" si="4"/>
        <v>431</v>
      </c>
      <c r="L428" s="60" t="str">
        <f t="shared" si="5"/>
        <v/>
      </c>
      <c r="M428" s="60">
        <f t="shared" si="6"/>
        <v>246</v>
      </c>
      <c r="N428" s="62">
        <f>IFERROR(__xludf.DUMMYFUNCTION("IFERROR(GOOGLEFINANCE(A428,""TRADETIME""),)"),46086.64586805555)</f>
        <v>46086.64587</v>
      </c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68" t="s">
        <v>475</v>
      </c>
      <c r="B429" s="64" t="str">
        <f>IFERROR(__xludf.DUMMYFUNCTION("IFERROR(GOOGLEFINANCE(A429,""NAME""),)"),"F D C Ltd")</f>
        <v>F D C Ltd</v>
      </c>
      <c r="C429" s="64">
        <f>IFERROR(__xludf.DUMMYFUNCTION("IFERROR(GOOGLEFINANCE(A429,""CHANGE""),)"),-2.5)</f>
        <v>-2.5</v>
      </c>
      <c r="D429" s="64">
        <f>IFERROR(__xludf.DUMMYFUNCTION("IFERROR(GOOGLEFINANCE(A429,""CHANGEPCT""),)"),-1.2)</f>
        <v>-1.2</v>
      </c>
      <c r="E429" s="64" t="str">
        <f t="shared" si="1"/>
        <v>-1.2%</v>
      </c>
      <c r="F429" s="64" t="str">
        <f t="shared" si="2"/>
        <v/>
      </c>
      <c r="G429" s="64">
        <f t="shared" si="3"/>
        <v>-1.2</v>
      </c>
      <c r="H429" s="64">
        <f>IFERROR(__xludf.DUMMYFUNCTION("IFERROR(GOOGLEFINANCE(A429,""PRICE""),)"),367.0)</f>
        <v>367</v>
      </c>
      <c r="I429" s="65">
        <f>IFERROR(__xludf.DUMMYFUNCTION("IFERROR(GOOGLEFINANCE(A429,""VOLUME""),)"),41402.0)</f>
        <v>41402</v>
      </c>
      <c r="J429" s="64" t="str">
        <f>IFERROR(__xludf.DUMMYFUNCTION("IFERROR(INDEX(SPLIT(A429,"":""),1,2),)"),"FDC")</f>
        <v>FDC</v>
      </c>
      <c r="K429" s="64" t="str">
        <f t="shared" si="4"/>
        <v/>
      </c>
      <c r="L429" s="64">
        <f t="shared" si="5"/>
        <v>247</v>
      </c>
      <c r="M429" s="64">
        <f t="shared" si="6"/>
        <v>985</v>
      </c>
      <c r="N429" s="66">
        <f>IFERROR(__xludf.DUMMYFUNCTION("IFERROR(GOOGLEFINANCE(A429,""TRADETIME""),)"),46086.64586805555)</f>
        <v>46086.64587</v>
      </c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67" t="s">
        <v>476</v>
      </c>
      <c r="B430" s="60" t="str">
        <f>IFERROR(__xludf.DUMMYFUNCTION("IFERROR(GOOGLEFINANCE(A430,""NAME""),)"),"Federal Bank Ltd")</f>
        <v>Federal Bank Ltd</v>
      </c>
      <c r="C430" s="60">
        <f>IFERROR(__xludf.DUMMYFUNCTION("IFERROR(GOOGLEFINANCE(A430,""CHANGE""),)"),3.2)</f>
        <v>3.2</v>
      </c>
      <c r="D430" s="60">
        <f>IFERROR(__xludf.DUMMYFUNCTION("IFERROR(GOOGLEFINANCE(A430,""CHANGEPCT""),)"),1.12)</f>
        <v>1.12</v>
      </c>
      <c r="E430" s="60" t="str">
        <f t="shared" si="1"/>
        <v>1.12%</v>
      </c>
      <c r="F430" s="60">
        <f t="shared" si="2"/>
        <v>1.12</v>
      </c>
      <c r="G430" s="60" t="str">
        <f t="shared" si="3"/>
        <v/>
      </c>
      <c r="H430" s="60">
        <f>IFERROR(__xludf.DUMMYFUNCTION("IFERROR(GOOGLEFINANCE(A430,""PRICE""),)"),289.55)</f>
        <v>289.55</v>
      </c>
      <c r="I430" s="61">
        <f>IFERROR(__xludf.DUMMYFUNCTION("IFERROR(GOOGLEFINANCE(A430,""VOLUME""),)"),6013954.0)</f>
        <v>6013954</v>
      </c>
      <c r="J430" s="60" t="str">
        <f>IFERROR(__xludf.DUMMYFUNCTION("IFERROR(INDEX(SPLIT(A430,"":""),1,2),)"),"FEDERALBNK")</f>
        <v>FEDERALBNK</v>
      </c>
      <c r="K430" s="60">
        <f t="shared" si="4"/>
        <v>681</v>
      </c>
      <c r="L430" s="60" t="str">
        <f t="shared" si="5"/>
        <v/>
      </c>
      <c r="M430" s="60">
        <f t="shared" si="6"/>
        <v>93</v>
      </c>
      <c r="N430" s="62">
        <f>IFERROR(__xludf.DUMMYFUNCTION("IFERROR(GOOGLEFINANCE(A430,""TRADETIME""),)"),46086.64584490741)</f>
        <v>46086.64584</v>
      </c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68" t="s">
        <v>477</v>
      </c>
      <c r="B431" s="64" t="str">
        <f>IFERROR(__xludf.DUMMYFUNCTION("IFERROR(GOOGLEFINANCE(A431,""NAME""),)"),"Future Enterprises Ltd")</f>
        <v>Future Enterprises Ltd</v>
      </c>
      <c r="C431" s="64">
        <f>IFERROR(__xludf.DUMMYFUNCTION("IFERROR(GOOGLEFINANCE(A431,""CHANGE""),)"),0.0)</f>
        <v>0</v>
      </c>
      <c r="D431" s="64">
        <f>IFERROR(__xludf.DUMMYFUNCTION("IFERROR(GOOGLEFINANCE(A431,""CHANGEPCT""),)"),0.0)</f>
        <v>0</v>
      </c>
      <c r="E431" s="64" t="str">
        <f t="shared" si="1"/>
        <v>0%</v>
      </c>
      <c r="F431" s="64" t="str">
        <f t="shared" si="2"/>
        <v/>
      </c>
      <c r="G431" s="64" t="str">
        <f t="shared" si="3"/>
        <v/>
      </c>
      <c r="H431" s="64">
        <f>IFERROR(__xludf.DUMMYFUNCTION("IFERROR(GOOGLEFINANCE(A431,""PRICE""),)"),0.42)</f>
        <v>0.42</v>
      </c>
      <c r="I431" s="65">
        <f>IFERROR(__xludf.DUMMYFUNCTION("IFERROR(GOOGLEFINANCE(A431,""VOLUME""),)"),160852.0)</f>
        <v>160852</v>
      </c>
      <c r="J431" s="64" t="str">
        <f>IFERROR(__xludf.DUMMYFUNCTION("IFERROR(INDEX(SPLIT(A431,"":""),1,2),)"),"FEL")</f>
        <v>FEL</v>
      </c>
      <c r="K431" s="64" t="str">
        <f t="shared" si="4"/>
        <v/>
      </c>
      <c r="L431" s="64" t="str">
        <f t="shared" si="5"/>
        <v/>
      </c>
      <c r="M431" s="64">
        <f t="shared" si="6"/>
        <v>655</v>
      </c>
      <c r="N431" s="66">
        <f>IFERROR(__xludf.DUMMYFUNCTION("IFERROR(GOOGLEFINANCE(A431,""TRADETIME""),)"),46086.64583333333)</f>
        <v>46086.64583</v>
      </c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67" t="s">
        <v>478</v>
      </c>
      <c r="B432" s="60" t="str">
        <f>IFERROR(__xludf.DUMMYFUNCTION("IFERROR(GOOGLEFINANCE(A432,""NAME""),)"),"Future Enterprises Ord Shs")</f>
        <v>Future Enterprises Ord Shs</v>
      </c>
      <c r="C432" s="60">
        <f>IFERROR(__xludf.DUMMYFUNCTION("IFERROR(GOOGLEFINANCE(A432,""CHANGE""),)"),0.13)</f>
        <v>0.13</v>
      </c>
      <c r="D432" s="60">
        <f>IFERROR(__xludf.DUMMYFUNCTION("IFERROR(GOOGLEFINANCE(A432,""CHANGEPCT""),)"),4.64)</f>
        <v>4.64</v>
      </c>
      <c r="E432" s="60" t="str">
        <f t="shared" si="1"/>
        <v>4.64%</v>
      </c>
      <c r="F432" s="60">
        <f t="shared" si="2"/>
        <v>4.64</v>
      </c>
      <c r="G432" s="60" t="str">
        <f t="shared" si="3"/>
        <v/>
      </c>
      <c r="H432" s="60">
        <f>IFERROR(__xludf.DUMMYFUNCTION("IFERROR(GOOGLEFINANCE(A432,""PRICE""),)"),2.93)</f>
        <v>2.93</v>
      </c>
      <c r="I432" s="61">
        <f>IFERROR(__xludf.DUMMYFUNCTION("IFERROR(GOOGLEFINANCE(A432,""VOLUME""),)"),2588.0)</f>
        <v>2588</v>
      </c>
      <c r="J432" s="60" t="str">
        <f>IFERROR(__xludf.DUMMYFUNCTION("IFERROR(INDEX(SPLIT(A432,"":""),1,2),)"),"FELDVR")</f>
        <v>FELDVR</v>
      </c>
      <c r="K432" s="60">
        <f t="shared" si="4"/>
        <v>103</v>
      </c>
      <c r="L432" s="60" t="str">
        <f t="shared" si="5"/>
        <v/>
      </c>
      <c r="M432" s="60">
        <f t="shared" si="6"/>
        <v>1389</v>
      </c>
      <c r="N432" s="62">
        <f>IFERROR(__xludf.DUMMYFUNCTION("IFERROR(GOOGLEFINANCE(A432,""TRADETIME""),)"),46086.63578703704)</f>
        <v>46086.63579</v>
      </c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68" t="s">
        <v>479</v>
      </c>
      <c r="B433" s="64" t="str">
        <f>IFERROR(__xludf.DUMMYFUNCTION("IFERROR(GOOGLEFINANCE(A433,""NAME""),)"),"Fiem Industries Ltd")</f>
        <v>Fiem Industries Ltd</v>
      </c>
      <c r="C433" s="64">
        <f>IFERROR(__xludf.DUMMYFUNCTION("IFERROR(GOOGLEFINANCE(A433,""CHANGE""),)"),3.2)</f>
        <v>3.2</v>
      </c>
      <c r="D433" s="64">
        <f>IFERROR(__xludf.DUMMYFUNCTION("IFERROR(GOOGLEFINANCE(A433,""CHANGEPCT""),)"),0.15)</f>
        <v>0.15</v>
      </c>
      <c r="E433" s="64" t="str">
        <f t="shared" si="1"/>
        <v>0.15%</v>
      </c>
      <c r="F433" s="64">
        <f t="shared" si="2"/>
        <v>0.15</v>
      </c>
      <c r="G433" s="64" t="str">
        <f t="shared" si="3"/>
        <v/>
      </c>
      <c r="H433" s="64">
        <f>IFERROR(__xludf.DUMMYFUNCTION("IFERROR(GOOGLEFINANCE(A433,""PRICE""),)"),2134.5)</f>
        <v>2134.5</v>
      </c>
      <c r="I433" s="65">
        <f>IFERROR(__xludf.DUMMYFUNCTION("IFERROR(GOOGLEFINANCE(A433,""VOLUME""),)"),58129.0)</f>
        <v>58129</v>
      </c>
      <c r="J433" s="64" t="str">
        <f>IFERROR(__xludf.DUMMYFUNCTION("IFERROR(INDEX(SPLIT(A433,"":""),1,2),)"),"FIEMIND")</f>
        <v>FIEMIND</v>
      </c>
      <c r="K433" s="64">
        <f t="shared" si="4"/>
        <v>964</v>
      </c>
      <c r="L433" s="64" t="str">
        <f t="shared" si="5"/>
        <v/>
      </c>
      <c r="M433" s="64">
        <f t="shared" si="6"/>
        <v>888</v>
      </c>
      <c r="N433" s="66">
        <f>IFERROR(__xludf.DUMMYFUNCTION("IFERROR(GOOGLEFINANCE(A433,""TRADETIME""),)"),46086.64585648148)</f>
        <v>46086.64586</v>
      </c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67" t="s">
        <v>480</v>
      </c>
      <c r="B434" s="60" t="str">
        <f>IFERROR(__xludf.DUMMYFUNCTION("IFERROR(GOOGLEFINANCE(A434,""NAME""),)"),"Filatex India Ltd")</f>
        <v>Filatex India Ltd</v>
      </c>
      <c r="C434" s="60">
        <f>IFERROR(__xludf.DUMMYFUNCTION("IFERROR(GOOGLEFINANCE(A434,""CHANGE""),)"),0.5)</f>
        <v>0.5</v>
      </c>
      <c r="D434" s="60">
        <f>IFERROR(__xludf.DUMMYFUNCTION("IFERROR(GOOGLEFINANCE(A434,""CHANGEPCT""),)"),0.83)</f>
        <v>0.83</v>
      </c>
      <c r="E434" s="60" t="str">
        <f t="shared" si="1"/>
        <v>0.83%</v>
      </c>
      <c r="F434" s="60">
        <f t="shared" si="2"/>
        <v>0.83</v>
      </c>
      <c r="G434" s="60" t="str">
        <f t="shared" si="3"/>
        <v/>
      </c>
      <c r="H434" s="60">
        <f>IFERROR(__xludf.DUMMYFUNCTION("IFERROR(GOOGLEFINANCE(A434,""PRICE""),)"),41.33)</f>
        <v>41.33</v>
      </c>
      <c r="I434" s="61">
        <f>IFERROR(__xludf.DUMMYFUNCTION("IFERROR(GOOGLEFINANCE(A434,""VOLUME""),)"),400842.0)</f>
        <v>400842</v>
      </c>
      <c r="J434" s="60" t="str">
        <f>IFERROR(__xludf.DUMMYFUNCTION("IFERROR(INDEX(SPLIT(A434,"":""),1,2),)"),"FILATEX")</f>
        <v>FILATEX</v>
      </c>
      <c r="K434" s="60">
        <f t="shared" si="4"/>
        <v>773</v>
      </c>
      <c r="L434" s="60" t="str">
        <f t="shared" si="5"/>
        <v/>
      </c>
      <c r="M434" s="60">
        <f t="shared" si="6"/>
        <v>441</v>
      </c>
      <c r="N434" s="62">
        <f>IFERROR(__xludf.DUMMYFUNCTION("IFERROR(GOOGLEFINANCE(A434,""TRADETIME""),)"),46086.64586805555)</f>
        <v>46086.64587</v>
      </c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68" t="s">
        <v>481</v>
      </c>
      <c r="B435" s="64" t="str">
        <f>IFERROR(__xludf.DUMMYFUNCTION("IFERROR(GOOGLEFINANCE(A435,""NAME""),)"),"Finolex Cables Ltd")</f>
        <v>Finolex Cables Ltd</v>
      </c>
      <c r="C435" s="64">
        <f>IFERROR(__xludf.DUMMYFUNCTION("IFERROR(GOOGLEFINANCE(A435,""CHANGE""),)"),31.65)</f>
        <v>31.65</v>
      </c>
      <c r="D435" s="64">
        <f>IFERROR(__xludf.DUMMYFUNCTION("IFERROR(GOOGLEFINANCE(A435,""CHANGEPCT""),)"),3.56)</f>
        <v>3.56</v>
      </c>
      <c r="E435" s="64" t="str">
        <f t="shared" si="1"/>
        <v>3.56%</v>
      </c>
      <c r="F435" s="64">
        <f t="shared" si="2"/>
        <v>3.56</v>
      </c>
      <c r="G435" s="64" t="str">
        <f t="shared" si="3"/>
        <v/>
      </c>
      <c r="H435" s="64">
        <f>IFERROR(__xludf.DUMMYFUNCTION("IFERROR(GOOGLEFINANCE(A435,""PRICE""),)"),921.0)</f>
        <v>921</v>
      </c>
      <c r="I435" s="65">
        <f>IFERROR(__xludf.DUMMYFUNCTION("IFERROR(GOOGLEFINANCE(A435,""VOLUME""),)"),766173.0)</f>
        <v>766173</v>
      </c>
      <c r="J435" s="64" t="str">
        <f>IFERROR(__xludf.DUMMYFUNCTION("IFERROR(INDEX(SPLIT(A435,"":""),1,2),)"),"FINCABLES")</f>
        <v>FINCABLES</v>
      </c>
      <c r="K435" s="64">
        <f t="shared" si="4"/>
        <v>187</v>
      </c>
      <c r="L435" s="64" t="str">
        <f t="shared" si="5"/>
        <v/>
      </c>
      <c r="M435" s="64">
        <f t="shared" si="6"/>
        <v>323</v>
      </c>
      <c r="N435" s="66">
        <f>IFERROR(__xludf.DUMMYFUNCTION("IFERROR(GOOGLEFINANCE(A435,""TRADETIME""),)"),46086.640439814815)</f>
        <v>46086.64044</v>
      </c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67" t="s">
        <v>482</v>
      </c>
      <c r="B436" s="60" t="str">
        <f>IFERROR(__xludf.DUMMYFUNCTION("IFERROR(GOOGLEFINANCE(A436,""NAME""),)"),"Fine Organic Industries Ltd")</f>
        <v>Fine Organic Industries Ltd</v>
      </c>
      <c r="C436" s="60">
        <f>IFERROR(__xludf.DUMMYFUNCTION("IFERROR(GOOGLEFINANCE(A436,""CHANGE""),)"),56.1)</f>
        <v>56.1</v>
      </c>
      <c r="D436" s="60">
        <f>IFERROR(__xludf.DUMMYFUNCTION("IFERROR(GOOGLEFINANCE(A436,""CHANGEPCT""),)"),1.32)</f>
        <v>1.32</v>
      </c>
      <c r="E436" s="60" t="str">
        <f t="shared" si="1"/>
        <v>1.32%</v>
      </c>
      <c r="F436" s="60">
        <f t="shared" si="2"/>
        <v>1.32</v>
      </c>
      <c r="G436" s="60" t="str">
        <f t="shared" si="3"/>
        <v/>
      </c>
      <c r="H436" s="60">
        <f>IFERROR(__xludf.DUMMYFUNCTION("IFERROR(GOOGLEFINANCE(A436,""PRICE""),)"),4320.0)</f>
        <v>4320</v>
      </c>
      <c r="I436" s="61">
        <f>IFERROR(__xludf.DUMMYFUNCTION("IFERROR(GOOGLEFINANCE(A436,""VOLUME""),)"),15665.0)</f>
        <v>15665</v>
      </c>
      <c r="J436" s="60" t="str">
        <f>IFERROR(__xludf.DUMMYFUNCTION("IFERROR(INDEX(SPLIT(A436,"":""),1,2),)"),"FINEORG")</f>
        <v>FINEORG</v>
      </c>
      <c r="K436" s="60">
        <f t="shared" si="4"/>
        <v>630</v>
      </c>
      <c r="L436" s="60" t="str">
        <f t="shared" si="5"/>
        <v/>
      </c>
      <c r="M436" s="60">
        <f t="shared" si="6"/>
        <v>1192</v>
      </c>
      <c r="N436" s="62">
        <f>IFERROR(__xludf.DUMMYFUNCTION("IFERROR(GOOGLEFINANCE(A436,""TRADETIME""),)"),46086.64585648148)</f>
        <v>46086.64586</v>
      </c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68" t="s">
        <v>483</v>
      </c>
      <c r="B437" s="64" t="str">
        <f>IFERROR(__xludf.DUMMYFUNCTION("IFERROR(GOOGLEFINANCE(A437,""NAME""),)"),"Finolex Industries Ltd")</f>
        <v>Finolex Industries Ltd</v>
      </c>
      <c r="C437" s="64">
        <f>IFERROR(__xludf.DUMMYFUNCTION("IFERROR(GOOGLEFINANCE(A437,""CHANGE""),)"),6.1)</f>
        <v>6.1</v>
      </c>
      <c r="D437" s="64">
        <f>IFERROR(__xludf.DUMMYFUNCTION("IFERROR(GOOGLEFINANCE(A437,""CHANGEPCT""),)"),3.39)</f>
        <v>3.39</v>
      </c>
      <c r="E437" s="64" t="str">
        <f t="shared" si="1"/>
        <v>3.39%</v>
      </c>
      <c r="F437" s="64">
        <f t="shared" si="2"/>
        <v>3.39</v>
      </c>
      <c r="G437" s="64" t="str">
        <f t="shared" si="3"/>
        <v/>
      </c>
      <c r="H437" s="64">
        <f>IFERROR(__xludf.DUMMYFUNCTION("IFERROR(GOOGLEFINANCE(A437,""PRICE""),)"),185.9)</f>
        <v>185.9</v>
      </c>
      <c r="I437" s="65">
        <f>IFERROR(__xludf.DUMMYFUNCTION("IFERROR(GOOGLEFINANCE(A437,""VOLUME""),)"),481167.0)</f>
        <v>481167</v>
      </c>
      <c r="J437" s="64" t="str">
        <f>IFERROR(__xludf.DUMMYFUNCTION("IFERROR(INDEX(SPLIT(A437,"":""),1,2),)"),"FINPIPE")</f>
        <v>FINPIPE</v>
      </c>
      <c r="K437" s="64">
        <f t="shared" si="4"/>
        <v>202</v>
      </c>
      <c r="L437" s="64" t="str">
        <f t="shared" si="5"/>
        <v/>
      </c>
      <c r="M437" s="64">
        <f t="shared" si="6"/>
        <v>405</v>
      </c>
      <c r="N437" s="66">
        <f>IFERROR(__xludf.DUMMYFUNCTION("IFERROR(GOOGLEFINANCE(A437,""TRADETIME""),)"),46086.64584490741)</f>
        <v>46086.64584</v>
      </c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67" t="s">
        <v>484</v>
      </c>
      <c r="B438" s="60" t="str">
        <f>IFERROR(__xludf.DUMMYFUNCTION("IFERROR(GOOGLEFINANCE(A438,""NAME""),)"),"Flexituff Ventures International Ltd")</f>
        <v>Flexituff Ventures International Ltd</v>
      </c>
      <c r="C438" s="60">
        <f>IFERROR(__xludf.DUMMYFUNCTION("IFERROR(GOOGLEFINANCE(A438,""CHANGE""),)"),0.22)</f>
        <v>0.22</v>
      </c>
      <c r="D438" s="60">
        <f>IFERROR(__xludf.DUMMYFUNCTION("IFERROR(GOOGLEFINANCE(A438,""CHANGEPCT""),)"),2.78)</f>
        <v>2.78</v>
      </c>
      <c r="E438" s="60" t="str">
        <f t="shared" si="1"/>
        <v>2.78%</v>
      </c>
      <c r="F438" s="60">
        <f t="shared" si="2"/>
        <v>2.78</v>
      </c>
      <c r="G438" s="60" t="str">
        <f t="shared" si="3"/>
        <v/>
      </c>
      <c r="H438" s="60">
        <f>IFERROR(__xludf.DUMMYFUNCTION("IFERROR(GOOGLEFINANCE(A438,""PRICE""),)"),8.13)</f>
        <v>8.13</v>
      </c>
      <c r="I438" s="61">
        <f>IFERROR(__xludf.DUMMYFUNCTION("IFERROR(GOOGLEFINANCE(A438,""VOLUME""),)"),2685.0)</f>
        <v>2685</v>
      </c>
      <c r="J438" s="60" t="str">
        <f>IFERROR(__xludf.DUMMYFUNCTION("IFERROR(INDEX(SPLIT(A438,"":""),1,2),)"),"FLEXITUFF")</f>
        <v>FLEXITUFF</v>
      </c>
      <c r="K438" s="60">
        <f t="shared" si="4"/>
        <v>292</v>
      </c>
      <c r="L438" s="60" t="str">
        <f t="shared" si="5"/>
        <v/>
      </c>
      <c r="M438" s="60">
        <f t="shared" si="6"/>
        <v>1387</v>
      </c>
      <c r="N438" s="62">
        <f>IFERROR(__xludf.DUMMYFUNCTION("IFERROR(GOOGLEFINANCE(A438,""TRADETIME""),)"),46086.64583333333)</f>
        <v>46086.64583</v>
      </c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68" t="s">
        <v>485</v>
      </c>
      <c r="B439" s="64" t="str">
        <f>IFERROR(__xludf.DUMMYFUNCTION("IFERROR(GOOGLEFINANCE(A439,""NAME""),)"),"Future Lifestyle Fashions Ltd")</f>
        <v>Future Lifestyle Fashions Ltd</v>
      </c>
      <c r="C439" s="64">
        <f>IFERROR(__xludf.DUMMYFUNCTION("IFERROR(GOOGLEFINANCE(A439,""CHANGE""),)"),0.02)</f>
        <v>0.02</v>
      </c>
      <c r="D439" s="64">
        <f>IFERROR(__xludf.DUMMYFUNCTION("IFERROR(GOOGLEFINANCE(A439,""CHANGEPCT""),)"),1.65)</f>
        <v>1.65</v>
      </c>
      <c r="E439" s="64" t="str">
        <f t="shared" si="1"/>
        <v>1.65%</v>
      </c>
      <c r="F439" s="64">
        <f t="shared" si="2"/>
        <v>1.65</v>
      </c>
      <c r="G439" s="64" t="str">
        <f t="shared" si="3"/>
        <v/>
      </c>
      <c r="H439" s="64">
        <f>IFERROR(__xludf.DUMMYFUNCTION("IFERROR(GOOGLEFINANCE(A439,""PRICE""),)"),1.23)</f>
        <v>1.23</v>
      </c>
      <c r="I439" s="65">
        <f>IFERROR(__xludf.DUMMYFUNCTION("IFERROR(GOOGLEFINANCE(A439,""VOLUME""),)"),31608.0)</f>
        <v>31608</v>
      </c>
      <c r="J439" s="64" t="str">
        <f>IFERROR(__xludf.DUMMYFUNCTION("IFERROR(INDEX(SPLIT(A439,"":""),1,2),)"),"FLFL")</f>
        <v>FLFL</v>
      </c>
      <c r="K439" s="64">
        <f t="shared" si="4"/>
        <v>526</v>
      </c>
      <c r="L439" s="64" t="str">
        <f t="shared" si="5"/>
        <v/>
      </c>
      <c r="M439" s="64">
        <f t="shared" si="6"/>
        <v>1044</v>
      </c>
      <c r="N439" s="66">
        <f>IFERROR(__xludf.DUMMYFUNCTION("IFERROR(GOOGLEFINANCE(A439,""TRADETIME""),)"),46086.64583333333)</f>
        <v>46086.64583</v>
      </c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67" t="s">
        <v>486</v>
      </c>
      <c r="B440" s="60" t="str">
        <f>IFERROR(__xludf.DUMMYFUNCTION("IFERROR(GOOGLEFINANCE(A440,""NAME""),)"),"Gujarat Fluorochemicals Ltd")</f>
        <v>Gujarat Fluorochemicals Ltd</v>
      </c>
      <c r="C440" s="60">
        <f>IFERROR(__xludf.DUMMYFUNCTION("IFERROR(GOOGLEFINANCE(A440,""CHANGE""),)"),-73.8)</f>
        <v>-73.8</v>
      </c>
      <c r="D440" s="60">
        <f>IFERROR(__xludf.DUMMYFUNCTION("IFERROR(GOOGLEFINANCE(A440,""CHANGEPCT""),)"),-2.21)</f>
        <v>-2.21</v>
      </c>
      <c r="E440" s="60" t="str">
        <f t="shared" si="1"/>
        <v>-2.21%</v>
      </c>
      <c r="F440" s="60" t="str">
        <f t="shared" si="2"/>
        <v/>
      </c>
      <c r="G440" s="60">
        <f t="shared" si="3"/>
        <v>-2.21</v>
      </c>
      <c r="H440" s="60">
        <f>IFERROR(__xludf.DUMMYFUNCTION("IFERROR(GOOGLEFINANCE(A440,""PRICE""),)"),3265.0)</f>
        <v>3265</v>
      </c>
      <c r="I440" s="61">
        <f>IFERROR(__xludf.DUMMYFUNCTION("IFERROR(GOOGLEFINANCE(A440,""VOLUME""),)"),32305.0)</f>
        <v>32305</v>
      </c>
      <c r="J440" s="60" t="str">
        <f>IFERROR(__xludf.DUMMYFUNCTION("IFERROR(INDEX(SPLIT(A440,"":""),1,2),)"),"FLUOROCHEM")</f>
        <v>FLUOROCHEM</v>
      </c>
      <c r="K440" s="60" t="str">
        <f t="shared" si="4"/>
        <v/>
      </c>
      <c r="L440" s="60">
        <f t="shared" si="5"/>
        <v>369</v>
      </c>
      <c r="M440" s="60">
        <f t="shared" si="6"/>
        <v>1042</v>
      </c>
      <c r="N440" s="62">
        <f>IFERROR(__xludf.DUMMYFUNCTION("IFERROR(GOOGLEFINANCE(A440,""TRADETIME""),)"),46086.64584490741)</f>
        <v>46086.64584</v>
      </c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63" t="s">
        <v>487</v>
      </c>
      <c r="B441" s="64" t="str">
        <f>IFERROR(__xludf.DUMMYFUNCTION("IFERROR(GOOGLEFINANCE(A441,""NAME""),)"),"Globe Enterprises (India) Ltd")</f>
        <v>Globe Enterprises (India) Ltd</v>
      </c>
      <c r="C441" s="64">
        <f>IFERROR(__xludf.DUMMYFUNCTION("IFERROR(GOOGLEFINANCE(A441,""CHANGE""),)"),0.02)</f>
        <v>0.02</v>
      </c>
      <c r="D441" s="64">
        <f>IFERROR(__xludf.DUMMYFUNCTION("IFERROR(GOOGLEFINANCE(A441,""CHANGEPCT""),)"),0.8)</f>
        <v>0.8</v>
      </c>
      <c r="E441" s="64" t="str">
        <f t="shared" si="1"/>
        <v>0.8%</v>
      </c>
      <c r="F441" s="64">
        <f t="shared" si="2"/>
        <v>0.8</v>
      </c>
      <c r="G441" s="64" t="str">
        <f t="shared" si="3"/>
        <v/>
      </c>
      <c r="H441" s="64">
        <f>IFERROR(__xludf.DUMMYFUNCTION("IFERROR(GOOGLEFINANCE(A441,""PRICE""),)"),2.52)</f>
        <v>2.52</v>
      </c>
      <c r="I441" s="65">
        <f>IFERROR(__xludf.DUMMYFUNCTION("IFERROR(GOOGLEFINANCE(A441,""VOLUME""),)"),428779.0)</f>
        <v>428779</v>
      </c>
      <c r="J441" s="64" t="str">
        <f>IFERROR(__xludf.DUMMYFUNCTION("IFERROR(INDEX(SPLIT(A441,"":""),1,2),)"),"GLOBE")</f>
        <v>GLOBE</v>
      </c>
      <c r="K441" s="64">
        <f t="shared" si="4"/>
        <v>782</v>
      </c>
      <c r="L441" s="64" t="str">
        <f t="shared" si="5"/>
        <v/>
      </c>
      <c r="M441" s="64">
        <f t="shared" si="6"/>
        <v>429</v>
      </c>
      <c r="N441" s="66">
        <f>IFERROR(__xludf.DUMMYFUNCTION("IFERROR(GOOGLEFINANCE(A441,""TRADETIME""),)"),46086.64583333333)</f>
        <v>46086.64583</v>
      </c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67" t="s">
        <v>488</v>
      </c>
      <c r="B442" s="60" t="str">
        <f>IFERROR(__xludf.DUMMYFUNCTION("IFERROR(GOOGLEFINANCE(A442,""NAME""),)"),"Future Market Networks Ltd")</f>
        <v>Future Market Networks Ltd</v>
      </c>
      <c r="C442" s="60">
        <f>IFERROR(__xludf.DUMMYFUNCTION("IFERROR(GOOGLEFINANCE(A442,""CHANGE""),)"),0.39)</f>
        <v>0.39</v>
      </c>
      <c r="D442" s="60">
        <f>IFERROR(__xludf.DUMMYFUNCTION("IFERROR(GOOGLEFINANCE(A442,""CHANGEPCT""),)"),4.69)</f>
        <v>4.69</v>
      </c>
      <c r="E442" s="60" t="str">
        <f t="shared" si="1"/>
        <v>4.69%</v>
      </c>
      <c r="F442" s="60">
        <f t="shared" si="2"/>
        <v>4.69</v>
      </c>
      <c r="G442" s="60" t="str">
        <f t="shared" si="3"/>
        <v/>
      </c>
      <c r="H442" s="60">
        <f>IFERROR(__xludf.DUMMYFUNCTION("IFERROR(GOOGLEFINANCE(A442,""PRICE""),)"),8.7)</f>
        <v>8.7</v>
      </c>
      <c r="I442" s="61">
        <f>IFERROR(__xludf.DUMMYFUNCTION("IFERROR(GOOGLEFINANCE(A442,""VOLUME""),)"),35641.0)</f>
        <v>35641</v>
      </c>
      <c r="J442" s="60" t="str">
        <f>IFERROR(__xludf.DUMMYFUNCTION("IFERROR(INDEX(SPLIT(A442,"":""),1,2),)"),"FMNL")</f>
        <v>FMNL</v>
      </c>
      <c r="K442" s="60">
        <f t="shared" si="4"/>
        <v>96</v>
      </c>
      <c r="L442" s="60" t="str">
        <f t="shared" si="5"/>
        <v/>
      </c>
      <c r="M442" s="60">
        <f t="shared" si="6"/>
        <v>1014</v>
      </c>
      <c r="N442" s="62">
        <f>IFERROR(__xludf.DUMMYFUNCTION("IFERROR(GOOGLEFINANCE(A442,""TRADETIME""),)"),46086.64585648148)</f>
        <v>46086.64586</v>
      </c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68" t="s">
        <v>489</v>
      </c>
      <c r="B443" s="64" t="str">
        <f>IFERROR(__xludf.DUMMYFUNCTION("IFERROR(GOOGLEFINANCE(A443,""NAME""),)"),"Force Motors Ltd")</f>
        <v>Force Motors Ltd</v>
      </c>
      <c r="C443" s="64">
        <f>IFERROR(__xludf.DUMMYFUNCTION("IFERROR(GOOGLEFINANCE(A443,""CHANGE""),)"),365.0)</f>
        <v>365</v>
      </c>
      <c r="D443" s="64">
        <f>IFERROR(__xludf.DUMMYFUNCTION("IFERROR(GOOGLEFINANCE(A443,""CHANGEPCT""),)"),1.7)</f>
        <v>1.7</v>
      </c>
      <c r="E443" s="64" t="str">
        <f t="shared" si="1"/>
        <v>1.7%</v>
      </c>
      <c r="F443" s="64">
        <f t="shared" si="2"/>
        <v>1.7</v>
      </c>
      <c r="G443" s="64" t="str">
        <f t="shared" si="3"/>
        <v/>
      </c>
      <c r="H443" s="64">
        <f>IFERROR(__xludf.DUMMYFUNCTION("IFERROR(GOOGLEFINANCE(A443,""PRICE""),)"),21815.0)</f>
        <v>21815</v>
      </c>
      <c r="I443" s="65">
        <f>IFERROR(__xludf.DUMMYFUNCTION("IFERROR(GOOGLEFINANCE(A443,""VOLUME""),)"),240201.0)</f>
        <v>240201</v>
      </c>
      <c r="J443" s="64" t="str">
        <f>IFERROR(__xludf.DUMMYFUNCTION("IFERROR(INDEX(SPLIT(A443,"":""),1,2),)"),"FORCEMOT")</f>
        <v>FORCEMOT</v>
      </c>
      <c r="K443" s="64">
        <f t="shared" si="4"/>
        <v>516</v>
      </c>
      <c r="L443" s="64" t="str">
        <f t="shared" si="5"/>
        <v/>
      </c>
      <c r="M443" s="64">
        <f t="shared" si="6"/>
        <v>564</v>
      </c>
      <c r="N443" s="66">
        <f>IFERROR(__xludf.DUMMYFUNCTION("IFERROR(GOOGLEFINANCE(A443,""TRADETIME""),)"),46086.64584490741)</f>
        <v>46086.64584</v>
      </c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67" t="s">
        <v>490</v>
      </c>
      <c r="B444" s="60" t="str">
        <f>IFERROR(__xludf.DUMMYFUNCTION("IFERROR(GOOGLEFINANCE(A444,""NAME""),)"),"Fortis Healthcare Ltd")</f>
        <v>Fortis Healthcare Ltd</v>
      </c>
      <c r="C444" s="60">
        <f>IFERROR(__xludf.DUMMYFUNCTION("IFERROR(GOOGLEFINANCE(A444,""CHANGE""),)"),8.1)</f>
        <v>8.1</v>
      </c>
      <c r="D444" s="60">
        <f>IFERROR(__xludf.DUMMYFUNCTION("IFERROR(GOOGLEFINANCE(A444,""CHANGEPCT""),)"),1.05)</f>
        <v>1.05</v>
      </c>
      <c r="E444" s="60" t="str">
        <f t="shared" si="1"/>
        <v>1.05%</v>
      </c>
      <c r="F444" s="60">
        <f t="shared" si="2"/>
        <v>1.05</v>
      </c>
      <c r="G444" s="60" t="str">
        <f t="shared" si="3"/>
        <v/>
      </c>
      <c r="H444" s="60">
        <f>IFERROR(__xludf.DUMMYFUNCTION("IFERROR(GOOGLEFINANCE(A444,""PRICE""),)"),920.5)</f>
        <v>920.5</v>
      </c>
      <c r="I444" s="61">
        <f>IFERROR(__xludf.DUMMYFUNCTION("IFERROR(GOOGLEFINANCE(A444,""VOLUME""),)"),964123.0)</f>
        <v>964123</v>
      </c>
      <c r="J444" s="60" t="str">
        <f>IFERROR(__xludf.DUMMYFUNCTION("IFERROR(INDEX(SPLIT(A444,"":""),1,2),)"),"FORTIS")</f>
        <v>FORTIS</v>
      </c>
      <c r="K444" s="60">
        <f t="shared" si="4"/>
        <v>708</v>
      </c>
      <c r="L444" s="60" t="str">
        <f t="shared" si="5"/>
        <v/>
      </c>
      <c r="M444" s="60">
        <f t="shared" si="6"/>
        <v>288</v>
      </c>
      <c r="N444" s="62">
        <f>IFERROR(__xludf.DUMMYFUNCTION("IFERROR(GOOGLEFINANCE(A444,""TRADETIME""),)"),46086.6403587963)</f>
        <v>46086.64036</v>
      </c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68" t="s">
        <v>491</v>
      </c>
      <c r="B445" s="64" t="str">
        <f>IFERROR(__xludf.DUMMYFUNCTION("IFERROR(GOOGLEFINANCE(A445,""NAME""),)"),"Foseco India Ltd")</f>
        <v>Foseco India Ltd</v>
      </c>
      <c r="C445" s="64">
        <f>IFERROR(__xludf.DUMMYFUNCTION("IFERROR(GOOGLEFINANCE(A445,""CHANGE""),)"),103.5)</f>
        <v>103.5</v>
      </c>
      <c r="D445" s="64">
        <f>IFERROR(__xludf.DUMMYFUNCTION("IFERROR(GOOGLEFINANCE(A445,""CHANGEPCT""),)"),1.88)</f>
        <v>1.88</v>
      </c>
      <c r="E445" s="64" t="str">
        <f t="shared" si="1"/>
        <v>1.88%</v>
      </c>
      <c r="F445" s="64">
        <f t="shared" si="2"/>
        <v>1.88</v>
      </c>
      <c r="G445" s="64" t="str">
        <f t="shared" si="3"/>
        <v/>
      </c>
      <c r="H445" s="64">
        <f>IFERROR(__xludf.DUMMYFUNCTION("IFERROR(GOOGLEFINANCE(A445,""PRICE""),)"),5225.0)</f>
        <v>5225</v>
      </c>
      <c r="I445" s="65">
        <f>IFERROR(__xludf.DUMMYFUNCTION("IFERROR(GOOGLEFINANCE(A445,""VOLUME""),)"),4997.0)</f>
        <v>4997</v>
      </c>
      <c r="J445" s="64" t="str">
        <f>IFERROR(__xludf.DUMMYFUNCTION("IFERROR(INDEX(SPLIT(A445,"":""),1,2),)"),"FOSECOIND")</f>
        <v>FOSECOIND</v>
      </c>
      <c r="K445" s="64">
        <f t="shared" si="4"/>
        <v>465</v>
      </c>
      <c r="L445" s="64" t="str">
        <f t="shared" si="5"/>
        <v/>
      </c>
      <c r="M445" s="64">
        <f t="shared" si="6"/>
        <v>1344</v>
      </c>
      <c r="N445" s="66">
        <f>IFERROR(__xludf.DUMMYFUNCTION("IFERROR(GOOGLEFINANCE(A445,""TRADETIME""),)"),46086.64583333333)</f>
        <v>46086.64583</v>
      </c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67" t="s">
        <v>492</v>
      </c>
      <c r="B446" s="60" t="str">
        <f>IFERROR(__xludf.DUMMYFUNCTION("IFERROR(GOOGLEFINANCE(A446,""NAME""),)"),"")</f>
        <v/>
      </c>
      <c r="C446" s="60" t="str">
        <f>IFERROR(__xludf.DUMMYFUNCTION("IFERROR(GOOGLEFINANCE(A446,""CHANGE""),)"),"")</f>
        <v/>
      </c>
      <c r="D446" s="60" t="str">
        <f>IFERROR(__xludf.DUMMYFUNCTION("IFERROR(GOOGLEFINANCE(A446,""CHANGEPCT""),)"),"")</f>
        <v/>
      </c>
      <c r="E446" s="60" t="str">
        <f t="shared" si="1"/>
        <v>%</v>
      </c>
      <c r="F446" s="60" t="str">
        <f t="shared" si="2"/>
        <v/>
      </c>
      <c r="G446" s="60" t="str">
        <f t="shared" si="3"/>
        <v/>
      </c>
      <c r="H446" s="60" t="str">
        <f>IFERROR(__xludf.DUMMYFUNCTION("IFERROR(GOOGLEFINANCE(A446,""PRICE""),)"),"")</f>
        <v/>
      </c>
      <c r="I446" s="61" t="str">
        <f>IFERROR(__xludf.DUMMYFUNCTION("IFERROR(GOOGLEFINANCE(A446,""VOLUME""),)"),"")</f>
        <v/>
      </c>
      <c r="J446" s="60" t="str">
        <f>IFERROR(__xludf.DUMMYFUNCTION("IFERROR(INDEX(SPLIT(A446,"":""),1,2),)"),"FRETAIL")</f>
        <v>FRETAIL</v>
      </c>
      <c r="K446" s="60" t="str">
        <f t="shared" si="4"/>
        <v/>
      </c>
      <c r="L446" s="60" t="str">
        <f t="shared" si="5"/>
        <v/>
      </c>
      <c r="M446" s="60" t="str">
        <f t="shared" si="6"/>
        <v/>
      </c>
      <c r="N446" s="62" t="str">
        <f>IFERROR(__xludf.DUMMYFUNCTION("IFERROR(GOOGLEFINANCE(A446,""TRADETIME""),)"),"")</f>
        <v/>
      </c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68" t="s">
        <v>493</v>
      </c>
      <c r="B447" s="64" t="str">
        <f>IFERROR(__xludf.DUMMYFUNCTION("IFERROR(GOOGLEFINANCE(A447,""NAME""),)"),"")</f>
        <v/>
      </c>
      <c r="C447" s="64" t="str">
        <f>IFERROR(__xludf.DUMMYFUNCTION("IFERROR(GOOGLEFINANCE(A447,""CHANGE""),)"),"")</f>
        <v/>
      </c>
      <c r="D447" s="64" t="str">
        <f>IFERROR(__xludf.DUMMYFUNCTION("IFERROR(GOOGLEFINANCE(A447,""CHANGEPCT""),)"),"")</f>
        <v/>
      </c>
      <c r="E447" s="64" t="str">
        <f t="shared" si="1"/>
        <v>%</v>
      </c>
      <c r="F447" s="64" t="str">
        <f t="shared" si="2"/>
        <v/>
      </c>
      <c r="G447" s="64" t="str">
        <f t="shared" si="3"/>
        <v/>
      </c>
      <c r="H447" s="64" t="str">
        <f>IFERROR(__xludf.DUMMYFUNCTION("IFERROR(GOOGLEFINANCE(A447,""PRICE""),)"),"")</f>
        <v/>
      </c>
      <c r="I447" s="65" t="str">
        <f>IFERROR(__xludf.DUMMYFUNCTION("IFERROR(GOOGLEFINANCE(A447,""VOLUME""),)"),"")</f>
        <v/>
      </c>
      <c r="J447" s="64" t="str">
        <f>IFERROR(__xludf.DUMMYFUNCTION("IFERROR(INDEX(SPLIT(A447,"":""),1,2),)"),"FSC")</f>
        <v>FSC</v>
      </c>
      <c r="K447" s="64" t="str">
        <f t="shared" si="4"/>
        <v/>
      </c>
      <c r="L447" s="64" t="str">
        <f t="shared" si="5"/>
        <v/>
      </c>
      <c r="M447" s="64" t="str">
        <f t="shared" si="6"/>
        <v/>
      </c>
      <c r="N447" s="66" t="str">
        <f>IFERROR(__xludf.DUMMYFUNCTION("IFERROR(GOOGLEFINANCE(A447,""TRADETIME""),)"),"")</f>
        <v/>
      </c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67" t="s">
        <v>494</v>
      </c>
      <c r="B448" s="60" t="str">
        <f>IFERROR(__xludf.DUMMYFUNCTION("IFERROR(GOOGLEFINANCE(A448,""NAME""),)"),"Firstsource Solutions Ltd")</f>
        <v>Firstsource Solutions Ltd</v>
      </c>
      <c r="C448" s="60">
        <f>IFERROR(__xludf.DUMMYFUNCTION("IFERROR(GOOGLEFINANCE(A448,""CHANGE""),)"),5.89)</f>
        <v>5.89</v>
      </c>
      <c r="D448" s="60">
        <f>IFERROR(__xludf.DUMMYFUNCTION("IFERROR(GOOGLEFINANCE(A448,""CHANGEPCT""),)"),2.94)</f>
        <v>2.94</v>
      </c>
      <c r="E448" s="60" t="str">
        <f t="shared" si="1"/>
        <v>2.94%</v>
      </c>
      <c r="F448" s="60">
        <f t="shared" si="2"/>
        <v>2.94</v>
      </c>
      <c r="G448" s="60" t="str">
        <f t="shared" si="3"/>
        <v/>
      </c>
      <c r="H448" s="60">
        <f>IFERROR(__xludf.DUMMYFUNCTION("IFERROR(GOOGLEFINANCE(A448,""PRICE""),)"),222.64)</f>
        <v>222.64</v>
      </c>
      <c r="I448" s="61">
        <f>IFERROR(__xludf.DUMMYFUNCTION("IFERROR(GOOGLEFINANCE(A448,""VOLUME""),)"),2970328.0)</f>
        <v>2970328</v>
      </c>
      <c r="J448" s="60" t="str">
        <f>IFERROR(__xludf.DUMMYFUNCTION("IFERROR(INDEX(SPLIT(A448,"":""),1,2),)"),"FSL")</f>
        <v>FSL</v>
      </c>
      <c r="K448" s="60">
        <f t="shared" si="4"/>
        <v>267</v>
      </c>
      <c r="L448" s="60" t="str">
        <f t="shared" si="5"/>
        <v/>
      </c>
      <c r="M448" s="60">
        <f t="shared" si="6"/>
        <v>150</v>
      </c>
      <c r="N448" s="62">
        <f>IFERROR(__xludf.DUMMYFUNCTION("IFERROR(GOOGLEFINANCE(A448,""TRADETIME""),)"),46086.63949074074)</f>
        <v>46086.63949</v>
      </c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68" t="s">
        <v>495</v>
      </c>
      <c r="B449" s="64" t="str">
        <f>IFERROR(__xludf.DUMMYFUNCTION("IFERROR(GOOGLEFINANCE(A449,""NAME""),)"),"Gabriel India Ltd")</f>
        <v>Gabriel India Ltd</v>
      </c>
      <c r="C449" s="64">
        <f>IFERROR(__xludf.DUMMYFUNCTION("IFERROR(GOOGLEFINANCE(A449,""CHANGE""),)"),13.95)</f>
        <v>13.95</v>
      </c>
      <c r="D449" s="64">
        <f>IFERROR(__xludf.DUMMYFUNCTION("IFERROR(GOOGLEFINANCE(A449,""CHANGEPCT""),)"),1.32)</f>
        <v>1.32</v>
      </c>
      <c r="E449" s="64" t="str">
        <f t="shared" si="1"/>
        <v>1.32%</v>
      </c>
      <c r="F449" s="64">
        <f t="shared" si="2"/>
        <v>1.32</v>
      </c>
      <c r="G449" s="64" t="str">
        <f t="shared" si="3"/>
        <v/>
      </c>
      <c r="H449" s="64">
        <f>IFERROR(__xludf.DUMMYFUNCTION("IFERROR(GOOGLEFINANCE(A449,""PRICE""),)"),940.0)</f>
        <v>940</v>
      </c>
      <c r="I449" s="65">
        <f>IFERROR(__xludf.DUMMYFUNCTION("IFERROR(GOOGLEFINANCE(A449,""VOLUME""),)"),341586.0)</f>
        <v>341586</v>
      </c>
      <c r="J449" s="64" t="str">
        <f>IFERROR(__xludf.DUMMYFUNCTION("IFERROR(INDEX(SPLIT(A449,"":""),1,2),)"),"GABRIEL")</f>
        <v>GABRIEL</v>
      </c>
      <c r="K449" s="64">
        <f t="shared" si="4"/>
        <v>631</v>
      </c>
      <c r="L449" s="64" t="str">
        <f t="shared" si="5"/>
        <v/>
      </c>
      <c r="M449" s="64">
        <f t="shared" si="6"/>
        <v>483</v>
      </c>
      <c r="N449" s="66">
        <f>IFERROR(__xludf.DUMMYFUNCTION("IFERROR(GOOGLEFINANCE(A449,""TRADETIME""),)"),46086.64583333333)</f>
        <v>46086.64583</v>
      </c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67" t="s">
        <v>496</v>
      </c>
      <c r="B450" s="60" t="str">
        <f>IFERROR(__xludf.DUMMYFUNCTION("IFERROR(GOOGLEFINANCE(A450,""NAME""),)"),"Gujarat Ambuja Exports Ltd")</f>
        <v>Gujarat Ambuja Exports Ltd</v>
      </c>
      <c r="C450" s="60">
        <f>IFERROR(__xludf.DUMMYFUNCTION("IFERROR(GOOGLEFINANCE(A450,""CHANGE""),)"),3.46)</f>
        <v>3.46</v>
      </c>
      <c r="D450" s="60">
        <f>IFERROR(__xludf.DUMMYFUNCTION("IFERROR(GOOGLEFINANCE(A450,""CHANGEPCT""),)"),2.54)</f>
        <v>2.54</v>
      </c>
      <c r="E450" s="60" t="str">
        <f t="shared" si="1"/>
        <v>2.54%</v>
      </c>
      <c r="F450" s="60">
        <f t="shared" si="2"/>
        <v>2.54</v>
      </c>
      <c r="G450" s="60" t="str">
        <f t="shared" si="3"/>
        <v/>
      </c>
      <c r="H450" s="60">
        <f>IFERROR(__xludf.DUMMYFUNCTION("IFERROR(GOOGLEFINANCE(A450,""PRICE""),)"),139.49)</f>
        <v>139.49</v>
      </c>
      <c r="I450" s="61">
        <f>IFERROR(__xludf.DUMMYFUNCTION("IFERROR(GOOGLEFINANCE(A450,""VOLUME""),)"),366058.0)</f>
        <v>366058</v>
      </c>
      <c r="J450" s="60" t="str">
        <f>IFERROR(__xludf.DUMMYFUNCTION("IFERROR(INDEX(SPLIT(A450,"":""),1,2),)"),"GAEL")</f>
        <v>GAEL</v>
      </c>
      <c r="K450" s="60">
        <f t="shared" si="4"/>
        <v>334</v>
      </c>
      <c r="L450" s="60" t="str">
        <f t="shared" si="5"/>
        <v/>
      </c>
      <c r="M450" s="60">
        <f t="shared" si="6"/>
        <v>468</v>
      </c>
      <c r="N450" s="62">
        <f>IFERROR(__xludf.DUMMYFUNCTION("IFERROR(GOOGLEFINANCE(A450,""TRADETIME""),)"),46086.64583333333)</f>
        <v>46086.64583</v>
      </c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63" t="s">
        <v>497</v>
      </c>
      <c r="B451" s="64" t="str">
        <f>IFERROR(__xludf.DUMMYFUNCTION("IFERROR(GOOGLEFINANCE(A451,""NAME""),)"),"Indo Rama Synthetics (India) Ltd")</f>
        <v>Indo Rama Synthetics (India) Ltd</v>
      </c>
      <c r="C451" s="64">
        <f>IFERROR(__xludf.DUMMYFUNCTION("IFERROR(GOOGLEFINANCE(A451,""CHANGE""),)"),1.0)</f>
        <v>1</v>
      </c>
      <c r="D451" s="64">
        <f>IFERROR(__xludf.DUMMYFUNCTION("IFERROR(GOOGLEFINANCE(A451,""CHANGEPCT""),)"),2.96)</f>
        <v>2.96</v>
      </c>
      <c r="E451" s="64" t="str">
        <f t="shared" si="1"/>
        <v>2.96%</v>
      </c>
      <c r="F451" s="64">
        <f t="shared" si="2"/>
        <v>2.96</v>
      </c>
      <c r="G451" s="64" t="str">
        <f t="shared" si="3"/>
        <v/>
      </c>
      <c r="H451" s="64">
        <f>IFERROR(__xludf.DUMMYFUNCTION("IFERROR(GOOGLEFINANCE(A451,""PRICE""),)"),34.75)</f>
        <v>34.75</v>
      </c>
      <c r="I451" s="65">
        <f>IFERROR(__xludf.DUMMYFUNCTION("IFERROR(GOOGLEFINANCE(A451,""VOLUME""),)"),61016.0)</f>
        <v>61016</v>
      </c>
      <c r="J451" s="64" t="str">
        <f>IFERROR(__xludf.DUMMYFUNCTION("IFERROR(INDEX(SPLIT(A451,"":""),1,2),)"),"INDORAMA")</f>
        <v>INDORAMA</v>
      </c>
      <c r="K451" s="64">
        <f t="shared" si="4"/>
        <v>262</v>
      </c>
      <c r="L451" s="64" t="str">
        <f t="shared" si="5"/>
        <v/>
      </c>
      <c r="M451" s="64">
        <f t="shared" si="6"/>
        <v>878</v>
      </c>
      <c r="N451" s="66">
        <f>IFERROR(__xludf.DUMMYFUNCTION("IFERROR(GOOGLEFINANCE(A451,""TRADETIME""),)"),46086.64583333333)</f>
        <v>46086.64583</v>
      </c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67" t="s">
        <v>498</v>
      </c>
      <c r="B452" s="60" t="str">
        <f>IFERROR(__xludf.DUMMYFUNCTION("IFERROR(GOOGLEFINANCE(A452,""NAME""),)"),"")</f>
        <v/>
      </c>
      <c r="C452" s="60" t="str">
        <f>IFERROR(__xludf.DUMMYFUNCTION("IFERROR(GOOGLEFINANCE(A452,""CHANGE""),)"),"")</f>
        <v/>
      </c>
      <c r="D452" s="60" t="str">
        <f>IFERROR(__xludf.DUMMYFUNCTION("IFERROR(GOOGLEFINANCE(A452,""CHANGEPCT""),)"),"")</f>
        <v/>
      </c>
      <c r="E452" s="60" t="str">
        <f t="shared" si="1"/>
        <v>%</v>
      </c>
      <c r="F452" s="60" t="str">
        <f t="shared" si="2"/>
        <v/>
      </c>
      <c r="G452" s="60" t="str">
        <f t="shared" si="3"/>
        <v/>
      </c>
      <c r="H452" s="60" t="str">
        <f>IFERROR(__xludf.DUMMYFUNCTION("IFERROR(GOOGLEFINANCE(A452,""PRICE""),)"),"")</f>
        <v/>
      </c>
      <c r="I452" s="61" t="str">
        <f>IFERROR(__xludf.DUMMYFUNCTION("IFERROR(GOOGLEFINANCE(A452,""VOLUME""),)"),"")</f>
        <v/>
      </c>
      <c r="J452" s="60" t="str">
        <f>IFERROR(__xludf.DUMMYFUNCTION("IFERROR(INDEX(SPLIT(A452,"":""),1,2),)"),"GAL")</f>
        <v>GAL</v>
      </c>
      <c r="K452" s="60" t="str">
        <f t="shared" si="4"/>
        <v/>
      </c>
      <c r="L452" s="60" t="str">
        <f t="shared" si="5"/>
        <v/>
      </c>
      <c r="M452" s="60" t="str">
        <f t="shared" si="6"/>
        <v/>
      </c>
      <c r="N452" s="62" t="str">
        <f>IFERROR(__xludf.DUMMYFUNCTION("IFERROR(GOOGLEFINANCE(A452,""TRADETIME""),)"),"")</f>
        <v/>
      </c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68" t="s">
        <v>499</v>
      </c>
      <c r="B453" s="64" t="str">
        <f>IFERROR(__xludf.DUMMYFUNCTION("IFERROR(GOOGLEFINANCE(A453,""NAME""),)"),"Galaxy Surfactants Ltd")</f>
        <v>Galaxy Surfactants Ltd</v>
      </c>
      <c r="C453" s="64">
        <f>IFERROR(__xludf.DUMMYFUNCTION("IFERROR(GOOGLEFINANCE(A453,""CHANGE""),)"),4.4)</f>
        <v>4.4</v>
      </c>
      <c r="D453" s="64">
        <f>IFERROR(__xludf.DUMMYFUNCTION("IFERROR(GOOGLEFINANCE(A453,""CHANGEPCT""),)"),0.23)</f>
        <v>0.23</v>
      </c>
      <c r="E453" s="64" t="str">
        <f t="shared" si="1"/>
        <v>0.23%</v>
      </c>
      <c r="F453" s="64">
        <f t="shared" si="2"/>
        <v>0.23</v>
      </c>
      <c r="G453" s="64" t="str">
        <f t="shared" si="3"/>
        <v/>
      </c>
      <c r="H453" s="64">
        <f>IFERROR(__xludf.DUMMYFUNCTION("IFERROR(GOOGLEFINANCE(A453,""PRICE""),)"),1950.2)</f>
        <v>1950.2</v>
      </c>
      <c r="I453" s="65">
        <f>IFERROR(__xludf.DUMMYFUNCTION("IFERROR(GOOGLEFINANCE(A453,""VOLUME""),)"),5365.0)</f>
        <v>5365</v>
      </c>
      <c r="J453" s="64" t="str">
        <f>IFERROR(__xludf.DUMMYFUNCTION("IFERROR(INDEX(SPLIT(A453,"":""),1,2),)"),"GALAXYSURF")</f>
        <v>GALAXYSURF</v>
      </c>
      <c r="K453" s="64">
        <f t="shared" si="4"/>
        <v>942</v>
      </c>
      <c r="L453" s="64" t="str">
        <f t="shared" si="5"/>
        <v/>
      </c>
      <c r="M453" s="64">
        <f t="shared" si="6"/>
        <v>1334</v>
      </c>
      <c r="N453" s="66">
        <f>IFERROR(__xludf.DUMMYFUNCTION("IFERROR(GOOGLEFINANCE(A453,""TRADETIME""),)"),46086.64583333333)</f>
        <v>46086.64583</v>
      </c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67" t="s">
        <v>500</v>
      </c>
      <c r="B454" s="60" t="str">
        <f>IFERROR(__xludf.DUMMYFUNCTION("IFERROR(GOOGLEFINANCE(A454,""NAME""),)"),"Gallantt Ispat Ltd")</f>
        <v>Gallantt Ispat Ltd</v>
      </c>
      <c r="C454" s="60">
        <f>IFERROR(__xludf.DUMMYFUNCTION("IFERROR(GOOGLEFINANCE(A454,""CHANGE""),)"),7.15)</f>
        <v>7.15</v>
      </c>
      <c r="D454" s="60">
        <f>IFERROR(__xludf.DUMMYFUNCTION("IFERROR(GOOGLEFINANCE(A454,""CHANGEPCT""),)"),1.23)</f>
        <v>1.23</v>
      </c>
      <c r="E454" s="60" t="str">
        <f t="shared" si="1"/>
        <v>1.23%</v>
      </c>
      <c r="F454" s="60">
        <f t="shared" si="2"/>
        <v>1.23</v>
      </c>
      <c r="G454" s="60" t="str">
        <f t="shared" si="3"/>
        <v/>
      </c>
      <c r="H454" s="60">
        <f>IFERROR(__xludf.DUMMYFUNCTION("IFERROR(GOOGLEFINANCE(A454,""PRICE""),)"),547.0)</f>
        <v>547</v>
      </c>
      <c r="I454" s="61">
        <f>IFERROR(__xludf.DUMMYFUNCTION("IFERROR(GOOGLEFINANCE(A454,""VOLUME""),)"),74004.0)</f>
        <v>74004</v>
      </c>
      <c r="J454" s="60" t="str">
        <f>IFERROR(__xludf.DUMMYFUNCTION("IFERROR(INDEX(SPLIT(A454,"":""),1,2),)"),"GALLANTT")</f>
        <v>GALLANTT</v>
      </c>
      <c r="K454" s="60">
        <f t="shared" si="4"/>
        <v>659</v>
      </c>
      <c r="L454" s="60" t="str">
        <f t="shared" si="5"/>
        <v/>
      </c>
      <c r="M454" s="60">
        <f t="shared" si="6"/>
        <v>831</v>
      </c>
      <c r="N454" s="62">
        <f>IFERROR(__xludf.DUMMYFUNCTION("IFERROR(GOOGLEFINANCE(A454,""TRADETIME""),)"),46086.64583333333)</f>
        <v>46086.64583</v>
      </c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68" t="s">
        <v>501</v>
      </c>
      <c r="B455" s="64" t="str">
        <f>IFERROR(__xludf.DUMMYFUNCTION("IFERROR(GOOGLEFINANCE(A455,""NAME""),)"),"")</f>
        <v/>
      </c>
      <c r="C455" s="64" t="str">
        <f>IFERROR(__xludf.DUMMYFUNCTION("IFERROR(GOOGLEFINANCE(A455,""CHANGE""),)"),"")</f>
        <v/>
      </c>
      <c r="D455" s="64" t="str">
        <f>IFERROR(__xludf.DUMMYFUNCTION("IFERROR(GOOGLEFINANCE(A455,""CHANGEPCT""),)"),"")</f>
        <v/>
      </c>
      <c r="E455" s="64" t="str">
        <f t="shared" si="1"/>
        <v>%</v>
      </c>
      <c r="F455" s="64" t="str">
        <f t="shared" si="2"/>
        <v/>
      </c>
      <c r="G455" s="64" t="str">
        <f t="shared" si="3"/>
        <v/>
      </c>
      <c r="H455" s="64" t="str">
        <f>IFERROR(__xludf.DUMMYFUNCTION("IFERROR(GOOGLEFINANCE(A455,""PRICE""),)"),"")</f>
        <v/>
      </c>
      <c r="I455" s="65" t="str">
        <f>IFERROR(__xludf.DUMMYFUNCTION("IFERROR(GOOGLEFINANCE(A455,""VOLUME""),)"),"")</f>
        <v/>
      </c>
      <c r="J455" s="64" t="str">
        <f>IFERROR(__xludf.DUMMYFUNCTION("IFERROR(INDEX(SPLIT(A455,"":""),1,2),)"),"AJRINFRA")</f>
        <v>AJRINFRA</v>
      </c>
      <c r="K455" s="64" t="str">
        <f t="shared" si="4"/>
        <v/>
      </c>
      <c r="L455" s="64" t="str">
        <f t="shared" si="5"/>
        <v/>
      </c>
      <c r="M455" s="64" t="str">
        <f t="shared" si="6"/>
        <v/>
      </c>
      <c r="N455" s="66" t="str">
        <f>IFERROR(__xludf.DUMMYFUNCTION("IFERROR(GOOGLEFINANCE(A455,""TRADETIME""),)"),"")</f>
        <v/>
      </c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67" t="s">
        <v>502</v>
      </c>
      <c r="B456" s="60" t="str">
        <f>IFERROR(__xludf.DUMMYFUNCTION("IFERROR(GOOGLEFINANCE(A456,""NAME""),)"),"Gandhi Special Tubes Ltd")</f>
        <v>Gandhi Special Tubes Ltd</v>
      </c>
      <c r="C456" s="60">
        <f>IFERROR(__xludf.DUMMYFUNCTION("IFERROR(GOOGLEFINANCE(A456,""CHANGE""),)"),18.4)</f>
        <v>18.4</v>
      </c>
      <c r="D456" s="60">
        <f>IFERROR(__xludf.DUMMYFUNCTION("IFERROR(GOOGLEFINANCE(A456,""CHANGEPCT""),)"),2.23)</f>
        <v>2.23</v>
      </c>
      <c r="E456" s="60" t="str">
        <f t="shared" si="1"/>
        <v>2.23%</v>
      </c>
      <c r="F456" s="60">
        <f t="shared" si="2"/>
        <v>2.23</v>
      </c>
      <c r="G456" s="60" t="str">
        <f t="shared" si="3"/>
        <v/>
      </c>
      <c r="H456" s="60">
        <f>IFERROR(__xludf.DUMMYFUNCTION("IFERROR(GOOGLEFINANCE(A456,""PRICE""),)"),845.0)</f>
        <v>845</v>
      </c>
      <c r="I456" s="61">
        <f>IFERROR(__xludf.DUMMYFUNCTION("IFERROR(GOOGLEFINANCE(A456,""VOLUME""),)"),9535.0)</f>
        <v>9535</v>
      </c>
      <c r="J456" s="60" t="str">
        <f>IFERROR(__xludf.DUMMYFUNCTION("IFERROR(INDEX(SPLIT(A456,"":""),1,2),)"),"GANDHITUBE")</f>
        <v>GANDHITUBE</v>
      </c>
      <c r="K456" s="60">
        <f t="shared" si="4"/>
        <v>393</v>
      </c>
      <c r="L456" s="60" t="str">
        <f t="shared" si="5"/>
        <v/>
      </c>
      <c r="M456" s="60">
        <f t="shared" si="6"/>
        <v>1270</v>
      </c>
      <c r="N456" s="62">
        <f>IFERROR(__xludf.DUMMYFUNCTION("IFERROR(GOOGLEFINANCE(A456,""TRADETIME""),)"),46086.64583333333)</f>
        <v>46086.64583</v>
      </c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68" t="s">
        <v>503</v>
      </c>
      <c r="B457" s="64" t="str">
        <f>IFERROR(__xludf.DUMMYFUNCTION("IFERROR(GOOGLEFINANCE(A457,""NAME""),)"),"Ganesha Ecosphere Ltd")</f>
        <v>Ganesha Ecosphere Ltd</v>
      </c>
      <c r="C457" s="64">
        <f>IFERROR(__xludf.DUMMYFUNCTION("IFERROR(GOOGLEFINANCE(A457,""CHANGE""),)"),21.45)</f>
        <v>21.45</v>
      </c>
      <c r="D457" s="64">
        <f>IFERROR(__xludf.DUMMYFUNCTION("IFERROR(GOOGLEFINANCE(A457,""CHANGEPCT""),)"),2.83)</f>
        <v>2.83</v>
      </c>
      <c r="E457" s="64" t="str">
        <f t="shared" si="1"/>
        <v>2.83%</v>
      </c>
      <c r="F457" s="64">
        <f t="shared" si="2"/>
        <v>2.83</v>
      </c>
      <c r="G457" s="64" t="str">
        <f t="shared" si="3"/>
        <v/>
      </c>
      <c r="H457" s="64">
        <f>IFERROR(__xludf.DUMMYFUNCTION("IFERROR(GOOGLEFINANCE(A457,""PRICE""),)"),780.0)</f>
        <v>780</v>
      </c>
      <c r="I457" s="65">
        <f>IFERROR(__xludf.DUMMYFUNCTION("IFERROR(GOOGLEFINANCE(A457,""VOLUME""),)"),213950.0)</f>
        <v>213950</v>
      </c>
      <c r="J457" s="64" t="str">
        <f>IFERROR(__xludf.DUMMYFUNCTION("IFERROR(INDEX(SPLIT(A457,"":""),1,2),)"),"GANECOS")</f>
        <v>GANECOS</v>
      </c>
      <c r="K457" s="64">
        <f t="shared" si="4"/>
        <v>284</v>
      </c>
      <c r="L457" s="64" t="str">
        <f t="shared" si="5"/>
        <v/>
      </c>
      <c r="M457" s="64">
        <f t="shared" si="6"/>
        <v>587</v>
      </c>
      <c r="N457" s="66">
        <f>IFERROR(__xludf.DUMMYFUNCTION("IFERROR(GOOGLEFINANCE(A457,""TRADETIME""),)"),46086.64584490741)</f>
        <v>46086.64584</v>
      </c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67" t="s">
        <v>504</v>
      </c>
      <c r="B458" s="60" t="str">
        <f>IFERROR(__xludf.DUMMYFUNCTION("IFERROR(GOOGLEFINANCE(A458,""NAME""),)"),"")</f>
        <v/>
      </c>
      <c r="C458" s="60" t="str">
        <f>IFERROR(__xludf.DUMMYFUNCTION("IFERROR(GOOGLEFINANCE(A458,""CHANGE""),)"),"")</f>
        <v/>
      </c>
      <c r="D458" s="60" t="str">
        <f>IFERROR(__xludf.DUMMYFUNCTION("IFERROR(GOOGLEFINANCE(A458,""CHANGEPCT""),)"),"")</f>
        <v/>
      </c>
      <c r="E458" s="60" t="str">
        <f t="shared" si="1"/>
        <v>%</v>
      </c>
      <c r="F458" s="60" t="str">
        <f t="shared" si="2"/>
        <v/>
      </c>
      <c r="G458" s="60" t="str">
        <f t="shared" si="3"/>
        <v/>
      </c>
      <c r="H458" s="60" t="str">
        <f>IFERROR(__xludf.DUMMYFUNCTION("IFERROR(GOOGLEFINANCE(A458,""PRICE""),)"),"")</f>
        <v/>
      </c>
      <c r="I458" s="61" t="str">
        <f>IFERROR(__xludf.DUMMYFUNCTION("IFERROR(GOOGLEFINANCE(A458,""VOLUME""),)"),"")</f>
        <v/>
      </c>
      <c r="J458" s="60" t="str">
        <f>IFERROR(__xludf.DUMMYFUNCTION("IFERROR(INDEX(SPLIT(A458,"":""),1,2),)"),"GANESHHOUC")</f>
        <v>GANESHHOUC</v>
      </c>
      <c r="K458" s="60" t="str">
        <f t="shared" si="4"/>
        <v/>
      </c>
      <c r="L458" s="60" t="str">
        <f t="shared" si="5"/>
        <v/>
      </c>
      <c r="M458" s="60" t="str">
        <f t="shared" si="6"/>
        <v/>
      </c>
      <c r="N458" s="62" t="str">
        <f>IFERROR(__xludf.DUMMYFUNCTION("IFERROR(GOOGLEFINANCE(A458,""TRADETIME""),)"),"")</f>
        <v/>
      </c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68" t="s">
        <v>505</v>
      </c>
      <c r="B459" s="64" t="str">
        <f>IFERROR(__xludf.DUMMYFUNCTION("IFERROR(GOOGLEFINANCE(A459,""NAME""),)"),"Ganges Securities Ltd")</f>
        <v>Ganges Securities Ltd</v>
      </c>
      <c r="C459" s="64">
        <f>IFERROR(__xludf.DUMMYFUNCTION("IFERROR(GOOGLEFINANCE(A459,""CHANGE""),)"),-0.77)</f>
        <v>-0.77</v>
      </c>
      <c r="D459" s="64">
        <f>IFERROR(__xludf.DUMMYFUNCTION("IFERROR(GOOGLEFINANCE(A459,""CHANGEPCT""),)"),-0.63)</f>
        <v>-0.63</v>
      </c>
      <c r="E459" s="64" t="str">
        <f t="shared" si="1"/>
        <v>-0.63%</v>
      </c>
      <c r="F459" s="64" t="str">
        <f t="shared" si="2"/>
        <v/>
      </c>
      <c r="G459" s="64">
        <f t="shared" si="3"/>
        <v>-0.63</v>
      </c>
      <c r="H459" s="64">
        <f>IFERROR(__xludf.DUMMYFUNCTION("IFERROR(GOOGLEFINANCE(A459,""PRICE""),)"),121.25)</f>
        <v>121.25</v>
      </c>
      <c r="I459" s="65">
        <f>IFERROR(__xludf.DUMMYFUNCTION("IFERROR(GOOGLEFINANCE(A459,""VOLUME""),)"),2170.0)</f>
        <v>2170</v>
      </c>
      <c r="J459" s="64" t="str">
        <f>IFERROR(__xludf.DUMMYFUNCTION("IFERROR(INDEX(SPLIT(A459,"":""),1,2),)"),"GANGESSECU")</f>
        <v>GANGESSECU</v>
      </c>
      <c r="K459" s="64" t="str">
        <f t="shared" si="4"/>
        <v/>
      </c>
      <c r="L459" s="64">
        <f t="shared" si="5"/>
        <v>153</v>
      </c>
      <c r="M459" s="64">
        <f t="shared" si="6"/>
        <v>1403</v>
      </c>
      <c r="N459" s="66">
        <f>IFERROR(__xludf.DUMMYFUNCTION("IFERROR(GOOGLEFINANCE(A459,""TRADETIME""),)"),46086.64583333333)</f>
        <v>46086.64583</v>
      </c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67" t="s">
        <v>506</v>
      </c>
      <c r="B460" s="60" t="str">
        <f>IFERROR(__xludf.DUMMYFUNCTION("IFERROR(GOOGLEFINANCE(A460,""NAME""),)"),"Garware Technical Fibres Ltd")</f>
        <v>Garware Technical Fibres Ltd</v>
      </c>
      <c r="C460" s="60">
        <f>IFERROR(__xludf.DUMMYFUNCTION("IFERROR(GOOGLEFINANCE(A460,""CHANGE""),)"),19.3)</f>
        <v>19.3</v>
      </c>
      <c r="D460" s="60">
        <f>IFERROR(__xludf.DUMMYFUNCTION("IFERROR(GOOGLEFINANCE(A460,""CHANGEPCT""),)"),3.11)</f>
        <v>3.11</v>
      </c>
      <c r="E460" s="60" t="str">
        <f t="shared" si="1"/>
        <v>3.11%</v>
      </c>
      <c r="F460" s="60">
        <f t="shared" si="2"/>
        <v>3.11</v>
      </c>
      <c r="G460" s="60" t="str">
        <f t="shared" si="3"/>
        <v/>
      </c>
      <c r="H460" s="60">
        <f>IFERROR(__xludf.DUMMYFUNCTION("IFERROR(GOOGLEFINANCE(A460,""PRICE""),)"),627.0)</f>
        <v>627</v>
      </c>
      <c r="I460" s="61">
        <f>IFERROR(__xludf.DUMMYFUNCTION("IFERROR(GOOGLEFINANCE(A460,""VOLUME""),)"),51277.0)</f>
        <v>51277</v>
      </c>
      <c r="J460" s="60" t="str">
        <f>IFERROR(__xludf.DUMMYFUNCTION("IFERROR(INDEX(SPLIT(A460,"":""),1,2),)"),"GARFIBRES")</f>
        <v>GARFIBRES</v>
      </c>
      <c r="K460" s="60">
        <f t="shared" si="4"/>
        <v>235</v>
      </c>
      <c r="L460" s="60" t="str">
        <f t="shared" si="5"/>
        <v/>
      </c>
      <c r="M460" s="60">
        <f t="shared" si="6"/>
        <v>927</v>
      </c>
      <c r="N460" s="62">
        <f>IFERROR(__xludf.DUMMYFUNCTION("IFERROR(GOOGLEFINANCE(A460,""TRADETIME""),)"),46086.64583333333)</f>
        <v>46086.64583</v>
      </c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68" t="s">
        <v>507</v>
      </c>
      <c r="B461" s="64" t="str">
        <f>IFERROR(__xludf.DUMMYFUNCTION("IFERROR(GOOGLEFINANCE(A461,""NAME""),)"),"")</f>
        <v/>
      </c>
      <c r="C461" s="64" t="str">
        <f>IFERROR(__xludf.DUMMYFUNCTION("IFERROR(GOOGLEFINANCE(A461,""CHANGE""),)"),"")</f>
        <v/>
      </c>
      <c r="D461" s="64" t="str">
        <f>IFERROR(__xludf.DUMMYFUNCTION("IFERROR(GOOGLEFINANCE(A461,""CHANGEPCT""),)"),"")</f>
        <v/>
      </c>
      <c r="E461" s="64" t="str">
        <f t="shared" si="1"/>
        <v>%</v>
      </c>
      <c r="F461" s="64" t="str">
        <f t="shared" si="2"/>
        <v/>
      </c>
      <c r="G461" s="64" t="str">
        <f t="shared" si="3"/>
        <v/>
      </c>
      <c r="H461" s="64" t="str">
        <f>IFERROR(__xludf.DUMMYFUNCTION("IFERROR(GOOGLEFINANCE(A461,""PRICE""),)"),"")</f>
        <v/>
      </c>
      <c r="I461" s="65" t="str">
        <f>IFERROR(__xludf.DUMMYFUNCTION("IFERROR(GOOGLEFINANCE(A461,""VOLUME""),)"),"")</f>
        <v/>
      </c>
      <c r="J461" s="64" t="str">
        <f>IFERROR(__xludf.DUMMYFUNCTION("IFERROR(INDEX(SPLIT(A461,"":""),1,2),)"),"GATI")</f>
        <v>GATI</v>
      </c>
      <c r="K461" s="64" t="str">
        <f t="shared" si="4"/>
        <v/>
      </c>
      <c r="L461" s="64" t="str">
        <f t="shared" si="5"/>
        <v/>
      </c>
      <c r="M461" s="64" t="str">
        <f t="shared" si="6"/>
        <v/>
      </c>
      <c r="N461" s="66" t="str">
        <f>IFERROR(__xludf.DUMMYFUNCTION("IFERROR(GOOGLEFINANCE(A461,""TRADETIME""),)"),"")</f>
        <v/>
      </c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67" t="s">
        <v>508</v>
      </c>
      <c r="B462" s="60" t="str">
        <f>IFERROR(__xludf.DUMMYFUNCTION("IFERROR(GOOGLEFINANCE(A462,""NAME""),)"),"Gayatri Highways Ltd")</f>
        <v>Gayatri Highways Ltd</v>
      </c>
      <c r="C462" s="60">
        <f>IFERROR(__xludf.DUMMYFUNCTION("IFERROR(GOOGLEFINANCE(A462,""CHANGE""),)"),0.1)</f>
        <v>0.1</v>
      </c>
      <c r="D462" s="60">
        <f>IFERROR(__xludf.DUMMYFUNCTION("IFERROR(GOOGLEFINANCE(A462,""CHANGEPCT""),)"),4.67)</f>
        <v>4.67</v>
      </c>
      <c r="E462" s="60" t="str">
        <f t="shared" si="1"/>
        <v>4.67%</v>
      </c>
      <c r="F462" s="60">
        <f t="shared" si="2"/>
        <v>4.67</v>
      </c>
      <c r="G462" s="60" t="str">
        <f t="shared" si="3"/>
        <v/>
      </c>
      <c r="H462" s="60">
        <f>IFERROR(__xludf.DUMMYFUNCTION("IFERROR(GOOGLEFINANCE(A462,""PRICE""),)"),2.24)</f>
        <v>2.24</v>
      </c>
      <c r="I462" s="61">
        <f>IFERROR(__xludf.DUMMYFUNCTION("IFERROR(GOOGLEFINANCE(A462,""VOLUME""),)"),161969.0)</f>
        <v>161969</v>
      </c>
      <c r="J462" s="60" t="str">
        <f>IFERROR(__xludf.DUMMYFUNCTION("IFERROR(INDEX(SPLIT(A462,"":""),1,2),)"),"GAYAHWS")</f>
        <v>GAYAHWS</v>
      </c>
      <c r="K462" s="60">
        <f t="shared" si="4"/>
        <v>99</v>
      </c>
      <c r="L462" s="60" t="str">
        <f t="shared" si="5"/>
        <v/>
      </c>
      <c r="M462" s="60">
        <f t="shared" si="6"/>
        <v>653</v>
      </c>
      <c r="N462" s="62">
        <f>IFERROR(__xludf.DUMMYFUNCTION("IFERROR(GOOGLEFINANCE(A462,""TRADETIME""),)"),46086.64583333333)</f>
        <v>46086.64583</v>
      </c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68" t="s">
        <v>509</v>
      </c>
      <c r="B463" s="64" t="str">
        <f>IFERROR(__xludf.DUMMYFUNCTION("IFERROR(GOOGLEFINANCE(A463,""NAME""),)"),"Gayatri Projects Ltd")</f>
        <v>Gayatri Projects Ltd</v>
      </c>
      <c r="C463" s="64">
        <f>IFERROR(__xludf.DUMMYFUNCTION("IFERROR(GOOGLEFINANCE(A463,""CHANGE""),)"),0.0)</f>
        <v>0</v>
      </c>
      <c r="D463" s="64">
        <f>IFERROR(__xludf.DUMMYFUNCTION("IFERROR(GOOGLEFINANCE(A463,""CHANGEPCT""),)"),0.0)</f>
        <v>0</v>
      </c>
      <c r="E463" s="64" t="str">
        <f t="shared" si="1"/>
        <v>0%</v>
      </c>
      <c r="F463" s="64" t="str">
        <f t="shared" si="2"/>
        <v/>
      </c>
      <c r="G463" s="64" t="str">
        <f t="shared" si="3"/>
        <v/>
      </c>
      <c r="H463" s="64">
        <f>IFERROR(__xludf.DUMMYFUNCTION("IFERROR(GOOGLEFINANCE(A463,""PRICE""),)"),12.7)</f>
        <v>12.7</v>
      </c>
      <c r="I463" s="65">
        <f>IFERROR(__xludf.DUMMYFUNCTION("IFERROR(GOOGLEFINANCE(A463,""VOLUME""),)"),158893.0)</f>
        <v>158893</v>
      </c>
      <c r="J463" s="64" t="str">
        <f>IFERROR(__xludf.DUMMYFUNCTION("IFERROR(INDEX(SPLIT(A463,"":""),1,2),)"),"GAYAPROJ")</f>
        <v>GAYAPROJ</v>
      </c>
      <c r="K463" s="64" t="str">
        <f t="shared" si="4"/>
        <v/>
      </c>
      <c r="L463" s="64" t="str">
        <f t="shared" si="5"/>
        <v/>
      </c>
      <c r="M463" s="64">
        <f t="shared" si="6"/>
        <v>661</v>
      </c>
      <c r="N463" s="66">
        <f>IFERROR(__xludf.DUMMYFUNCTION("IFERROR(GOOGLEFINANCE(A463,""TRADETIME""),)"),46083.64583333333)</f>
        <v>46083.64583</v>
      </c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9" t="s">
        <v>510</v>
      </c>
      <c r="B464" s="60" t="str">
        <f>IFERROR(__xludf.DUMMYFUNCTION("IFERROR(GOOGLEFINANCE(A464,""NAME""),)"),"Gateway Distriparks Ltd")</f>
        <v>Gateway Distriparks Ltd</v>
      </c>
      <c r="C464" s="60">
        <f>IFERROR(__xludf.DUMMYFUNCTION("IFERROR(GOOGLEFINANCE(A464,""CHANGE""),)"),1.1)</f>
        <v>1.1</v>
      </c>
      <c r="D464" s="60">
        <f>IFERROR(__xludf.DUMMYFUNCTION("IFERROR(GOOGLEFINANCE(A464,""CHANGEPCT""),)"),2.47)</f>
        <v>2.47</v>
      </c>
      <c r="E464" s="60" t="str">
        <f t="shared" si="1"/>
        <v>2.47%</v>
      </c>
      <c r="F464" s="60">
        <f t="shared" si="2"/>
        <v>2.47</v>
      </c>
      <c r="G464" s="60" t="str">
        <f t="shared" si="3"/>
        <v/>
      </c>
      <c r="H464" s="60">
        <f>IFERROR(__xludf.DUMMYFUNCTION("IFERROR(GOOGLEFINANCE(A464,""PRICE""),)"),57.24)</f>
        <v>57.24</v>
      </c>
      <c r="I464" s="61">
        <f>IFERROR(__xludf.DUMMYFUNCTION("IFERROR(GOOGLEFINANCE(A464,""VOLUME""),)"),598549.0)</f>
        <v>598549</v>
      </c>
      <c r="J464" s="60" t="str">
        <f>IFERROR(__xludf.DUMMYFUNCTION("IFERROR(INDEX(SPLIT(A464,"":""),1,2),)"),"GATEWAY")</f>
        <v>GATEWAY</v>
      </c>
      <c r="K464" s="60">
        <f t="shared" si="4"/>
        <v>344</v>
      </c>
      <c r="L464" s="60" t="str">
        <f t="shared" si="5"/>
        <v/>
      </c>
      <c r="M464" s="60">
        <f t="shared" si="6"/>
        <v>368</v>
      </c>
      <c r="N464" s="62">
        <f>IFERROR(__xludf.DUMMYFUNCTION("IFERROR(GOOGLEFINANCE(A464,""TRADETIME""),)"),46086.64583333333)</f>
        <v>46086.64583</v>
      </c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68" t="s">
        <v>511</v>
      </c>
      <c r="B465" s="64" t="str">
        <f>IFERROR(__xludf.DUMMYFUNCTION("IFERROR(GOOGLEFINANCE(A465,""NAME""),)"),"GeeCee Ventures Ltd")</f>
        <v>GeeCee Ventures Ltd</v>
      </c>
      <c r="C465" s="64">
        <f>IFERROR(__xludf.DUMMYFUNCTION("IFERROR(GOOGLEFINANCE(A465,""CHANGE""),)"),-10.1)</f>
        <v>-10.1</v>
      </c>
      <c r="D465" s="64">
        <f>IFERROR(__xludf.DUMMYFUNCTION("IFERROR(GOOGLEFINANCE(A465,""CHANGEPCT""),)"),-3.54)</f>
        <v>-3.54</v>
      </c>
      <c r="E465" s="64" t="str">
        <f t="shared" si="1"/>
        <v>-3.54%</v>
      </c>
      <c r="F465" s="64" t="str">
        <f t="shared" si="2"/>
        <v/>
      </c>
      <c r="G465" s="64">
        <f t="shared" si="3"/>
        <v>-3.54</v>
      </c>
      <c r="H465" s="64">
        <f>IFERROR(__xludf.DUMMYFUNCTION("IFERROR(GOOGLEFINANCE(A465,""PRICE""),)"),275.15)</f>
        <v>275.15</v>
      </c>
      <c r="I465" s="65">
        <f>IFERROR(__xludf.DUMMYFUNCTION("IFERROR(GOOGLEFINANCE(A465,""VOLUME""),)"),4964.0)</f>
        <v>4964</v>
      </c>
      <c r="J465" s="64" t="str">
        <f>IFERROR(__xludf.DUMMYFUNCTION("IFERROR(INDEX(SPLIT(A465,"":""),1,2),)"),"GEECEE")</f>
        <v>GEECEE</v>
      </c>
      <c r="K465" s="64" t="str">
        <f t="shared" si="4"/>
        <v/>
      </c>
      <c r="L465" s="64">
        <f t="shared" si="5"/>
        <v>420</v>
      </c>
      <c r="M465" s="64">
        <f t="shared" si="6"/>
        <v>1345</v>
      </c>
      <c r="N465" s="66">
        <f>IFERROR(__xludf.DUMMYFUNCTION("IFERROR(GOOGLEFINANCE(A465,""TRADETIME""),)"),46086.64583333333)</f>
        <v>46086.64583</v>
      </c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67" t="s">
        <v>512</v>
      </c>
      <c r="B466" s="60" t="str">
        <f>IFERROR(__xludf.DUMMYFUNCTION("IFERROR(GOOGLEFINANCE(A466,""NAME""),)"),"Geekay Wires Ltd")</f>
        <v>Geekay Wires Ltd</v>
      </c>
      <c r="C466" s="60">
        <f>IFERROR(__xludf.DUMMYFUNCTION("IFERROR(GOOGLEFINANCE(A466,""CHANGE""),)"),-1.43)</f>
        <v>-1.43</v>
      </c>
      <c r="D466" s="60">
        <f>IFERROR(__xludf.DUMMYFUNCTION("IFERROR(GOOGLEFINANCE(A466,""CHANGEPCT""),)"),-5.89)</f>
        <v>-5.89</v>
      </c>
      <c r="E466" s="60" t="str">
        <f t="shared" si="1"/>
        <v>-5.89%</v>
      </c>
      <c r="F466" s="60" t="str">
        <f t="shared" si="2"/>
        <v/>
      </c>
      <c r="G466" s="60">
        <f t="shared" si="3"/>
        <v>-5.89</v>
      </c>
      <c r="H466" s="60">
        <f>IFERROR(__xludf.DUMMYFUNCTION("IFERROR(GOOGLEFINANCE(A466,""PRICE""),)"),22.85)</f>
        <v>22.85</v>
      </c>
      <c r="I466" s="61">
        <f>IFERROR(__xludf.DUMMYFUNCTION("IFERROR(GOOGLEFINANCE(A466,""VOLUME""),)"),164303.0)</f>
        <v>164303</v>
      </c>
      <c r="J466" s="60" t="str">
        <f>IFERROR(__xludf.DUMMYFUNCTION("IFERROR(INDEX(SPLIT(A466,"":""),1,2),)"),"GEEKAYWIRE")</f>
        <v>GEEKAYWIRE</v>
      </c>
      <c r="K466" s="60" t="str">
        <f t="shared" si="4"/>
        <v/>
      </c>
      <c r="L466" s="60">
        <f t="shared" si="5"/>
        <v>447</v>
      </c>
      <c r="M466" s="60">
        <f t="shared" si="6"/>
        <v>649</v>
      </c>
      <c r="N466" s="62">
        <f>IFERROR(__xludf.DUMMYFUNCTION("IFERROR(GOOGLEFINANCE(A466,""TRADETIME""),)"),46086.639826388884)</f>
        <v>46086.63983</v>
      </c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68" t="s">
        <v>513</v>
      </c>
      <c r="B467" s="64" t="str">
        <f>IFERROR(__xludf.DUMMYFUNCTION("IFERROR(GOOGLEFINANCE(A467,""NAME""),)"),"Generic Engineerng Constn and Prjcts Ltd")</f>
        <v>Generic Engineerng Constn and Prjcts Ltd</v>
      </c>
      <c r="C467" s="64">
        <f>IFERROR(__xludf.DUMMYFUNCTION("IFERROR(GOOGLEFINANCE(A467,""CHANGE""),)"),1.06)</f>
        <v>1.06</v>
      </c>
      <c r="D467" s="64">
        <f>IFERROR(__xludf.DUMMYFUNCTION("IFERROR(GOOGLEFINANCE(A467,""CHANGEPCT""),)"),2.44)</f>
        <v>2.44</v>
      </c>
      <c r="E467" s="64" t="str">
        <f t="shared" si="1"/>
        <v>2.44%</v>
      </c>
      <c r="F467" s="64">
        <f t="shared" si="2"/>
        <v>2.44</v>
      </c>
      <c r="G467" s="64" t="str">
        <f t="shared" si="3"/>
        <v/>
      </c>
      <c r="H467" s="64">
        <f>IFERROR(__xludf.DUMMYFUNCTION("IFERROR(GOOGLEFINANCE(A467,""PRICE""),)"),44.11)</f>
        <v>44.11</v>
      </c>
      <c r="I467" s="65">
        <f>IFERROR(__xludf.DUMMYFUNCTION("IFERROR(GOOGLEFINANCE(A467,""VOLUME""),)"),6161.0)</f>
        <v>6161</v>
      </c>
      <c r="J467" s="64">
        <f>IFERROR(__xludf.DUMMYFUNCTION("IFERROR(INDEX(SPLIT(A467,"":""),1,2),)"),539407.0)</f>
        <v>539407</v>
      </c>
      <c r="K467" s="64">
        <f t="shared" si="4"/>
        <v>347</v>
      </c>
      <c r="L467" s="64" t="str">
        <f t="shared" si="5"/>
        <v/>
      </c>
      <c r="M467" s="64">
        <f t="shared" si="6"/>
        <v>1322</v>
      </c>
      <c r="N467" s="66">
        <f>IFERROR(__xludf.DUMMYFUNCTION("IFERROR(GOOGLEFINANCE(A467,""TRADETIME""),)"),46086.64583333333)</f>
        <v>46086.64583</v>
      </c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67" t="s">
        <v>514</v>
      </c>
      <c r="B468" s="60" t="str">
        <f>IFERROR(__xludf.DUMMYFUNCTION("IFERROR(GOOGLEFINANCE(A468,""NAME""),)"),"Genesys International Corporation Ltd")</f>
        <v>Genesys International Corporation Ltd</v>
      </c>
      <c r="C468" s="60">
        <f>IFERROR(__xludf.DUMMYFUNCTION("IFERROR(GOOGLEFINANCE(A468,""CHANGE""),)"),1.05)</f>
        <v>1.05</v>
      </c>
      <c r="D468" s="60">
        <f>IFERROR(__xludf.DUMMYFUNCTION("IFERROR(GOOGLEFINANCE(A468,""CHANGEPCT""),)"),0.39)</f>
        <v>0.39</v>
      </c>
      <c r="E468" s="60" t="str">
        <f t="shared" si="1"/>
        <v>0.39%</v>
      </c>
      <c r="F468" s="60">
        <f t="shared" si="2"/>
        <v>0.39</v>
      </c>
      <c r="G468" s="60" t="str">
        <f t="shared" si="3"/>
        <v/>
      </c>
      <c r="H468" s="60">
        <f>IFERROR(__xludf.DUMMYFUNCTION("IFERROR(GOOGLEFINANCE(A468,""PRICE""),)"),271.4)</f>
        <v>271.4</v>
      </c>
      <c r="I468" s="61">
        <f>IFERROR(__xludf.DUMMYFUNCTION("IFERROR(GOOGLEFINANCE(A468,""VOLUME""),)"),653266.0)</f>
        <v>653266</v>
      </c>
      <c r="J468" s="60" t="str">
        <f>IFERROR(__xludf.DUMMYFUNCTION("IFERROR(INDEX(SPLIT(A468,"":""),1,2),)"),"GENESYS")</f>
        <v>GENESYS</v>
      </c>
      <c r="K468" s="60">
        <f t="shared" si="4"/>
        <v>907</v>
      </c>
      <c r="L468" s="60" t="str">
        <f t="shared" si="5"/>
        <v/>
      </c>
      <c r="M468" s="60">
        <f t="shared" si="6"/>
        <v>348</v>
      </c>
      <c r="N468" s="62">
        <f>IFERROR(__xludf.DUMMYFUNCTION("IFERROR(GOOGLEFINANCE(A468,""TRADETIME""),)"),46086.64584490741)</f>
        <v>46086.64584</v>
      </c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68" t="s">
        <v>515</v>
      </c>
      <c r="B469" s="64" t="str">
        <f>IFERROR(__xludf.DUMMYFUNCTION("IFERROR(GOOGLEFINANCE(A469,""NAME""),)"),"Genus Paper &amp; Boards Ltd")</f>
        <v>Genus Paper &amp; Boards Ltd</v>
      </c>
      <c r="C469" s="64">
        <f>IFERROR(__xludf.DUMMYFUNCTION("IFERROR(GOOGLEFINANCE(A469,""CHANGE""),)"),0.41)</f>
        <v>0.41</v>
      </c>
      <c r="D469" s="64">
        <f>IFERROR(__xludf.DUMMYFUNCTION("IFERROR(GOOGLEFINANCE(A469,""CHANGEPCT""),)"),3.45)</f>
        <v>3.45</v>
      </c>
      <c r="E469" s="64" t="str">
        <f t="shared" si="1"/>
        <v>3.45%</v>
      </c>
      <c r="F469" s="64">
        <f t="shared" si="2"/>
        <v>3.45</v>
      </c>
      <c r="G469" s="64" t="str">
        <f t="shared" si="3"/>
        <v/>
      </c>
      <c r="H469" s="64">
        <f>IFERROR(__xludf.DUMMYFUNCTION("IFERROR(GOOGLEFINANCE(A469,""PRICE""),)"),12.27)</f>
        <v>12.27</v>
      </c>
      <c r="I469" s="65">
        <f>IFERROR(__xludf.DUMMYFUNCTION("IFERROR(GOOGLEFINANCE(A469,""VOLUME""),)"),86874.0)</f>
        <v>86874</v>
      </c>
      <c r="J469" s="64" t="str">
        <f>IFERROR(__xludf.DUMMYFUNCTION("IFERROR(INDEX(SPLIT(A469,"":""),1,2),)"),"GENUSPAPER")</f>
        <v>GENUSPAPER</v>
      </c>
      <c r="K469" s="64">
        <f t="shared" si="4"/>
        <v>199</v>
      </c>
      <c r="L469" s="64" t="str">
        <f t="shared" si="5"/>
        <v/>
      </c>
      <c r="M469" s="64">
        <f t="shared" si="6"/>
        <v>793</v>
      </c>
      <c r="N469" s="66">
        <f>IFERROR(__xludf.DUMMYFUNCTION("IFERROR(GOOGLEFINANCE(A469,""TRADETIME""),)"),46086.64583333333)</f>
        <v>46086.64583</v>
      </c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67" t="s">
        <v>516</v>
      </c>
      <c r="B470" s="60" t="str">
        <f>IFERROR(__xludf.DUMMYFUNCTION("IFERROR(GOOGLEFINANCE(A470,""NAME""),)"),"Genus Power Infrastructures Ltd")</f>
        <v>Genus Power Infrastructures Ltd</v>
      </c>
      <c r="C470" s="60">
        <f>IFERROR(__xludf.DUMMYFUNCTION("IFERROR(GOOGLEFINANCE(A470,""CHANGE""),)"),2.7)</f>
        <v>2.7</v>
      </c>
      <c r="D470" s="60">
        <f>IFERROR(__xludf.DUMMYFUNCTION("IFERROR(GOOGLEFINANCE(A470,""CHANGEPCT""),)"),1.08)</f>
        <v>1.08</v>
      </c>
      <c r="E470" s="60" t="str">
        <f t="shared" si="1"/>
        <v>1.08%</v>
      </c>
      <c r="F470" s="60">
        <f t="shared" si="2"/>
        <v>1.08</v>
      </c>
      <c r="G470" s="60" t="str">
        <f t="shared" si="3"/>
        <v/>
      </c>
      <c r="H470" s="60">
        <f>IFERROR(__xludf.DUMMYFUNCTION("IFERROR(GOOGLEFINANCE(A470,""PRICE""),)"),253.0)</f>
        <v>253</v>
      </c>
      <c r="I470" s="61">
        <f>IFERROR(__xludf.DUMMYFUNCTION("IFERROR(GOOGLEFINANCE(A470,""VOLUME""),)"),207720.0)</f>
        <v>207720</v>
      </c>
      <c r="J470" s="60" t="str">
        <f>IFERROR(__xludf.DUMMYFUNCTION("IFERROR(INDEX(SPLIT(A470,"":""),1,2),)"),"GENUSPOWER")</f>
        <v>GENUSPOWER</v>
      </c>
      <c r="K470" s="60">
        <f t="shared" si="4"/>
        <v>696</v>
      </c>
      <c r="L470" s="60" t="str">
        <f t="shared" si="5"/>
        <v/>
      </c>
      <c r="M470" s="60">
        <f t="shared" si="6"/>
        <v>593</v>
      </c>
      <c r="N470" s="62">
        <f>IFERROR(__xludf.DUMMYFUNCTION("IFERROR(GOOGLEFINANCE(A470,""TRADETIME""),)"),46086.64585648148)</f>
        <v>46086.64586</v>
      </c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68" t="s">
        <v>517</v>
      </c>
      <c r="B471" s="64" t="str">
        <f>IFERROR(__xludf.DUMMYFUNCTION("IFERROR(GOOGLEFINANCE(A471,""NAME""),)"),"Geojit Financial Services Ltd")</f>
        <v>Geojit Financial Services Ltd</v>
      </c>
      <c r="C471" s="64">
        <f>IFERROR(__xludf.DUMMYFUNCTION("IFERROR(GOOGLEFINANCE(A471,""CHANGE""),)"),1.43)</f>
        <v>1.43</v>
      </c>
      <c r="D471" s="64">
        <f>IFERROR(__xludf.DUMMYFUNCTION("IFERROR(GOOGLEFINANCE(A471,""CHANGEPCT""),)"),2.37)</f>
        <v>2.37</v>
      </c>
      <c r="E471" s="64" t="str">
        <f t="shared" si="1"/>
        <v>2.37%</v>
      </c>
      <c r="F471" s="64">
        <f t="shared" si="2"/>
        <v>2.37</v>
      </c>
      <c r="G471" s="64" t="str">
        <f t="shared" si="3"/>
        <v/>
      </c>
      <c r="H471" s="64">
        <f>IFERROR(__xludf.DUMMYFUNCTION("IFERROR(GOOGLEFINANCE(A471,""PRICE""),)"),61.75)</f>
        <v>61.75</v>
      </c>
      <c r="I471" s="65">
        <f>IFERROR(__xludf.DUMMYFUNCTION("IFERROR(GOOGLEFINANCE(A471,""VOLUME""),)"),424894.0)</f>
        <v>424894</v>
      </c>
      <c r="J471" s="64" t="str">
        <f>IFERROR(__xludf.DUMMYFUNCTION("IFERROR(INDEX(SPLIT(A471,"":""),1,2),)"),"GEOJITFSL")</f>
        <v>GEOJITFSL</v>
      </c>
      <c r="K471" s="64">
        <f t="shared" si="4"/>
        <v>362</v>
      </c>
      <c r="L471" s="64" t="str">
        <f t="shared" si="5"/>
        <v/>
      </c>
      <c r="M471" s="64">
        <f t="shared" si="6"/>
        <v>431</v>
      </c>
      <c r="N471" s="66">
        <f>IFERROR(__xludf.DUMMYFUNCTION("IFERROR(GOOGLEFINANCE(A471,""TRADETIME""),)"),46086.64583333333)</f>
        <v>46086.64583</v>
      </c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67" t="s">
        <v>518</v>
      </c>
      <c r="B472" s="60" t="str">
        <f>IFERROR(__xludf.DUMMYFUNCTION("IFERROR(GOOGLEFINANCE(A472,""NAME""),)"),"")</f>
        <v/>
      </c>
      <c r="C472" s="60" t="str">
        <f>IFERROR(__xludf.DUMMYFUNCTION("IFERROR(GOOGLEFINANCE(A472,""CHANGE""),)"),"")</f>
        <v/>
      </c>
      <c r="D472" s="60" t="str">
        <f>IFERROR(__xludf.DUMMYFUNCTION("IFERROR(GOOGLEFINANCE(A472,""CHANGEPCT""),)"),"")</f>
        <v/>
      </c>
      <c r="E472" s="60" t="str">
        <f t="shared" si="1"/>
        <v>%</v>
      </c>
      <c r="F472" s="60" t="str">
        <f t="shared" si="2"/>
        <v/>
      </c>
      <c r="G472" s="60" t="str">
        <f t="shared" si="3"/>
        <v/>
      </c>
      <c r="H472" s="60" t="str">
        <f>IFERROR(__xludf.DUMMYFUNCTION("IFERROR(GOOGLEFINANCE(A472,""PRICE""),)"),"")</f>
        <v/>
      </c>
      <c r="I472" s="61" t="str">
        <f>IFERROR(__xludf.DUMMYFUNCTION("IFERROR(GOOGLEFINANCE(A472,""VOLUME""),)"),"")</f>
        <v/>
      </c>
      <c r="J472" s="60" t="str">
        <f>IFERROR(__xludf.DUMMYFUNCTION("IFERROR(INDEX(SPLIT(A472,"":""),1,2),)"),"GEPIL")</f>
        <v>GEPIL</v>
      </c>
      <c r="K472" s="60" t="str">
        <f t="shared" si="4"/>
        <v/>
      </c>
      <c r="L472" s="60" t="str">
        <f t="shared" si="5"/>
        <v/>
      </c>
      <c r="M472" s="60" t="str">
        <f t="shared" si="6"/>
        <v/>
      </c>
      <c r="N472" s="62" t="str">
        <f>IFERROR(__xludf.DUMMYFUNCTION("IFERROR(GOOGLEFINANCE(A472,""TRADETIME""),)"),"")</f>
        <v/>
      </c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68" t="s">
        <v>519</v>
      </c>
      <c r="B473" s="64" t="str">
        <f>IFERROR(__xludf.DUMMYFUNCTION("IFERROR(GOOGLEFINANCE(A473,""NAME""),)"),"Great Eastern Shipping Company Ltd")</f>
        <v>Great Eastern Shipping Company Ltd</v>
      </c>
      <c r="C473" s="64">
        <f>IFERROR(__xludf.DUMMYFUNCTION("IFERROR(GOOGLEFINANCE(A473,""CHANGE""),)"),37.4)</f>
        <v>37.4</v>
      </c>
      <c r="D473" s="64">
        <f>IFERROR(__xludf.DUMMYFUNCTION("IFERROR(GOOGLEFINANCE(A473,""CHANGEPCT""),)"),2.76)</f>
        <v>2.76</v>
      </c>
      <c r="E473" s="64" t="str">
        <f t="shared" si="1"/>
        <v>2.76%</v>
      </c>
      <c r="F473" s="64">
        <f t="shared" si="2"/>
        <v>2.76</v>
      </c>
      <c r="G473" s="64" t="str">
        <f t="shared" si="3"/>
        <v/>
      </c>
      <c r="H473" s="64">
        <f>IFERROR(__xludf.DUMMYFUNCTION("IFERROR(GOOGLEFINANCE(A473,""PRICE""),)"),1392.0)</f>
        <v>1392</v>
      </c>
      <c r="I473" s="65">
        <f>IFERROR(__xludf.DUMMYFUNCTION("IFERROR(GOOGLEFINANCE(A473,""VOLUME""),)"),1715822.0)</f>
        <v>1715822</v>
      </c>
      <c r="J473" s="64" t="str">
        <f>IFERROR(__xludf.DUMMYFUNCTION("IFERROR(INDEX(SPLIT(A473,"":""),1,2),)"),"GESHIP")</f>
        <v>GESHIP</v>
      </c>
      <c r="K473" s="64">
        <f t="shared" si="4"/>
        <v>300</v>
      </c>
      <c r="L473" s="64" t="str">
        <f t="shared" si="5"/>
        <v/>
      </c>
      <c r="M473" s="64">
        <f t="shared" si="6"/>
        <v>224</v>
      </c>
      <c r="N473" s="66">
        <f>IFERROR(__xludf.DUMMYFUNCTION("IFERROR(GOOGLEFINANCE(A473,""TRADETIME""),)"),46086.64584490741)</f>
        <v>46086.64584</v>
      </c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67" t="s">
        <v>520</v>
      </c>
      <c r="B474" s="60" t="str">
        <f>IFERROR(__xludf.DUMMYFUNCTION("IFERROR(GOOGLEFINANCE(A474,""NAME""),)"),"")</f>
        <v/>
      </c>
      <c r="C474" s="60" t="str">
        <f>IFERROR(__xludf.DUMMYFUNCTION("IFERROR(GOOGLEFINANCE(A474,""CHANGE""),)"),"")</f>
        <v/>
      </c>
      <c r="D474" s="60" t="str">
        <f>IFERROR(__xludf.DUMMYFUNCTION("IFERROR(GOOGLEFINANCE(A474,""CHANGEPCT""),)"),"")</f>
        <v/>
      </c>
      <c r="E474" s="60" t="str">
        <f t="shared" si="1"/>
        <v>%</v>
      </c>
      <c r="F474" s="60" t="str">
        <f t="shared" si="2"/>
        <v/>
      </c>
      <c r="G474" s="60" t="str">
        <f t="shared" si="3"/>
        <v/>
      </c>
      <c r="H474" s="60" t="str">
        <f>IFERROR(__xludf.DUMMYFUNCTION("IFERROR(GOOGLEFINANCE(A474,""PRICE""),)"),"")</f>
        <v/>
      </c>
      <c r="I474" s="61" t="str">
        <f>IFERROR(__xludf.DUMMYFUNCTION("IFERROR(GOOGLEFINANCE(A474,""VOLUME""),)"),"")</f>
        <v/>
      </c>
      <c r="J474" s="60" t="str">
        <f>IFERROR(__xludf.DUMMYFUNCTION("IFERROR(INDEX(SPLIT(A474,"":""),1,2),)"),"GET&amp;D")</f>
        <v>GET&amp;D</v>
      </c>
      <c r="K474" s="60" t="str">
        <f t="shared" si="4"/>
        <v/>
      </c>
      <c r="L474" s="60" t="str">
        <f t="shared" si="5"/>
        <v/>
      </c>
      <c r="M474" s="60" t="str">
        <f t="shared" si="6"/>
        <v/>
      </c>
      <c r="N474" s="62" t="str">
        <f>IFERROR(__xludf.DUMMYFUNCTION("IFERROR(GOOGLEFINANCE(A474,""TRADETIME""),)"),"")</f>
        <v/>
      </c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68" t="s">
        <v>521</v>
      </c>
      <c r="B475" s="64" t="str">
        <f>IFERROR(__xludf.DUMMYFUNCTION("IFERROR(GOOGLEFINANCE(A475,""NAME""),)"),"GFL Ltd")</f>
        <v>GFL Ltd</v>
      </c>
      <c r="C475" s="64">
        <f>IFERROR(__xludf.DUMMYFUNCTION("IFERROR(GOOGLEFINANCE(A475,""CHANGE""),)"),0.54)</f>
        <v>0.54</v>
      </c>
      <c r="D475" s="64">
        <f>IFERROR(__xludf.DUMMYFUNCTION("IFERROR(GOOGLEFINANCE(A475,""CHANGEPCT""),)"),1.24)</f>
        <v>1.24</v>
      </c>
      <c r="E475" s="64" t="str">
        <f t="shared" si="1"/>
        <v>1.24%</v>
      </c>
      <c r="F475" s="64">
        <f t="shared" si="2"/>
        <v>1.24</v>
      </c>
      <c r="G475" s="64" t="str">
        <f t="shared" si="3"/>
        <v/>
      </c>
      <c r="H475" s="64">
        <f>IFERROR(__xludf.DUMMYFUNCTION("IFERROR(GOOGLEFINANCE(A475,""PRICE""),)"),44.0)</f>
        <v>44</v>
      </c>
      <c r="I475" s="65">
        <f>IFERROR(__xludf.DUMMYFUNCTION("IFERROR(GOOGLEFINANCE(A475,""VOLUME""),)"),38587.0)</f>
        <v>38587</v>
      </c>
      <c r="J475" s="64" t="str">
        <f>IFERROR(__xludf.DUMMYFUNCTION("IFERROR(INDEX(SPLIT(A475,"":""),1,2),)"),"GFLLIMITED")</f>
        <v>GFLLIMITED</v>
      </c>
      <c r="K475" s="64">
        <f t="shared" si="4"/>
        <v>657</v>
      </c>
      <c r="L475" s="64" t="str">
        <f t="shared" si="5"/>
        <v/>
      </c>
      <c r="M475" s="64">
        <f t="shared" si="6"/>
        <v>999</v>
      </c>
      <c r="N475" s="66">
        <f>IFERROR(__xludf.DUMMYFUNCTION("IFERROR(GOOGLEFINANCE(A475,""TRADETIME""),)"),46086.64584490741)</f>
        <v>46086.64584</v>
      </c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67" t="s">
        <v>522</v>
      </c>
      <c r="B476" s="60" t="str">
        <f>IFERROR(__xludf.DUMMYFUNCTION("IFERROR(GOOGLEFINANCE(A476,""NAME""),)"),"Grand Foundry Ltd")</f>
        <v>Grand Foundry Ltd</v>
      </c>
      <c r="C476" s="60">
        <f>IFERROR(__xludf.DUMMYFUNCTION("IFERROR(GOOGLEFINANCE(A476,""CHANGE""),)"),0.0)</f>
        <v>0</v>
      </c>
      <c r="D476" s="60">
        <f>IFERROR(__xludf.DUMMYFUNCTION("IFERROR(GOOGLEFINANCE(A476,""CHANGEPCT""),)"),0.0)</f>
        <v>0</v>
      </c>
      <c r="E476" s="60" t="str">
        <f t="shared" si="1"/>
        <v>0%</v>
      </c>
      <c r="F476" s="60" t="str">
        <f t="shared" si="2"/>
        <v/>
      </c>
      <c r="G476" s="60" t="str">
        <f t="shared" si="3"/>
        <v/>
      </c>
      <c r="H476" s="60">
        <f>IFERROR(__xludf.DUMMYFUNCTION("IFERROR(GOOGLEFINANCE(A476,""PRICE""),)"),11.78)</f>
        <v>11.78</v>
      </c>
      <c r="I476" s="61">
        <f>IFERROR(__xludf.DUMMYFUNCTION("IFERROR(GOOGLEFINANCE(A476,""VOLUME""),)"),3100.0)</f>
        <v>3100</v>
      </c>
      <c r="J476" s="60" t="str">
        <f>IFERROR(__xludf.DUMMYFUNCTION("IFERROR(INDEX(SPLIT(A476,"":""),1,2),)"),"GFSTEELS")</f>
        <v>GFSTEELS</v>
      </c>
      <c r="K476" s="60" t="str">
        <f t="shared" si="4"/>
        <v/>
      </c>
      <c r="L476" s="60" t="str">
        <f t="shared" si="5"/>
        <v/>
      </c>
      <c r="M476" s="60">
        <f t="shared" si="6"/>
        <v>1384</v>
      </c>
      <c r="N476" s="62">
        <f>IFERROR(__xludf.DUMMYFUNCTION("IFERROR(GOOGLEFINANCE(A476,""TRADETIME""),)"),46083.64583333333)</f>
        <v>46083.64583</v>
      </c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68" t="s">
        <v>523</v>
      </c>
      <c r="B477" s="64" t="str">
        <f>IFERROR(__xludf.DUMMYFUNCTION("IFERROR(GOOGLEFINANCE(A477,""NAME""),)"),"GHCL Ltd")</f>
        <v>GHCL Ltd</v>
      </c>
      <c r="C477" s="64">
        <f>IFERROR(__xludf.DUMMYFUNCTION("IFERROR(GOOGLEFINANCE(A477,""CHANGE""),)"),6.2)</f>
        <v>6.2</v>
      </c>
      <c r="D477" s="64">
        <f>IFERROR(__xludf.DUMMYFUNCTION("IFERROR(GOOGLEFINANCE(A477,""CHANGEPCT""),)"),2.67)</f>
        <v>2.67</v>
      </c>
      <c r="E477" s="64" t="str">
        <f t="shared" si="1"/>
        <v>2.67%</v>
      </c>
      <c r="F477" s="64">
        <f t="shared" si="2"/>
        <v>2.67</v>
      </c>
      <c r="G477" s="64" t="str">
        <f t="shared" si="3"/>
        <v/>
      </c>
      <c r="H477" s="64">
        <f>IFERROR(__xludf.DUMMYFUNCTION("IFERROR(GOOGLEFINANCE(A477,""PRICE""),)"),471.9)</f>
        <v>471.9</v>
      </c>
      <c r="I477" s="65">
        <f>IFERROR(__xludf.DUMMYFUNCTION("IFERROR(GOOGLEFINANCE(A477,""VOLUME""),)"),61218.0)</f>
        <v>61218</v>
      </c>
      <c r="J477" s="64" t="str">
        <f>IFERROR(__xludf.DUMMYFUNCTION("IFERROR(INDEX(SPLIT(A477,"":""),1,2),)"),"GHCL")</f>
        <v>GHCL</v>
      </c>
      <c r="K477" s="64">
        <f t="shared" si="4"/>
        <v>310</v>
      </c>
      <c r="L477" s="64" t="str">
        <f t="shared" si="5"/>
        <v/>
      </c>
      <c r="M477" s="64">
        <f t="shared" si="6"/>
        <v>876</v>
      </c>
      <c r="N477" s="66">
        <f>IFERROR(__xludf.DUMMYFUNCTION("IFERROR(GOOGLEFINANCE(A477,""TRADETIME""),)"),46086.64583333333)</f>
        <v>46086.64583</v>
      </c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67" t="s">
        <v>524</v>
      </c>
      <c r="B478" s="60" t="str">
        <f>IFERROR(__xludf.DUMMYFUNCTION("IFERROR(GOOGLEFINANCE(A478,""NAME""),)"),"GIC Housing Finance Ltd")</f>
        <v>GIC Housing Finance Ltd</v>
      </c>
      <c r="C478" s="60">
        <f>IFERROR(__xludf.DUMMYFUNCTION("IFERROR(GOOGLEFINANCE(A478,""CHANGE""),)"),-0.63)</f>
        <v>-0.63</v>
      </c>
      <c r="D478" s="60">
        <f>IFERROR(__xludf.DUMMYFUNCTION("IFERROR(GOOGLEFINANCE(A478,""CHANGEPCT""),)"),-0.42)</f>
        <v>-0.42</v>
      </c>
      <c r="E478" s="60" t="str">
        <f t="shared" si="1"/>
        <v>-0.42%</v>
      </c>
      <c r="F478" s="60" t="str">
        <f t="shared" si="2"/>
        <v/>
      </c>
      <c r="G478" s="60">
        <f t="shared" si="3"/>
        <v>-0.42</v>
      </c>
      <c r="H478" s="60">
        <f>IFERROR(__xludf.DUMMYFUNCTION("IFERROR(GOOGLEFINANCE(A478,""PRICE""),)"),149.66)</f>
        <v>149.66</v>
      </c>
      <c r="I478" s="61">
        <f>IFERROR(__xludf.DUMMYFUNCTION("IFERROR(GOOGLEFINANCE(A478,""VOLUME""),)"),55055.0)</f>
        <v>55055</v>
      </c>
      <c r="J478" s="60" t="str">
        <f>IFERROR(__xludf.DUMMYFUNCTION("IFERROR(INDEX(SPLIT(A478,"":""),1,2),)"),"GICHSGFIN")</f>
        <v>GICHSGFIN</v>
      </c>
      <c r="K478" s="60" t="str">
        <f t="shared" si="4"/>
        <v/>
      </c>
      <c r="L478" s="60">
        <f t="shared" si="5"/>
        <v>99</v>
      </c>
      <c r="M478" s="60">
        <f t="shared" si="6"/>
        <v>904</v>
      </c>
      <c r="N478" s="62">
        <f>IFERROR(__xludf.DUMMYFUNCTION("IFERROR(GOOGLEFINANCE(A478,""TRADETIME""),)"),46086.64583333333)</f>
        <v>46086.64583</v>
      </c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68" t="s">
        <v>525</v>
      </c>
      <c r="B479" s="64" t="str">
        <f>IFERROR(__xludf.DUMMYFUNCTION("IFERROR(GOOGLEFINANCE(A479,""NAME""),)"),"General Insurance Corporation of India")</f>
        <v>General Insurance Corporation of India</v>
      </c>
      <c r="C479" s="64">
        <f>IFERROR(__xludf.DUMMYFUNCTION("IFERROR(GOOGLEFINANCE(A479,""CHANGE""),)"),6.0)</f>
        <v>6</v>
      </c>
      <c r="D479" s="64">
        <f>IFERROR(__xludf.DUMMYFUNCTION("IFERROR(GOOGLEFINANCE(A479,""CHANGEPCT""),)"),0.96)</f>
        <v>0.96</v>
      </c>
      <c r="E479" s="64" t="str">
        <f t="shared" si="1"/>
        <v>0.96%</v>
      </c>
      <c r="F479" s="64">
        <f t="shared" si="2"/>
        <v>0.96</v>
      </c>
      <c r="G479" s="64" t="str">
        <f t="shared" si="3"/>
        <v/>
      </c>
      <c r="H479" s="64">
        <f>IFERROR(__xludf.DUMMYFUNCTION("IFERROR(GOOGLEFINANCE(A479,""PRICE""),)"),369.0)</f>
        <v>369</v>
      </c>
      <c r="I479" s="65">
        <f>IFERROR(__xludf.DUMMYFUNCTION("IFERROR(GOOGLEFINANCE(A479,""VOLUME""),)"),262321.0)</f>
        <v>262321</v>
      </c>
      <c r="J479" s="64" t="str">
        <f>IFERROR(__xludf.DUMMYFUNCTION("IFERROR(INDEX(SPLIT(A479,"":""),1,2),)"),"GICRE")</f>
        <v>GICRE</v>
      </c>
      <c r="K479" s="64">
        <f t="shared" si="4"/>
        <v>733</v>
      </c>
      <c r="L479" s="64" t="str">
        <f t="shared" si="5"/>
        <v/>
      </c>
      <c r="M479" s="64">
        <f t="shared" si="6"/>
        <v>539</v>
      </c>
      <c r="N479" s="66">
        <f>IFERROR(__xludf.DUMMYFUNCTION("IFERROR(GOOGLEFINANCE(A479,""TRADETIME""),)"),46086.64583333333)</f>
        <v>46086.64583</v>
      </c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67" t="s">
        <v>526</v>
      </c>
      <c r="B480" s="60" t="str">
        <f>IFERROR(__xludf.DUMMYFUNCTION("IFERROR(GOOGLEFINANCE(A480,""NAME""),)"),"Gillanders Arbuthnot &amp; Co Ltd")</f>
        <v>Gillanders Arbuthnot &amp; Co Ltd</v>
      </c>
      <c r="C480" s="60">
        <f>IFERROR(__xludf.DUMMYFUNCTION("IFERROR(GOOGLEFINANCE(A480,""CHANGE""),)"),-2.72)</f>
        <v>-2.72</v>
      </c>
      <c r="D480" s="60">
        <f>IFERROR(__xludf.DUMMYFUNCTION("IFERROR(GOOGLEFINANCE(A480,""CHANGEPCT""),)"),-3.15)</f>
        <v>-3.15</v>
      </c>
      <c r="E480" s="60" t="str">
        <f t="shared" si="1"/>
        <v>-3.15%</v>
      </c>
      <c r="F480" s="60" t="str">
        <f t="shared" si="2"/>
        <v/>
      </c>
      <c r="G480" s="60">
        <f t="shared" si="3"/>
        <v>-3.15</v>
      </c>
      <c r="H480" s="60">
        <f>IFERROR(__xludf.DUMMYFUNCTION("IFERROR(GOOGLEFINANCE(A480,""PRICE""),)"),83.7)</f>
        <v>83.7</v>
      </c>
      <c r="I480" s="61">
        <f>IFERROR(__xludf.DUMMYFUNCTION("IFERROR(GOOGLEFINANCE(A480,""VOLUME""),)"),18787.0)</f>
        <v>18787</v>
      </c>
      <c r="J480" s="60" t="str">
        <f>IFERROR(__xludf.DUMMYFUNCTION("IFERROR(INDEX(SPLIT(A480,"":""),1,2),)"),"GILLANDERS")</f>
        <v>GILLANDERS</v>
      </c>
      <c r="K480" s="60" t="str">
        <f t="shared" si="4"/>
        <v/>
      </c>
      <c r="L480" s="60">
        <f t="shared" si="5"/>
        <v>410</v>
      </c>
      <c r="M480" s="60">
        <f t="shared" si="6"/>
        <v>1159</v>
      </c>
      <c r="N480" s="62">
        <f>IFERROR(__xludf.DUMMYFUNCTION("IFERROR(GOOGLEFINANCE(A480,""TRADETIME""),)"),46086.64586805555)</f>
        <v>46086.64587</v>
      </c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68" t="s">
        <v>527</v>
      </c>
      <c r="B481" s="64" t="str">
        <f>IFERROR(__xludf.DUMMYFUNCTION("IFERROR(GOOGLEFINANCE(A481,""NAME""),)"),"Gillette India Ltd")</f>
        <v>Gillette India Ltd</v>
      </c>
      <c r="C481" s="64">
        <f>IFERROR(__xludf.DUMMYFUNCTION("IFERROR(GOOGLEFINANCE(A481,""CHANGE""),)"),216.0)</f>
        <v>216</v>
      </c>
      <c r="D481" s="64">
        <f>IFERROR(__xludf.DUMMYFUNCTION("IFERROR(GOOGLEFINANCE(A481,""CHANGEPCT""),)"),2.66)</f>
        <v>2.66</v>
      </c>
      <c r="E481" s="64" t="str">
        <f t="shared" si="1"/>
        <v>2.66%</v>
      </c>
      <c r="F481" s="64">
        <f t="shared" si="2"/>
        <v>2.66</v>
      </c>
      <c r="G481" s="64" t="str">
        <f t="shared" si="3"/>
        <v/>
      </c>
      <c r="H481" s="64">
        <f>IFERROR(__xludf.DUMMYFUNCTION("IFERROR(GOOGLEFINANCE(A481,""PRICE""),)"),8194.5)</f>
        <v>8194.5</v>
      </c>
      <c r="I481" s="65">
        <f>IFERROR(__xludf.DUMMYFUNCTION("IFERROR(GOOGLEFINANCE(A481,""VOLUME""),)"),19656.0)</f>
        <v>19656</v>
      </c>
      <c r="J481" s="64" t="str">
        <f>IFERROR(__xludf.DUMMYFUNCTION("IFERROR(INDEX(SPLIT(A481,"":""),1,2),)"),"GILLETTE")</f>
        <v>GILLETTE</v>
      </c>
      <c r="K481" s="64">
        <f t="shared" si="4"/>
        <v>313</v>
      </c>
      <c r="L481" s="64" t="str">
        <f t="shared" si="5"/>
        <v/>
      </c>
      <c r="M481" s="64">
        <f t="shared" si="6"/>
        <v>1142</v>
      </c>
      <c r="N481" s="66">
        <f>IFERROR(__xludf.DUMMYFUNCTION("IFERROR(GOOGLEFINANCE(A481,""TRADETIME""),)"),46086.64583333333)</f>
        <v>46086.64583</v>
      </c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67" t="s">
        <v>528</v>
      </c>
      <c r="B482" s="60" t="str">
        <f>IFERROR(__xludf.DUMMYFUNCTION("IFERROR(GOOGLEFINANCE(A482,""NAME""),)"),"Ginni Filaments Ltd")</f>
        <v>Ginni Filaments Ltd</v>
      </c>
      <c r="C482" s="60">
        <f>IFERROR(__xludf.DUMMYFUNCTION("IFERROR(GOOGLEFINANCE(A482,""CHANGE""),)"),-1.42)</f>
        <v>-1.42</v>
      </c>
      <c r="D482" s="60">
        <f>IFERROR(__xludf.DUMMYFUNCTION("IFERROR(GOOGLEFINANCE(A482,""CHANGEPCT""),)"),-3.85)</f>
        <v>-3.85</v>
      </c>
      <c r="E482" s="60" t="str">
        <f t="shared" si="1"/>
        <v>-3.85%</v>
      </c>
      <c r="F482" s="60" t="str">
        <f t="shared" si="2"/>
        <v/>
      </c>
      <c r="G482" s="60">
        <f t="shared" si="3"/>
        <v>-3.85</v>
      </c>
      <c r="H482" s="60">
        <f>IFERROR(__xludf.DUMMYFUNCTION("IFERROR(GOOGLEFINANCE(A482,""PRICE""),)"),35.47)</f>
        <v>35.47</v>
      </c>
      <c r="I482" s="61">
        <f>IFERROR(__xludf.DUMMYFUNCTION("IFERROR(GOOGLEFINANCE(A482,""VOLUME""),)"),203707.0)</f>
        <v>203707</v>
      </c>
      <c r="J482" s="60" t="str">
        <f>IFERROR(__xludf.DUMMYFUNCTION("IFERROR(INDEX(SPLIT(A482,"":""),1,2),)"),"GINNIFILA")</f>
        <v>GINNIFILA</v>
      </c>
      <c r="K482" s="60" t="str">
        <f t="shared" si="4"/>
        <v/>
      </c>
      <c r="L482" s="60">
        <f t="shared" si="5"/>
        <v>425</v>
      </c>
      <c r="M482" s="60">
        <f t="shared" si="6"/>
        <v>600</v>
      </c>
      <c r="N482" s="62">
        <f>IFERROR(__xludf.DUMMYFUNCTION("IFERROR(GOOGLEFINANCE(A482,""TRADETIME""),)"),46086.64583333333)</f>
        <v>46086.64583</v>
      </c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68" t="s">
        <v>529</v>
      </c>
      <c r="B483" s="64" t="str">
        <f>IFERROR(__xludf.DUMMYFUNCTION("IFERROR(GOOGLEFINANCE(A483,""NAME""),)"),"Gujarat Industries Power Company Ltd")</f>
        <v>Gujarat Industries Power Company Ltd</v>
      </c>
      <c r="C483" s="64">
        <f>IFERROR(__xludf.DUMMYFUNCTION("IFERROR(GOOGLEFINANCE(A483,""CHANGE""),)"),2.42)</f>
        <v>2.42</v>
      </c>
      <c r="D483" s="64">
        <f>IFERROR(__xludf.DUMMYFUNCTION("IFERROR(GOOGLEFINANCE(A483,""CHANGEPCT""),)"),1.81)</f>
        <v>1.81</v>
      </c>
      <c r="E483" s="64" t="str">
        <f t="shared" si="1"/>
        <v>1.81%</v>
      </c>
      <c r="F483" s="64">
        <f t="shared" si="2"/>
        <v>1.81</v>
      </c>
      <c r="G483" s="64" t="str">
        <f t="shared" si="3"/>
        <v/>
      </c>
      <c r="H483" s="64">
        <f>IFERROR(__xludf.DUMMYFUNCTION("IFERROR(GOOGLEFINANCE(A483,""PRICE""),)"),136.11)</f>
        <v>136.11</v>
      </c>
      <c r="I483" s="65">
        <f>IFERROR(__xludf.DUMMYFUNCTION("IFERROR(GOOGLEFINANCE(A483,""VOLUME""),)"),213387.0)</f>
        <v>213387</v>
      </c>
      <c r="J483" s="64" t="str">
        <f>IFERROR(__xludf.DUMMYFUNCTION("IFERROR(INDEX(SPLIT(A483,"":""),1,2),)"),"GIPCL")</f>
        <v>GIPCL</v>
      </c>
      <c r="K483" s="64">
        <f t="shared" si="4"/>
        <v>494</v>
      </c>
      <c r="L483" s="64" t="str">
        <f t="shared" si="5"/>
        <v/>
      </c>
      <c r="M483" s="64">
        <f t="shared" si="6"/>
        <v>588</v>
      </c>
      <c r="N483" s="66">
        <f>IFERROR(__xludf.DUMMYFUNCTION("IFERROR(GOOGLEFINANCE(A483,""TRADETIME""),)"),46086.63942129629)</f>
        <v>46086.63942</v>
      </c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67" t="s">
        <v>530</v>
      </c>
      <c r="B484" s="60" t="str">
        <f>IFERROR(__xludf.DUMMYFUNCTION("IFERROR(GOOGLEFINANCE(A484,""NAME""),)"),"")</f>
        <v/>
      </c>
      <c r="C484" s="60" t="str">
        <f>IFERROR(__xludf.DUMMYFUNCTION("IFERROR(GOOGLEFINANCE(A484,""CHANGE""),)"),"")</f>
        <v/>
      </c>
      <c r="D484" s="60" t="str">
        <f>IFERROR(__xludf.DUMMYFUNCTION("IFERROR(GOOGLEFINANCE(A484,""CHANGEPCT""),)"),"")</f>
        <v/>
      </c>
      <c r="E484" s="60" t="str">
        <f t="shared" si="1"/>
        <v>%</v>
      </c>
      <c r="F484" s="60" t="str">
        <f t="shared" si="2"/>
        <v/>
      </c>
      <c r="G484" s="60" t="str">
        <f t="shared" si="3"/>
        <v/>
      </c>
      <c r="H484" s="60" t="str">
        <f>IFERROR(__xludf.DUMMYFUNCTION("IFERROR(GOOGLEFINANCE(A484,""PRICE""),)"),"")</f>
        <v/>
      </c>
      <c r="I484" s="61" t="str">
        <f>IFERROR(__xludf.DUMMYFUNCTION("IFERROR(GOOGLEFINANCE(A484,""VOLUME""),)"),"")</f>
        <v/>
      </c>
      <c r="J484" s="60" t="str">
        <f>IFERROR(__xludf.DUMMYFUNCTION("IFERROR(INDEX(SPLIT(A484,"":""),1,2),)"),"GISOLUTION")</f>
        <v>GISOLUTION</v>
      </c>
      <c r="K484" s="60" t="str">
        <f t="shared" si="4"/>
        <v/>
      </c>
      <c r="L484" s="60" t="str">
        <f t="shared" si="5"/>
        <v/>
      </c>
      <c r="M484" s="60" t="str">
        <f t="shared" si="6"/>
        <v/>
      </c>
      <c r="N484" s="62" t="str">
        <f>IFERROR(__xludf.DUMMYFUNCTION("IFERROR(GOOGLEFINANCE(A484,""TRADETIME""),)"),"")</f>
        <v/>
      </c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68" t="s">
        <v>531</v>
      </c>
      <c r="B485" s="64" t="str">
        <f>IFERROR(__xludf.DUMMYFUNCTION("IFERROR(GOOGLEFINANCE(A485,""NAME""),)"),"GKW Ltd")</f>
        <v>GKW Ltd</v>
      </c>
      <c r="C485" s="64">
        <f>IFERROR(__xludf.DUMMYFUNCTION("IFERROR(GOOGLEFINANCE(A485,""CHANGE""),)"),69.3)</f>
        <v>69.3</v>
      </c>
      <c r="D485" s="64">
        <f>IFERROR(__xludf.DUMMYFUNCTION("IFERROR(GOOGLEFINANCE(A485,""CHANGEPCT""),)"),4.31)</f>
        <v>4.31</v>
      </c>
      <c r="E485" s="64" t="str">
        <f t="shared" si="1"/>
        <v>4.31%</v>
      </c>
      <c r="F485" s="64">
        <f t="shared" si="2"/>
        <v>4.31</v>
      </c>
      <c r="G485" s="64" t="str">
        <f t="shared" si="3"/>
        <v/>
      </c>
      <c r="H485" s="64">
        <f>IFERROR(__xludf.DUMMYFUNCTION("IFERROR(GOOGLEFINANCE(A485,""PRICE""),)"),1647.0)</f>
        <v>1647</v>
      </c>
      <c r="I485" s="65">
        <f>IFERROR(__xludf.DUMMYFUNCTION("IFERROR(GOOGLEFINANCE(A485,""VOLUME""),)"),141.0)</f>
        <v>141</v>
      </c>
      <c r="J485" s="64" t="str">
        <f>IFERROR(__xludf.DUMMYFUNCTION("IFERROR(INDEX(SPLIT(A485,"":""),1,2),)"),"GKWLIMITED")</f>
        <v>GKWLIMITED</v>
      </c>
      <c r="K485" s="64">
        <f t="shared" si="4"/>
        <v>119</v>
      </c>
      <c r="L485" s="64" t="str">
        <f t="shared" si="5"/>
        <v/>
      </c>
      <c r="M485" s="64">
        <f t="shared" si="6"/>
        <v>1458</v>
      </c>
      <c r="N485" s="66">
        <f>IFERROR(__xludf.DUMMYFUNCTION("IFERROR(GOOGLEFINANCE(A485,""TRADETIME""),)"),46086.635972222226)</f>
        <v>46086.63597</v>
      </c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67" t="s">
        <v>532</v>
      </c>
      <c r="B486" s="60" t="str">
        <f>IFERROR(__xludf.DUMMYFUNCTION("IFERROR(GOOGLEFINANCE(A486,""NAME""),)"),"Gland Pharma Ltd")</f>
        <v>Gland Pharma Ltd</v>
      </c>
      <c r="C486" s="60">
        <f>IFERROR(__xludf.DUMMYFUNCTION("IFERROR(GOOGLEFINANCE(A486,""CHANGE""),)"),-6.4)</f>
        <v>-6.4</v>
      </c>
      <c r="D486" s="60">
        <f>IFERROR(__xludf.DUMMYFUNCTION("IFERROR(GOOGLEFINANCE(A486,""CHANGEPCT""),)"),-0.37)</f>
        <v>-0.37</v>
      </c>
      <c r="E486" s="60" t="str">
        <f t="shared" si="1"/>
        <v>-0.37%</v>
      </c>
      <c r="F486" s="60" t="str">
        <f t="shared" si="2"/>
        <v/>
      </c>
      <c r="G486" s="60">
        <f t="shared" si="3"/>
        <v>-0.37</v>
      </c>
      <c r="H486" s="60">
        <f>IFERROR(__xludf.DUMMYFUNCTION("IFERROR(GOOGLEFINANCE(A486,""PRICE""),)"),1702.0)</f>
        <v>1702</v>
      </c>
      <c r="I486" s="61">
        <f>IFERROR(__xludf.DUMMYFUNCTION("IFERROR(GOOGLEFINANCE(A486,""VOLUME""),)"),79236.0)</f>
        <v>79236</v>
      </c>
      <c r="J486" s="60" t="str">
        <f>IFERROR(__xludf.DUMMYFUNCTION("IFERROR(INDEX(SPLIT(A486,"":""),1,2),)"),"GLAND")</f>
        <v>GLAND</v>
      </c>
      <c r="K486" s="60" t="str">
        <f t="shared" si="4"/>
        <v/>
      </c>
      <c r="L486" s="60">
        <f t="shared" si="5"/>
        <v>89</v>
      </c>
      <c r="M486" s="60">
        <f t="shared" si="6"/>
        <v>818</v>
      </c>
      <c r="N486" s="62">
        <f>IFERROR(__xludf.DUMMYFUNCTION("IFERROR(GOOGLEFINANCE(A486,""TRADETIME""),)"),46086.64039351852)</f>
        <v>46086.64039</v>
      </c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68" t="s">
        <v>533</v>
      </c>
      <c r="B487" s="64" t="str">
        <f>IFERROR(__xludf.DUMMYFUNCTION("IFERROR(GOOGLEFINANCE(A487,""NAME""),)"),"GlaxoSmithKline Pharmaceuticals Ltd")</f>
        <v>GlaxoSmithKline Pharmaceuticals Ltd</v>
      </c>
      <c r="C487" s="64">
        <f>IFERROR(__xludf.DUMMYFUNCTION("IFERROR(GOOGLEFINANCE(A487,""CHANGE""),)"),-7.9)</f>
        <v>-7.9</v>
      </c>
      <c r="D487" s="64">
        <f>IFERROR(__xludf.DUMMYFUNCTION("IFERROR(GOOGLEFINANCE(A487,""CHANGEPCT""),)"),-0.32)</f>
        <v>-0.32</v>
      </c>
      <c r="E487" s="64" t="str">
        <f t="shared" si="1"/>
        <v>-0.32%</v>
      </c>
      <c r="F487" s="64" t="str">
        <f t="shared" si="2"/>
        <v/>
      </c>
      <c r="G487" s="64">
        <f t="shared" si="3"/>
        <v>-0.32</v>
      </c>
      <c r="H487" s="64">
        <f>IFERROR(__xludf.DUMMYFUNCTION("IFERROR(GOOGLEFINANCE(A487,""PRICE""),)"),2478.0)</f>
        <v>2478</v>
      </c>
      <c r="I487" s="65">
        <f>IFERROR(__xludf.DUMMYFUNCTION("IFERROR(GOOGLEFINANCE(A487,""VOLUME""),)"),46115.0)</f>
        <v>46115</v>
      </c>
      <c r="J487" s="64" t="str">
        <f>IFERROR(__xludf.DUMMYFUNCTION("IFERROR(INDEX(SPLIT(A487,"":""),1,2),)"),"GLAXO")</f>
        <v>GLAXO</v>
      </c>
      <c r="K487" s="64" t="str">
        <f t="shared" si="4"/>
        <v/>
      </c>
      <c r="L487" s="64">
        <f t="shared" si="5"/>
        <v>82</v>
      </c>
      <c r="M487" s="64">
        <f t="shared" si="6"/>
        <v>961</v>
      </c>
      <c r="N487" s="66">
        <f>IFERROR(__xludf.DUMMYFUNCTION("IFERROR(GOOGLEFINANCE(A487,""TRADETIME""),)"),46086.64583333333)</f>
        <v>46086.64583</v>
      </c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67" t="s">
        <v>534</v>
      </c>
      <c r="B488" s="60" t="str">
        <f>IFERROR(__xludf.DUMMYFUNCTION("IFERROR(GOOGLEFINANCE(A488,""NAME""),)"),"Glenmark Pharmaceuticals Ltd")</f>
        <v>Glenmark Pharmaceuticals Ltd</v>
      </c>
      <c r="C488" s="60">
        <f>IFERROR(__xludf.DUMMYFUNCTION("IFERROR(GOOGLEFINANCE(A488,""CHANGE""),)"),67.3)</f>
        <v>67.3</v>
      </c>
      <c r="D488" s="60">
        <f>IFERROR(__xludf.DUMMYFUNCTION("IFERROR(GOOGLEFINANCE(A488,""CHANGEPCT""),)"),3.3)</f>
        <v>3.3</v>
      </c>
      <c r="E488" s="60" t="str">
        <f t="shared" si="1"/>
        <v>3.3%</v>
      </c>
      <c r="F488" s="60">
        <f t="shared" si="2"/>
        <v>3.3</v>
      </c>
      <c r="G488" s="60" t="str">
        <f t="shared" si="3"/>
        <v/>
      </c>
      <c r="H488" s="60">
        <f>IFERROR(__xludf.DUMMYFUNCTION("IFERROR(GOOGLEFINANCE(A488,""PRICE""),)"),2108.1)</f>
        <v>2108.1</v>
      </c>
      <c r="I488" s="61">
        <f>IFERROR(__xludf.DUMMYFUNCTION("IFERROR(GOOGLEFINANCE(A488,""VOLUME""),)"),523019.0)</f>
        <v>523019</v>
      </c>
      <c r="J488" s="60" t="str">
        <f>IFERROR(__xludf.DUMMYFUNCTION("IFERROR(INDEX(SPLIT(A488,"":""),1,2),)"),"GLENMARK")</f>
        <v>GLENMARK</v>
      </c>
      <c r="K488" s="60">
        <f t="shared" si="4"/>
        <v>213</v>
      </c>
      <c r="L488" s="60" t="str">
        <f t="shared" si="5"/>
        <v/>
      </c>
      <c r="M488" s="60">
        <f t="shared" si="6"/>
        <v>391</v>
      </c>
      <c r="N488" s="62">
        <f>IFERROR(__xludf.DUMMYFUNCTION("IFERROR(GOOGLEFINANCE(A488,""TRADETIME""),)"),46086.64585648148)</f>
        <v>46086.64586</v>
      </c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68" t="s">
        <v>535</v>
      </c>
      <c r="B489" s="64" t="str">
        <f>IFERROR(__xludf.DUMMYFUNCTION("IFERROR(GOOGLEFINANCE(A489,""NAME""),)"),"Gujarat Lease Financing Ltd")</f>
        <v>Gujarat Lease Financing Ltd</v>
      </c>
      <c r="C489" s="64">
        <f>IFERROR(__xludf.DUMMYFUNCTION("IFERROR(GOOGLEFINANCE(A489,""CHANGE""),)"),-0.25)</f>
        <v>-0.25</v>
      </c>
      <c r="D489" s="64">
        <f>IFERROR(__xludf.DUMMYFUNCTION("IFERROR(GOOGLEFINANCE(A489,""CHANGEPCT""),)"),-4.96)</f>
        <v>-4.96</v>
      </c>
      <c r="E489" s="64" t="str">
        <f t="shared" si="1"/>
        <v>-4.96%</v>
      </c>
      <c r="F489" s="64" t="str">
        <f t="shared" si="2"/>
        <v/>
      </c>
      <c r="G489" s="64">
        <f t="shared" si="3"/>
        <v>-4.96</v>
      </c>
      <c r="H489" s="64">
        <f>IFERROR(__xludf.DUMMYFUNCTION("IFERROR(GOOGLEFINANCE(A489,""PRICE""),)"),4.79)</f>
        <v>4.79</v>
      </c>
      <c r="I489" s="65">
        <f>IFERROR(__xludf.DUMMYFUNCTION("IFERROR(GOOGLEFINANCE(A489,""VOLUME""),)"),2066.0)</f>
        <v>2066</v>
      </c>
      <c r="J489" s="64" t="str">
        <f>IFERROR(__xludf.DUMMYFUNCTION("IFERROR(INDEX(SPLIT(A489,"":""),1,2),)"),"GLFL")</f>
        <v>GLFL</v>
      </c>
      <c r="K489" s="64" t="str">
        <f t="shared" si="4"/>
        <v/>
      </c>
      <c r="L489" s="64">
        <f t="shared" si="5"/>
        <v>435</v>
      </c>
      <c r="M489" s="64">
        <f t="shared" si="6"/>
        <v>1404</v>
      </c>
      <c r="N489" s="66">
        <f>IFERROR(__xludf.DUMMYFUNCTION("IFERROR(GOOGLEFINANCE(A489,""TRADETIME""),)"),46086.593043981484)</f>
        <v>46086.59304</v>
      </c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67" t="s">
        <v>536</v>
      </c>
      <c r="B490" s="60" t="str">
        <f>IFERROR(__xludf.DUMMYFUNCTION("IFERROR(GOOGLEFINANCE(A490,""NAME""),)"),"Global Education Ltd")</f>
        <v>Global Education Ltd</v>
      </c>
      <c r="C490" s="60">
        <f>IFERROR(__xludf.DUMMYFUNCTION("IFERROR(GOOGLEFINANCE(A490,""CHANGE""),)"),-0.38)</f>
        <v>-0.38</v>
      </c>
      <c r="D490" s="60">
        <f>IFERROR(__xludf.DUMMYFUNCTION("IFERROR(GOOGLEFINANCE(A490,""CHANGEPCT""),)"),-0.39)</f>
        <v>-0.39</v>
      </c>
      <c r="E490" s="60" t="str">
        <f t="shared" si="1"/>
        <v>-0.39%</v>
      </c>
      <c r="F490" s="60" t="str">
        <f t="shared" si="2"/>
        <v/>
      </c>
      <c r="G490" s="60">
        <f t="shared" si="3"/>
        <v>-0.39</v>
      </c>
      <c r="H490" s="60">
        <f>IFERROR(__xludf.DUMMYFUNCTION("IFERROR(GOOGLEFINANCE(A490,""PRICE""),)"),96.05)</f>
        <v>96.05</v>
      </c>
      <c r="I490" s="61">
        <f>IFERROR(__xludf.DUMMYFUNCTION("IFERROR(GOOGLEFINANCE(A490,""VOLUME""),)"),121969.0)</f>
        <v>121969</v>
      </c>
      <c r="J490" s="60" t="str">
        <f>IFERROR(__xludf.DUMMYFUNCTION("IFERROR(INDEX(SPLIT(A490,"":""),1,2),)"),"GLOBAL")</f>
        <v>GLOBAL</v>
      </c>
      <c r="K490" s="60" t="str">
        <f t="shared" si="4"/>
        <v/>
      </c>
      <c r="L490" s="60">
        <f t="shared" si="5"/>
        <v>92</v>
      </c>
      <c r="M490" s="60">
        <f t="shared" si="6"/>
        <v>718</v>
      </c>
      <c r="N490" s="62">
        <f>IFERROR(__xludf.DUMMYFUNCTION("IFERROR(GOOGLEFINANCE(A490,""TRADETIME""),)"),46086.64583333333)</f>
        <v>46086.64583</v>
      </c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68" t="s">
        <v>537</v>
      </c>
      <c r="B491" s="64" t="str">
        <f>IFERROR(__xludf.DUMMYFUNCTION("IFERROR(GOOGLEFINANCE(A491,""NAME""),)"),"Global Vectra Helicorp Limited")</f>
        <v>Global Vectra Helicorp Limited</v>
      </c>
      <c r="C491" s="64">
        <f>IFERROR(__xludf.DUMMYFUNCTION("IFERROR(GOOGLEFINANCE(A491,""CHANGE""),)"),-2.75)</f>
        <v>-2.75</v>
      </c>
      <c r="D491" s="64">
        <f>IFERROR(__xludf.DUMMYFUNCTION("IFERROR(GOOGLEFINANCE(A491,""CHANGEPCT""),)"),-1.75)</f>
        <v>-1.75</v>
      </c>
      <c r="E491" s="64" t="str">
        <f t="shared" si="1"/>
        <v>-1.75%</v>
      </c>
      <c r="F491" s="64" t="str">
        <f t="shared" si="2"/>
        <v/>
      </c>
      <c r="G491" s="64">
        <f t="shared" si="3"/>
        <v>-1.75</v>
      </c>
      <c r="H491" s="64">
        <f>IFERROR(__xludf.DUMMYFUNCTION("IFERROR(GOOGLEFINANCE(A491,""PRICE""),)"),153.99)</f>
        <v>153.99</v>
      </c>
      <c r="I491" s="65">
        <f>IFERROR(__xludf.DUMMYFUNCTION("IFERROR(GOOGLEFINANCE(A491,""VOLUME""),)"),6984.0)</f>
        <v>6984</v>
      </c>
      <c r="J491" s="64" t="str">
        <f>IFERROR(__xludf.DUMMYFUNCTION("IFERROR(INDEX(SPLIT(A491,"":""),1,2),)"),"GLOBALVECT")</f>
        <v>GLOBALVECT</v>
      </c>
      <c r="K491" s="64" t="str">
        <f t="shared" si="4"/>
        <v/>
      </c>
      <c r="L491" s="64">
        <f t="shared" si="5"/>
        <v>315</v>
      </c>
      <c r="M491" s="64">
        <f t="shared" si="6"/>
        <v>1309</v>
      </c>
      <c r="N491" s="66">
        <f>IFERROR(__xludf.DUMMYFUNCTION("IFERROR(GOOGLEFINANCE(A491,""TRADETIME""),)"),46086.64583333333)</f>
        <v>46086.64583</v>
      </c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9" t="s">
        <v>538</v>
      </c>
      <c r="B492" s="60" t="str">
        <f>IFERROR(__xludf.DUMMYFUNCTION("IFERROR(GOOGLEFINANCE(A492,""NAME""),)"),"Ingersoll-Rand (India) Ltd")</f>
        <v>Ingersoll-Rand (India) Ltd</v>
      </c>
      <c r="C492" s="60">
        <f>IFERROR(__xludf.DUMMYFUNCTION("IFERROR(GOOGLEFINANCE(A492,""CHANGE""),)"),21.0)</f>
        <v>21</v>
      </c>
      <c r="D492" s="60">
        <f>IFERROR(__xludf.DUMMYFUNCTION("IFERROR(GOOGLEFINANCE(A492,""CHANGEPCT""),)"),0.49)</f>
        <v>0.49</v>
      </c>
      <c r="E492" s="60" t="str">
        <f t="shared" si="1"/>
        <v>0.49%</v>
      </c>
      <c r="F492" s="60">
        <f t="shared" si="2"/>
        <v>0.49</v>
      </c>
      <c r="G492" s="60" t="str">
        <f t="shared" si="3"/>
        <v/>
      </c>
      <c r="H492" s="60">
        <f>IFERROR(__xludf.DUMMYFUNCTION("IFERROR(GOOGLEFINANCE(A492,""PRICE""),)"),3813.0)</f>
        <v>3813</v>
      </c>
      <c r="I492" s="61">
        <f>IFERROR(__xludf.DUMMYFUNCTION("IFERROR(GOOGLEFINANCE(A492,""VOLUME""),)"),5865.0)</f>
        <v>5865</v>
      </c>
      <c r="J492" s="60" t="str">
        <f>IFERROR(__xludf.DUMMYFUNCTION("IFERROR(INDEX(SPLIT(A492,"":""),1,2),)"),"INGERRAND")</f>
        <v>INGERRAND</v>
      </c>
      <c r="K492" s="60">
        <f t="shared" si="4"/>
        <v>883</v>
      </c>
      <c r="L492" s="60" t="str">
        <f t="shared" si="5"/>
        <v/>
      </c>
      <c r="M492" s="60">
        <f t="shared" si="6"/>
        <v>1329</v>
      </c>
      <c r="N492" s="62">
        <f>IFERROR(__xludf.DUMMYFUNCTION("IFERROR(GOOGLEFINANCE(A492,""TRADETIME""),)"),46086.639872685184)</f>
        <v>46086.63987</v>
      </c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68" t="s">
        <v>539</v>
      </c>
      <c r="B493" s="64" t="str">
        <f>IFERROR(__xludf.DUMMYFUNCTION("IFERROR(GOOGLEFINANCE(A493,""NAME""),)"),"Globus Spirits Ltd")</f>
        <v>Globus Spirits Ltd</v>
      </c>
      <c r="C493" s="64">
        <f>IFERROR(__xludf.DUMMYFUNCTION("IFERROR(GOOGLEFINANCE(A493,""CHANGE""),)"),7.35)</f>
        <v>7.35</v>
      </c>
      <c r="D493" s="64">
        <f>IFERROR(__xludf.DUMMYFUNCTION("IFERROR(GOOGLEFINANCE(A493,""CHANGEPCT""),)"),0.88)</f>
        <v>0.88</v>
      </c>
      <c r="E493" s="64" t="str">
        <f t="shared" si="1"/>
        <v>0.88%</v>
      </c>
      <c r="F493" s="64">
        <f t="shared" si="2"/>
        <v>0.88</v>
      </c>
      <c r="G493" s="64" t="str">
        <f t="shared" si="3"/>
        <v/>
      </c>
      <c r="H493" s="64">
        <f>IFERROR(__xludf.DUMMYFUNCTION("IFERROR(GOOGLEFINANCE(A493,""PRICE""),)"),844.0)</f>
        <v>844</v>
      </c>
      <c r="I493" s="65">
        <f>IFERROR(__xludf.DUMMYFUNCTION("IFERROR(GOOGLEFINANCE(A493,""VOLUME""),)"),58905.0)</f>
        <v>58905</v>
      </c>
      <c r="J493" s="64" t="str">
        <f>IFERROR(__xludf.DUMMYFUNCTION("IFERROR(INDEX(SPLIT(A493,"":""),1,2),)"),"GLOBUSSPR")</f>
        <v>GLOBUSSPR</v>
      </c>
      <c r="K493" s="64">
        <f t="shared" si="4"/>
        <v>760</v>
      </c>
      <c r="L493" s="64" t="str">
        <f t="shared" si="5"/>
        <v/>
      </c>
      <c r="M493" s="64">
        <f t="shared" si="6"/>
        <v>886</v>
      </c>
      <c r="N493" s="66">
        <f>IFERROR(__xludf.DUMMYFUNCTION("IFERROR(GOOGLEFINANCE(A493,""TRADETIME""),)"),46086.64583333333)</f>
        <v>46086.64583</v>
      </c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67" t="s">
        <v>540</v>
      </c>
      <c r="B494" s="60" t="str">
        <f>IFERROR(__xludf.DUMMYFUNCTION("IFERROR(GOOGLEFINANCE(A494,""NAME""),)"),"G M Breweries Ltd")</f>
        <v>G M Breweries Ltd</v>
      </c>
      <c r="C494" s="60">
        <f>IFERROR(__xludf.DUMMYFUNCTION("IFERROR(GOOGLEFINANCE(A494,""CHANGE""),)"),9.35)</f>
        <v>9.35</v>
      </c>
      <c r="D494" s="60">
        <f>IFERROR(__xludf.DUMMYFUNCTION("IFERROR(GOOGLEFINANCE(A494,""CHANGEPCT""),)"),0.87)</f>
        <v>0.87</v>
      </c>
      <c r="E494" s="60" t="str">
        <f t="shared" si="1"/>
        <v>0.87%</v>
      </c>
      <c r="F494" s="60">
        <f t="shared" si="2"/>
        <v>0.87</v>
      </c>
      <c r="G494" s="60" t="str">
        <f t="shared" si="3"/>
        <v/>
      </c>
      <c r="H494" s="60">
        <f>IFERROR(__xludf.DUMMYFUNCTION("IFERROR(GOOGLEFINANCE(A494,""PRICE""),)"),965.0)</f>
        <v>965</v>
      </c>
      <c r="I494" s="61">
        <f>IFERROR(__xludf.DUMMYFUNCTION("IFERROR(GOOGLEFINANCE(A494,""VOLUME""),)"),54649.0)</f>
        <v>54649</v>
      </c>
      <c r="J494" s="60" t="str">
        <f>IFERROR(__xludf.DUMMYFUNCTION("IFERROR(INDEX(SPLIT(A494,"":""),1,2),)"),"GMBREW")</f>
        <v>GMBREW</v>
      </c>
      <c r="K494" s="60">
        <f t="shared" si="4"/>
        <v>761</v>
      </c>
      <c r="L494" s="60" t="str">
        <f t="shared" si="5"/>
        <v/>
      </c>
      <c r="M494" s="60">
        <f t="shared" si="6"/>
        <v>909</v>
      </c>
      <c r="N494" s="62">
        <f>IFERROR(__xludf.DUMMYFUNCTION("IFERROR(GOOGLEFINANCE(A494,""TRADETIME""),)"),46086.64260416667)</f>
        <v>46086.6426</v>
      </c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68" t="s">
        <v>541</v>
      </c>
      <c r="B495" s="64" t="str">
        <f>IFERROR(__xludf.DUMMYFUNCTION("IFERROR(GOOGLEFINANCE(A495,""NAME""),)"),"Gujarat Mineral Development Corpn Ltd")</f>
        <v>Gujarat Mineral Development Corpn Ltd</v>
      </c>
      <c r="C495" s="64">
        <f>IFERROR(__xludf.DUMMYFUNCTION("IFERROR(GOOGLEFINANCE(A495,""CHANGE""),)"),15.15)</f>
        <v>15.15</v>
      </c>
      <c r="D495" s="64">
        <f>IFERROR(__xludf.DUMMYFUNCTION("IFERROR(GOOGLEFINANCE(A495,""CHANGEPCT""),)"),2.86)</f>
        <v>2.86</v>
      </c>
      <c r="E495" s="64" t="str">
        <f t="shared" si="1"/>
        <v>2.86%</v>
      </c>
      <c r="F495" s="64">
        <f t="shared" si="2"/>
        <v>2.86</v>
      </c>
      <c r="G495" s="64" t="str">
        <f t="shared" si="3"/>
        <v/>
      </c>
      <c r="H495" s="64">
        <f>IFERROR(__xludf.DUMMYFUNCTION("IFERROR(GOOGLEFINANCE(A495,""PRICE""),)"),545.6)</f>
        <v>545.6</v>
      </c>
      <c r="I495" s="65">
        <f>IFERROR(__xludf.DUMMYFUNCTION("IFERROR(GOOGLEFINANCE(A495,""VOLUME""),)"),2864716.0)</f>
        <v>2864716</v>
      </c>
      <c r="J495" s="64" t="str">
        <f>IFERROR(__xludf.DUMMYFUNCTION("IFERROR(INDEX(SPLIT(A495,"":""),1,2),)"),"GMDCLTD")</f>
        <v>GMDCLTD</v>
      </c>
      <c r="K495" s="64">
        <f t="shared" si="4"/>
        <v>280</v>
      </c>
      <c r="L495" s="64" t="str">
        <f t="shared" si="5"/>
        <v/>
      </c>
      <c r="M495" s="64">
        <f t="shared" si="6"/>
        <v>155</v>
      </c>
      <c r="N495" s="66">
        <f>IFERROR(__xludf.DUMMYFUNCTION("IFERROR(GOOGLEFINANCE(A495,""TRADETIME""),)"),46086.64584490741)</f>
        <v>46086.64584</v>
      </c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67" t="s">
        <v>542</v>
      </c>
      <c r="B496" s="60" t="str">
        <f>IFERROR(__xludf.DUMMYFUNCTION("IFERROR(GOOGLEFINANCE(A496,""NAME""),)"),"Gmm Pfaudler Ltd")</f>
        <v>Gmm Pfaudler Ltd</v>
      </c>
      <c r="C496" s="60">
        <f>IFERROR(__xludf.DUMMYFUNCTION("IFERROR(GOOGLEFINANCE(A496,""CHANGE""),)"),-12.95)</f>
        <v>-12.95</v>
      </c>
      <c r="D496" s="60">
        <f>IFERROR(__xludf.DUMMYFUNCTION("IFERROR(GOOGLEFINANCE(A496,""CHANGEPCT""),)"),-1.45)</f>
        <v>-1.45</v>
      </c>
      <c r="E496" s="60" t="str">
        <f t="shared" si="1"/>
        <v>-1.45%</v>
      </c>
      <c r="F496" s="60" t="str">
        <f t="shared" si="2"/>
        <v/>
      </c>
      <c r="G496" s="60">
        <f t="shared" si="3"/>
        <v>-1.45</v>
      </c>
      <c r="H496" s="60">
        <f>IFERROR(__xludf.DUMMYFUNCTION("IFERROR(GOOGLEFINANCE(A496,""PRICE""),)"),880.25)</f>
        <v>880.25</v>
      </c>
      <c r="I496" s="61">
        <f>IFERROR(__xludf.DUMMYFUNCTION("IFERROR(GOOGLEFINANCE(A496,""VOLUME""),)"),95564.0)</f>
        <v>95564</v>
      </c>
      <c r="J496" s="60" t="str">
        <f>IFERROR(__xludf.DUMMYFUNCTION("IFERROR(INDEX(SPLIT(A496,"":""),1,2),)"),"GMMPFAUDLR")</f>
        <v>GMMPFAUDLR</v>
      </c>
      <c r="K496" s="60" t="str">
        <f t="shared" si="4"/>
        <v/>
      </c>
      <c r="L496" s="60">
        <f t="shared" si="5"/>
        <v>284</v>
      </c>
      <c r="M496" s="60">
        <f t="shared" si="6"/>
        <v>766</v>
      </c>
      <c r="N496" s="62">
        <f>IFERROR(__xludf.DUMMYFUNCTION("IFERROR(GOOGLEFINANCE(A496,""TRADETIME""),)"),46086.64583333333)</f>
        <v>46086.64583</v>
      </c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68" t="s">
        <v>543</v>
      </c>
      <c r="B497" s="64" t="str">
        <f>IFERROR(__xludf.DUMMYFUNCTION("IFERROR(GOOGLEFINANCE(A497,""NAME""),)"),"")</f>
        <v/>
      </c>
      <c r="C497" s="64" t="str">
        <f>IFERROR(__xludf.DUMMYFUNCTION("IFERROR(GOOGLEFINANCE(A497,""CHANGE""),)"),"")</f>
        <v/>
      </c>
      <c r="D497" s="64" t="str">
        <f>IFERROR(__xludf.DUMMYFUNCTION("IFERROR(GOOGLEFINANCE(A497,""CHANGEPCT""),)"),"")</f>
        <v/>
      </c>
      <c r="E497" s="64" t="str">
        <f t="shared" si="1"/>
        <v>%</v>
      </c>
      <c r="F497" s="64" t="str">
        <f t="shared" si="2"/>
        <v/>
      </c>
      <c r="G497" s="64" t="str">
        <f t="shared" si="3"/>
        <v/>
      </c>
      <c r="H497" s="64" t="str">
        <f>IFERROR(__xludf.DUMMYFUNCTION("IFERROR(GOOGLEFINANCE(A497,""PRICE""),)"),"")</f>
        <v/>
      </c>
      <c r="I497" s="65" t="str">
        <f>IFERROR(__xludf.DUMMYFUNCTION("IFERROR(GOOGLEFINANCE(A497,""VOLUME""),)"),"")</f>
        <v/>
      </c>
      <c r="J497" s="64" t="str">
        <f>IFERROR(__xludf.DUMMYFUNCTION("IFERROR(INDEX(SPLIT(A497,"":""),1,2),)"),"GMRINFRA")</f>
        <v>GMRINFRA</v>
      </c>
      <c r="K497" s="64" t="str">
        <f t="shared" si="4"/>
        <v/>
      </c>
      <c r="L497" s="64" t="str">
        <f t="shared" si="5"/>
        <v/>
      </c>
      <c r="M497" s="64" t="str">
        <f t="shared" si="6"/>
        <v/>
      </c>
      <c r="N497" s="66" t="str">
        <f>IFERROR(__xludf.DUMMYFUNCTION("IFERROR(GOOGLEFINANCE(A497,""TRADETIME""),)"),"")</f>
        <v/>
      </c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67" t="s">
        <v>544</v>
      </c>
      <c r="B498" s="60" t="str">
        <f>IFERROR(__xludf.DUMMYFUNCTION("IFERROR(GOOGLEFINANCE(A498,""NAME""),)"),"GNA Axles Ltd")</f>
        <v>GNA Axles Ltd</v>
      </c>
      <c r="C498" s="60">
        <f>IFERROR(__xludf.DUMMYFUNCTION("IFERROR(GOOGLEFINANCE(A498,""CHANGE""),)"),14.2)</f>
        <v>14.2</v>
      </c>
      <c r="D498" s="60">
        <f>IFERROR(__xludf.DUMMYFUNCTION("IFERROR(GOOGLEFINANCE(A498,""CHANGEPCT""),)"),3.44)</f>
        <v>3.44</v>
      </c>
      <c r="E498" s="60" t="str">
        <f t="shared" si="1"/>
        <v>3.44%</v>
      </c>
      <c r="F498" s="60">
        <f t="shared" si="2"/>
        <v>3.44</v>
      </c>
      <c r="G498" s="60" t="str">
        <f t="shared" si="3"/>
        <v/>
      </c>
      <c r="H498" s="60">
        <f>IFERROR(__xludf.DUMMYFUNCTION("IFERROR(GOOGLEFINANCE(A498,""PRICE""),)"),427.0)</f>
        <v>427</v>
      </c>
      <c r="I498" s="61">
        <f>IFERROR(__xludf.DUMMYFUNCTION("IFERROR(GOOGLEFINANCE(A498,""VOLUME""),)"),272180.0)</f>
        <v>272180</v>
      </c>
      <c r="J498" s="60" t="str">
        <f>IFERROR(__xludf.DUMMYFUNCTION("IFERROR(INDEX(SPLIT(A498,"":""),1,2),)"),"GNA")</f>
        <v>GNA</v>
      </c>
      <c r="K498" s="60">
        <f t="shared" si="4"/>
        <v>200</v>
      </c>
      <c r="L498" s="60" t="str">
        <f t="shared" si="5"/>
        <v/>
      </c>
      <c r="M498" s="60">
        <f t="shared" si="6"/>
        <v>533</v>
      </c>
      <c r="N498" s="62">
        <f>IFERROR(__xludf.DUMMYFUNCTION("IFERROR(GOOGLEFINANCE(A498,""TRADETIME""),)"),46086.64583333333)</f>
        <v>46086.64583</v>
      </c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68" t="s">
        <v>545</v>
      </c>
      <c r="B499" s="64" t="str">
        <f>IFERROR(__xludf.DUMMYFUNCTION("IFERROR(GOOGLEFINANCE(A499,""NAME""),)"),"Gujarat Narmada Vly Frtlzrs &amp; Chmcl Ltd")</f>
        <v>Gujarat Narmada Vly Frtlzrs &amp; Chmcl Ltd</v>
      </c>
      <c r="C499" s="64">
        <f>IFERROR(__xludf.DUMMYFUNCTION("IFERROR(GOOGLEFINANCE(A499,""CHANGE""),)"),4.05)</f>
        <v>4.05</v>
      </c>
      <c r="D499" s="64">
        <f>IFERROR(__xludf.DUMMYFUNCTION("IFERROR(GOOGLEFINANCE(A499,""CHANGEPCT""),)"),0.94)</f>
        <v>0.94</v>
      </c>
      <c r="E499" s="64" t="str">
        <f t="shared" si="1"/>
        <v>0.94%</v>
      </c>
      <c r="F499" s="64">
        <f t="shared" si="2"/>
        <v>0.94</v>
      </c>
      <c r="G499" s="64" t="str">
        <f t="shared" si="3"/>
        <v/>
      </c>
      <c r="H499" s="64">
        <f>IFERROR(__xludf.DUMMYFUNCTION("IFERROR(GOOGLEFINANCE(A499,""PRICE""),)"),433.0)</f>
        <v>433</v>
      </c>
      <c r="I499" s="65">
        <f>IFERROR(__xludf.DUMMYFUNCTION("IFERROR(GOOGLEFINANCE(A499,""VOLUME""),)"),241761.0)</f>
        <v>241761</v>
      </c>
      <c r="J499" s="64" t="str">
        <f>IFERROR(__xludf.DUMMYFUNCTION("IFERROR(INDEX(SPLIT(A499,"":""),1,2),)"),"GNFC")</f>
        <v>GNFC</v>
      </c>
      <c r="K499" s="64">
        <f t="shared" si="4"/>
        <v>739</v>
      </c>
      <c r="L499" s="64" t="str">
        <f t="shared" si="5"/>
        <v/>
      </c>
      <c r="M499" s="64">
        <f t="shared" si="6"/>
        <v>562</v>
      </c>
      <c r="N499" s="66">
        <f>IFERROR(__xludf.DUMMYFUNCTION("IFERROR(GOOGLEFINANCE(A499,""TRADETIME""),)"),46086.64584490741)</f>
        <v>46086.64584</v>
      </c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67" t="s">
        <v>546</v>
      </c>
      <c r="B500" s="60" t="str">
        <f>IFERROR(__xludf.DUMMYFUNCTION("IFERROR(GOOGLEFINANCE(A500,""NAME""),)"),"Goa Carbon Ltd")</f>
        <v>Goa Carbon Ltd</v>
      </c>
      <c r="C500" s="60">
        <f>IFERROR(__xludf.DUMMYFUNCTION("IFERROR(GOOGLEFINANCE(A500,""CHANGE""),)"),7.1)</f>
        <v>7.1</v>
      </c>
      <c r="D500" s="60">
        <f>IFERROR(__xludf.DUMMYFUNCTION("IFERROR(GOOGLEFINANCE(A500,""CHANGEPCT""),)"),2.11)</f>
        <v>2.11</v>
      </c>
      <c r="E500" s="60" t="str">
        <f t="shared" si="1"/>
        <v>2.11%</v>
      </c>
      <c r="F500" s="60">
        <f t="shared" si="2"/>
        <v>2.11</v>
      </c>
      <c r="G500" s="60" t="str">
        <f t="shared" si="3"/>
        <v/>
      </c>
      <c r="H500" s="60">
        <f>IFERROR(__xludf.DUMMYFUNCTION("IFERROR(GOOGLEFINANCE(A500,""PRICE""),)"),343.5)</f>
        <v>343.5</v>
      </c>
      <c r="I500" s="61">
        <f>IFERROR(__xludf.DUMMYFUNCTION("IFERROR(GOOGLEFINANCE(A500,""VOLUME""),)"),19591.0)</f>
        <v>19591</v>
      </c>
      <c r="J500" s="60" t="str">
        <f>IFERROR(__xludf.DUMMYFUNCTION("IFERROR(INDEX(SPLIT(A500,"":""),1,2),)"),"GOACARBON")</f>
        <v>GOACARBON</v>
      </c>
      <c r="K500" s="60">
        <f t="shared" si="4"/>
        <v>414</v>
      </c>
      <c r="L500" s="60" t="str">
        <f t="shared" si="5"/>
        <v/>
      </c>
      <c r="M500" s="60">
        <f t="shared" si="6"/>
        <v>1144</v>
      </c>
      <c r="N500" s="62">
        <f>IFERROR(__xludf.DUMMYFUNCTION("IFERROR(GOOGLEFINANCE(A500,""TRADETIME""),)"),46086.64585648148)</f>
        <v>46086.64586</v>
      </c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68" t="s">
        <v>547</v>
      </c>
      <c r="B501" s="64" t="str">
        <f>IFERROR(__xludf.DUMMYFUNCTION("IFERROR(GOOGLEFINANCE(A501,""NAME""),)"),"Gocl Corporation Ltd")</f>
        <v>Gocl Corporation Ltd</v>
      </c>
      <c r="C501" s="64">
        <f>IFERROR(__xludf.DUMMYFUNCTION("IFERROR(GOOGLEFINANCE(A501,""CHANGE""),)"),4.45)</f>
        <v>4.45</v>
      </c>
      <c r="D501" s="64">
        <f>IFERROR(__xludf.DUMMYFUNCTION("IFERROR(GOOGLEFINANCE(A501,""CHANGEPCT""),)"),1.81)</f>
        <v>1.81</v>
      </c>
      <c r="E501" s="64" t="str">
        <f t="shared" si="1"/>
        <v>1.81%</v>
      </c>
      <c r="F501" s="64">
        <f t="shared" si="2"/>
        <v>1.81</v>
      </c>
      <c r="G501" s="64" t="str">
        <f t="shared" si="3"/>
        <v/>
      </c>
      <c r="H501" s="64">
        <f>IFERROR(__xludf.DUMMYFUNCTION("IFERROR(GOOGLEFINANCE(A501,""PRICE""),)"),250.0)</f>
        <v>250</v>
      </c>
      <c r="I501" s="65">
        <f>IFERROR(__xludf.DUMMYFUNCTION("IFERROR(GOOGLEFINANCE(A501,""VOLUME""),)"),34479.0)</f>
        <v>34479</v>
      </c>
      <c r="J501" s="64" t="str">
        <f>IFERROR(__xludf.DUMMYFUNCTION("IFERROR(INDEX(SPLIT(A501,"":""),1,2),)"),"GOCLCORP")</f>
        <v>GOCLCORP</v>
      </c>
      <c r="K501" s="64">
        <f t="shared" si="4"/>
        <v>495</v>
      </c>
      <c r="L501" s="64" t="str">
        <f t="shared" si="5"/>
        <v/>
      </c>
      <c r="M501" s="64">
        <f t="shared" si="6"/>
        <v>1024</v>
      </c>
      <c r="N501" s="66">
        <f>IFERROR(__xludf.DUMMYFUNCTION("IFERROR(GOOGLEFINANCE(A501,""TRADETIME""),)"),46086.64583333333)</f>
        <v>46086.64583</v>
      </c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67" t="s">
        <v>548</v>
      </c>
      <c r="B502" s="60" t="str">
        <f>IFERROR(__xludf.DUMMYFUNCTION("IFERROR(GOOGLEFINANCE(A502,""NAME""),)"),"Godfrey Phillips India Ltd")</f>
        <v>Godfrey Phillips India Ltd</v>
      </c>
      <c r="C502" s="60">
        <f>IFERROR(__xludf.DUMMYFUNCTION("IFERROR(GOOGLEFINANCE(A502,""CHANGE""),)"),48.4)</f>
        <v>48.4</v>
      </c>
      <c r="D502" s="60">
        <f>IFERROR(__xludf.DUMMYFUNCTION("IFERROR(GOOGLEFINANCE(A502,""CHANGEPCT""),)"),2.42)</f>
        <v>2.42</v>
      </c>
      <c r="E502" s="60" t="str">
        <f t="shared" si="1"/>
        <v>2.42%</v>
      </c>
      <c r="F502" s="60">
        <f t="shared" si="2"/>
        <v>2.42</v>
      </c>
      <c r="G502" s="60" t="str">
        <f t="shared" si="3"/>
        <v/>
      </c>
      <c r="H502" s="60">
        <f>IFERROR(__xludf.DUMMYFUNCTION("IFERROR(GOOGLEFINANCE(A502,""PRICE""),)"),2045.0)</f>
        <v>2045</v>
      </c>
      <c r="I502" s="61">
        <f>IFERROR(__xludf.DUMMYFUNCTION("IFERROR(GOOGLEFINANCE(A502,""VOLUME""),)"),454858.0)</f>
        <v>454858</v>
      </c>
      <c r="J502" s="60" t="str">
        <f>IFERROR(__xludf.DUMMYFUNCTION("IFERROR(INDEX(SPLIT(A502,"":""),1,2),)"),"GODFRYPHLP")</f>
        <v>GODFRYPHLP</v>
      </c>
      <c r="K502" s="60">
        <f t="shared" si="4"/>
        <v>351</v>
      </c>
      <c r="L502" s="60" t="str">
        <f t="shared" si="5"/>
        <v/>
      </c>
      <c r="M502" s="60">
        <f t="shared" si="6"/>
        <v>414</v>
      </c>
      <c r="N502" s="62">
        <f>IFERROR(__xludf.DUMMYFUNCTION("IFERROR(GOOGLEFINANCE(A502,""TRADETIME""),)"),46086.64584490741)</f>
        <v>46086.64584</v>
      </c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68" t="s">
        <v>549</v>
      </c>
      <c r="B503" s="64" t="str">
        <f>IFERROR(__xludf.DUMMYFUNCTION("IFERROR(GOOGLEFINANCE(A503,""NAME""),)"),"")</f>
        <v/>
      </c>
      <c r="C503" s="64" t="str">
        <f>IFERROR(__xludf.DUMMYFUNCTION("IFERROR(GOOGLEFINANCE(A503,""CHANGE""),)"),"")</f>
        <v/>
      </c>
      <c r="D503" s="64" t="str">
        <f>IFERROR(__xludf.DUMMYFUNCTION("IFERROR(GOOGLEFINANCE(A503,""CHANGEPCT""),)"),"")</f>
        <v/>
      </c>
      <c r="E503" s="64" t="str">
        <f t="shared" si="1"/>
        <v>%</v>
      </c>
      <c r="F503" s="64" t="str">
        <f t="shared" si="2"/>
        <v/>
      </c>
      <c r="G503" s="64" t="str">
        <f t="shared" si="3"/>
        <v/>
      </c>
      <c r="H503" s="64" t="str">
        <f>IFERROR(__xludf.DUMMYFUNCTION("IFERROR(GOOGLEFINANCE(A503,""PRICE""),)"),"")</f>
        <v/>
      </c>
      <c r="I503" s="65" t="str">
        <f>IFERROR(__xludf.DUMMYFUNCTION("IFERROR(GOOGLEFINANCE(A503,""VOLUME""),)"),"")</f>
        <v/>
      </c>
      <c r="J503" s="64" t="str">
        <f>IFERROR(__xludf.DUMMYFUNCTION("IFERROR(INDEX(SPLIT(A503,"":""),1,2),)"),"GODHA")</f>
        <v>GODHA</v>
      </c>
      <c r="K503" s="64" t="str">
        <f t="shared" si="4"/>
        <v/>
      </c>
      <c r="L503" s="64" t="str">
        <f t="shared" si="5"/>
        <v/>
      </c>
      <c r="M503" s="64" t="str">
        <f t="shared" si="6"/>
        <v/>
      </c>
      <c r="N503" s="66" t="str">
        <f>IFERROR(__xludf.DUMMYFUNCTION("IFERROR(GOOGLEFINANCE(A503,""TRADETIME""),)"),"")</f>
        <v/>
      </c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67" t="s">
        <v>550</v>
      </c>
      <c r="B504" s="60" t="str">
        <f>IFERROR(__xludf.DUMMYFUNCTION("IFERROR(GOOGLEFINANCE(A504,""NAME""),)"),"Godrej Agrovet Ltd")</f>
        <v>Godrej Agrovet Ltd</v>
      </c>
      <c r="C504" s="60">
        <f>IFERROR(__xludf.DUMMYFUNCTION("IFERROR(GOOGLEFINANCE(A504,""CHANGE""),)"),7.4)</f>
        <v>7.4</v>
      </c>
      <c r="D504" s="60">
        <f>IFERROR(__xludf.DUMMYFUNCTION("IFERROR(GOOGLEFINANCE(A504,""CHANGEPCT""),)"),0.53)</f>
        <v>0.53</v>
      </c>
      <c r="E504" s="60" t="str">
        <f t="shared" si="1"/>
        <v>0.53%</v>
      </c>
      <c r="F504" s="60">
        <f t="shared" si="2"/>
        <v>0.53</v>
      </c>
      <c r="G504" s="60" t="str">
        <f t="shared" si="3"/>
        <v/>
      </c>
      <c r="H504" s="60">
        <f>IFERROR(__xludf.DUMMYFUNCTION("IFERROR(GOOGLEFINANCE(A504,""PRICE""),)"),603.15)</f>
        <v>603.15</v>
      </c>
      <c r="I504" s="61">
        <f>IFERROR(__xludf.DUMMYFUNCTION("IFERROR(GOOGLEFINANCE(A504,""VOLUME""),)"),110239.0)</f>
        <v>110239</v>
      </c>
      <c r="J504" s="60" t="str">
        <f>IFERROR(__xludf.DUMMYFUNCTION("IFERROR(INDEX(SPLIT(A504,"":""),1,2),)"),"GODREJAGRO")</f>
        <v>GODREJAGRO</v>
      </c>
      <c r="K504" s="60">
        <f t="shared" si="4"/>
        <v>869</v>
      </c>
      <c r="L504" s="60" t="str">
        <f t="shared" si="5"/>
        <v/>
      </c>
      <c r="M504" s="60">
        <f t="shared" si="6"/>
        <v>741</v>
      </c>
      <c r="N504" s="62">
        <f>IFERROR(__xludf.DUMMYFUNCTION("IFERROR(GOOGLEFINANCE(A504,""TRADETIME""),)"),46086.64585648148)</f>
        <v>46086.64586</v>
      </c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68" t="s">
        <v>551</v>
      </c>
      <c r="B505" s="64" t="str">
        <f>IFERROR(__xludf.DUMMYFUNCTION("IFERROR(GOOGLEFINANCE(A505,""NAME""),)"),"Godrej Consumer Products Limited")</f>
        <v>Godrej Consumer Products Limited</v>
      </c>
      <c r="C505" s="64">
        <f>IFERROR(__xludf.DUMMYFUNCTION("IFERROR(GOOGLEFINANCE(A505,""CHANGE""),)"),-2.6)</f>
        <v>-2.6</v>
      </c>
      <c r="D505" s="64">
        <f>IFERROR(__xludf.DUMMYFUNCTION("IFERROR(GOOGLEFINANCE(A505,""CHANGEPCT""),)"),-0.23)</f>
        <v>-0.23</v>
      </c>
      <c r="E505" s="64" t="str">
        <f t="shared" si="1"/>
        <v>-0.23%</v>
      </c>
      <c r="F505" s="64" t="str">
        <f t="shared" si="2"/>
        <v/>
      </c>
      <c r="G505" s="64">
        <f t="shared" si="3"/>
        <v>-0.23</v>
      </c>
      <c r="H505" s="64">
        <f>IFERROR(__xludf.DUMMYFUNCTION("IFERROR(GOOGLEFINANCE(A505,""PRICE""),)"),1134.9)</f>
        <v>1134.9</v>
      </c>
      <c r="I505" s="65">
        <f>IFERROR(__xludf.DUMMYFUNCTION("IFERROR(GOOGLEFINANCE(A505,""VOLUME""),)"),1925967.0)</f>
        <v>1925967</v>
      </c>
      <c r="J505" s="64" t="str">
        <f>IFERROR(__xludf.DUMMYFUNCTION("IFERROR(INDEX(SPLIT(A505,"":""),1,2),)"),"GODREJCP")</f>
        <v>GODREJCP</v>
      </c>
      <c r="K505" s="64" t="str">
        <f t="shared" si="4"/>
        <v/>
      </c>
      <c r="L505" s="64">
        <f t="shared" si="5"/>
        <v>60</v>
      </c>
      <c r="M505" s="64">
        <f t="shared" si="6"/>
        <v>211</v>
      </c>
      <c r="N505" s="66">
        <f>IFERROR(__xludf.DUMMYFUNCTION("IFERROR(GOOGLEFINANCE(A505,""TRADETIME""),)"),46086.64100694444)</f>
        <v>46086.64101</v>
      </c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67" t="s">
        <v>552</v>
      </c>
      <c r="B506" s="60" t="str">
        <f>IFERROR(__xludf.DUMMYFUNCTION("IFERROR(GOOGLEFINANCE(A506,""NAME""),)"),"Godrej Industries Ltd")</f>
        <v>Godrej Industries Ltd</v>
      </c>
      <c r="C506" s="60">
        <f>IFERROR(__xludf.DUMMYFUNCTION("IFERROR(GOOGLEFINANCE(A506,""CHANGE""),)"),-5.25)</f>
        <v>-5.25</v>
      </c>
      <c r="D506" s="60">
        <f>IFERROR(__xludf.DUMMYFUNCTION("IFERROR(GOOGLEFINANCE(A506,""CHANGEPCT""),)"),-0.56)</f>
        <v>-0.56</v>
      </c>
      <c r="E506" s="60" t="str">
        <f t="shared" si="1"/>
        <v>-0.56%</v>
      </c>
      <c r="F506" s="60" t="str">
        <f t="shared" si="2"/>
        <v/>
      </c>
      <c r="G506" s="60">
        <f t="shared" si="3"/>
        <v>-0.56</v>
      </c>
      <c r="H506" s="60">
        <f>IFERROR(__xludf.DUMMYFUNCTION("IFERROR(GOOGLEFINANCE(A506,""PRICE""),)"),933.0)</f>
        <v>933</v>
      </c>
      <c r="I506" s="61">
        <f>IFERROR(__xludf.DUMMYFUNCTION("IFERROR(GOOGLEFINANCE(A506,""VOLUME""),)"),44305.0)</f>
        <v>44305</v>
      </c>
      <c r="J506" s="60" t="str">
        <f>IFERROR(__xludf.DUMMYFUNCTION("IFERROR(INDEX(SPLIT(A506,"":""),1,2),)"),"GODREJIND")</f>
        <v>GODREJIND</v>
      </c>
      <c r="K506" s="60" t="str">
        <f t="shared" si="4"/>
        <v/>
      </c>
      <c r="L506" s="60">
        <f t="shared" si="5"/>
        <v>130</v>
      </c>
      <c r="M506" s="60">
        <f t="shared" si="6"/>
        <v>970</v>
      </c>
      <c r="N506" s="62">
        <f>IFERROR(__xludf.DUMMYFUNCTION("IFERROR(GOOGLEFINANCE(A506,""TRADETIME""),)"),46086.64583333333)</f>
        <v>46086.64583</v>
      </c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68" t="s">
        <v>553</v>
      </c>
      <c r="B507" s="64" t="str">
        <f>IFERROR(__xludf.DUMMYFUNCTION("IFERROR(GOOGLEFINANCE(A507,""NAME""),)"),"Godrej Properties Ltd")</f>
        <v>Godrej Properties Ltd</v>
      </c>
      <c r="C507" s="64">
        <f>IFERROR(__xludf.DUMMYFUNCTION("IFERROR(GOOGLEFINANCE(A507,""CHANGE""),)"),56.3)</f>
        <v>56.3</v>
      </c>
      <c r="D507" s="64">
        <f>IFERROR(__xludf.DUMMYFUNCTION("IFERROR(GOOGLEFINANCE(A507,""CHANGEPCT""),)"),3.32)</f>
        <v>3.32</v>
      </c>
      <c r="E507" s="64" t="str">
        <f t="shared" si="1"/>
        <v>3.32%</v>
      </c>
      <c r="F507" s="64">
        <f t="shared" si="2"/>
        <v>3.32</v>
      </c>
      <c r="G507" s="64" t="str">
        <f t="shared" si="3"/>
        <v/>
      </c>
      <c r="H507" s="64">
        <f>IFERROR(__xludf.DUMMYFUNCTION("IFERROR(GOOGLEFINANCE(A507,""PRICE""),)"),1750.0)</f>
        <v>1750</v>
      </c>
      <c r="I507" s="65">
        <f>IFERROR(__xludf.DUMMYFUNCTION("IFERROR(GOOGLEFINANCE(A507,""VOLUME""),)"),1661154.0)</f>
        <v>1661154</v>
      </c>
      <c r="J507" s="64" t="str">
        <f>IFERROR(__xludf.DUMMYFUNCTION("IFERROR(INDEX(SPLIT(A507,"":""),1,2),)"),"GODREJPROP")</f>
        <v>GODREJPROP</v>
      </c>
      <c r="K507" s="64">
        <f t="shared" si="4"/>
        <v>210</v>
      </c>
      <c r="L507" s="64" t="str">
        <f t="shared" si="5"/>
        <v/>
      </c>
      <c r="M507" s="64">
        <f t="shared" si="6"/>
        <v>229</v>
      </c>
      <c r="N507" s="66">
        <f>IFERROR(__xludf.DUMMYFUNCTION("IFERROR(GOOGLEFINANCE(A507,""TRADETIME""),)"),46086.64344907408)</f>
        <v>46086.64345</v>
      </c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67" t="s">
        <v>554</v>
      </c>
      <c r="B508" s="60" t="str">
        <f>IFERROR(__xludf.DUMMYFUNCTION("IFERROR(GOOGLEFINANCE(A508,""NAME""),)"),"")</f>
        <v/>
      </c>
      <c r="C508" s="60" t="str">
        <f>IFERROR(__xludf.DUMMYFUNCTION("IFERROR(GOOGLEFINANCE(A508,""CHANGE""),)"),"")</f>
        <v/>
      </c>
      <c r="D508" s="60" t="str">
        <f>IFERROR(__xludf.DUMMYFUNCTION("IFERROR(GOOGLEFINANCE(A508,""CHANGEPCT""),)"),"")</f>
        <v/>
      </c>
      <c r="E508" s="60" t="str">
        <f t="shared" si="1"/>
        <v>%</v>
      </c>
      <c r="F508" s="60" t="str">
        <f t="shared" si="2"/>
        <v/>
      </c>
      <c r="G508" s="60" t="str">
        <f t="shared" si="3"/>
        <v/>
      </c>
      <c r="H508" s="60" t="str">
        <f>IFERROR(__xludf.DUMMYFUNCTION("IFERROR(GOOGLEFINANCE(A508,""PRICE""),)"),"")</f>
        <v/>
      </c>
      <c r="I508" s="61" t="str">
        <f>IFERROR(__xludf.DUMMYFUNCTION("IFERROR(GOOGLEFINANCE(A508,""VOLUME""),)"),"")</f>
        <v/>
      </c>
      <c r="J508" s="60" t="str">
        <f>IFERROR(__xludf.DUMMYFUNCTION("IFERROR(INDEX(SPLIT(A508,"":""),1,2),)"),"GOENKA")</f>
        <v>GOENKA</v>
      </c>
      <c r="K508" s="60" t="str">
        <f t="shared" si="4"/>
        <v/>
      </c>
      <c r="L508" s="60" t="str">
        <f t="shared" si="5"/>
        <v/>
      </c>
      <c r="M508" s="60" t="str">
        <f t="shared" si="6"/>
        <v/>
      </c>
      <c r="N508" s="62" t="str">
        <f>IFERROR(__xludf.DUMMYFUNCTION("IFERROR(GOOGLEFINANCE(A508,""TRADETIME""),)"),"")</f>
        <v/>
      </c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68" t="s">
        <v>555</v>
      </c>
      <c r="B509" s="64" t="str">
        <f>IFERROR(__xludf.DUMMYFUNCTION("IFERROR(GOOGLEFINANCE(A509,""NAME""),)"),"Gokaldas Exports Ltd")</f>
        <v>Gokaldas Exports Ltd</v>
      </c>
      <c r="C509" s="64">
        <f>IFERROR(__xludf.DUMMYFUNCTION("IFERROR(GOOGLEFINANCE(A509,""CHANGE""),)"),8.65)</f>
        <v>8.65</v>
      </c>
      <c r="D509" s="64">
        <f>IFERROR(__xludf.DUMMYFUNCTION("IFERROR(GOOGLEFINANCE(A509,""CHANGEPCT""),)"),1.4)</f>
        <v>1.4</v>
      </c>
      <c r="E509" s="64" t="str">
        <f t="shared" si="1"/>
        <v>1.4%</v>
      </c>
      <c r="F509" s="64">
        <f t="shared" si="2"/>
        <v>1.4</v>
      </c>
      <c r="G509" s="64" t="str">
        <f t="shared" si="3"/>
        <v/>
      </c>
      <c r="H509" s="64">
        <f>IFERROR(__xludf.DUMMYFUNCTION("IFERROR(GOOGLEFINANCE(A509,""PRICE""),)"),624.75)</f>
        <v>624.75</v>
      </c>
      <c r="I509" s="65">
        <f>IFERROR(__xludf.DUMMYFUNCTION("IFERROR(GOOGLEFINANCE(A509,""VOLUME""),)"),910874.0)</f>
        <v>910874</v>
      </c>
      <c r="J509" s="64" t="str">
        <f>IFERROR(__xludf.DUMMYFUNCTION("IFERROR(INDEX(SPLIT(A509,"":""),1,2),)"),"GOKEX")</f>
        <v>GOKEX</v>
      </c>
      <c r="K509" s="64">
        <f t="shared" si="4"/>
        <v>605</v>
      </c>
      <c r="L509" s="64" t="str">
        <f t="shared" si="5"/>
        <v/>
      </c>
      <c r="M509" s="64">
        <f t="shared" si="6"/>
        <v>299</v>
      </c>
      <c r="N509" s="66">
        <f>IFERROR(__xludf.DUMMYFUNCTION("IFERROR(GOOGLEFINANCE(A509,""TRADETIME""),)"),46086.64584490741)</f>
        <v>46086.64584</v>
      </c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67" t="s">
        <v>556</v>
      </c>
      <c r="B510" s="60" t="str">
        <f>IFERROR(__xludf.DUMMYFUNCTION("IFERROR(GOOGLEFINANCE(A510,""NAME""),)"),"Gokul Refoils and Solvent Ltd")</f>
        <v>Gokul Refoils and Solvent Ltd</v>
      </c>
      <c r="C510" s="60">
        <f>IFERROR(__xludf.DUMMYFUNCTION("IFERROR(GOOGLEFINANCE(A510,""CHANGE""),)"),1.6)</f>
        <v>1.6</v>
      </c>
      <c r="D510" s="60">
        <f>IFERROR(__xludf.DUMMYFUNCTION("IFERROR(GOOGLEFINANCE(A510,""CHANGEPCT""),)"),4.17)</f>
        <v>4.17</v>
      </c>
      <c r="E510" s="60" t="str">
        <f t="shared" si="1"/>
        <v>4.17%</v>
      </c>
      <c r="F510" s="60">
        <f t="shared" si="2"/>
        <v>4.17</v>
      </c>
      <c r="G510" s="60" t="str">
        <f t="shared" si="3"/>
        <v/>
      </c>
      <c r="H510" s="60">
        <f>IFERROR(__xludf.DUMMYFUNCTION("IFERROR(GOOGLEFINANCE(A510,""PRICE""),)"),40.25)</f>
        <v>40.25</v>
      </c>
      <c r="I510" s="61">
        <f>IFERROR(__xludf.DUMMYFUNCTION("IFERROR(GOOGLEFINANCE(A510,""VOLUME""),)"),47905.0)</f>
        <v>47905</v>
      </c>
      <c r="J510" s="60" t="str">
        <f>IFERROR(__xludf.DUMMYFUNCTION("IFERROR(INDEX(SPLIT(A510,"":""),1,2),)"),"GOKUL")</f>
        <v>GOKUL</v>
      </c>
      <c r="K510" s="60">
        <f t="shared" si="4"/>
        <v>133</v>
      </c>
      <c r="L510" s="60" t="str">
        <f t="shared" si="5"/>
        <v/>
      </c>
      <c r="M510" s="60">
        <f t="shared" si="6"/>
        <v>947</v>
      </c>
      <c r="N510" s="62">
        <f>IFERROR(__xludf.DUMMYFUNCTION("IFERROR(GOOGLEFINANCE(A510,""TRADETIME""),)"),46086.64583333333)</f>
        <v>46086.64583</v>
      </c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68" t="s">
        <v>557</v>
      </c>
      <c r="B511" s="64" t="str">
        <f>IFERROR(__xludf.DUMMYFUNCTION("IFERROR(GOOGLEFINANCE(A511,""NAME""),)"),"Gokul Agro Resources Ltd")</f>
        <v>Gokul Agro Resources Ltd</v>
      </c>
      <c r="C511" s="64">
        <f>IFERROR(__xludf.DUMMYFUNCTION("IFERROR(GOOGLEFINANCE(A511,""CHANGE""),)"),4.26)</f>
        <v>4.26</v>
      </c>
      <c r="D511" s="64">
        <f>IFERROR(__xludf.DUMMYFUNCTION("IFERROR(GOOGLEFINANCE(A511,""CHANGEPCT""),)"),1.89)</f>
        <v>1.89</v>
      </c>
      <c r="E511" s="64" t="str">
        <f t="shared" si="1"/>
        <v>1.89%</v>
      </c>
      <c r="F511" s="64">
        <f t="shared" si="2"/>
        <v>1.89</v>
      </c>
      <c r="G511" s="64" t="str">
        <f t="shared" si="3"/>
        <v/>
      </c>
      <c r="H511" s="64">
        <f>IFERROR(__xludf.DUMMYFUNCTION("IFERROR(GOOGLEFINANCE(A511,""PRICE""),)"),160.8)</f>
        <v>160.8</v>
      </c>
      <c r="I511" s="65">
        <f>IFERROR(__xludf.DUMMYFUNCTION("IFERROR(GOOGLEFINANCE(A511,""VOLUME""),)"),171587.0)</f>
        <v>171587</v>
      </c>
      <c r="J511" s="64" t="str">
        <f>IFERROR(__xludf.DUMMYFUNCTION("IFERROR(INDEX(SPLIT(A511,"":""),1,2),)"),"GOKULAGRO")</f>
        <v>GOKULAGRO</v>
      </c>
      <c r="K511" s="64">
        <f t="shared" si="4"/>
        <v>464</v>
      </c>
      <c r="L511" s="64" t="str">
        <f t="shared" si="5"/>
        <v/>
      </c>
      <c r="M511" s="64">
        <f t="shared" si="6"/>
        <v>639</v>
      </c>
      <c r="N511" s="66">
        <f>IFERROR(__xludf.DUMMYFUNCTION("IFERROR(GOOGLEFINANCE(A511,""TRADETIME""),)"),46086.64583333333)</f>
        <v>46086.64583</v>
      </c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67" t="s">
        <v>558</v>
      </c>
      <c r="B512" s="60" t="str">
        <f>IFERROR(__xludf.DUMMYFUNCTION("IFERROR(GOOGLEFINANCE(A512,""NAME""),)"),"Golden Tobacco Ltd")</f>
        <v>Golden Tobacco Ltd</v>
      </c>
      <c r="C512" s="60">
        <f>IFERROR(__xludf.DUMMYFUNCTION("IFERROR(GOOGLEFINANCE(A512,""CHANGE""),)"),-0.42)</f>
        <v>-0.42</v>
      </c>
      <c r="D512" s="60">
        <f>IFERROR(__xludf.DUMMYFUNCTION("IFERROR(GOOGLEFINANCE(A512,""CHANGEPCT""),)"),-1.43)</f>
        <v>-1.43</v>
      </c>
      <c r="E512" s="60" t="str">
        <f t="shared" si="1"/>
        <v>-1.43%</v>
      </c>
      <c r="F512" s="60" t="str">
        <f t="shared" si="2"/>
        <v/>
      </c>
      <c r="G512" s="60">
        <f t="shared" si="3"/>
        <v>-1.43</v>
      </c>
      <c r="H512" s="60">
        <f>IFERROR(__xludf.DUMMYFUNCTION("IFERROR(GOOGLEFINANCE(A512,""PRICE""),)"),28.99)</f>
        <v>28.99</v>
      </c>
      <c r="I512" s="61">
        <f>IFERROR(__xludf.DUMMYFUNCTION("IFERROR(GOOGLEFINANCE(A512,""VOLUME""),)"),1973.0)</f>
        <v>1973</v>
      </c>
      <c r="J512" s="60" t="str">
        <f>IFERROR(__xludf.DUMMYFUNCTION("IFERROR(INDEX(SPLIT(A512,"":""),1,2),)"),"GOLDENTOBC")</f>
        <v>GOLDENTOBC</v>
      </c>
      <c r="K512" s="60" t="str">
        <f t="shared" si="4"/>
        <v/>
      </c>
      <c r="L512" s="60">
        <f t="shared" si="5"/>
        <v>282</v>
      </c>
      <c r="M512" s="60">
        <f t="shared" si="6"/>
        <v>1407</v>
      </c>
      <c r="N512" s="62">
        <f>IFERROR(__xludf.DUMMYFUNCTION("IFERROR(GOOGLEFINANCE(A512,""TRADETIME""),)"),46086.64583333333)</f>
        <v>46086.64583</v>
      </c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68" t="s">
        <v>559</v>
      </c>
      <c r="B513" s="64" t="str">
        <f>IFERROR(__xludf.DUMMYFUNCTION("IFERROR(GOOGLEFINANCE(A513,""NAME""),)"),"Goldiam International Ltd")</f>
        <v>Goldiam International Ltd</v>
      </c>
      <c r="C513" s="64">
        <f>IFERROR(__xludf.DUMMYFUNCTION("IFERROR(GOOGLEFINANCE(A513,""CHANGE""),)"),-2.35)</f>
        <v>-2.35</v>
      </c>
      <c r="D513" s="64">
        <f>IFERROR(__xludf.DUMMYFUNCTION("IFERROR(GOOGLEFINANCE(A513,""CHANGEPCT""),)"),-0.78)</f>
        <v>-0.78</v>
      </c>
      <c r="E513" s="64" t="str">
        <f t="shared" si="1"/>
        <v>-0.78%</v>
      </c>
      <c r="F513" s="64" t="str">
        <f t="shared" si="2"/>
        <v/>
      </c>
      <c r="G513" s="64">
        <f t="shared" si="3"/>
        <v>-0.78</v>
      </c>
      <c r="H513" s="64">
        <f>IFERROR(__xludf.DUMMYFUNCTION("IFERROR(GOOGLEFINANCE(A513,""PRICE""),)"),325.95)</f>
        <v>325.95</v>
      </c>
      <c r="I513" s="65">
        <f>IFERROR(__xludf.DUMMYFUNCTION("IFERROR(GOOGLEFINANCE(A513,""VOLUME""),)"),895482.0)</f>
        <v>895482</v>
      </c>
      <c r="J513" s="64" t="str">
        <f>IFERROR(__xludf.DUMMYFUNCTION("IFERROR(INDEX(SPLIT(A513,"":""),1,2),)"),"GOLDIAM")</f>
        <v>GOLDIAM</v>
      </c>
      <c r="K513" s="64" t="str">
        <f t="shared" si="4"/>
        <v/>
      </c>
      <c r="L513" s="64">
        <f t="shared" si="5"/>
        <v>179</v>
      </c>
      <c r="M513" s="64">
        <f t="shared" si="6"/>
        <v>303</v>
      </c>
      <c r="N513" s="66">
        <f>IFERROR(__xludf.DUMMYFUNCTION("IFERROR(GOOGLEFINANCE(A513,""TRADETIME""),)"),46086.64585648148)</f>
        <v>46086.64586</v>
      </c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67" t="s">
        <v>560</v>
      </c>
      <c r="B514" s="60" t="str">
        <f>IFERROR(__xludf.DUMMYFUNCTION("IFERROR(GOOGLEFINANCE(A514,""NAME""),)"),"Goodluck India Ltd")</f>
        <v>Goodluck India Ltd</v>
      </c>
      <c r="C514" s="60">
        <f>IFERROR(__xludf.DUMMYFUNCTION("IFERROR(GOOGLEFINANCE(A514,""CHANGE""),)"),15.5)</f>
        <v>15.5</v>
      </c>
      <c r="D514" s="60">
        <f>IFERROR(__xludf.DUMMYFUNCTION("IFERROR(GOOGLEFINANCE(A514,""CHANGEPCT""),)"),1.43)</f>
        <v>1.43</v>
      </c>
      <c r="E514" s="60" t="str">
        <f t="shared" si="1"/>
        <v>1.43%</v>
      </c>
      <c r="F514" s="60">
        <f t="shared" si="2"/>
        <v>1.43</v>
      </c>
      <c r="G514" s="60" t="str">
        <f t="shared" si="3"/>
        <v/>
      </c>
      <c r="H514" s="60">
        <f>IFERROR(__xludf.DUMMYFUNCTION("IFERROR(GOOGLEFINANCE(A514,""PRICE""),)"),1100.0)</f>
        <v>1100</v>
      </c>
      <c r="I514" s="61">
        <f>IFERROR(__xludf.DUMMYFUNCTION("IFERROR(GOOGLEFINANCE(A514,""VOLUME""),)"),86432.0)</f>
        <v>86432</v>
      </c>
      <c r="J514" s="60" t="str">
        <f>IFERROR(__xludf.DUMMYFUNCTION("IFERROR(INDEX(SPLIT(A514,"":""),1,2),)"),"GOODLUCK")</f>
        <v>GOODLUCK</v>
      </c>
      <c r="K514" s="60">
        <f t="shared" si="4"/>
        <v>597</v>
      </c>
      <c r="L514" s="60" t="str">
        <f t="shared" si="5"/>
        <v/>
      </c>
      <c r="M514" s="60">
        <f t="shared" si="6"/>
        <v>795</v>
      </c>
      <c r="N514" s="62">
        <f>IFERROR(__xludf.DUMMYFUNCTION("IFERROR(GOOGLEFINANCE(A514,""TRADETIME""),)"),46086.64583333333)</f>
        <v>46086.64583</v>
      </c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68" t="s">
        <v>561</v>
      </c>
      <c r="B515" s="64" t="str">
        <f>IFERROR(__xludf.DUMMYFUNCTION("IFERROR(GOOGLEFINANCE(A515,""NAME""),)"),"")</f>
        <v/>
      </c>
      <c r="C515" s="64" t="str">
        <f>IFERROR(__xludf.DUMMYFUNCTION("IFERROR(GOOGLEFINANCE(A515,""CHANGE""),)"),"")</f>
        <v/>
      </c>
      <c r="D515" s="64" t="str">
        <f>IFERROR(__xludf.DUMMYFUNCTION("IFERROR(GOOGLEFINANCE(A515,""CHANGEPCT""),)"),"")</f>
        <v/>
      </c>
      <c r="E515" s="64" t="str">
        <f t="shared" si="1"/>
        <v>%</v>
      </c>
      <c r="F515" s="64" t="str">
        <f t="shared" si="2"/>
        <v/>
      </c>
      <c r="G515" s="64" t="str">
        <f t="shared" si="3"/>
        <v/>
      </c>
      <c r="H515" s="64" t="str">
        <f>IFERROR(__xludf.DUMMYFUNCTION("IFERROR(GOOGLEFINANCE(A515,""PRICE""),)"),"")</f>
        <v/>
      </c>
      <c r="I515" s="65" t="str">
        <f>IFERROR(__xludf.DUMMYFUNCTION("IFERROR(GOOGLEFINANCE(A515,""VOLUME""),)"),"")</f>
        <v/>
      </c>
      <c r="J515" s="64" t="str">
        <f>IFERROR(__xludf.DUMMYFUNCTION("IFERROR(INDEX(SPLIT(A515,"":""),1,2),)"),"GOODYEAR")</f>
        <v>GOODYEAR</v>
      </c>
      <c r="K515" s="64" t="str">
        <f t="shared" si="4"/>
        <v/>
      </c>
      <c r="L515" s="64" t="str">
        <f t="shared" si="5"/>
        <v/>
      </c>
      <c r="M515" s="64" t="str">
        <f t="shared" si="6"/>
        <v/>
      </c>
      <c r="N515" s="66" t="str">
        <f>IFERROR(__xludf.DUMMYFUNCTION("IFERROR(GOOGLEFINANCE(A515,""TRADETIME""),)"),"")</f>
        <v/>
      </c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67" t="s">
        <v>562</v>
      </c>
      <c r="B516" s="60" t="str">
        <f>IFERROR(__xludf.DUMMYFUNCTION("IFERROR(GOOGLEFINANCE(A516,""NAME""),)"),"Godawari Power and Ispat Limited")</f>
        <v>Godawari Power and Ispat Limited</v>
      </c>
      <c r="C516" s="60">
        <f>IFERROR(__xludf.DUMMYFUNCTION("IFERROR(GOOGLEFINANCE(A516,""CHANGE""),)"),1.8)</f>
        <v>1.8</v>
      </c>
      <c r="D516" s="60">
        <f>IFERROR(__xludf.DUMMYFUNCTION("IFERROR(GOOGLEFINANCE(A516,""CHANGEPCT""),)"),0.73)</f>
        <v>0.73</v>
      </c>
      <c r="E516" s="60" t="str">
        <f t="shared" si="1"/>
        <v>0.73%</v>
      </c>
      <c r="F516" s="60">
        <f t="shared" si="2"/>
        <v>0.73</v>
      </c>
      <c r="G516" s="60" t="str">
        <f t="shared" si="3"/>
        <v/>
      </c>
      <c r="H516" s="60">
        <f>IFERROR(__xludf.DUMMYFUNCTION("IFERROR(GOOGLEFINANCE(A516,""PRICE""),)"),249.0)</f>
        <v>249</v>
      </c>
      <c r="I516" s="61">
        <f>IFERROR(__xludf.DUMMYFUNCTION("IFERROR(GOOGLEFINANCE(A516,""VOLUME""),)"),2064895.0)</f>
        <v>2064895</v>
      </c>
      <c r="J516" s="60" t="str">
        <f>IFERROR(__xludf.DUMMYFUNCTION("IFERROR(INDEX(SPLIT(A516,"":""),1,2),)"),"GPIL")</f>
        <v>GPIL</v>
      </c>
      <c r="K516" s="60">
        <f t="shared" si="4"/>
        <v>812</v>
      </c>
      <c r="L516" s="60" t="str">
        <f t="shared" si="5"/>
        <v/>
      </c>
      <c r="M516" s="60">
        <f t="shared" si="6"/>
        <v>196</v>
      </c>
      <c r="N516" s="62">
        <f>IFERROR(__xludf.DUMMYFUNCTION("IFERROR(GOOGLEFINANCE(A516,""TRADETIME""),)"),46086.64585648148)</f>
        <v>46086.64586</v>
      </c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68" t="s">
        <v>563</v>
      </c>
      <c r="B517" s="64" t="str">
        <f>IFERROR(__xludf.DUMMYFUNCTION("IFERROR(GOOGLEFINANCE(A517,""NAME""),)"),"Gujarat Pipavav Port Ltd")</f>
        <v>Gujarat Pipavav Port Ltd</v>
      </c>
      <c r="C517" s="64">
        <f>IFERROR(__xludf.DUMMYFUNCTION("IFERROR(GOOGLEFINANCE(A517,""CHANGE""),)"),2.53)</f>
        <v>2.53</v>
      </c>
      <c r="D517" s="64">
        <f>IFERROR(__xludf.DUMMYFUNCTION("IFERROR(GOOGLEFINANCE(A517,""CHANGEPCT""),)"),1.86)</f>
        <v>1.86</v>
      </c>
      <c r="E517" s="64" t="str">
        <f t="shared" si="1"/>
        <v>1.86%</v>
      </c>
      <c r="F517" s="64">
        <f t="shared" si="2"/>
        <v>1.86</v>
      </c>
      <c r="G517" s="64" t="str">
        <f t="shared" si="3"/>
        <v/>
      </c>
      <c r="H517" s="64">
        <f>IFERROR(__xludf.DUMMYFUNCTION("IFERROR(GOOGLEFINANCE(A517,""PRICE""),)"),165.0)</f>
        <v>165</v>
      </c>
      <c r="I517" s="65">
        <f>IFERROR(__xludf.DUMMYFUNCTION("IFERROR(GOOGLEFINANCE(A517,""VOLUME""),)"),704217.0)</f>
        <v>704217</v>
      </c>
      <c r="J517" s="64" t="str">
        <f>IFERROR(__xludf.DUMMYFUNCTION("IFERROR(INDEX(SPLIT(A517,"":""),1,2),)"),"GPPL")</f>
        <v>GPPL</v>
      </c>
      <c r="K517" s="64">
        <f t="shared" si="4"/>
        <v>474</v>
      </c>
      <c r="L517" s="64" t="str">
        <f t="shared" si="5"/>
        <v/>
      </c>
      <c r="M517" s="64">
        <f t="shared" si="6"/>
        <v>338</v>
      </c>
      <c r="N517" s="66">
        <f>IFERROR(__xludf.DUMMYFUNCTION("IFERROR(GOOGLEFINANCE(A517,""TRADETIME""),)"),46086.64583333333)</f>
        <v>46086.64583</v>
      </c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67" t="s">
        <v>564</v>
      </c>
      <c r="B518" s="60" t="str">
        <f>IFERROR(__xludf.DUMMYFUNCTION("IFERROR(GOOGLEFINANCE(A518,""NAME""),)"),"GPT Infraprojects Ltd")</f>
        <v>GPT Infraprojects Ltd</v>
      </c>
      <c r="C518" s="60">
        <f>IFERROR(__xludf.DUMMYFUNCTION("IFERROR(GOOGLEFINANCE(A518,""CHANGE""),)"),-2.05)</f>
        <v>-2.05</v>
      </c>
      <c r="D518" s="60">
        <f>IFERROR(__xludf.DUMMYFUNCTION("IFERROR(GOOGLEFINANCE(A518,""CHANGEPCT""),)"),-1.74)</f>
        <v>-1.74</v>
      </c>
      <c r="E518" s="60" t="str">
        <f t="shared" si="1"/>
        <v>-1.74%</v>
      </c>
      <c r="F518" s="60" t="str">
        <f t="shared" si="2"/>
        <v/>
      </c>
      <c r="G518" s="60">
        <f t="shared" si="3"/>
        <v>-1.74</v>
      </c>
      <c r="H518" s="60">
        <f>IFERROR(__xludf.DUMMYFUNCTION("IFERROR(GOOGLEFINANCE(A518,""PRICE""),)"),116.0)</f>
        <v>116</v>
      </c>
      <c r="I518" s="61">
        <f>IFERROR(__xludf.DUMMYFUNCTION("IFERROR(GOOGLEFINANCE(A518,""VOLUME""),)"),132488.0)</f>
        <v>132488</v>
      </c>
      <c r="J518" s="60" t="str">
        <f>IFERROR(__xludf.DUMMYFUNCTION("IFERROR(INDEX(SPLIT(A518,"":""),1,2),)"),"GPTINFRA")</f>
        <v>GPTINFRA</v>
      </c>
      <c r="K518" s="60" t="str">
        <f t="shared" si="4"/>
        <v/>
      </c>
      <c r="L518" s="60">
        <f t="shared" si="5"/>
        <v>314</v>
      </c>
      <c r="M518" s="60">
        <f t="shared" si="6"/>
        <v>695</v>
      </c>
      <c r="N518" s="62">
        <f>IFERROR(__xludf.DUMMYFUNCTION("IFERROR(GOOGLEFINANCE(A518,""TRADETIME""),)"),46086.64019675926)</f>
        <v>46086.6402</v>
      </c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68" t="s">
        <v>565</v>
      </c>
      <c r="B519" s="64" t="str">
        <f>IFERROR(__xludf.DUMMYFUNCTION("IFERROR(GOOGLEFINANCE(A519,""NAME""),)"),"Granules India Ltd")</f>
        <v>Granules India Ltd</v>
      </c>
      <c r="C519" s="64">
        <f>IFERROR(__xludf.DUMMYFUNCTION("IFERROR(GOOGLEFINANCE(A519,""CHANGE""),)"),21.65)</f>
        <v>21.65</v>
      </c>
      <c r="D519" s="64">
        <f>IFERROR(__xludf.DUMMYFUNCTION("IFERROR(GOOGLEFINANCE(A519,""CHANGEPCT""),)"),3.9)</f>
        <v>3.9</v>
      </c>
      <c r="E519" s="64" t="str">
        <f t="shared" si="1"/>
        <v>3.9%</v>
      </c>
      <c r="F519" s="64">
        <f t="shared" si="2"/>
        <v>3.9</v>
      </c>
      <c r="G519" s="64" t="str">
        <f t="shared" si="3"/>
        <v/>
      </c>
      <c r="H519" s="64">
        <f>IFERROR(__xludf.DUMMYFUNCTION("IFERROR(GOOGLEFINANCE(A519,""PRICE""),)"),574.7)</f>
        <v>574.7</v>
      </c>
      <c r="I519" s="65">
        <f>IFERROR(__xludf.DUMMYFUNCTION("IFERROR(GOOGLEFINANCE(A519,""VOLUME""),)"),718497.0)</f>
        <v>718497</v>
      </c>
      <c r="J519" s="64" t="str">
        <f>IFERROR(__xludf.DUMMYFUNCTION("IFERROR(INDEX(SPLIT(A519,"":""),1,2),)"),"GRANULES")</f>
        <v>GRANULES</v>
      </c>
      <c r="K519" s="64">
        <f t="shared" si="4"/>
        <v>149</v>
      </c>
      <c r="L519" s="64" t="str">
        <f t="shared" si="5"/>
        <v/>
      </c>
      <c r="M519" s="64">
        <f t="shared" si="6"/>
        <v>335</v>
      </c>
      <c r="N519" s="66">
        <f>IFERROR(__xludf.DUMMYFUNCTION("IFERROR(GOOGLEFINANCE(A519,""TRADETIME""),)"),46086.64583333333)</f>
        <v>46086.64583</v>
      </c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67" t="s">
        <v>566</v>
      </c>
      <c r="B520" s="60" t="str">
        <f>IFERROR(__xludf.DUMMYFUNCTION("IFERROR(GOOGLEFINANCE(A520,""NAME""),)"),"Graphite India Ltd")</f>
        <v>Graphite India Ltd</v>
      </c>
      <c r="C520" s="60">
        <f>IFERROR(__xludf.DUMMYFUNCTION("IFERROR(GOOGLEFINANCE(A520,""CHANGE""),)"),12.9)</f>
        <v>12.9</v>
      </c>
      <c r="D520" s="60">
        <f>IFERROR(__xludf.DUMMYFUNCTION("IFERROR(GOOGLEFINANCE(A520,""CHANGEPCT""),)"),2.1)</f>
        <v>2.1</v>
      </c>
      <c r="E520" s="60" t="str">
        <f t="shared" si="1"/>
        <v>2.1%</v>
      </c>
      <c r="F520" s="60">
        <f t="shared" si="2"/>
        <v>2.1</v>
      </c>
      <c r="G520" s="60" t="str">
        <f t="shared" si="3"/>
        <v/>
      </c>
      <c r="H520" s="60">
        <f>IFERROR(__xludf.DUMMYFUNCTION("IFERROR(GOOGLEFINANCE(A520,""PRICE""),)"),684.35)</f>
        <v>684.35</v>
      </c>
      <c r="I520" s="61">
        <f>IFERROR(__xludf.DUMMYFUNCTION("IFERROR(GOOGLEFINANCE(A520,""VOLUME""),)"),1244869.0)</f>
        <v>1244869</v>
      </c>
      <c r="J520" s="60" t="str">
        <f>IFERROR(__xludf.DUMMYFUNCTION("IFERROR(INDEX(SPLIT(A520,"":""),1,2),)"),"GRAPHITE")</f>
        <v>GRAPHITE</v>
      </c>
      <c r="K520" s="60">
        <f t="shared" si="4"/>
        <v>416</v>
      </c>
      <c r="L520" s="60" t="str">
        <f t="shared" si="5"/>
        <v/>
      </c>
      <c r="M520" s="60">
        <f t="shared" si="6"/>
        <v>258</v>
      </c>
      <c r="N520" s="62">
        <f>IFERROR(__xludf.DUMMYFUNCTION("IFERROR(GOOGLEFINANCE(A520,""TRADETIME""),)"),46086.64584490741)</f>
        <v>46086.64584</v>
      </c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68" t="s">
        <v>567</v>
      </c>
      <c r="B521" s="64" t="str">
        <f>IFERROR(__xludf.DUMMYFUNCTION("IFERROR(GOOGLEFINANCE(A521,""NAME""),)"),"Grasim Industries Ltd")</f>
        <v>Grasim Industries Ltd</v>
      </c>
      <c r="C521" s="64">
        <f>IFERROR(__xludf.DUMMYFUNCTION("IFERROR(GOOGLEFINANCE(A521,""CHANGE""),)"),33.8)</f>
        <v>33.8</v>
      </c>
      <c r="D521" s="64">
        <f>IFERROR(__xludf.DUMMYFUNCTION("IFERROR(GOOGLEFINANCE(A521,""CHANGEPCT""),)"),1.26)</f>
        <v>1.26</v>
      </c>
      <c r="E521" s="64" t="str">
        <f t="shared" si="1"/>
        <v>1.26%</v>
      </c>
      <c r="F521" s="64">
        <f t="shared" si="2"/>
        <v>1.26</v>
      </c>
      <c r="G521" s="64" t="str">
        <f t="shared" si="3"/>
        <v/>
      </c>
      <c r="H521" s="64">
        <f>IFERROR(__xludf.DUMMYFUNCTION("IFERROR(GOOGLEFINANCE(A521,""PRICE""),)"),2717.0)</f>
        <v>2717</v>
      </c>
      <c r="I521" s="65">
        <f>IFERROR(__xludf.DUMMYFUNCTION("IFERROR(GOOGLEFINANCE(A521,""VOLUME""),)"),1101180.0)</f>
        <v>1101180</v>
      </c>
      <c r="J521" s="64" t="str">
        <f>IFERROR(__xludf.DUMMYFUNCTION("IFERROR(INDEX(SPLIT(A521,"":""),1,2),)"),"GRASIM")</f>
        <v>GRASIM</v>
      </c>
      <c r="K521" s="64">
        <f t="shared" si="4"/>
        <v>651</v>
      </c>
      <c r="L521" s="64" t="str">
        <f t="shared" si="5"/>
        <v/>
      </c>
      <c r="M521" s="64">
        <f t="shared" si="6"/>
        <v>273</v>
      </c>
      <c r="N521" s="66">
        <f>IFERROR(__xludf.DUMMYFUNCTION("IFERROR(GOOGLEFINANCE(A521,""TRADETIME""),)"),46086.64583333333)</f>
        <v>46086.64583</v>
      </c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67" t="s">
        <v>568</v>
      </c>
      <c r="B522" s="60" t="str">
        <f>IFERROR(__xludf.DUMMYFUNCTION("IFERROR(GOOGLEFINANCE(A522,""NAME""),)"),"Gravita India Limited")</f>
        <v>Gravita India Limited</v>
      </c>
      <c r="C522" s="60">
        <f>IFERROR(__xludf.DUMMYFUNCTION("IFERROR(GOOGLEFINANCE(A522,""CHANGE""),)"),8.9)</f>
        <v>8.9</v>
      </c>
      <c r="D522" s="60">
        <f>IFERROR(__xludf.DUMMYFUNCTION("IFERROR(GOOGLEFINANCE(A522,""CHANGEPCT""),)"),0.37)</f>
        <v>0.37</v>
      </c>
      <c r="E522" s="60" t="str">
        <f t="shared" si="1"/>
        <v>0.37%</v>
      </c>
      <c r="F522" s="60">
        <f t="shared" si="2"/>
        <v>0.37</v>
      </c>
      <c r="G522" s="60" t="str">
        <f t="shared" si="3"/>
        <v/>
      </c>
      <c r="H522" s="60">
        <f>IFERROR(__xludf.DUMMYFUNCTION("IFERROR(GOOGLEFINANCE(A522,""PRICE""),)"),1543.0)</f>
        <v>1543</v>
      </c>
      <c r="I522" s="61">
        <f>IFERROR(__xludf.DUMMYFUNCTION("IFERROR(GOOGLEFINANCE(A522,""VOLUME""),)"),136113.0)</f>
        <v>136113</v>
      </c>
      <c r="J522" s="60" t="str">
        <f>IFERROR(__xludf.DUMMYFUNCTION("IFERROR(INDEX(SPLIT(A522,"":""),1,2),)"),"GRAVITA")</f>
        <v>GRAVITA</v>
      </c>
      <c r="K522" s="60">
        <f t="shared" si="4"/>
        <v>913</v>
      </c>
      <c r="L522" s="60" t="str">
        <f t="shared" si="5"/>
        <v/>
      </c>
      <c r="M522" s="60">
        <f t="shared" si="6"/>
        <v>692</v>
      </c>
      <c r="N522" s="62">
        <f>IFERROR(__xludf.DUMMYFUNCTION("IFERROR(GOOGLEFINANCE(A522,""TRADETIME""),)"),46086.64583333333)</f>
        <v>46086.64583</v>
      </c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68" t="s">
        <v>569</v>
      </c>
      <c r="B523" s="64" t="str">
        <f>IFERROR(__xludf.DUMMYFUNCTION("IFERROR(GOOGLEFINANCE(A523,""NAME""),)"),"Greaves Cotton Ltd")</f>
        <v>Greaves Cotton Ltd</v>
      </c>
      <c r="C523" s="64">
        <f>IFERROR(__xludf.DUMMYFUNCTION("IFERROR(GOOGLEFINANCE(A523,""CHANGE""),)"),2.39)</f>
        <v>2.39</v>
      </c>
      <c r="D523" s="64">
        <f>IFERROR(__xludf.DUMMYFUNCTION("IFERROR(GOOGLEFINANCE(A523,""CHANGEPCT""),)"),1.94)</f>
        <v>1.94</v>
      </c>
      <c r="E523" s="64" t="str">
        <f t="shared" si="1"/>
        <v>1.94%</v>
      </c>
      <c r="F523" s="64">
        <f t="shared" si="2"/>
        <v>1.94</v>
      </c>
      <c r="G523" s="64" t="str">
        <f t="shared" si="3"/>
        <v/>
      </c>
      <c r="H523" s="64">
        <f>IFERROR(__xludf.DUMMYFUNCTION("IFERROR(GOOGLEFINANCE(A523,""PRICE""),)"),151.37)</f>
        <v>151.37</v>
      </c>
      <c r="I523" s="65">
        <f>IFERROR(__xludf.DUMMYFUNCTION("IFERROR(GOOGLEFINANCE(A523,""VOLUME""),)"),1050404.0)</f>
        <v>1050404</v>
      </c>
      <c r="J523" s="64" t="str">
        <f>IFERROR(__xludf.DUMMYFUNCTION("IFERROR(INDEX(SPLIT(A523,"":""),1,2),)"),"GREAVESCOT")</f>
        <v>GREAVESCOT</v>
      </c>
      <c r="K523" s="64">
        <f t="shared" si="4"/>
        <v>454</v>
      </c>
      <c r="L523" s="64" t="str">
        <f t="shared" si="5"/>
        <v/>
      </c>
      <c r="M523" s="64">
        <f t="shared" si="6"/>
        <v>280</v>
      </c>
      <c r="N523" s="66">
        <f>IFERROR(__xludf.DUMMYFUNCTION("IFERROR(GOOGLEFINANCE(A523,""TRADETIME""),)"),46086.64584490741)</f>
        <v>46086.64584</v>
      </c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67" t="s">
        <v>570</v>
      </c>
      <c r="B524" s="60" t="str">
        <f>IFERROR(__xludf.DUMMYFUNCTION("IFERROR(GOOGLEFINANCE(A524,""NAME""),)"),"Greenlam Industries Ltd")</f>
        <v>Greenlam Industries Ltd</v>
      </c>
      <c r="C524" s="60">
        <f>IFERROR(__xludf.DUMMYFUNCTION("IFERROR(GOOGLEFINANCE(A524,""CHANGE""),)"),3.94)</f>
        <v>3.94</v>
      </c>
      <c r="D524" s="60">
        <f>IFERROR(__xludf.DUMMYFUNCTION("IFERROR(GOOGLEFINANCE(A524,""CHANGEPCT""),)"),0.53)</f>
        <v>0.53</v>
      </c>
      <c r="E524" s="60" t="str">
        <f t="shared" si="1"/>
        <v>0.53%</v>
      </c>
      <c r="F524" s="60">
        <f t="shared" si="2"/>
        <v>0.53</v>
      </c>
      <c r="G524" s="60" t="str">
        <f t="shared" si="3"/>
        <v/>
      </c>
      <c r="H524" s="60">
        <f>IFERROR(__xludf.DUMMYFUNCTION("IFERROR(GOOGLEFINANCE(A524,""PRICE""),)"),237.9)</f>
        <v>237.9</v>
      </c>
      <c r="I524" s="61">
        <f>IFERROR(__xludf.DUMMYFUNCTION("IFERROR(GOOGLEFINANCE(A524,""VOLUME""),)"),4635.0)</f>
        <v>4635</v>
      </c>
      <c r="J524" s="60" t="str">
        <f>IFERROR(__xludf.DUMMYFUNCTION("IFERROR(INDEX(SPLIT(A524,"":""),1,2),)"),"GREENLAM")</f>
        <v>GREENLAM</v>
      </c>
      <c r="K524" s="60">
        <f t="shared" si="4"/>
        <v>870</v>
      </c>
      <c r="L524" s="60" t="str">
        <f t="shared" si="5"/>
        <v/>
      </c>
      <c r="M524" s="60">
        <f t="shared" si="6"/>
        <v>1355</v>
      </c>
      <c r="N524" s="62">
        <f>IFERROR(__xludf.DUMMYFUNCTION("IFERROR(GOOGLEFINANCE(A524,""TRADETIME""),)"),46086.64583333333)</f>
        <v>46086.64583</v>
      </c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68" t="s">
        <v>571</v>
      </c>
      <c r="B525" s="64" t="str">
        <f>IFERROR(__xludf.DUMMYFUNCTION("IFERROR(GOOGLEFINANCE(A525,""NAME""),)"),"Greenpanel Industries Ltd")</f>
        <v>Greenpanel Industries Ltd</v>
      </c>
      <c r="C525" s="64">
        <f>IFERROR(__xludf.DUMMYFUNCTION("IFERROR(GOOGLEFINANCE(A525,""CHANGE""),)"),2.42)</f>
        <v>2.42</v>
      </c>
      <c r="D525" s="64">
        <f>IFERROR(__xludf.DUMMYFUNCTION("IFERROR(GOOGLEFINANCE(A525,""CHANGEPCT""),)"),2.78)</f>
        <v>2.78</v>
      </c>
      <c r="E525" s="64" t="str">
        <f t="shared" si="1"/>
        <v>2.78%</v>
      </c>
      <c r="F525" s="64">
        <f t="shared" si="2"/>
        <v>2.78</v>
      </c>
      <c r="G525" s="64" t="str">
        <f t="shared" si="3"/>
        <v/>
      </c>
      <c r="H525" s="64">
        <f>IFERROR(__xludf.DUMMYFUNCTION("IFERROR(GOOGLEFINANCE(A525,""PRICE""),)"),203.0)</f>
        <v>203</v>
      </c>
      <c r="I525" s="65">
        <f>IFERROR(__xludf.DUMMYFUNCTION("IFERROR(GOOGLEFINANCE(A525,""VOLUME""),)"),53251.0)</f>
        <v>53251</v>
      </c>
      <c r="J525" s="64" t="str">
        <f>IFERROR(__xludf.DUMMYFUNCTION("IFERROR(INDEX(SPLIT(A525,"":""),1,2),)"),"GREENPANEL")</f>
        <v>GREENPANEL</v>
      </c>
      <c r="K525" s="64">
        <f t="shared" si="4"/>
        <v>293</v>
      </c>
      <c r="L525" s="64" t="str">
        <f t="shared" si="5"/>
        <v/>
      </c>
      <c r="M525" s="64">
        <f t="shared" si="6"/>
        <v>913</v>
      </c>
      <c r="N525" s="66">
        <f>IFERROR(__xludf.DUMMYFUNCTION("IFERROR(GOOGLEFINANCE(A525,""TRADETIME""),)"),46086.64583333333)</f>
        <v>46086.64583</v>
      </c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67" t="s">
        <v>572</v>
      </c>
      <c r="B526" s="60" t="str">
        <f>IFERROR(__xludf.DUMMYFUNCTION("IFERROR(GOOGLEFINANCE(A526,""NAME""),)"),"Greenply Industries Ltd")</f>
        <v>Greenply Industries Ltd</v>
      </c>
      <c r="C526" s="60">
        <f>IFERROR(__xludf.DUMMYFUNCTION("IFERROR(GOOGLEFINANCE(A526,""CHANGE""),)"),-5.51)</f>
        <v>-5.51</v>
      </c>
      <c r="D526" s="60">
        <f>IFERROR(__xludf.DUMMYFUNCTION("IFERROR(GOOGLEFINANCE(A526,""CHANGEPCT""),)"),-2.68)</f>
        <v>-2.68</v>
      </c>
      <c r="E526" s="60" t="str">
        <f t="shared" si="1"/>
        <v>-2.68%</v>
      </c>
      <c r="F526" s="60" t="str">
        <f t="shared" si="2"/>
        <v/>
      </c>
      <c r="G526" s="60">
        <f t="shared" si="3"/>
        <v>-2.68</v>
      </c>
      <c r="H526" s="60">
        <f>IFERROR(__xludf.DUMMYFUNCTION("IFERROR(GOOGLEFINANCE(A526,""PRICE""),)"),199.9)</f>
        <v>199.9</v>
      </c>
      <c r="I526" s="61">
        <f>IFERROR(__xludf.DUMMYFUNCTION("IFERROR(GOOGLEFINANCE(A526,""VOLUME""),)"),111529.0)</f>
        <v>111529</v>
      </c>
      <c r="J526" s="60" t="str">
        <f>IFERROR(__xludf.DUMMYFUNCTION("IFERROR(INDEX(SPLIT(A526,"":""),1,2),)"),"GREENPLY")</f>
        <v>GREENPLY</v>
      </c>
      <c r="K526" s="60" t="str">
        <f t="shared" si="4"/>
        <v/>
      </c>
      <c r="L526" s="60">
        <f t="shared" si="5"/>
        <v>392</v>
      </c>
      <c r="M526" s="60">
        <f t="shared" si="6"/>
        <v>735</v>
      </c>
      <c r="N526" s="62">
        <f>IFERROR(__xludf.DUMMYFUNCTION("IFERROR(GOOGLEFINANCE(A526,""TRADETIME""),)"),46086.64584490741)</f>
        <v>46086.64584</v>
      </c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68" t="s">
        <v>573</v>
      </c>
      <c r="B527" s="64" t="str">
        <f>IFERROR(__xludf.DUMMYFUNCTION("IFERROR(GOOGLEFINANCE(A527,""NAME""),)"),"Orient Green Power Company Ltd")</f>
        <v>Orient Green Power Company Ltd</v>
      </c>
      <c r="C527" s="64">
        <f>IFERROR(__xludf.DUMMYFUNCTION("IFERROR(GOOGLEFINANCE(A527,""CHANGE""),)"),0.03)</f>
        <v>0.03</v>
      </c>
      <c r="D527" s="64">
        <f>IFERROR(__xludf.DUMMYFUNCTION("IFERROR(GOOGLEFINANCE(A527,""CHANGEPCT""),)"),0.32)</f>
        <v>0.32</v>
      </c>
      <c r="E527" s="64" t="str">
        <f t="shared" si="1"/>
        <v>0.32%</v>
      </c>
      <c r="F527" s="64">
        <f t="shared" si="2"/>
        <v>0.32</v>
      </c>
      <c r="G527" s="64" t="str">
        <f t="shared" si="3"/>
        <v/>
      </c>
      <c r="H527" s="64">
        <f>IFERROR(__xludf.DUMMYFUNCTION("IFERROR(GOOGLEFINANCE(A527,""PRICE""),)"),9.28)</f>
        <v>9.28</v>
      </c>
      <c r="I527" s="65">
        <f>IFERROR(__xludf.DUMMYFUNCTION("IFERROR(GOOGLEFINANCE(A527,""VOLUME""),)"),2442721.0)</f>
        <v>2442721</v>
      </c>
      <c r="J527" s="64" t="str">
        <f>IFERROR(__xludf.DUMMYFUNCTION("IFERROR(INDEX(SPLIT(A527,"":""),1,2),)"),"GREENPOWER")</f>
        <v>GREENPOWER</v>
      </c>
      <c r="K527" s="64">
        <f t="shared" si="4"/>
        <v>925</v>
      </c>
      <c r="L527" s="64" t="str">
        <f t="shared" si="5"/>
        <v/>
      </c>
      <c r="M527" s="64">
        <f t="shared" si="6"/>
        <v>176</v>
      </c>
      <c r="N527" s="66">
        <f>IFERROR(__xludf.DUMMYFUNCTION("IFERROR(GOOGLEFINANCE(A527,""TRADETIME""),)"),46086.64583333333)</f>
        <v>46086.64583</v>
      </c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67" t="s">
        <v>574</v>
      </c>
      <c r="B528" s="60" t="str">
        <f>IFERROR(__xludf.DUMMYFUNCTION("IFERROR(GOOGLEFINANCE(A528,""NAME""),)"),"Grindwell Norton Ltd")</f>
        <v>Grindwell Norton Ltd</v>
      </c>
      <c r="C528" s="60">
        <f>IFERROR(__xludf.DUMMYFUNCTION("IFERROR(GOOGLEFINANCE(A528,""CHANGE""),)"),-28.1)</f>
        <v>-28.1</v>
      </c>
      <c r="D528" s="60">
        <f>IFERROR(__xludf.DUMMYFUNCTION("IFERROR(GOOGLEFINANCE(A528,""CHANGEPCT""),)"),-1.76)</f>
        <v>-1.76</v>
      </c>
      <c r="E528" s="60" t="str">
        <f t="shared" si="1"/>
        <v>-1.76%</v>
      </c>
      <c r="F528" s="60" t="str">
        <f t="shared" si="2"/>
        <v/>
      </c>
      <c r="G528" s="60">
        <f t="shared" si="3"/>
        <v>-1.76</v>
      </c>
      <c r="H528" s="60">
        <f>IFERROR(__xludf.DUMMYFUNCTION("IFERROR(GOOGLEFINANCE(A528,""PRICE""),)"),1567.1)</f>
        <v>1567.1</v>
      </c>
      <c r="I528" s="61">
        <f>IFERROR(__xludf.DUMMYFUNCTION("IFERROR(GOOGLEFINANCE(A528,""VOLUME""),)"),49218.0)</f>
        <v>49218</v>
      </c>
      <c r="J528" s="60" t="str">
        <f>IFERROR(__xludf.DUMMYFUNCTION("IFERROR(INDEX(SPLIT(A528,"":""),1,2),)"),"GRINDWELL")</f>
        <v>GRINDWELL</v>
      </c>
      <c r="K528" s="60" t="str">
        <f t="shared" si="4"/>
        <v/>
      </c>
      <c r="L528" s="60">
        <f t="shared" si="5"/>
        <v>317</v>
      </c>
      <c r="M528" s="60">
        <f t="shared" si="6"/>
        <v>939</v>
      </c>
      <c r="N528" s="62">
        <f>IFERROR(__xludf.DUMMYFUNCTION("IFERROR(GOOGLEFINANCE(A528,""TRADETIME""),)"),46086.64583333333)</f>
        <v>46086.64583</v>
      </c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68" t="s">
        <v>575</v>
      </c>
      <c r="B529" s="64" t="str">
        <f>IFERROR(__xludf.DUMMYFUNCTION("IFERROR(GOOGLEFINANCE(A529,""NAME""),)"),"Grob Tea Co Ltd")</f>
        <v>Grob Tea Co Ltd</v>
      </c>
      <c r="C529" s="64">
        <f>IFERROR(__xludf.DUMMYFUNCTION("IFERROR(GOOGLEFINANCE(A529,""CHANGE""),)"),-47.0)</f>
        <v>-47</v>
      </c>
      <c r="D529" s="64">
        <f>IFERROR(__xludf.DUMMYFUNCTION("IFERROR(GOOGLEFINANCE(A529,""CHANGEPCT""),)"),-5.0)</f>
        <v>-5</v>
      </c>
      <c r="E529" s="64" t="str">
        <f t="shared" si="1"/>
        <v>-5%</v>
      </c>
      <c r="F529" s="64" t="str">
        <f t="shared" si="2"/>
        <v/>
      </c>
      <c r="G529" s="64">
        <f t="shared" si="3"/>
        <v>-5</v>
      </c>
      <c r="H529" s="64">
        <f>IFERROR(__xludf.DUMMYFUNCTION("IFERROR(GOOGLEFINANCE(A529,""PRICE""),)"),893.0)</f>
        <v>893</v>
      </c>
      <c r="I529" s="65">
        <f>IFERROR(__xludf.DUMMYFUNCTION("IFERROR(GOOGLEFINANCE(A529,""VOLUME""),)"),125.0)</f>
        <v>125</v>
      </c>
      <c r="J529" s="64" t="str">
        <f>IFERROR(__xludf.DUMMYFUNCTION("IFERROR(INDEX(SPLIT(A529,"":""),1,2),)"),"GROBTEA")</f>
        <v>GROBTEA</v>
      </c>
      <c r="K529" s="64" t="str">
        <f t="shared" si="4"/>
        <v/>
      </c>
      <c r="L529" s="64">
        <f t="shared" si="5"/>
        <v>441</v>
      </c>
      <c r="M529" s="64">
        <f t="shared" si="6"/>
        <v>1459</v>
      </c>
      <c r="N529" s="66">
        <f>IFERROR(__xludf.DUMMYFUNCTION("IFERROR(GOOGLEFINANCE(A529,""TRADETIME""),)"),46086.64583333333)</f>
        <v>46086.64583</v>
      </c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67" t="s">
        <v>576</v>
      </c>
      <c r="B530" s="60" t="str">
        <f>IFERROR(__xludf.DUMMYFUNCTION("IFERROR(GOOGLEFINANCE(A530,""NAME""),)"),"GRP Ltd")</f>
        <v>GRP Ltd</v>
      </c>
      <c r="C530" s="60">
        <f>IFERROR(__xludf.DUMMYFUNCTION("IFERROR(GOOGLEFINANCE(A530,""CHANGE""),)"),-20.6)</f>
        <v>-20.6</v>
      </c>
      <c r="D530" s="60">
        <f>IFERROR(__xludf.DUMMYFUNCTION("IFERROR(GOOGLEFINANCE(A530,""CHANGEPCT""),)"),-1.13)</f>
        <v>-1.13</v>
      </c>
      <c r="E530" s="60" t="str">
        <f t="shared" si="1"/>
        <v>-1.13%</v>
      </c>
      <c r="F530" s="60" t="str">
        <f t="shared" si="2"/>
        <v/>
      </c>
      <c r="G530" s="60">
        <f t="shared" si="3"/>
        <v>-1.13</v>
      </c>
      <c r="H530" s="60">
        <f>IFERROR(__xludf.DUMMYFUNCTION("IFERROR(GOOGLEFINANCE(A530,""PRICE""),)"),1803.2)</f>
        <v>1803.2</v>
      </c>
      <c r="I530" s="61">
        <f>IFERROR(__xludf.DUMMYFUNCTION("IFERROR(GOOGLEFINANCE(A530,""VOLUME""),)"),1702.0)</f>
        <v>1702</v>
      </c>
      <c r="J530" s="60" t="str">
        <f>IFERROR(__xludf.DUMMYFUNCTION("IFERROR(INDEX(SPLIT(A530,"":""),1,2),)"),"GRPLTD")</f>
        <v>GRPLTD</v>
      </c>
      <c r="K530" s="60" t="str">
        <f t="shared" si="4"/>
        <v/>
      </c>
      <c r="L530" s="60">
        <f t="shared" si="5"/>
        <v>233</v>
      </c>
      <c r="M530" s="60">
        <f t="shared" si="6"/>
        <v>1415</v>
      </c>
      <c r="N530" s="62">
        <f>IFERROR(__xludf.DUMMYFUNCTION("IFERROR(GOOGLEFINANCE(A530,""TRADETIME""),)"),46086.64583333333)</f>
        <v>46086.64583</v>
      </c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68" t="s">
        <v>577</v>
      </c>
      <c r="B531" s="64" t="str">
        <f>IFERROR(__xludf.DUMMYFUNCTION("IFERROR(GOOGLEFINANCE(A531,""NAME""),)"),"Garden Reach Shipbuilders &amp; Enginers Ltd")</f>
        <v>Garden Reach Shipbuilders &amp; Enginers Ltd</v>
      </c>
      <c r="C531" s="64">
        <f>IFERROR(__xludf.DUMMYFUNCTION("IFERROR(GOOGLEFINANCE(A531,""CHANGE""),)"),107.5)</f>
        <v>107.5</v>
      </c>
      <c r="D531" s="64">
        <f>IFERROR(__xludf.DUMMYFUNCTION("IFERROR(GOOGLEFINANCE(A531,""CHANGEPCT""),)"),4.64)</f>
        <v>4.64</v>
      </c>
      <c r="E531" s="64" t="str">
        <f t="shared" si="1"/>
        <v>4.64%</v>
      </c>
      <c r="F531" s="64">
        <f t="shared" si="2"/>
        <v>4.64</v>
      </c>
      <c r="G531" s="64" t="str">
        <f t="shared" si="3"/>
        <v/>
      </c>
      <c r="H531" s="64">
        <f>IFERROR(__xludf.DUMMYFUNCTION("IFERROR(GOOGLEFINANCE(A531,""PRICE""),)"),2422.0)</f>
        <v>2422</v>
      </c>
      <c r="I531" s="65">
        <f>IFERROR(__xludf.DUMMYFUNCTION("IFERROR(GOOGLEFINANCE(A531,""VOLUME""),)"),3791878.0)</f>
        <v>3791878</v>
      </c>
      <c r="J531" s="64" t="str">
        <f>IFERROR(__xludf.DUMMYFUNCTION("IFERROR(INDEX(SPLIT(A531,"":""),1,2),)"),"GRSE")</f>
        <v>GRSE</v>
      </c>
      <c r="K531" s="64">
        <f t="shared" si="4"/>
        <v>104</v>
      </c>
      <c r="L531" s="64" t="str">
        <f t="shared" si="5"/>
        <v/>
      </c>
      <c r="M531" s="64">
        <f t="shared" si="6"/>
        <v>129</v>
      </c>
      <c r="N531" s="66">
        <f>IFERROR(__xludf.DUMMYFUNCTION("IFERROR(GOOGLEFINANCE(A531,""TRADETIME""),)"),46086.64584490741)</f>
        <v>46086.64584</v>
      </c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67" t="s">
        <v>578</v>
      </c>
      <c r="B532" s="60" t="str">
        <f>IFERROR(__xludf.DUMMYFUNCTION("IFERROR(GOOGLEFINANCE(A532,""NAME""),)"),"")</f>
        <v/>
      </c>
      <c r="C532" s="60" t="str">
        <f>IFERROR(__xludf.DUMMYFUNCTION("IFERROR(GOOGLEFINANCE(A532,""CHANGE""),)"),"")</f>
        <v/>
      </c>
      <c r="D532" s="60" t="str">
        <f>IFERROR(__xludf.DUMMYFUNCTION("IFERROR(GOOGLEFINANCE(A532,""CHANGEPCT""),)"),"")</f>
        <v/>
      </c>
      <c r="E532" s="60" t="str">
        <f t="shared" si="1"/>
        <v>%</v>
      </c>
      <c r="F532" s="60" t="str">
        <f t="shared" si="2"/>
        <v/>
      </c>
      <c r="G532" s="60" t="str">
        <f t="shared" si="3"/>
        <v/>
      </c>
      <c r="H532" s="60" t="str">
        <f>IFERROR(__xludf.DUMMYFUNCTION("IFERROR(GOOGLEFINANCE(A532,""PRICE""),)"),"")</f>
        <v/>
      </c>
      <c r="I532" s="61" t="str">
        <f>IFERROR(__xludf.DUMMYFUNCTION("IFERROR(GOOGLEFINANCE(A532,""VOLUME""),)"),"")</f>
        <v/>
      </c>
      <c r="J532" s="60" t="str">
        <f>IFERROR(__xludf.DUMMYFUNCTION("IFERROR(INDEX(SPLIT(A532,"":""),1,2),)"),"GSCLCEMENT")</f>
        <v>GSCLCEMENT</v>
      </c>
      <c r="K532" s="60" t="str">
        <f t="shared" si="4"/>
        <v/>
      </c>
      <c r="L532" s="60" t="str">
        <f t="shared" si="5"/>
        <v/>
      </c>
      <c r="M532" s="60" t="str">
        <f t="shared" si="6"/>
        <v/>
      </c>
      <c r="N532" s="62" t="str">
        <f>IFERROR(__xludf.DUMMYFUNCTION("IFERROR(GOOGLEFINANCE(A532,""TRADETIME""),)"),"")</f>
        <v/>
      </c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68" t="s">
        <v>579</v>
      </c>
      <c r="B533" s="64" t="str">
        <f>IFERROR(__xludf.DUMMYFUNCTION("IFERROR(GOOGLEFINANCE(A533,""NAME""),)"),"Gujarat State Fertilizers &amp; Chemicls Ltd")</f>
        <v>Gujarat State Fertilizers &amp; Chemicls Ltd</v>
      </c>
      <c r="C533" s="64">
        <f>IFERROR(__xludf.DUMMYFUNCTION("IFERROR(GOOGLEFINANCE(A533,""CHANGE""),)"),-0.5)</f>
        <v>-0.5</v>
      </c>
      <c r="D533" s="64">
        <f>IFERROR(__xludf.DUMMYFUNCTION("IFERROR(GOOGLEFINANCE(A533,""CHANGEPCT""),)"),-0.32)</f>
        <v>-0.32</v>
      </c>
      <c r="E533" s="64" t="str">
        <f t="shared" si="1"/>
        <v>-0.32%</v>
      </c>
      <c r="F533" s="64" t="str">
        <f t="shared" si="2"/>
        <v/>
      </c>
      <c r="G533" s="64">
        <f t="shared" si="3"/>
        <v>-0.32</v>
      </c>
      <c r="H533" s="64">
        <f>IFERROR(__xludf.DUMMYFUNCTION("IFERROR(GOOGLEFINANCE(A533,""PRICE""),)"),157.95)</f>
        <v>157.95</v>
      </c>
      <c r="I533" s="65">
        <f>IFERROR(__xludf.DUMMYFUNCTION("IFERROR(GOOGLEFINANCE(A533,""VOLUME""),)"),1603085.0)</f>
        <v>1603085</v>
      </c>
      <c r="J533" s="64" t="str">
        <f>IFERROR(__xludf.DUMMYFUNCTION("IFERROR(INDEX(SPLIT(A533,"":""),1,2),)"),"GSFC")</f>
        <v>GSFC</v>
      </c>
      <c r="K533" s="64" t="str">
        <f t="shared" si="4"/>
        <v/>
      </c>
      <c r="L533" s="64">
        <f t="shared" si="5"/>
        <v>83</v>
      </c>
      <c r="M533" s="64">
        <f t="shared" si="6"/>
        <v>232</v>
      </c>
      <c r="N533" s="66">
        <f>IFERROR(__xludf.DUMMYFUNCTION("IFERROR(GOOGLEFINANCE(A533,""TRADETIME""),)"),46086.64584490741)</f>
        <v>46086.64584</v>
      </c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67" t="s">
        <v>580</v>
      </c>
      <c r="B534" s="60" t="str">
        <f>IFERROR(__xludf.DUMMYFUNCTION("IFERROR(GOOGLEFINANCE(A534,""NAME""),)"),"Gujarat State Petronet Ltd")</f>
        <v>Gujarat State Petronet Ltd</v>
      </c>
      <c r="C534" s="60">
        <f>IFERROR(__xludf.DUMMYFUNCTION("IFERROR(GOOGLEFINANCE(A534,""CHANGE""),)"),1.9)</f>
        <v>1.9</v>
      </c>
      <c r="D534" s="60">
        <f>IFERROR(__xludf.DUMMYFUNCTION("IFERROR(GOOGLEFINANCE(A534,""CHANGEPCT""),)"),0.66)</f>
        <v>0.66</v>
      </c>
      <c r="E534" s="60" t="str">
        <f t="shared" si="1"/>
        <v>0.66%</v>
      </c>
      <c r="F534" s="60">
        <f t="shared" si="2"/>
        <v>0.66</v>
      </c>
      <c r="G534" s="60" t="str">
        <f t="shared" si="3"/>
        <v/>
      </c>
      <c r="H534" s="60">
        <f>IFERROR(__xludf.DUMMYFUNCTION("IFERROR(GOOGLEFINANCE(A534,""PRICE""),)"),291.1)</f>
        <v>291.1</v>
      </c>
      <c r="I534" s="61">
        <f>IFERROR(__xludf.DUMMYFUNCTION("IFERROR(GOOGLEFINANCE(A534,""VOLUME""),)"),792737.0)</f>
        <v>792737</v>
      </c>
      <c r="J534" s="60" t="str">
        <f>IFERROR(__xludf.DUMMYFUNCTION("IFERROR(INDEX(SPLIT(A534,"":""),1,2),)"),"GSPL")</f>
        <v>GSPL</v>
      </c>
      <c r="K534" s="60">
        <f t="shared" si="4"/>
        <v>829</v>
      </c>
      <c r="L534" s="60" t="str">
        <f t="shared" si="5"/>
        <v/>
      </c>
      <c r="M534" s="60">
        <f t="shared" si="6"/>
        <v>317</v>
      </c>
      <c r="N534" s="62">
        <f>IFERROR(__xludf.DUMMYFUNCTION("IFERROR(GOOGLEFINANCE(A534,""TRADETIME""),)"),46086.64583333333)</f>
        <v>46086.64583</v>
      </c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68" t="s">
        <v>581</v>
      </c>
      <c r="B535" s="64" t="str">
        <f>IFERROR(__xludf.DUMMYFUNCTION("IFERROR(GOOGLEFINANCE(A535,""NAME""),)"),"GSS Infotech Ltd")</f>
        <v>GSS Infotech Ltd</v>
      </c>
      <c r="C535" s="64">
        <f>IFERROR(__xludf.DUMMYFUNCTION("IFERROR(GOOGLEFINANCE(A535,""CHANGE""),)"),-0.14)</f>
        <v>-0.14</v>
      </c>
      <c r="D535" s="64">
        <f>IFERROR(__xludf.DUMMYFUNCTION("IFERROR(GOOGLEFINANCE(A535,""CHANGEPCT""),)"),-1.07)</f>
        <v>-1.07</v>
      </c>
      <c r="E535" s="64" t="str">
        <f t="shared" si="1"/>
        <v>-1.07%</v>
      </c>
      <c r="F535" s="64" t="str">
        <f t="shared" si="2"/>
        <v/>
      </c>
      <c r="G535" s="64">
        <f t="shared" si="3"/>
        <v>-1.07</v>
      </c>
      <c r="H535" s="64">
        <f>IFERROR(__xludf.DUMMYFUNCTION("IFERROR(GOOGLEFINANCE(A535,""PRICE""),)"),13.0)</f>
        <v>13</v>
      </c>
      <c r="I535" s="65">
        <f>IFERROR(__xludf.DUMMYFUNCTION("IFERROR(GOOGLEFINANCE(A535,""VOLUME""),)"),22933.0)</f>
        <v>22933</v>
      </c>
      <c r="J535" s="64" t="str">
        <f>IFERROR(__xludf.DUMMYFUNCTION("IFERROR(INDEX(SPLIT(A535,"":""),1,2),)"),"GSS")</f>
        <v>GSS</v>
      </c>
      <c r="K535" s="64" t="str">
        <f t="shared" si="4"/>
        <v/>
      </c>
      <c r="L535" s="64">
        <f t="shared" si="5"/>
        <v>224</v>
      </c>
      <c r="M535" s="64">
        <f t="shared" si="6"/>
        <v>1115</v>
      </c>
      <c r="N535" s="66">
        <f>IFERROR(__xludf.DUMMYFUNCTION("IFERROR(GOOGLEFINANCE(A535,""TRADETIME""),)"),46086.64583333333)</f>
        <v>46086.64583</v>
      </c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67" t="s">
        <v>582</v>
      </c>
      <c r="B536" s="60" t="str">
        <f>IFERROR(__xludf.DUMMYFUNCTION("IFERROR(GOOGLEFINANCE(A536,""NAME""),)"),"GTL Ltd")</f>
        <v>GTL Ltd</v>
      </c>
      <c r="C536" s="60">
        <f>IFERROR(__xludf.DUMMYFUNCTION("IFERROR(GOOGLEFINANCE(A536,""CHANGE""),)"),0.04)</f>
        <v>0.04</v>
      </c>
      <c r="D536" s="60">
        <f>IFERROR(__xludf.DUMMYFUNCTION("IFERROR(GOOGLEFINANCE(A536,""CHANGEPCT""),)"),0.58)</f>
        <v>0.58</v>
      </c>
      <c r="E536" s="60" t="str">
        <f t="shared" si="1"/>
        <v>0.58%</v>
      </c>
      <c r="F536" s="60">
        <f t="shared" si="2"/>
        <v>0.58</v>
      </c>
      <c r="G536" s="60" t="str">
        <f t="shared" si="3"/>
        <v/>
      </c>
      <c r="H536" s="60">
        <f>IFERROR(__xludf.DUMMYFUNCTION("IFERROR(GOOGLEFINANCE(A536,""PRICE""),)"),6.91)</f>
        <v>6.91</v>
      </c>
      <c r="I536" s="61">
        <f>IFERROR(__xludf.DUMMYFUNCTION("IFERROR(GOOGLEFINANCE(A536,""VOLUME""),)"),228237.0)</f>
        <v>228237</v>
      </c>
      <c r="J536" s="60" t="str">
        <f>IFERROR(__xludf.DUMMYFUNCTION("IFERROR(INDEX(SPLIT(A536,"":""),1,2),)"),"GTL")</f>
        <v>GTL</v>
      </c>
      <c r="K536" s="60">
        <f t="shared" si="4"/>
        <v>851</v>
      </c>
      <c r="L536" s="60" t="str">
        <f t="shared" si="5"/>
        <v/>
      </c>
      <c r="M536" s="60">
        <f t="shared" si="6"/>
        <v>575</v>
      </c>
      <c r="N536" s="62">
        <f>IFERROR(__xludf.DUMMYFUNCTION("IFERROR(GOOGLEFINANCE(A536,""TRADETIME""),)"),46086.64583333333)</f>
        <v>46086.64583</v>
      </c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68" t="s">
        <v>583</v>
      </c>
      <c r="B537" s="64" t="str">
        <f>IFERROR(__xludf.DUMMYFUNCTION("IFERROR(GOOGLEFINANCE(A537,""NAME""),)"),"GTL Infrastructure Limited")</f>
        <v>GTL Infrastructure Limited</v>
      </c>
      <c r="C537" s="64">
        <f>IFERROR(__xludf.DUMMYFUNCTION("IFERROR(GOOGLEFINANCE(A537,""CHANGE""),)"),0.01)</f>
        <v>0.01</v>
      </c>
      <c r="D537" s="64">
        <f>IFERROR(__xludf.DUMMYFUNCTION("IFERROR(GOOGLEFINANCE(A537,""CHANGEPCT""),)"),0.92)</f>
        <v>0.92</v>
      </c>
      <c r="E537" s="64" t="str">
        <f t="shared" si="1"/>
        <v>0.92%</v>
      </c>
      <c r="F537" s="64">
        <f t="shared" si="2"/>
        <v>0.92</v>
      </c>
      <c r="G537" s="64" t="str">
        <f t="shared" si="3"/>
        <v/>
      </c>
      <c r="H537" s="64">
        <f>IFERROR(__xludf.DUMMYFUNCTION("IFERROR(GOOGLEFINANCE(A537,""PRICE""),)"),1.1)</f>
        <v>1.1</v>
      </c>
      <c r="I537" s="65">
        <f>IFERROR(__xludf.DUMMYFUNCTION("IFERROR(GOOGLEFINANCE(A537,""VOLUME""),)"),2.5815135E7)</f>
        <v>25815135</v>
      </c>
      <c r="J537" s="64" t="str">
        <f>IFERROR(__xludf.DUMMYFUNCTION("IFERROR(INDEX(SPLIT(A537,"":""),1,2),)"),"GTLINFRA")</f>
        <v>GTLINFRA</v>
      </c>
      <c r="K537" s="64">
        <f t="shared" si="4"/>
        <v>746</v>
      </c>
      <c r="L537" s="64" t="str">
        <f t="shared" si="5"/>
        <v/>
      </c>
      <c r="M537" s="64">
        <f t="shared" si="6"/>
        <v>18</v>
      </c>
      <c r="N537" s="66">
        <f>IFERROR(__xludf.DUMMYFUNCTION("IFERROR(GOOGLEFINANCE(A537,""TRADETIME""),)"),46086.64583333333)</f>
        <v>46086.64583</v>
      </c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9" t="s">
        <v>584</v>
      </c>
      <c r="B538" s="60" t="str">
        <f>IFERROR(__xludf.DUMMYFUNCTION("IFERROR(GOOGLEFINANCE(A538,""NAME""),)"),"Gtn Textiles Ltd")</f>
        <v>Gtn Textiles Ltd</v>
      </c>
      <c r="C538" s="60">
        <f>IFERROR(__xludf.DUMMYFUNCTION("IFERROR(GOOGLEFINANCE(A538,""CHANGE""),)"),0.41)</f>
        <v>0.41</v>
      </c>
      <c r="D538" s="60">
        <f>IFERROR(__xludf.DUMMYFUNCTION("IFERROR(GOOGLEFINANCE(A538,""CHANGEPCT""),)"),4.93)</f>
        <v>4.93</v>
      </c>
      <c r="E538" s="60" t="str">
        <f t="shared" si="1"/>
        <v>4.93%</v>
      </c>
      <c r="F538" s="60">
        <f t="shared" si="2"/>
        <v>4.93</v>
      </c>
      <c r="G538" s="60" t="str">
        <f t="shared" si="3"/>
        <v/>
      </c>
      <c r="H538" s="60">
        <f>IFERROR(__xludf.DUMMYFUNCTION("IFERROR(GOOGLEFINANCE(A538,""PRICE""),)"),8.73)</f>
        <v>8.73</v>
      </c>
      <c r="I538" s="61">
        <f>IFERROR(__xludf.DUMMYFUNCTION("IFERROR(GOOGLEFINANCE(A538,""VOLUME""),)"),5572.0)</f>
        <v>5572</v>
      </c>
      <c r="J538" s="60">
        <f>IFERROR(__xludf.DUMMYFUNCTION("IFERROR(INDEX(SPLIT(A538,"":""),1,2),)"),532744.0)</f>
        <v>532744</v>
      </c>
      <c r="K538" s="60">
        <f t="shared" si="4"/>
        <v>83</v>
      </c>
      <c r="L538" s="60" t="str">
        <f t="shared" si="5"/>
        <v/>
      </c>
      <c r="M538" s="60">
        <f t="shared" si="6"/>
        <v>1332</v>
      </c>
      <c r="N538" s="62">
        <f>IFERROR(__xludf.DUMMYFUNCTION("IFERROR(GOOGLEFINANCE(A538,""TRADETIME""),)"),46086.64583333333)</f>
        <v>46086.64583</v>
      </c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68" t="s">
        <v>585</v>
      </c>
      <c r="B539" s="64" t="str">
        <f>IFERROR(__xludf.DUMMYFUNCTION("IFERROR(GOOGLEFINANCE(A539,""NAME""),)"),"GTPL Hathway Ltd")</f>
        <v>GTPL Hathway Ltd</v>
      </c>
      <c r="C539" s="64">
        <f>IFERROR(__xludf.DUMMYFUNCTION("IFERROR(GOOGLEFINANCE(A539,""CHANGE""),)"),5.31)</f>
        <v>5.31</v>
      </c>
      <c r="D539" s="64">
        <f>IFERROR(__xludf.DUMMYFUNCTION("IFERROR(GOOGLEFINANCE(A539,""CHANGEPCT""),)"),8.1)</f>
        <v>8.1</v>
      </c>
      <c r="E539" s="64" t="str">
        <f t="shared" si="1"/>
        <v>8.1%</v>
      </c>
      <c r="F539" s="64">
        <f t="shared" si="2"/>
        <v>8.1</v>
      </c>
      <c r="G539" s="64" t="str">
        <f t="shared" si="3"/>
        <v/>
      </c>
      <c r="H539" s="64">
        <f>IFERROR(__xludf.DUMMYFUNCTION("IFERROR(GOOGLEFINANCE(A539,""PRICE""),)"),62.99)</f>
        <v>62.99</v>
      </c>
      <c r="I539" s="65">
        <f>IFERROR(__xludf.DUMMYFUNCTION("IFERROR(GOOGLEFINANCE(A539,""VOLUME""),)"),1838956.0)</f>
        <v>1838956</v>
      </c>
      <c r="J539" s="64" t="str">
        <f>IFERROR(__xludf.DUMMYFUNCTION("IFERROR(INDEX(SPLIT(A539,"":""),1,2),)"),"GTPL")</f>
        <v>GTPL</v>
      </c>
      <c r="K539" s="64">
        <f t="shared" si="4"/>
        <v>22</v>
      </c>
      <c r="L539" s="64" t="str">
        <f t="shared" si="5"/>
        <v/>
      </c>
      <c r="M539" s="64">
        <f t="shared" si="6"/>
        <v>219</v>
      </c>
      <c r="N539" s="66">
        <f>IFERROR(__xludf.DUMMYFUNCTION("IFERROR(GOOGLEFINANCE(A539,""TRADETIME""),)"),46086.64583333333)</f>
        <v>46086.64583</v>
      </c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67" t="s">
        <v>586</v>
      </c>
      <c r="B540" s="60" t="str">
        <f>IFERROR(__xludf.DUMMYFUNCTION("IFERROR(GOOGLEFINANCE(A540,""NAME""),)"),"Gufic BioSciences Ltd")</f>
        <v>Gufic BioSciences Ltd</v>
      </c>
      <c r="C540" s="60">
        <f>IFERROR(__xludf.DUMMYFUNCTION("IFERROR(GOOGLEFINANCE(A540,""CHANGE""),)"),-1.85)</f>
        <v>-1.85</v>
      </c>
      <c r="D540" s="60">
        <f>IFERROR(__xludf.DUMMYFUNCTION("IFERROR(GOOGLEFINANCE(A540,""CHANGEPCT""),)"),-0.68)</f>
        <v>-0.68</v>
      </c>
      <c r="E540" s="60" t="str">
        <f t="shared" si="1"/>
        <v>-0.68%</v>
      </c>
      <c r="F540" s="60" t="str">
        <f t="shared" si="2"/>
        <v/>
      </c>
      <c r="G540" s="60">
        <f t="shared" si="3"/>
        <v>-0.68</v>
      </c>
      <c r="H540" s="60">
        <f>IFERROR(__xludf.DUMMYFUNCTION("IFERROR(GOOGLEFINANCE(A540,""PRICE""),)"),282.7)</f>
        <v>282.7</v>
      </c>
      <c r="I540" s="61">
        <f>IFERROR(__xludf.DUMMYFUNCTION("IFERROR(GOOGLEFINANCE(A540,""VOLUME""),)"),27909.0)</f>
        <v>27909</v>
      </c>
      <c r="J540" s="60" t="str">
        <f>IFERROR(__xludf.DUMMYFUNCTION("IFERROR(INDEX(SPLIT(A540,"":""),1,2),)"),"GUFICBIO")</f>
        <v>GUFICBIO</v>
      </c>
      <c r="K540" s="60" t="str">
        <f t="shared" si="4"/>
        <v/>
      </c>
      <c r="L540" s="60">
        <f t="shared" si="5"/>
        <v>163</v>
      </c>
      <c r="M540" s="60">
        <f t="shared" si="6"/>
        <v>1070</v>
      </c>
      <c r="N540" s="62">
        <f>IFERROR(__xludf.DUMMYFUNCTION("IFERROR(GOOGLEFINANCE(A540,""TRADETIME""),)"),46086.641643518524)</f>
        <v>46086.64164</v>
      </c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68" t="s">
        <v>587</v>
      </c>
      <c r="B541" s="64" t="str">
        <f>IFERROR(__xludf.DUMMYFUNCTION("IFERROR(GOOGLEFINANCE(A541,""NAME""),)"),"Gujarat Alkalies And Chemicals Ltd")</f>
        <v>Gujarat Alkalies And Chemicals Ltd</v>
      </c>
      <c r="C541" s="64">
        <f>IFERROR(__xludf.DUMMYFUNCTION("IFERROR(GOOGLEFINANCE(A541,""CHANGE""),)"),2.7)</f>
        <v>2.7</v>
      </c>
      <c r="D541" s="64">
        <f>IFERROR(__xludf.DUMMYFUNCTION("IFERROR(GOOGLEFINANCE(A541,""CHANGEPCT""),)"),0.59)</f>
        <v>0.59</v>
      </c>
      <c r="E541" s="64" t="str">
        <f t="shared" si="1"/>
        <v>0.59%</v>
      </c>
      <c r="F541" s="64">
        <f t="shared" si="2"/>
        <v>0.59</v>
      </c>
      <c r="G541" s="64" t="str">
        <f t="shared" si="3"/>
        <v/>
      </c>
      <c r="H541" s="64">
        <f>IFERROR(__xludf.DUMMYFUNCTION("IFERROR(GOOGLEFINANCE(A541,""PRICE""),)"),459.3)</f>
        <v>459.3</v>
      </c>
      <c r="I541" s="65">
        <f>IFERROR(__xludf.DUMMYFUNCTION("IFERROR(GOOGLEFINANCE(A541,""VOLUME""),)"),18861.0)</f>
        <v>18861</v>
      </c>
      <c r="J541" s="64" t="str">
        <f>IFERROR(__xludf.DUMMYFUNCTION("IFERROR(INDEX(SPLIT(A541,"":""),1,2),)"),"GUJALKALI")</f>
        <v>GUJALKALI</v>
      </c>
      <c r="K541" s="64">
        <f t="shared" si="4"/>
        <v>849</v>
      </c>
      <c r="L541" s="64" t="str">
        <f t="shared" si="5"/>
        <v/>
      </c>
      <c r="M541" s="64">
        <f t="shared" si="6"/>
        <v>1153</v>
      </c>
      <c r="N541" s="66">
        <f>IFERROR(__xludf.DUMMYFUNCTION("IFERROR(GOOGLEFINANCE(A541,""TRADETIME""),)"),46086.64583333333)</f>
        <v>46086.64583</v>
      </c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67" t="s">
        <v>588</v>
      </c>
      <c r="B542" s="60" t="str">
        <f>IFERROR(__xludf.DUMMYFUNCTION("IFERROR(GOOGLEFINANCE(A542,""NAME""),)"),"Gujarat Apollo Industries Ltd")</f>
        <v>Gujarat Apollo Industries Ltd</v>
      </c>
      <c r="C542" s="60">
        <f>IFERROR(__xludf.DUMMYFUNCTION("IFERROR(GOOGLEFINANCE(A542,""CHANGE""),)"),-2.5)</f>
        <v>-2.5</v>
      </c>
      <c r="D542" s="60">
        <f>IFERROR(__xludf.DUMMYFUNCTION("IFERROR(GOOGLEFINANCE(A542,""CHANGEPCT""),)"),-0.69)</f>
        <v>-0.69</v>
      </c>
      <c r="E542" s="60" t="str">
        <f t="shared" si="1"/>
        <v>-0.69%</v>
      </c>
      <c r="F542" s="60" t="str">
        <f t="shared" si="2"/>
        <v/>
      </c>
      <c r="G542" s="60">
        <f t="shared" si="3"/>
        <v>-0.69</v>
      </c>
      <c r="H542" s="60">
        <f>IFERROR(__xludf.DUMMYFUNCTION("IFERROR(GOOGLEFINANCE(A542,""PRICE""),)"),360.0)</f>
        <v>360</v>
      </c>
      <c r="I542" s="61">
        <f>IFERROR(__xludf.DUMMYFUNCTION("IFERROR(GOOGLEFINANCE(A542,""VOLUME""),)"),15172.0)</f>
        <v>15172</v>
      </c>
      <c r="J542" s="60" t="str">
        <f>IFERROR(__xludf.DUMMYFUNCTION("IFERROR(INDEX(SPLIT(A542,"":""),1,2),)"),"GUJAPOLLO")</f>
        <v>GUJAPOLLO</v>
      </c>
      <c r="K542" s="60" t="str">
        <f t="shared" si="4"/>
        <v/>
      </c>
      <c r="L542" s="60">
        <f t="shared" si="5"/>
        <v>166</v>
      </c>
      <c r="M542" s="60">
        <f t="shared" si="6"/>
        <v>1193</v>
      </c>
      <c r="N542" s="62">
        <f>IFERROR(__xludf.DUMMYFUNCTION("IFERROR(GOOGLEFINANCE(A542,""TRADETIME""),)"),46086.64583333333)</f>
        <v>46086.64583</v>
      </c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68" t="s">
        <v>589</v>
      </c>
      <c r="B543" s="64" t="str">
        <f>IFERROR(__xludf.DUMMYFUNCTION("IFERROR(GOOGLEFINANCE(A543,""NAME""),)"),"Gujarat Gas Ltd")</f>
        <v>Gujarat Gas Ltd</v>
      </c>
      <c r="C543" s="64">
        <f>IFERROR(__xludf.DUMMYFUNCTION("IFERROR(GOOGLEFINANCE(A543,""CHANGE""),)"),-22.6)</f>
        <v>-22.6</v>
      </c>
      <c r="D543" s="64">
        <f>IFERROR(__xludf.DUMMYFUNCTION("IFERROR(GOOGLEFINANCE(A543,""CHANGEPCT""),)"),-5.41)</f>
        <v>-5.41</v>
      </c>
      <c r="E543" s="64" t="str">
        <f t="shared" si="1"/>
        <v>-5.41%</v>
      </c>
      <c r="F543" s="64" t="str">
        <f t="shared" si="2"/>
        <v/>
      </c>
      <c r="G543" s="64">
        <f t="shared" si="3"/>
        <v>-5.41</v>
      </c>
      <c r="H543" s="64">
        <f>IFERROR(__xludf.DUMMYFUNCTION("IFERROR(GOOGLEFINANCE(A543,""PRICE""),)"),397.6)</f>
        <v>397.6</v>
      </c>
      <c r="I543" s="65">
        <f>IFERROR(__xludf.DUMMYFUNCTION("IFERROR(GOOGLEFINANCE(A543,""VOLUME""),)"),2723880.0)</f>
        <v>2723880</v>
      </c>
      <c r="J543" s="64" t="str">
        <f>IFERROR(__xludf.DUMMYFUNCTION("IFERROR(INDEX(SPLIT(A543,"":""),1,2),)"),"GUJGASLTD")</f>
        <v>GUJGASLTD</v>
      </c>
      <c r="K543" s="64" t="str">
        <f t="shared" si="4"/>
        <v/>
      </c>
      <c r="L543" s="64">
        <f t="shared" si="5"/>
        <v>444</v>
      </c>
      <c r="M543" s="64">
        <f t="shared" si="6"/>
        <v>161</v>
      </c>
      <c r="N543" s="66">
        <f>IFERROR(__xludf.DUMMYFUNCTION("IFERROR(GOOGLEFINANCE(A543,""TRADETIME""),)"),46086.64585648148)</f>
        <v>46086.64586</v>
      </c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67" t="s">
        <v>590</v>
      </c>
      <c r="B544" s="60" t="str">
        <f>IFERROR(__xludf.DUMMYFUNCTION("IFERROR(GOOGLEFINANCE(A544,""NAME""),)"),"Gujarat Raffia Industries Ltd(NDA)")</f>
        <v>Gujarat Raffia Industries Ltd(NDA)</v>
      </c>
      <c r="C544" s="60">
        <f>IFERROR(__xludf.DUMMYFUNCTION("IFERROR(GOOGLEFINANCE(A544,""CHANGE""),)"),1.77)</f>
        <v>1.77</v>
      </c>
      <c r="D544" s="60">
        <f>IFERROR(__xludf.DUMMYFUNCTION("IFERROR(GOOGLEFINANCE(A544,""CHANGEPCT""),)"),4.99)</f>
        <v>4.99</v>
      </c>
      <c r="E544" s="60" t="str">
        <f t="shared" si="1"/>
        <v>4.99%</v>
      </c>
      <c r="F544" s="60">
        <f t="shared" si="2"/>
        <v>4.99</v>
      </c>
      <c r="G544" s="60" t="str">
        <f t="shared" si="3"/>
        <v/>
      </c>
      <c r="H544" s="60">
        <f>IFERROR(__xludf.DUMMYFUNCTION("IFERROR(GOOGLEFINANCE(A544,""PRICE""),)"),37.22)</f>
        <v>37.22</v>
      </c>
      <c r="I544" s="61">
        <f>IFERROR(__xludf.DUMMYFUNCTION("IFERROR(GOOGLEFINANCE(A544,""VOLUME""),)"),4761.0)</f>
        <v>4761</v>
      </c>
      <c r="J544" s="60" t="str">
        <f>IFERROR(__xludf.DUMMYFUNCTION("IFERROR(INDEX(SPLIT(A544,"":""),1,2),)"),"GUJRAFFIA")</f>
        <v>GUJRAFFIA</v>
      </c>
      <c r="K544" s="60">
        <f t="shared" si="4"/>
        <v>74</v>
      </c>
      <c r="L544" s="60" t="str">
        <f t="shared" si="5"/>
        <v/>
      </c>
      <c r="M544" s="60">
        <f t="shared" si="6"/>
        <v>1350</v>
      </c>
      <c r="N544" s="62">
        <f>IFERROR(__xludf.DUMMYFUNCTION("IFERROR(GOOGLEFINANCE(A544,""TRADETIME""),)"),46086.64583333333)</f>
        <v>46086.64583</v>
      </c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68" t="s">
        <v>591</v>
      </c>
      <c r="B545" s="64" t="str">
        <f>IFERROR(__xludf.DUMMYFUNCTION("IFERROR(GOOGLEFINANCE(A545,""NAME""),)"),"Gulf Oil Lubricants India Ltd")</f>
        <v>Gulf Oil Lubricants India Ltd</v>
      </c>
      <c r="C545" s="64">
        <f>IFERROR(__xludf.DUMMYFUNCTION("IFERROR(GOOGLEFINANCE(A545,""CHANGE""),)"),-18.9)</f>
        <v>-18.9</v>
      </c>
      <c r="D545" s="64">
        <f>IFERROR(__xludf.DUMMYFUNCTION("IFERROR(GOOGLEFINANCE(A545,""CHANGEPCT""),)"),-1.81)</f>
        <v>-1.81</v>
      </c>
      <c r="E545" s="64" t="str">
        <f t="shared" si="1"/>
        <v>-1.81%</v>
      </c>
      <c r="F545" s="64" t="str">
        <f t="shared" si="2"/>
        <v/>
      </c>
      <c r="G545" s="64">
        <f t="shared" si="3"/>
        <v>-1.81</v>
      </c>
      <c r="H545" s="64">
        <f>IFERROR(__xludf.DUMMYFUNCTION("IFERROR(GOOGLEFINANCE(A545,""PRICE""),)"),1024.0)</f>
        <v>1024</v>
      </c>
      <c r="I545" s="65">
        <f>IFERROR(__xludf.DUMMYFUNCTION("IFERROR(GOOGLEFINANCE(A545,""VOLUME""),)"),90395.0)</f>
        <v>90395</v>
      </c>
      <c r="J545" s="64" t="str">
        <f>IFERROR(__xludf.DUMMYFUNCTION("IFERROR(INDEX(SPLIT(A545,"":""),1,2),)"),"GULFOILLUB")</f>
        <v>GULFOILLUB</v>
      </c>
      <c r="K545" s="64" t="str">
        <f t="shared" si="4"/>
        <v/>
      </c>
      <c r="L545" s="64">
        <f t="shared" si="5"/>
        <v>326</v>
      </c>
      <c r="M545" s="64">
        <f t="shared" si="6"/>
        <v>781</v>
      </c>
      <c r="N545" s="66">
        <f>IFERROR(__xludf.DUMMYFUNCTION("IFERROR(GOOGLEFINANCE(A545,""TRADETIME""),)"),46086.64584490741)</f>
        <v>46086.64584</v>
      </c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67" t="s">
        <v>592</v>
      </c>
      <c r="B546" s="60" t="str">
        <f>IFERROR(__xludf.DUMMYFUNCTION("IFERROR(GOOGLEFINANCE(A546,""NAME""),)"),"GP Petroleums Ltd")</f>
        <v>GP Petroleums Ltd</v>
      </c>
      <c r="C546" s="60">
        <f>IFERROR(__xludf.DUMMYFUNCTION("IFERROR(GOOGLEFINANCE(A546,""CHANGE""),)"),-0.44)</f>
        <v>-0.44</v>
      </c>
      <c r="D546" s="60">
        <f>IFERROR(__xludf.DUMMYFUNCTION("IFERROR(GOOGLEFINANCE(A546,""CHANGEPCT""),)"),-1.37)</f>
        <v>-1.37</v>
      </c>
      <c r="E546" s="60" t="str">
        <f t="shared" si="1"/>
        <v>-1.37%</v>
      </c>
      <c r="F546" s="60" t="str">
        <f t="shared" si="2"/>
        <v/>
      </c>
      <c r="G546" s="60">
        <f t="shared" si="3"/>
        <v>-1.37</v>
      </c>
      <c r="H546" s="60">
        <f>IFERROR(__xludf.DUMMYFUNCTION("IFERROR(GOOGLEFINANCE(A546,""PRICE""),)"),31.7)</f>
        <v>31.7</v>
      </c>
      <c r="I546" s="61">
        <f>IFERROR(__xludf.DUMMYFUNCTION("IFERROR(GOOGLEFINANCE(A546,""VOLUME""),)"),78118.0)</f>
        <v>78118</v>
      </c>
      <c r="J546" s="60" t="str">
        <f>IFERROR(__xludf.DUMMYFUNCTION("IFERROR(INDEX(SPLIT(A546,"":""),1,2),)"),"GULFPETRO")</f>
        <v>GULFPETRO</v>
      </c>
      <c r="K546" s="60" t="str">
        <f t="shared" si="4"/>
        <v/>
      </c>
      <c r="L546" s="60">
        <f t="shared" si="5"/>
        <v>275</v>
      </c>
      <c r="M546" s="60">
        <f t="shared" si="6"/>
        <v>819</v>
      </c>
      <c r="N546" s="62">
        <f>IFERROR(__xludf.DUMMYFUNCTION("IFERROR(GOOGLEFINANCE(A546,""TRADETIME""),)"),46086.64028935185)</f>
        <v>46086.64029</v>
      </c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68" t="s">
        <v>593</v>
      </c>
      <c r="B547" s="64" t="str">
        <f>IFERROR(__xludf.DUMMYFUNCTION("IFERROR(GOOGLEFINANCE(A547,""NAME""),)"),"Gulshan Polyols Ltd")</f>
        <v>Gulshan Polyols Ltd</v>
      </c>
      <c r="C547" s="64">
        <f>IFERROR(__xludf.DUMMYFUNCTION("IFERROR(GOOGLEFINANCE(A547,""CHANGE""),)"),1.12)</f>
        <v>1.12</v>
      </c>
      <c r="D547" s="64">
        <f>IFERROR(__xludf.DUMMYFUNCTION("IFERROR(GOOGLEFINANCE(A547,""CHANGEPCT""),)"),0.74)</f>
        <v>0.74</v>
      </c>
      <c r="E547" s="64" t="str">
        <f t="shared" si="1"/>
        <v>0.74%</v>
      </c>
      <c r="F547" s="64">
        <f t="shared" si="2"/>
        <v>0.74</v>
      </c>
      <c r="G547" s="64" t="str">
        <f t="shared" si="3"/>
        <v/>
      </c>
      <c r="H547" s="64">
        <f>IFERROR(__xludf.DUMMYFUNCTION("IFERROR(GOOGLEFINANCE(A547,""PRICE""),)"),152.52)</f>
        <v>152.52</v>
      </c>
      <c r="I547" s="65">
        <f>IFERROR(__xludf.DUMMYFUNCTION("IFERROR(GOOGLEFINANCE(A547,""VOLUME""),)"),121761.0)</f>
        <v>121761</v>
      </c>
      <c r="J547" s="64" t="str">
        <f>IFERROR(__xludf.DUMMYFUNCTION("IFERROR(INDEX(SPLIT(A547,"":""),1,2),)"),"GULPOLY")</f>
        <v>GULPOLY</v>
      </c>
      <c r="K547" s="64">
        <f t="shared" si="4"/>
        <v>805</v>
      </c>
      <c r="L547" s="64" t="str">
        <f t="shared" si="5"/>
        <v/>
      </c>
      <c r="M547" s="64">
        <f t="shared" si="6"/>
        <v>719</v>
      </c>
      <c r="N547" s="66">
        <f>IFERROR(__xludf.DUMMYFUNCTION("IFERROR(GOOGLEFINANCE(A547,""TRADETIME""),)"),46086.64585648148)</f>
        <v>46086.64586</v>
      </c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67" t="s">
        <v>594</v>
      </c>
      <c r="B548" s="60" t="str">
        <f>IFERROR(__xludf.DUMMYFUNCTION("IFERROR(GOOGLEFINANCE(A548,""NAME""),)"),"Hindustan Aeronautics Ltd")</f>
        <v>Hindustan Aeronautics Ltd</v>
      </c>
      <c r="C548" s="60">
        <f>IFERROR(__xludf.DUMMYFUNCTION("IFERROR(GOOGLEFINANCE(A548,""CHANGE""),)"),18.1)</f>
        <v>18.1</v>
      </c>
      <c r="D548" s="60">
        <f>IFERROR(__xludf.DUMMYFUNCTION("IFERROR(GOOGLEFINANCE(A548,""CHANGEPCT""),)"),0.47)</f>
        <v>0.47</v>
      </c>
      <c r="E548" s="60" t="str">
        <f t="shared" si="1"/>
        <v>0.47%</v>
      </c>
      <c r="F548" s="60">
        <f t="shared" si="2"/>
        <v>0.47</v>
      </c>
      <c r="G548" s="60" t="str">
        <f t="shared" si="3"/>
        <v/>
      </c>
      <c r="H548" s="60">
        <f>IFERROR(__xludf.DUMMYFUNCTION("IFERROR(GOOGLEFINANCE(A548,""PRICE""),)"),3894.9)</f>
        <v>3894.9</v>
      </c>
      <c r="I548" s="61">
        <f>IFERROR(__xludf.DUMMYFUNCTION("IFERROR(GOOGLEFINANCE(A548,""VOLUME""),)"),2468854.0)</f>
        <v>2468854</v>
      </c>
      <c r="J548" s="60" t="str">
        <f>IFERROR(__xludf.DUMMYFUNCTION("IFERROR(INDEX(SPLIT(A548,"":""),1,2),)"),"HAL")</f>
        <v>HAL</v>
      </c>
      <c r="K548" s="60">
        <f t="shared" si="4"/>
        <v>885</v>
      </c>
      <c r="L548" s="60" t="str">
        <f t="shared" si="5"/>
        <v/>
      </c>
      <c r="M548" s="60">
        <f t="shared" si="6"/>
        <v>175</v>
      </c>
      <c r="N548" s="62">
        <f>IFERROR(__xludf.DUMMYFUNCTION("IFERROR(GOOGLEFINANCE(A548,""TRADETIME""),)"),46086.640451388885)</f>
        <v>46086.64045</v>
      </c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68" t="s">
        <v>595</v>
      </c>
      <c r="B549" s="64" t="str">
        <f>IFERROR(__xludf.DUMMYFUNCTION("IFERROR(GOOGLEFINANCE(A549,""NAME""),)"),"Happiest Minds Technologies Ltd")</f>
        <v>Happiest Minds Technologies Ltd</v>
      </c>
      <c r="C549" s="64">
        <f>IFERROR(__xludf.DUMMYFUNCTION("IFERROR(GOOGLEFINANCE(A549,""CHANGE""),)"),2.3)</f>
        <v>2.3</v>
      </c>
      <c r="D549" s="64">
        <f>IFERROR(__xludf.DUMMYFUNCTION("IFERROR(GOOGLEFINANCE(A549,""CHANGEPCT""),)"),0.67)</f>
        <v>0.67</v>
      </c>
      <c r="E549" s="64" t="str">
        <f t="shared" si="1"/>
        <v>0.67%</v>
      </c>
      <c r="F549" s="64">
        <f t="shared" si="2"/>
        <v>0.67</v>
      </c>
      <c r="G549" s="64" t="str">
        <f t="shared" si="3"/>
        <v/>
      </c>
      <c r="H549" s="64">
        <f>IFERROR(__xludf.DUMMYFUNCTION("IFERROR(GOOGLEFINANCE(A549,""PRICE""),)"),343.8)</f>
        <v>343.8</v>
      </c>
      <c r="I549" s="65">
        <f>IFERROR(__xludf.DUMMYFUNCTION("IFERROR(GOOGLEFINANCE(A549,""VOLUME""),)"),543404.0)</f>
        <v>543404</v>
      </c>
      <c r="J549" s="64" t="str">
        <f>IFERROR(__xludf.DUMMYFUNCTION("IFERROR(INDEX(SPLIT(A549,"":""),1,2),)"),"HAPPSTMNDS")</f>
        <v>HAPPSTMNDS</v>
      </c>
      <c r="K549" s="64">
        <f t="shared" si="4"/>
        <v>827</v>
      </c>
      <c r="L549" s="64" t="str">
        <f t="shared" si="5"/>
        <v/>
      </c>
      <c r="M549" s="64">
        <f t="shared" si="6"/>
        <v>386</v>
      </c>
      <c r="N549" s="66">
        <f>IFERROR(__xludf.DUMMYFUNCTION("IFERROR(GOOGLEFINANCE(A549,""TRADETIME""),)"),46086.64583333333)</f>
        <v>46086.64583</v>
      </c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67" t="s">
        <v>596</v>
      </c>
      <c r="B550" s="60" t="str">
        <f>IFERROR(__xludf.DUMMYFUNCTION("IFERROR(GOOGLEFINANCE(A550,""NAME""),)"),"Harrisons Malayalam Ltd")</f>
        <v>Harrisons Malayalam Ltd</v>
      </c>
      <c r="C550" s="60">
        <f>IFERROR(__xludf.DUMMYFUNCTION("IFERROR(GOOGLEFINANCE(A550,""CHANGE""),)"),3.25)</f>
        <v>3.25</v>
      </c>
      <c r="D550" s="60">
        <f>IFERROR(__xludf.DUMMYFUNCTION("IFERROR(GOOGLEFINANCE(A550,""CHANGEPCT""),)"),1.79)</f>
        <v>1.79</v>
      </c>
      <c r="E550" s="60" t="str">
        <f t="shared" si="1"/>
        <v>1.79%</v>
      </c>
      <c r="F550" s="60">
        <f t="shared" si="2"/>
        <v>1.79</v>
      </c>
      <c r="G550" s="60" t="str">
        <f t="shared" si="3"/>
        <v/>
      </c>
      <c r="H550" s="60">
        <f>IFERROR(__xludf.DUMMYFUNCTION("IFERROR(GOOGLEFINANCE(A550,""PRICE""),)"),184.5)</f>
        <v>184.5</v>
      </c>
      <c r="I550" s="61">
        <f>IFERROR(__xludf.DUMMYFUNCTION("IFERROR(GOOGLEFINANCE(A550,""VOLUME""),)"),5324.0)</f>
        <v>5324</v>
      </c>
      <c r="J550" s="60" t="str">
        <f>IFERROR(__xludf.DUMMYFUNCTION("IFERROR(INDEX(SPLIT(A550,"":""),1,2),)"),"HARRMALAYA")</f>
        <v>HARRMALAYA</v>
      </c>
      <c r="K550" s="60">
        <f t="shared" si="4"/>
        <v>502</v>
      </c>
      <c r="L550" s="60" t="str">
        <f t="shared" si="5"/>
        <v/>
      </c>
      <c r="M550" s="60">
        <f t="shared" si="6"/>
        <v>1335</v>
      </c>
      <c r="N550" s="62">
        <f>IFERROR(__xludf.DUMMYFUNCTION("IFERROR(GOOGLEFINANCE(A550,""TRADETIME""),)"),46086.64583333333)</f>
        <v>46086.64583</v>
      </c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68" t="s">
        <v>597</v>
      </c>
      <c r="B551" s="64" t="str">
        <f>IFERROR(__xludf.DUMMYFUNCTION("IFERROR(GOOGLEFINANCE(A551,""NAME""),)"),"Hathway Cable and Datacom Limited")</f>
        <v>Hathway Cable and Datacom Limited</v>
      </c>
      <c r="C551" s="64">
        <f>IFERROR(__xludf.DUMMYFUNCTION("IFERROR(GOOGLEFINANCE(A551,""CHANGE""),)"),0.07)</f>
        <v>0.07</v>
      </c>
      <c r="D551" s="64">
        <f>IFERROR(__xludf.DUMMYFUNCTION("IFERROR(GOOGLEFINANCE(A551,""CHANGEPCT""),)"),0.89)</f>
        <v>0.89</v>
      </c>
      <c r="E551" s="64" t="str">
        <f t="shared" si="1"/>
        <v>0.89%</v>
      </c>
      <c r="F551" s="64">
        <f t="shared" si="2"/>
        <v>0.89</v>
      </c>
      <c r="G551" s="64" t="str">
        <f t="shared" si="3"/>
        <v/>
      </c>
      <c r="H551" s="64">
        <f>IFERROR(__xludf.DUMMYFUNCTION("IFERROR(GOOGLEFINANCE(A551,""PRICE""),)"),10.21)</f>
        <v>10.21</v>
      </c>
      <c r="I551" s="65">
        <f>IFERROR(__xludf.DUMMYFUNCTION("IFERROR(GOOGLEFINANCE(A551,""VOLUME""),)"),5165358.0)</f>
        <v>5165358</v>
      </c>
      <c r="J551" s="64" t="str">
        <f>IFERROR(__xludf.DUMMYFUNCTION("IFERROR(INDEX(SPLIT(A551,"":""),1,2),)"),"HATHWAY")</f>
        <v>HATHWAY</v>
      </c>
      <c r="K551" s="64">
        <f t="shared" si="4"/>
        <v>755</v>
      </c>
      <c r="L551" s="64" t="str">
        <f t="shared" si="5"/>
        <v/>
      </c>
      <c r="M551" s="64">
        <f t="shared" si="6"/>
        <v>105</v>
      </c>
      <c r="N551" s="66">
        <f>IFERROR(__xludf.DUMMYFUNCTION("IFERROR(GOOGLEFINANCE(A551,""TRADETIME""),)"),46086.640335648146)</f>
        <v>46086.64034</v>
      </c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67" t="s">
        <v>598</v>
      </c>
      <c r="B552" s="60" t="str">
        <f>IFERROR(__xludf.DUMMYFUNCTION("IFERROR(GOOGLEFINANCE(A552,""NAME""),)"),"Hatsun Agro Product Ltd")</f>
        <v>Hatsun Agro Product Ltd</v>
      </c>
      <c r="C552" s="60">
        <f>IFERROR(__xludf.DUMMYFUNCTION("IFERROR(GOOGLEFINANCE(A552,""CHANGE""),)"),18.15)</f>
        <v>18.15</v>
      </c>
      <c r="D552" s="60">
        <f>IFERROR(__xludf.DUMMYFUNCTION("IFERROR(GOOGLEFINANCE(A552,""CHANGEPCT""),)"),0.96)</f>
        <v>0.96</v>
      </c>
      <c r="E552" s="60" t="str">
        <f t="shared" si="1"/>
        <v>0.96%</v>
      </c>
      <c r="F552" s="60">
        <f t="shared" si="2"/>
        <v>0.96</v>
      </c>
      <c r="G552" s="60" t="str">
        <f t="shared" si="3"/>
        <v/>
      </c>
      <c r="H552" s="60">
        <f>IFERROR(__xludf.DUMMYFUNCTION("IFERROR(GOOGLEFINANCE(A552,""PRICE""),)"),920.0)</f>
        <v>920</v>
      </c>
      <c r="I552" s="61">
        <f>IFERROR(__xludf.DUMMYFUNCTION("IFERROR(GOOGLEFINANCE(A552,""VOLUME""),)"),134777.0)</f>
        <v>134777</v>
      </c>
      <c r="J552" s="60" t="str">
        <f>IFERROR(__xludf.DUMMYFUNCTION("IFERROR(INDEX(SPLIT(A552,"":""),1,2),)"),"HATSUN")</f>
        <v>HATSUN</v>
      </c>
      <c r="K552" s="60">
        <f t="shared" si="4"/>
        <v>734</v>
      </c>
      <c r="L552" s="60" t="str">
        <f t="shared" si="5"/>
        <v/>
      </c>
      <c r="M552" s="60">
        <f t="shared" si="6"/>
        <v>694</v>
      </c>
      <c r="N552" s="62">
        <f>IFERROR(__xludf.DUMMYFUNCTION("IFERROR(GOOGLEFINANCE(A552,""TRADETIME""),)"),46086.64583333333)</f>
        <v>46086.64583</v>
      </c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68" t="s">
        <v>599</v>
      </c>
      <c r="B553" s="64" t="str">
        <f>IFERROR(__xludf.DUMMYFUNCTION("IFERROR(GOOGLEFINANCE(A553,""NAME""),)"),"Havells India Ltd")</f>
        <v>Havells India Ltd</v>
      </c>
      <c r="C553" s="64">
        <f>IFERROR(__xludf.DUMMYFUNCTION("IFERROR(GOOGLEFINANCE(A553,""CHANGE""),)"),31.0)</f>
        <v>31</v>
      </c>
      <c r="D553" s="64">
        <f>IFERROR(__xludf.DUMMYFUNCTION("IFERROR(GOOGLEFINANCE(A553,""CHANGEPCT""),)"),2.35)</f>
        <v>2.35</v>
      </c>
      <c r="E553" s="64" t="str">
        <f t="shared" si="1"/>
        <v>2.35%</v>
      </c>
      <c r="F553" s="64">
        <f t="shared" si="2"/>
        <v>2.35</v>
      </c>
      <c r="G553" s="64" t="str">
        <f t="shared" si="3"/>
        <v/>
      </c>
      <c r="H553" s="64">
        <f>IFERROR(__xludf.DUMMYFUNCTION("IFERROR(GOOGLEFINANCE(A553,""PRICE""),)"),1349.7)</f>
        <v>1349.7</v>
      </c>
      <c r="I553" s="65">
        <f>IFERROR(__xludf.DUMMYFUNCTION("IFERROR(GOOGLEFINANCE(A553,""VOLUME""),)"),320423.0)</f>
        <v>320423</v>
      </c>
      <c r="J553" s="64" t="str">
        <f>IFERROR(__xludf.DUMMYFUNCTION("IFERROR(INDEX(SPLIT(A553,"":""),1,2),)"),"HAVELLS")</f>
        <v>HAVELLS</v>
      </c>
      <c r="K553" s="64">
        <f t="shared" si="4"/>
        <v>366</v>
      </c>
      <c r="L553" s="64" t="str">
        <f t="shared" si="5"/>
        <v/>
      </c>
      <c r="M553" s="64">
        <f t="shared" si="6"/>
        <v>497</v>
      </c>
      <c r="N553" s="66">
        <f>IFERROR(__xludf.DUMMYFUNCTION("IFERROR(GOOGLEFINANCE(A553,""TRADETIME""),)"),46086.63983796297)</f>
        <v>46086.63984</v>
      </c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67" t="s">
        <v>600</v>
      </c>
      <c r="B554" s="60" t="str">
        <f>IFERROR(__xludf.DUMMYFUNCTION("IFERROR(GOOGLEFINANCE(A554,""NAME""),)"),"Sri Havisha Hospitlty and Infrstrctr Ltd")</f>
        <v>Sri Havisha Hospitlty and Infrstrctr Ltd</v>
      </c>
      <c r="C554" s="60">
        <f>IFERROR(__xludf.DUMMYFUNCTION("IFERROR(GOOGLEFINANCE(A554,""CHANGE""),)"),-0.03)</f>
        <v>-0.03</v>
      </c>
      <c r="D554" s="60">
        <f>IFERROR(__xludf.DUMMYFUNCTION("IFERROR(GOOGLEFINANCE(A554,""CHANGEPCT""),)"),-2.01)</f>
        <v>-2.01</v>
      </c>
      <c r="E554" s="60" t="str">
        <f t="shared" si="1"/>
        <v>-2.01%</v>
      </c>
      <c r="F554" s="60" t="str">
        <f t="shared" si="2"/>
        <v/>
      </c>
      <c r="G554" s="60">
        <f t="shared" si="3"/>
        <v>-2.01</v>
      </c>
      <c r="H554" s="60">
        <f>IFERROR(__xludf.DUMMYFUNCTION("IFERROR(GOOGLEFINANCE(A554,""PRICE""),)"),1.46)</f>
        <v>1.46</v>
      </c>
      <c r="I554" s="61">
        <f>IFERROR(__xludf.DUMMYFUNCTION("IFERROR(GOOGLEFINANCE(A554,""VOLUME""),)"),32892.0)</f>
        <v>32892</v>
      </c>
      <c r="J554" s="60" t="str">
        <f>IFERROR(__xludf.DUMMYFUNCTION("IFERROR(INDEX(SPLIT(A554,"":""),1,2),)"),"HAVISHA")</f>
        <v>HAVISHA</v>
      </c>
      <c r="K554" s="60" t="str">
        <f t="shared" si="4"/>
        <v/>
      </c>
      <c r="L554" s="60">
        <f t="shared" si="5"/>
        <v>355</v>
      </c>
      <c r="M554" s="60">
        <f t="shared" si="6"/>
        <v>1034</v>
      </c>
      <c r="N554" s="62">
        <f>IFERROR(__xludf.DUMMYFUNCTION("IFERROR(GOOGLEFINANCE(A554,""TRADETIME""),)"),46086.6388425926)</f>
        <v>46086.63884</v>
      </c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68" t="s">
        <v>601</v>
      </c>
      <c r="B555" s="64" t="str">
        <f>IFERROR(__xludf.DUMMYFUNCTION("IFERROR(GOOGLEFINANCE(A555,""NAME""),)"),"")</f>
        <v/>
      </c>
      <c r="C555" s="64" t="str">
        <f>IFERROR(__xludf.DUMMYFUNCTION("IFERROR(GOOGLEFINANCE(A555,""CHANGE""),)"),"")</f>
        <v/>
      </c>
      <c r="D555" s="64" t="str">
        <f>IFERROR(__xludf.DUMMYFUNCTION("IFERROR(GOOGLEFINANCE(A555,""CHANGEPCT""),)"),"")</f>
        <v/>
      </c>
      <c r="E555" s="64" t="str">
        <f t="shared" si="1"/>
        <v>%</v>
      </c>
      <c r="F555" s="64" t="str">
        <f t="shared" si="2"/>
        <v/>
      </c>
      <c r="G555" s="64" t="str">
        <f t="shared" si="3"/>
        <v/>
      </c>
      <c r="H555" s="64" t="str">
        <f>IFERROR(__xludf.DUMMYFUNCTION("IFERROR(GOOGLEFINANCE(A555,""PRICE""),)"),"")</f>
        <v/>
      </c>
      <c r="I555" s="65" t="str">
        <f>IFERROR(__xludf.DUMMYFUNCTION("IFERROR(GOOGLEFINANCE(A555,""VOLUME""),)"),"")</f>
        <v/>
      </c>
      <c r="J555" s="64" t="str">
        <f>IFERROR(__xludf.DUMMYFUNCTION("IFERROR(INDEX(SPLIT(A555,"":""),1,2),)"),"HBLPOWER")</f>
        <v>HBLPOWER</v>
      </c>
      <c r="K555" s="64" t="str">
        <f t="shared" si="4"/>
        <v/>
      </c>
      <c r="L555" s="64" t="str">
        <f t="shared" si="5"/>
        <v/>
      </c>
      <c r="M555" s="64" t="str">
        <f t="shared" si="6"/>
        <v/>
      </c>
      <c r="N555" s="66" t="str">
        <f>IFERROR(__xludf.DUMMYFUNCTION("IFERROR(GOOGLEFINANCE(A555,""TRADETIME""),)"),"")</f>
        <v/>
      </c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67" t="s">
        <v>602</v>
      </c>
      <c r="B556" s="60" t="str">
        <f>IFERROR(__xludf.DUMMYFUNCTION("IFERROR(GOOGLEFINANCE(A556,""NAME""),)"),"HB Stockholdings Ltd")</f>
        <v>HB Stockholdings Ltd</v>
      </c>
      <c r="C556" s="60">
        <f>IFERROR(__xludf.DUMMYFUNCTION("IFERROR(GOOGLEFINANCE(A556,""CHANGE""),)"),0.1)</f>
        <v>0.1</v>
      </c>
      <c r="D556" s="60">
        <f>IFERROR(__xludf.DUMMYFUNCTION("IFERROR(GOOGLEFINANCE(A556,""CHANGEPCT""),)"),0.2)</f>
        <v>0.2</v>
      </c>
      <c r="E556" s="60" t="str">
        <f t="shared" si="1"/>
        <v>0.2%</v>
      </c>
      <c r="F556" s="60">
        <f t="shared" si="2"/>
        <v>0.2</v>
      </c>
      <c r="G556" s="60" t="str">
        <f t="shared" si="3"/>
        <v/>
      </c>
      <c r="H556" s="60">
        <f>IFERROR(__xludf.DUMMYFUNCTION("IFERROR(GOOGLEFINANCE(A556,""PRICE""),)"),50.61)</f>
        <v>50.61</v>
      </c>
      <c r="I556" s="61">
        <f>IFERROR(__xludf.DUMMYFUNCTION("IFERROR(GOOGLEFINANCE(A556,""VOLUME""),)"),4149.0)</f>
        <v>4149</v>
      </c>
      <c r="J556" s="60" t="str">
        <f>IFERROR(__xludf.DUMMYFUNCTION("IFERROR(INDEX(SPLIT(A556,"":""),1,2),)"),"HBSL")</f>
        <v>HBSL</v>
      </c>
      <c r="K556" s="60">
        <f t="shared" si="4"/>
        <v>951</v>
      </c>
      <c r="L556" s="60" t="str">
        <f t="shared" si="5"/>
        <v/>
      </c>
      <c r="M556" s="60">
        <f t="shared" si="6"/>
        <v>1367</v>
      </c>
      <c r="N556" s="62">
        <f>IFERROR(__xludf.DUMMYFUNCTION("IFERROR(GOOGLEFINANCE(A556,""TRADETIME""),)"),46086.64583333333)</f>
        <v>46086.64583</v>
      </c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68" t="s">
        <v>603</v>
      </c>
      <c r="B557" s="64" t="str">
        <f>IFERROR(__xludf.DUMMYFUNCTION("IFERROR(GOOGLEFINANCE(A557,""NAME""),)"),"Hindustan Construction Company Ltd")</f>
        <v>Hindustan Construction Company Ltd</v>
      </c>
      <c r="C557" s="64">
        <f>IFERROR(__xludf.DUMMYFUNCTION("IFERROR(GOOGLEFINANCE(A557,""CHANGE""),)"),0.17)</f>
        <v>0.17</v>
      </c>
      <c r="D557" s="64">
        <f>IFERROR(__xludf.DUMMYFUNCTION("IFERROR(GOOGLEFINANCE(A557,""CHANGEPCT""),)"),1.05)</f>
        <v>1.05</v>
      </c>
      <c r="E557" s="64" t="str">
        <f t="shared" si="1"/>
        <v>1.05%</v>
      </c>
      <c r="F557" s="64">
        <f t="shared" si="2"/>
        <v>1.05</v>
      </c>
      <c r="G557" s="64" t="str">
        <f t="shared" si="3"/>
        <v/>
      </c>
      <c r="H557" s="64">
        <f>IFERROR(__xludf.DUMMYFUNCTION("IFERROR(GOOGLEFINANCE(A557,""PRICE""),)"),16.28)</f>
        <v>16.28</v>
      </c>
      <c r="I557" s="65">
        <f>IFERROR(__xludf.DUMMYFUNCTION("IFERROR(GOOGLEFINANCE(A557,""VOLUME""),)"),1.8494318E7)</f>
        <v>18494318</v>
      </c>
      <c r="J557" s="64" t="str">
        <f>IFERROR(__xludf.DUMMYFUNCTION("IFERROR(INDEX(SPLIT(A557,"":""),1,2),)"),"HCC")</f>
        <v>HCC</v>
      </c>
      <c r="K557" s="64">
        <f t="shared" si="4"/>
        <v>709</v>
      </c>
      <c r="L557" s="64" t="str">
        <f t="shared" si="5"/>
        <v/>
      </c>
      <c r="M557" s="64">
        <f t="shared" si="6"/>
        <v>32</v>
      </c>
      <c r="N557" s="66">
        <f>IFERROR(__xludf.DUMMYFUNCTION("IFERROR(GOOGLEFINANCE(A557,""TRADETIME""),)"),46086.64584490741)</f>
        <v>46086.64584</v>
      </c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67" t="s">
        <v>604</v>
      </c>
      <c r="B558" s="60" t="str">
        <f>IFERROR(__xludf.DUMMYFUNCTION("IFERROR(GOOGLEFINANCE(A558,""NAME""),)"),"Healthcare Global Enterprises Ltd")</f>
        <v>Healthcare Global Enterprises Ltd</v>
      </c>
      <c r="C558" s="60">
        <f>IFERROR(__xludf.DUMMYFUNCTION("IFERROR(GOOGLEFINANCE(A558,""CHANGE""),)"),-14.9)</f>
        <v>-14.9</v>
      </c>
      <c r="D558" s="60">
        <f>IFERROR(__xludf.DUMMYFUNCTION("IFERROR(GOOGLEFINANCE(A558,""CHANGEPCT""),)"),-2.38)</f>
        <v>-2.38</v>
      </c>
      <c r="E558" s="60" t="str">
        <f t="shared" si="1"/>
        <v>-2.38%</v>
      </c>
      <c r="F558" s="60" t="str">
        <f t="shared" si="2"/>
        <v/>
      </c>
      <c r="G558" s="60">
        <f t="shared" si="3"/>
        <v>-2.38</v>
      </c>
      <c r="H558" s="60">
        <f>IFERROR(__xludf.DUMMYFUNCTION("IFERROR(GOOGLEFINANCE(A558,""PRICE""),)"),538.6)</f>
        <v>538.6</v>
      </c>
      <c r="I558" s="61">
        <f>IFERROR(__xludf.DUMMYFUNCTION("IFERROR(GOOGLEFINANCE(A558,""VOLUME""),)"),165813.0)</f>
        <v>165813</v>
      </c>
      <c r="J558" s="60" t="str">
        <f>IFERROR(__xludf.DUMMYFUNCTION("IFERROR(INDEX(SPLIT(A558,"":""),1,2),)"),"HCG")</f>
        <v>HCG</v>
      </c>
      <c r="K558" s="60" t="str">
        <f t="shared" si="4"/>
        <v/>
      </c>
      <c r="L558" s="60">
        <f t="shared" si="5"/>
        <v>381</v>
      </c>
      <c r="M558" s="60">
        <f t="shared" si="6"/>
        <v>644</v>
      </c>
      <c r="N558" s="62">
        <f>IFERROR(__xludf.DUMMYFUNCTION("IFERROR(GOOGLEFINANCE(A558,""TRADETIME""),)"),46086.64585648148)</f>
        <v>46086.64586</v>
      </c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68" t="s">
        <v>605</v>
      </c>
      <c r="B559" s="64" t="str">
        <f>IFERROR(__xludf.DUMMYFUNCTION("IFERROR(GOOGLEFINANCE(A559,""NAME""),)"),"HCL Infosystems Ltd")</f>
        <v>HCL Infosystems Ltd</v>
      </c>
      <c r="C559" s="64">
        <f>IFERROR(__xludf.DUMMYFUNCTION("IFERROR(GOOGLEFINANCE(A559,""CHANGE""),)"),0.11)</f>
        <v>0.11</v>
      </c>
      <c r="D559" s="64">
        <f>IFERROR(__xludf.DUMMYFUNCTION("IFERROR(GOOGLEFINANCE(A559,""CHANGEPCT""),)"),0.9)</f>
        <v>0.9</v>
      </c>
      <c r="E559" s="64" t="str">
        <f t="shared" si="1"/>
        <v>0.9%</v>
      </c>
      <c r="F559" s="64">
        <f t="shared" si="2"/>
        <v>0.9</v>
      </c>
      <c r="G559" s="64" t="str">
        <f t="shared" si="3"/>
        <v/>
      </c>
      <c r="H559" s="64">
        <f>IFERROR(__xludf.DUMMYFUNCTION("IFERROR(GOOGLEFINANCE(A559,""PRICE""),)"),12.35)</f>
        <v>12.35</v>
      </c>
      <c r="I559" s="65">
        <f>IFERROR(__xludf.DUMMYFUNCTION("IFERROR(GOOGLEFINANCE(A559,""VOLUME""),)"),124651.0)</f>
        <v>124651</v>
      </c>
      <c r="J559" s="64" t="str">
        <f>IFERROR(__xludf.DUMMYFUNCTION("IFERROR(INDEX(SPLIT(A559,"":""),1,2),)"),"HCL-INSYS")</f>
        <v>HCL-INSYS</v>
      </c>
      <c r="K559" s="64">
        <f t="shared" si="4"/>
        <v>751</v>
      </c>
      <c r="L559" s="64" t="str">
        <f t="shared" si="5"/>
        <v/>
      </c>
      <c r="M559" s="64">
        <f t="shared" si="6"/>
        <v>714</v>
      </c>
      <c r="N559" s="66">
        <f>IFERROR(__xludf.DUMMYFUNCTION("IFERROR(GOOGLEFINANCE(A559,""TRADETIME""),)"),46086.64583333333)</f>
        <v>46086.64583</v>
      </c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67" t="s">
        <v>606</v>
      </c>
      <c r="B560" s="60" t="str">
        <f>IFERROR(__xludf.DUMMYFUNCTION("IFERROR(GOOGLEFINANCE(A560,""NAME""),)"),"HCL Technologies Ltd")</f>
        <v>HCL Technologies Ltd</v>
      </c>
      <c r="C560" s="60">
        <f>IFERROR(__xludf.DUMMYFUNCTION("IFERROR(GOOGLEFINANCE(A560,""CHANGE""),)"),-8.3)</f>
        <v>-8.3</v>
      </c>
      <c r="D560" s="60">
        <f>IFERROR(__xludf.DUMMYFUNCTION("IFERROR(GOOGLEFINANCE(A560,""CHANGEPCT""),)"),-0.61)</f>
        <v>-0.61</v>
      </c>
      <c r="E560" s="60" t="str">
        <f t="shared" si="1"/>
        <v>-0.61%</v>
      </c>
      <c r="F560" s="60" t="str">
        <f t="shared" si="2"/>
        <v/>
      </c>
      <c r="G560" s="60">
        <f t="shared" si="3"/>
        <v>-0.61</v>
      </c>
      <c r="H560" s="60">
        <f>IFERROR(__xludf.DUMMYFUNCTION("IFERROR(GOOGLEFINANCE(A560,""PRICE""),)"),1355.7)</f>
        <v>1355.7</v>
      </c>
      <c r="I560" s="61">
        <f>IFERROR(__xludf.DUMMYFUNCTION("IFERROR(GOOGLEFINANCE(A560,""VOLUME""),)"),2217624.0)</f>
        <v>2217624</v>
      </c>
      <c r="J560" s="60" t="str">
        <f>IFERROR(__xludf.DUMMYFUNCTION("IFERROR(INDEX(SPLIT(A560,"":""),1,2),)"),"HCLTECH")</f>
        <v>HCLTECH</v>
      </c>
      <c r="K560" s="60" t="str">
        <f t="shared" si="4"/>
        <v/>
      </c>
      <c r="L560" s="60">
        <f t="shared" si="5"/>
        <v>145</v>
      </c>
      <c r="M560" s="60">
        <f t="shared" si="6"/>
        <v>185</v>
      </c>
      <c r="N560" s="62">
        <f>IFERROR(__xludf.DUMMYFUNCTION("IFERROR(GOOGLEFINANCE(A560,""TRADETIME""),)"),46086.64583333333)</f>
        <v>46086.64583</v>
      </c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68" t="s">
        <v>607</v>
      </c>
      <c r="B561" s="64" t="str">
        <f>IFERROR(__xludf.DUMMYFUNCTION("IFERROR(GOOGLEFINANCE(A561,""NAME""),)"),"")</f>
        <v/>
      </c>
      <c r="C561" s="64" t="str">
        <f>IFERROR(__xludf.DUMMYFUNCTION("IFERROR(GOOGLEFINANCE(A561,""CHANGE""),)"),"")</f>
        <v/>
      </c>
      <c r="D561" s="64" t="str">
        <f>IFERROR(__xludf.DUMMYFUNCTION("IFERROR(GOOGLEFINANCE(A561,""CHANGEPCT""),)"),"")</f>
        <v/>
      </c>
      <c r="E561" s="64" t="str">
        <f t="shared" si="1"/>
        <v>%</v>
      </c>
      <c r="F561" s="64" t="str">
        <f t="shared" si="2"/>
        <v/>
      </c>
      <c r="G561" s="64" t="str">
        <f t="shared" si="3"/>
        <v/>
      </c>
      <c r="H561" s="64" t="str">
        <f>IFERROR(__xludf.DUMMYFUNCTION("IFERROR(GOOGLEFINANCE(A561,""PRICE""),)"),"")</f>
        <v/>
      </c>
      <c r="I561" s="65" t="str">
        <f>IFERROR(__xludf.DUMMYFUNCTION("IFERROR(GOOGLEFINANCE(A561,""VOLUME""),)"),"")</f>
        <v/>
      </c>
      <c r="J561" s="64" t="str">
        <f>IFERROR(__xludf.DUMMYFUNCTION("IFERROR(INDEX(SPLIT(A561,"":""),1,2),)"),"HDFC")</f>
        <v>HDFC</v>
      </c>
      <c r="K561" s="64" t="str">
        <f t="shared" si="4"/>
        <v/>
      </c>
      <c r="L561" s="64" t="str">
        <f t="shared" si="5"/>
        <v/>
      </c>
      <c r="M561" s="64" t="str">
        <f t="shared" si="6"/>
        <v/>
      </c>
      <c r="N561" s="66" t="str">
        <f>IFERROR(__xludf.DUMMYFUNCTION("IFERROR(GOOGLEFINANCE(A561,""TRADETIME""),)"),"")</f>
        <v/>
      </c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67" t="s">
        <v>608</v>
      </c>
      <c r="B562" s="60" t="str">
        <f>IFERROR(__xludf.DUMMYFUNCTION("IFERROR(GOOGLEFINANCE(A562,""NAME""),)"),"HDFC Asset Management Company Ltd")</f>
        <v>HDFC Asset Management Company Ltd</v>
      </c>
      <c r="C562" s="60">
        <f>IFERROR(__xludf.DUMMYFUNCTION("IFERROR(GOOGLEFINANCE(A562,""CHANGE""),)"),11.8)</f>
        <v>11.8</v>
      </c>
      <c r="D562" s="60">
        <f>IFERROR(__xludf.DUMMYFUNCTION("IFERROR(GOOGLEFINANCE(A562,""CHANGEPCT""),)"),0.46)</f>
        <v>0.46</v>
      </c>
      <c r="E562" s="60" t="str">
        <f t="shared" si="1"/>
        <v>0.46%</v>
      </c>
      <c r="F562" s="60">
        <f t="shared" si="2"/>
        <v>0.46</v>
      </c>
      <c r="G562" s="60" t="str">
        <f t="shared" si="3"/>
        <v/>
      </c>
      <c r="H562" s="60">
        <f>IFERROR(__xludf.DUMMYFUNCTION("IFERROR(GOOGLEFINANCE(A562,""PRICE""),)"),2559.0)</f>
        <v>2559</v>
      </c>
      <c r="I562" s="61">
        <f>IFERROR(__xludf.DUMMYFUNCTION("IFERROR(GOOGLEFINANCE(A562,""VOLUME""),)"),573769.0)</f>
        <v>573769</v>
      </c>
      <c r="J562" s="60" t="str">
        <f>IFERROR(__xludf.DUMMYFUNCTION("IFERROR(INDEX(SPLIT(A562,"":""),1,2),)"),"HDFCAMC")</f>
        <v>HDFCAMC</v>
      </c>
      <c r="K562" s="60">
        <f t="shared" si="4"/>
        <v>891</v>
      </c>
      <c r="L562" s="60" t="str">
        <f t="shared" si="5"/>
        <v/>
      </c>
      <c r="M562" s="60">
        <f t="shared" si="6"/>
        <v>379</v>
      </c>
      <c r="N562" s="62">
        <f>IFERROR(__xludf.DUMMYFUNCTION("IFERROR(GOOGLEFINANCE(A562,""TRADETIME""),)"),46086.639826388884)</f>
        <v>46086.63983</v>
      </c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68" t="s">
        <v>609</v>
      </c>
      <c r="B563" s="64" t="str">
        <f>IFERROR(__xludf.DUMMYFUNCTION("IFERROR(GOOGLEFINANCE(A563,""NAME""),)"),"HDFC Bank Ltd")</f>
        <v>HDFC Bank Ltd</v>
      </c>
      <c r="C563" s="64">
        <f>IFERROR(__xludf.DUMMYFUNCTION("IFERROR(GOOGLEFINANCE(A563,""CHANGE""),)"),6.45)</f>
        <v>6.45</v>
      </c>
      <c r="D563" s="64">
        <f>IFERROR(__xludf.DUMMYFUNCTION("IFERROR(GOOGLEFINANCE(A563,""CHANGEPCT""),)"),0.74)</f>
        <v>0.74</v>
      </c>
      <c r="E563" s="64" t="str">
        <f t="shared" si="1"/>
        <v>0.74%</v>
      </c>
      <c r="F563" s="64">
        <f t="shared" si="2"/>
        <v>0.74</v>
      </c>
      <c r="G563" s="64" t="str">
        <f t="shared" si="3"/>
        <v/>
      </c>
      <c r="H563" s="64">
        <f>IFERROR(__xludf.DUMMYFUNCTION("IFERROR(GOOGLEFINANCE(A563,""PRICE""),)"),875.1)</f>
        <v>875.1</v>
      </c>
      <c r="I563" s="65">
        <f>IFERROR(__xludf.DUMMYFUNCTION("IFERROR(GOOGLEFINANCE(A563,""VOLUME""),)"),3.0209028E7)</f>
        <v>30209028</v>
      </c>
      <c r="J563" s="64" t="str">
        <f>IFERROR(__xludf.DUMMYFUNCTION("IFERROR(INDEX(SPLIT(A563,"":""),1,2),)"),"HDFCBANK")</f>
        <v>HDFCBANK</v>
      </c>
      <c r="K563" s="64">
        <f t="shared" si="4"/>
        <v>806</v>
      </c>
      <c r="L563" s="64" t="str">
        <f t="shared" si="5"/>
        <v/>
      </c>
      <c r="M563" s="64">
        <f t="shared" si="6"/>
        <v>13</v>
      </c>
      <c r="N563" s="66">
        <f>IFERROR(__xludf.DUMMYFUNCTION("IFERROR(GOOGLEFINANCE(A563,""TRADETIME""),)"),46086.64583333333)</f>
        <v>46086.64583</v>
      </c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67" t="s">
        <v>610</v>
      </c>
      <c r="B564" s="60" t="str">
        <f>IFERROR(__xludf.DUMMYFUNCTION("IFERROR(GOOGLEFINANCE(A564,""NAME""),)"),"HDFC Life Insurance Company Ltd")</f>
        <v>HDFC Life Insurance Company Ltd</v>
      </c>
      <c r="C564" s="60">
        <f>IFERROR(__xludf.DUMMYFUNCTION("IFERROR(GOOGLEFINANCE(A564,""CHANGE""),)"),1.6)</f>
        <v>1.6</v>
      </c>
      <c r="D564" s="60">
        <f>IFERROR(__xludf.DUMMYFUNCTION("IFERROR(GOOGLEFINANCE(A564,""CHANGEPCT""),)"),0.23)</f>
        <v>0.23</v>
      </c>
      <c r="E564" s="60" t="str">
        <f t="shared" si="1"/>
        <v>0.23%</v>
      </c>
      <c r="F564" s="60">
        <f t="shared" si="2"/>
        <v>0.23</v>
      </c>
      <c r="G564" s="60" t="str">
        <f t="shared" si="3"/>
        <v/>
      </c>
      <c r="H564" s="60">
        <f>IFERROR(__xludf.DUMMYFUNCTION("IFERROR(GOOGLEFINANCE(A564,""PRICE""),)"),686.2)</f>
        <v>686.2</v>
      </c>
      <c r="I564" s="61">
        <f>IFERROR(__xludf.DUMMYFUNCTION("IFERROR(GOOGLEFINANCE(A564,""VOLUME""),)"),5410810.0)</f>
        <v>5410810</v>
      </c>
      <c r="J564" s="60" t="str">
        <f>IFERROR(__xludf.DUMMYFUNCTION("IFERROR(INDEX(SPLIT(A564,"":""),1,2),)"),"HDFCLIFE")</f>
        <v>HDFCLIFE</v>
      </c>
      <c r="K564" s="60">
        <f t="shared" si="4"/>
        <v>943</v>
      </c>
      <c r="L564" s="60" t="str">
        <f t="shared" si="5"/>
        <v/>
      </c>
      <c r="M564" s="60">
        <f t="shared" si="6"/>
        <v>102</v>
      </c>
      <c r="N564" s="62">
        <f>IFERROR(__xludf.DUMMYFUNCTION("IFERROR(GOOGLEFINANCE(A564,""TRADETIME""),)"),46086.6397337963)</f>
        <v>46086.63973</v>
      </c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68" t="s">
        <v>611</v>
      </c>
      <c r="B565" s="64" t="str">
        <f>IFERROR(__xludf.DUMMYFUNCTION("IFERROR(GOOGLEFINANCE(A565,""NAME""),)"),"Housing Development &amp; Infrastructure")</f>
        <v>Housing Development &amp; Infrastructure</v>
      </c>
      <c r="C565" s="64">
        <f>IFERROR(__xludf.DUMMYFUNCTION("IFERROR(GOOGLEFINANCE(A565,""CHANGE""),)"),-0.12)</f>
        <v>-0.12</v>
      </c>
      <c r="D565" s="64">
        <f>IFERROR(__xludf.DUMMYFUNCTION("IFERROR(GOOGLEFINANCE(A565,""CHANGEPCT""),)"),-4.86)</f>
        <v>-4.86</v>
      </c>
      <c r="E565" s="64" t="str">
        <f t="shared" si="1"/>
        <v>-4.86%</v>
      </c>
      <c r="F565" s="64" t="str">
        <f t="shared" si="2"/>
        <v/>
      </c>
      <c r="G565" s="64">
        <f t="shared" si="3"/>
        <v>-4.86</v>
      </c>
      <c r="H565" s="64">
        <f>IFERROR(__xludf.DUMMYFUNCTION("IFERROR(GOOGLEFINANCE(A565,""PRICE""),)"),2.35)</f>
        <v>2.35</v>
      </c>
      <c r="I565" s="65">
        <f>IFERROR(__xludf.DUMMYFUNCTION("IFERROR(GOOGLEFINANCE(A565,""VOLUME""),)"),35786.0)</f>
        <v>35786</v>
      </c>
      <c r="J565" s="64" t="str">
        <f>IFERROR(__xludf.DUMMYFUNCTION("IFERROR(INDEX(SPLIT(A565,"":""),1,2),)"),"HDIL")</f>
        <v>HDIL</v>
      </c>
      <c r="K565" s="64" t="str">
        <f t="shared" si="4"/>
        <v/>
      </c>
      <c r="L565" s="64">
        <f t="shared" si="5"/>
        <v>434</v>
      </c>
      <c r="M565" s="64">
        <f t="shared" si="6"/>
        <v>1012</v>
      </c>
      <c r="N565" s="66">
        <f>IFERROR(__xludf.DUMMYFUNCTION("IFERROR(GOOGLEFINANCE(A565,""TRADETIME""),)"),46083.64583333333)</f>
        <v>46083.64583</v>
      </c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67" t="s">
        <v>612</v>
      </c>
      <c r="B566" s="60" t="str">
        <f>IFERROR(__xludf.DUMMYFUNCTION("IFERROR(GOOGLEFINANCE(A566,""NAME""),)"),"HEG Ltd")</f>
        <v>HEG Ltd</v>
      </c>
      <c r="C566" s="60">
        <f>IFERROR(__xludf.DUMMYFUNCTION("IFERROR(GOOGLEFINANCE(A566,""CHANGE""),)"),-1.2)</f>
        <v>-1.2</v>
      </c>
      <c r="D566" s="60">
        <f>IFERROR(__xludf.DUMMYFUNCTION("IFERROR(GOOGLEFINANCE(A566,""CHANGEPCT""),)"),-0.22)</f>
        <v>-0.22</v>
      </c>
      <c r="E566" s="60" t="str">
        <f t="shared" si="1"/>
        <v>-0.22%</v>
      </c>
      <c r="F566" s="60" t="str">
        <f t="shared" si="2"/>
        <v/>
      </c>
      <c r="G566" s="60">
        <f t="shared" si="3"/>
        <v>-0.22</v>
      </c>
      <c r="H566" s="60">
        <f>IFERROR(__xludf.DUMMYFUNCTION("IFERROR(GOOGLEFINANCE(A566,""PRICE""),)"),542.7)</f>
        <v>542.7</v>
      </c>
      <c r="I566" s="61">
        <f>IFERROR(__xludf.DUMMYFUNCTION("IFERROR(GOOGLEFINANCE(A566,""VOLUME""),)"),981122.0)</f>
        <v>981122</v>
      </c>
      <c r="J566" s="60" t="str">
        <f>IFERROR(__xludf.DUMMYFUNCTION("IFERROR(INDEX(SPLIT(A566,"":""),1,2),)"),"HEG")</f>
        <v>HEG</v>
      </c>
      <c r="K566" s="60" t="str">
        <f t="shared" si="4"/>
        <v/>
      </c>
      <c r="L566" s="60">
        <f t="shared" si="5"/>
        <v>59</v>
      </c>
      <c r="M566" s="60">
        <f t="shared" si="6"/>
        <v>284</v>
      </c>
      <c r="N566" s="62">
        <f>IFERROR(__xludf.DUMMYFUNCTION("IFERROR(GOOGLEFINANCE(A566,""TRADETIME""),)"),46086.64584490741)</f>
        <v>46086.64584</v>
      </c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68" t="s">
        <v>613</v>
      </c>
      <c r="B567" s="64" t="str">
        <f>IFERROR(__xludf.DUMMYFUNCTION("IFERROR(GOOGLEFINANCE(A567,""NAME""),)"),"Heidelbergcement India Ltd")</f>
        <v>Heidelbergcement India Ltd</v>
      </c>
      <c r="C567" s="64">
        <f>IFERROR(__xludf.DUMMYFUNCTION("IFERROR(GOOGLEFINANCE(A567,""CHANGE""),)"),1.6)</f>
        <v>1.6</v>
      </c>
      <c r="D567" s="64">
        <f>IFERROR(__xludf.DUMMYFUNCTION("IFERROR(GOOGLEFINANCE(A567,""CHANGEPCT""),)"),1.03)</f>
        <v>1.03</v>
      </c>
      <c r="E567" s="64" t="str">
        <f t="shared" si="1"/>
        <v>1.03%</v>
      </c>
      <c r="F567" s="64">
        <f t="shared" si="2"/>
        <v>1.03</v>
      </c>
      <c r="G567" s="64" t="str">
        <f t="shared" si="3"/>
        <v/>
      </c>
      <c r="H567" s="64">
        <f>IFERROR(__xludf.DUMMYFUNCTION("IFERROR(GOOGLEFINANCE(A567,""PRICE""),)"),159.7)</f>
        <v>159.7</v>
      </c>
      <c r="I567" s="65">
        <f>IFERROR(__xludf.DUMMYFUNCTION("IFERROR(GOOGLEFINANCE(A567,""VOLUME""),)"),62426.0)</f>
        <v>62426</v>
      </c>
      <c r="J567" s="64" t="str">
        <f>IFERROR(__xludf.DUMMYFUNCTION("IFERROR(INDEX(SPLIT(A567,"":""),1,2),)"),"HEIDELBERG")</f>
        <v>HEIDELBERG</v>
      </c>
      <c r="K567" s="64">
        <f t="shared" si="4"/>
        <v>713</v>
      </c>
      <c r="L567" s="64" t="str">
        <f t="shared" si="5"/>
        <v/>
      </c>
      <c r="M567" s="64">
        <f t="shared" si="6"/>
        <v>870</v>
      </c>
      <c r="N567" s="66">
        <f>IFERROR(__xludf.DUMMYFUNCTION("IFERROR(GOOGLEFINANCE(A567,""TRADETIME""),)"),46086.64583333333)</f>
        <v>46086.64583</v>
      </c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67" t="s">
        <v>614</v>
      </c>
      <c r="B568" s="60" t="str">
        <f>IFERROR(__xludf.DUMMYFUNCTION("IFERROR(GOOGLEFINANCE(A568,""NAME""),)"),"Hemisphere Properties India Ltd")</f>
        <v>Hemisphere Properties India Ltd</v>
      </c>
      <c r="C568" s="60">
        <f>IFERROR(__xludf.DUMMYFUNCTION("IFERROR(GOOGLEFINANCE(A568,""CHANGE""),)"),-0.17)</f>
        <v>-0.17</v>
      </c>
      <c r="D568" s="60">
        <f>IFERROR(__xludf.DUMMYFUNCTION("IFERROR(GOOGLEFINANCE(A568,""CHANGEPCT""),)"),-0.12)</f>
        <v>-0.12</v>
      </c>
      <c r="E568" s="60" t="str">
        <f t="shared" si="1"/>
        <v>-0.12%</v>
      </c>
      <c r="F568" s="60" t="str">
        <f t="shared" si="2"/>
        <v/>
      </c>
      <c r="G568" s="60">
        <f t="shared" si="3"/>
        <v>-0.12</v>
      </c>
      <c r="H568" s="60">
        <f>IFERROR(__xludf.DUMMYFUNCTION("IFERROR(GOOGLEFINANCE(A568,""PRICE""),)"),137.87)</f>
        <v>137.87</v>
      </c>
      <c r="I568" s="61">
        <f>IFERROR(__xludf.DUMMYFUNCTION("IFERROR(GOOGLEFINANCE(A568,""VOLUME""),)"),510281.0)</f>
        <v>510281</v>
      </c>
      <c r="J568" s="60" t="str">
        <f>IFERROR(__xludf.DUMMYFUNCTION("IFERROR(INDEX(SPLIT(A568,"":""),1,2),)"),"HEMIPROP")</f>
        <v>HEMIPROP</v>
      </c>
      <c r="K568" s="60" t="str">
        <f t="shared" si="4"/>
        <v/>
      </c>
      <c r="L568" s="60">
        <f t="shared" si="5"/>
        <v>33</v>
      </c>
      <c r="M568" s="60">
        <f t="shared" si="6"/>
        <v>397</v>
      </c>
      <c r="N568" s="62">
        <f>IFERROR(__xludf.DUMMYFUNCTION("IFERROR(GOOGLEFINANCE(A568,""TRADETIME""),)"),46086.64583333333)</f>
        <v>46086.64583</v>
      </c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68" t="s">
        <v>615</v>
      </c>
      <c r="B569" s="64" t="str">
        <f>IFERROR(__xludf.DUMMYFUNCTION("IFERROR(GOOGLEFINANCE(A569,""NAME""),)"),"")</f>
        <v/>
      </c>
      <c r="C569" s="64" t="str">
        <f>IFERROR(__xludf.DUMMYFUNCTION("IFERROR(GOOGLEFINANCE(A569,""CHANGE""),)"),"")</f>
        <v/>
      </c>
      <c r="D569" s="64" t="str">
        <f>IFERROR(__xludf.DUMMYFUNCTION("IFERROR(GOOGLEFINANCE(A569,""CHANGEPCT""),)"),"")</f>
        <v/>
      </c>
      <c r="E569" s="64" t="str">
        <f t="shared" si="1"/>
        <v>%</v>
      </c>
      <c r="F569" s="64" t="str">
        <f t="shared" si="2"/>
        <v/>
      </c>
      <c r="G569" s="64" t="str">
        <f t="shared" si="3"/>
        <v/>
      </c>
      <c r="H569" s="64" t="str">
        <f>IFERROR(__xludf.DUMMYFUNCTION("IFERROR(GOOGLEFINANCE(A569,""PRICE""),)"),"")</f>
        <v/>
      </c>
      <c r="I569" s="65" t="str">
        <f>IFERROR(__xludf.DUMMYFUNCTION("IFERROR(GOOGLEFINANCE(A569,""VOLUME""),)"),"")</f>
        <v/>
      </c>
      <c r="J569" s="64" t="str">
        <f>IFERROR(__xludf.DUMMYFUNCTION("IFERROR(INDEX(SPLIT(A569,"":""),1,2),)"),"HERCULES")</f>
        <v>HERCULES</v>
      </c>
      <c r="K569" s="64" t="str">
        <f t="shared" si="4"/>
        <v/>
      </c>
      <c r="L569" s="64" t="str">
        <f t="shared" si="5"/>
        <v/>
      </c>
      <c r="M569" s="64" t="str">
        <f t="shared" si="6"/>
        <v/>
      </c>
      <c r="N569" s="66" t="str">
        <f>IFERROR(__xludf.DUMMYFUNCTION("IFERROR(GOOGLEFINANCE(A569,""TRADETIME""),)"),"")</f>
        <v/>
      </c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67" t="s">
        <v>616</v>
      </c>
      <c r="B570" s="60" t="str">
        <f>IFERROR(__xludf.DUMMYFUNCTION("IFERROR(GOOGLEFINANCE(A570,""NAME""),)"),"Heritage Foods Ltd")</f>
        <v>Heritage Foods Ltd</v>
      </c>
      <c r="C570" s="60">
        <f>IFERROR(__xludf.DUMMYFUNCTION("IFERROR(GOOGLEFINANCE(A570,""CHANGE""),)"),2.9)</f>
        <v>2.9</v>
      </c>
      <c r="D570" s="60">
        <f>IFERROR(__xludf.DUMMYFUNCTION("IFERROR(GOOGLEFINANCE(A570,""CHANGEPCT""),)"),0.94)</f>
        <v>0.94</v>
      </c>
      <c r="E570" s="60" t="str">
        <f t="shared" si="1"/>
        <v>0.94%</v>
      </c>
      <c r="F570" s="60">
        <f t="shared" si="2"/>
        <v>0.94</v>
      </c>
      <c r="G570" s="60" t="str">
        <f t="shared" si="3"/>
        <v/>
      </c>
      <c r="H570" s="60">
        <f>IFERROR(__xludf.DUMMYFUNCTION("IFERROR(GOOGLEFINANCE(A570,""PRICE""),)"),310.0)</f>
        <v>310</v>
      </c>
      <c r="I570" s="61">
        <f>IFERROR(__xludf.DUMMYFUNCTION("IFERROR(GOOGLEFINANCE(A570,""VOLUME""),)"),358193.0)</f>
        <v>358193</v>
      </c>
      <c r="J570" s="60" t="str">
        <f>IFERROR(__xludf.DUMMYFUNCTION("IFERROR(INDEX(SPLIT(A570,"":""),1,2),)"),"HERITGFOOD")</f>
        <v>HERITGFOOD</v>
      </c>
      <c r="K570" s="60">
        <f t="shared" si="4"/>
        <v>740</v>
      </c>
      <c r="L570" s="60" t="str">
        <f t="shared" si="5"/>
        <v/>
      </c>
      <c r="M570" s="60">
        <f t="shared" si="6"/>
        <v>475</v>
      </c>
      <c r="N570" s="62">
        <f>IFERROR(__xludf.DUMMYFUNCTION("IFERROR(GOOGLEFINANCE(A570,""TRADETIME""),)"),46086.64583333333)</f>
        <v>46086.64583</v>
      </c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68" t="s">
        <v>617</v>
      </c>
      <c r="B571" s="64" t="str">
        <f>IFERROR(__xludf.DUMMYFUNCTION("IFERROR(GOOGLEFINANCE(A571,""NAME""),)"),"Hero Motocorp Ltd")</f>
        <v>Hero Motocorp Ltd</v>
      </c>
      <c r="C571" s="64">
        <f>IFERROR(__xludf.DUMMYFUNCTION("IFERROR(GOOGLEFINANCE(A571,""CHANGE""),)"),68.5)</f>
        <v>68.5</v>
      </c>
      <c r="D571" s="64">
        <f>IFERROR(__xludf.DUMMYFUNCTION("IFERROR(GOOGLEFINANCE(A571,""CHANGEPCT""),)"),1.25)</f>
        <v>1.25</v>
      </c>
      <c r="E571" s="64" t="str">
        <f t="shared" si="1"/>
        <v>1.25%</v>
      </c>
      <c r="F571" s="64">
        <f t="shared" si="2"/>
        <v>1.25</v>
      </c>
      <c r="G571" s="64" t="str">
        <f t="shared" si="3"/>
        <v/>
      </c>
      <c r="H571" s="64">
        <f>IFERROR(__xludf.DUMMYFUNCTION("IFERROR(GOOGLEFINANCE(A571,""PRICE""),)"),5568.5)</f>
        <v>5568.5</v>
      </c>
      <c r="I571" s="65">
        <f>IFERROR(__xludf.DUMMYFUNCTION("IFERROR(GOOGLEFINANCE(A571,""VOLUME""),)"),518530.0)</f>
        <v>518530</v>
      </c>
      <c r="J571" s="64" t="str">
        <f>IFERROR(__xludf.DUMMYFUNCTION("IFERROR(INDEX(SPLIT(A571,"":""),1,2),)"),"HEROMOTOCO")</f>
        <v>HEROMOTOCO</v>
      </c>
      <c r="K571" s="64">
        <f t="shared" si="4"/>
        <v>655</v>
      </c>
      <c r="L571" s="64" t="str">
        <f t="shared" si="5"/>
        <v/>
      </c>
      <c r="M571" s="64">
        <f t="shared" si="6"/>
        <v>392</v>
      </c>
      <c r="N571" s="66">
        <f>IFERROR(__xludf.DUMMYFUNCTION("IFERROR(GOOGLEFINANCE(A571,""TRADETIME""),)"),46086.64583333333)</f>
        <v>46086.64583</v>
      </c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67" t="s">
        <v>618</v>
      </c>
      <c r="B572" s="60" t="str">
        <f>IFERROR(__xludf.DUMMYFUNCTION("IFERROR(GOOGLEFINANCE(A572,""NAME""),)"),"Hester Biosciences Ltd")</f>
        <v>Hester Biosciences Ltd</v>
      </c>
      <c r="C572" s="60">
        <f>IFERROR(__xludf.DUMMYFUNCTION("IFERROR(GOOGLEFINANCE(A572,""CHANGE""),)"),-4.7)</f>
        <v>-4.7</v>
      </c>
      <c r="D572" s="60">
        <f>IFERROR(__xludf.DUMMYFUNCTION("IFERROR(GOOGLEFINANCE(A572,""CHANGEPCT""),)"),-0.31)</f>
        <v>-0.31</v>
      </c>
      <c r="E572" s="60" t="str">
        <f t="shared" si="1"/>
        <v>-0.31%</v>
      </c>
      <c r="F572" s="60" t="str">
        <f t="shared" si="2"/>
        <v/>
      </c>
      <c r="G572" s="60">
        <f t="shared" si="3"/>
        <v>-0.31</v>
      </c>
      <c r="H572" s="60">
        <f>IFERROR(__xludf.DUMMYFUNCTION("IFERROR(GOOGLEFINANCE(A572,""PRICE""),)"),1511.6)</f>
        <v>1511.6</v>
      </c>
      <c r="I572" s="61">
        <f>IFERROR(__xludf.DUMMYFUNCTION("IFERROR(GOOGLEFINANCE(A572,""VOLUME""),)"),4593.0)</f>
        <v>4593</v>
      </c>
      <c r="J572" s="60" t="str">
        <f>IFERROR(__xludf.DUMMYFUNCTION("IFERROR(INDEX(SPLIT(A572,"":""),1,2),)"),"HESTERBIO")</f>
        <v>HESTERBIO</v>
      </c>
      <c r="K572" s="60" t="str">
        <f t="shared" si="4"/>
        <v/>
      </c>
      <c r="L572" s="60">
        <f t="shared" si="5"/>
        <v>81</v>
      </c>
      <c r="M572" s="60">
        <f t="shared" si="6"/>
        <v>1357</v>
      </c>
      <c r="N572" s="62">
        <f>IFERROR(__xludf.DUMMYFUNCTION("IFERROR(GOOGLEFINANCE(A572,""TRADETIME""),)"),46086.64583333333)</f>
        <v>46086.64583</v>
      </c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68" t="s">
        <v>619</v>
      </c>
      <c r="B573" s="64" t="str">
        <f>IFERROR(__xludf.DUMMYFUNCTION("IFERROR(GOOGLEFINANCE(A573,""NAME""),)"),"Hexa Tradex Ltd")</f>
        <v>Hexa Tradex Ltd</v>
      </c>
      <c r="C573" s="64">
        <f>IFERROR(__xludf.DUMMYFUNCTION("IFERROR(GOOGLEFINANCE(A573,""CHANGE""),)"),5.6)</f>
        <v>5.6</v>
      </c>
      <c r="D573" s="64">
        <f>IFERROR(__xludf.DUMMYFUNCTION("IFERROR(GOOGLEFINANCE(A573,""CHANGEPCT""),)"),3.51)</f>
        <v>3.51</v>
      </c>
      <c r="E573" s="64" t="str">
        <f t="shared" si="1"/>
        <v>3.51%</v>
      </c>
      <c r="F573" s="64">
        <f t="shared" si="2"/>
        <v>3.51</v>
      </c>
      <c r="G573" s="64" t="str">
        <f t="shared" si="3"/>
        <v/>
      </c>
      <c r="H573" s="64">
        <f>IFERROR(__xludf.DUMMYFUNCTION("IFERROR(GOOGLEFINANCE(A573,""PRICE""),)"),165.0)</f>
        <v>165</v>
      </c>
      <c r="I573" s="65">
        <f>IFERROR(__xludf.DUMMYFUNCTION("IFERROR(GOOGLEFINANCE(A573,""VOLUME""),)"),4500.0)</f>
        <v>4500</v>
      </c>
      <c r="J573" s="64" t="str">
        <f>IFERROR(__xludf.DUMMYFUNCTION("IFERROR(INDEX(SPLIT(A573,"":""),1,2),)"),"HEXATRADEX")</f>
        <v>HEXATRADEX</v>
      </c>
      <c r="K573" s="64">
        <f t="shared" si="4"/>
        <v>190</v>
      </c>
      <c r="L573" s="64" t="str">
        <f t="shared" si="5"/>
        <v/>
      </c>
      <c r="M573" s="64">
        <f t="shared" si="6"/>
        <v>1359</v>
      </c>
      <c r="N573" s="66">
        <f>IFERROR(__xludf.DUMMYFUNCTION("IFERROR(GOOGLEFINANCE(A573,""TRADETIME""),)"),46086.63494212963)</f>
        <v>46086.63494</v>
      </c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67" t="s">
        <v>620</v>
      </c>
      <c r="B574" s="60" t="str">
        <f>IFERROR(__xludf.DUMMYFUNCTION("IFERROR(GOOGLEFINANCE(A574,""NAME""),)"),"HFCL Ltd")</f>
        <v>HFCL Ltd</v>
      </c>
      <c r="C574" s="60">
        <f>IFERROR(__xludf.DUMMYFUNCTION("IFERROR(GOOGLEFINANCE(A574,""CHANGE""),)"),3.35)</f>
        <v>3.35</v>
      </c>
      <c r="D574" s="60">
        <f>IFERROR(__xludf.DUMMYFUNCTION("IFERROR(GOOGLEFINANCE(A574,""CHANGEPCT""),)"),5.04)</f>
        <v>5.04</v>
      </c>
      <c r="E574" s="60" t="str">
        <f t="shared" si="1"/>
        <v>5.04%</v>
      </c>
      <c r="F574" s="60">
        <f t="shared" si="2"/>
        <v>5.04</v>
      </c>
      <c r="G574" s="60" t="str">
        <f t="shared" si="3"/>
        <v/>
      </c>
      <c r="H574" s="60">
        <f>IFERROR(__xludf.DUMMYFUNCTION("IFERROR(GOOGLEFINANCE(A574,""PRICE""),)"),69.85)</f>
        <v>69.85</v>
      </c>
      <c r="I574" s="61">
        <f>IFERROR(__xludf.DUMMYFUNCTION("IFERROR(GOOGLEFINANCE(A574,""VOLUME""),)"),2.5139352E7)</f>
        <v>25139352</v>
      </c>
      <c r="J574" s="60" t="str">
        <f>IFERROR(__xludf.DUMMYFUNCTION("IFERROR(INDEX(SPLIT(A574,"":""),1,2),)"),"HFCL")</f>
        <v>HFCL</v>
      </c>
      <c r="K574" s="60">
        <f t="shared" si="4"/>
        <v>64</v>
      </c>
      <c r="L574" s="60" t="str">
        <f t="shared" si="5"/>
        <v/>
      </c>
      <c r="M574" s="60">
        <f t="shared" si="6"/>
        <v>19</v>
      </c>
      <c r="N574" s="62">
        <f>IFERROR(__xludf.DUMMYFUNCTION("IFERROR(GOOGLEFINANCE(A574,""TRADETIME""),)"),46086.64584490741)</f>
        <v>46086.64584</v>
      </c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68" t="s">
        <v>621</v>
      </c>
      <c r="B575" s="64" t="str">
        <f>IFERROR(__xludf.DUMMYFUNCTION("IFERROR(GOOGLEFINANCE(A575,""NAME""),)"),"HG Infra Engineering Ltd")</f>
        <v>HG Infra Engineering Ltd</v>
      </c>
      <c r="C575" s="64">
        <f>IFERROR(__xludf.DUMMYFUNCTION("IFERROR(GOOGLEFINANCE(A575,""CHANGE""),)"),-4.6)</f>
        <v>-4.6</v>
      </c>
      <c r="D575" s="64">
        <f>IFERROR(__xludf.DUMMYFUNCTION("IFERROR(GOOGLEFINANCE(A575,""CHANGEPCT""),)"),-0.91)</f>
        <v>-0.91</v>
      </c>
      <c r="E575" s="64" t="str">
        <f t="shared" si="1"/>
        <v>-0.91%</v>
      </c>
      <c r="F575" s="64" t="str">
        <f t="shared" si="2"/>
        <v/>
      </c>
      <c r="G575" s="64">
        <f t="shared" si="3"/>
        <v>-0.91</v>
      </c>
      <c r="H575" s="64">
        <f>IFERROR(__xludf.DUMMYFUNCTION("IFERROR(GOOGLEFINANCE(A575,""PRICE""),)"),500.0)</f>
        <v>500</v>
      </c>
      <c r="I575" s="65">
        <f>IFERROR(__xludf.DUMMYFUNCTION("IFERROR(GOOGLEFINANCE(A575,""VOLUME""),)"),285667.0)</f>
        <v>285667</v>
      </c>
      <c r="J575" s="64" t="str">
        <f>IFERROR(__xludf.DUMMYFUNCTION("IFERROR(INDEX(SPLIT(A575,"":""),1,2),)"),"HGINFRA")</f>
        <v>HGINFRA</v>
      </c>
      <c r="K575" s="64" t="str">
        <f t="shared" si="4"/>
        <v/>
      </c>
      <c r="L575" s="64">
        <f t="shared" si="5"/>
        <v>200</v>
      </c>
      <c r="M575" s="64">
        <f t="shared" si="6"/>
        <v>520</v>
      </c>
      <c r="N575" s="66">
        <f>IFERROR(__xludf.DUMMYFUNCTION("IFERROR(GOOGLEFINANCE(A575,""TRADETIME""),)"),46086.64583333333)</f>
        <v>46086.64583</v>
      </c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67" t="s">
        <v>622</v>
      </c>
      <c r="B576" s="60" t="str">
        <f>IFERROR(__xludf.DUMMYFUNCTION("IFERROR(GOOGLEFINANCE(A576,""NAME""),)"),"Hinduja Global Solutions Ltd")</f>
        <v>Hinduja Global Solutions Ltd</v>
      </c>
      <c r="C576" s="60">
        <f>IFERROR(__xludf.DUMMYFUNCTION("IFERROR(GOOGLEFINANCE(A576,""CHANGE""),)"),-2.15)</f>
        <v>-2.15</v>
      </c>
      <c r="D576" s="60">
        <f>IFERROR(__xludf.DUMMYFUNCTION("IFERROR(GOOGLEFINANCE(A576,""CHANGEPCT""),)"),-0.59)</f>
        <v>-0.59</v>
      </c>
      <c r="E576" s="60" t="str">
        <f t="shared" si="1"/>
        <v>-0.59%</v>
      </c>
      <c r="F576" s="60" t="str">
        <f t="shared" si="2"/>
        <v/>
      </c>
      <c r="G576" s="60">
        <f t="shared" si="3"/>
        <v>-0.59</v>
      </c>
      <c r="H576" s="60">
        <f>IFERROR(__xludf.DUMMYFUNCTION("IFERROR(GOOGLEFINANCE(A576,""PRICE""),)"),359.5)</f>
        <v>359.5</v>
      </c>
      <c r="I576" s="61">
        <f>IFERROR(__xludf.DUMMYFUNCTION("IFERROR(GOOGLEFINANCE(A576,""VOLUME""),)"),53021.0)</f>
        <v>53021</v>
      </c>
      <c r="J576" s="60" t="str">
        <f>IFERROR(__xludf.DUMMYFUNCTION("IFERROR(INDEX(SPLIT(A576,"":""),1,2),)"),"HGS")</f>
        <v>HGS</v>
      </c>
      <c r="K576" s="60" t="str">
        <f t="shared" si="4"/>
        <v/>
      </c>
      <c r="L576" s="60">
        <f t="shared" si="5"/>
        <v>141</v>
      </c>
      <c r="M576" s="60">
        <f t="shared" si="6"/>
        <v>916</v>
      </c>
      <c r="N576" s="62">
        <f>IFERROR(__xludf.DUMMYFUNCTION("IFERROR(GOOGLEFINANCE(A576,""TRADETIME""),)"),46086.64583333333)</f>
        <v>46086.64583</v>
      </c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68" t="s">
        <v>623</v>
      </c>
      <c r="B577" s="64" t="str">
        <f>IFERROR(__xludf.DUMMYFUNCTION("IFERROR(GOOGLEFINANCE(A577,""NAME""),)"),"Hikal Ltd")</f>
        <v>Hikal Ltd</v>
      </c>
      <c r="C577" s="64">
        <f>IFERROR(__xludf.DUMMYFUNCTION("IFERROR(GOOGLEFINANCE(A577,""CHANGE""),)"),-2.23)</f>
        <v>-2.23</v>
      </c>
      <c r="D577" s="64">
        <f>IFERROR(__xludf.DUMMYFUNCTION("IFERROR(GOOGLEFINANCE(A577,""CHANGEPCT""),)"),-1.07)</f>
        <v>-1.07</v>
      </c>
      <c r="E577" s="64" t="str">
        <f t="shared" si="1"/>
        <v>-1.07%</v>
      </c>
      <c r="F577" s="64" t="str">
        <f t="shared" si="2"/>
        <v/>
      </c>
      <c r="G577" s="64">
        <f t="shared" si="3"/>
        <v>-1.07</v>
      </c>
      <c r="H577" s="64">
        <f>IFERROR(__xludf.DUMMYFUNCTION("IFERROR(GOOGLEFINANCE(A577,""PRICE""),)"),184.26)</f>
        <v>184.26</v>
      </c>
      <c r="I577" s="65">
        <f>IFERROR(__xludf.DUMMYFUNCTION("IFERROR(GOOGLEFINANCE(A577,""VOLUME""),)"),251604.0)</f>
        <v>251604</v>
      </c>
      <c r="J577" s="64" t="str">
        <f>IFERROR(__xludf.DUMMYFUNCTION("IFERROR(INDEX(SPLIT(A577,"":""),1,2),)"),"HIKAL")</f>
        <v>HIKAL</v>
      </c>
      <c r="K577" s="64" t="str">
        <f t="shared" si="4"/>
        <v/>
      </c>
      <c r="L577" s="64">
        <f t="shared" si="5"/>
        <v>225</v>
      </c>
      <c r="M577" s="64">
        <f t="shared" si="6"/>
        <v>554</v>
      </c>
      <c r="N577" s="66">
        <f>IFERROR(__xludf.DUMMYFUNCTION("IFERROR(GOOGLEFINANCE(A577,""TRADETIME""),)"),46086.64583333333)</f>
        <v>46086.64583</v>
      </c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67" t="s">
        <v>624</v>
      </c>
      <c r="B578" s="60" t="str">
        <f>IFERROR(__xludf.DUMMYFUNCTION("IFERROR(GOOGLEFINANCE(A578,""NAME""),)"),"")</f>
        <v/>
      </c>
      <c r="C578" s="60" t="str">
        <f>IFERROR(__xludf.DUMMYFUNCTION("IFERROR(GOOGLEFINANCE(A578,""CHANGE""),)"),"")</f>
        <v/>
      </c>
      <c r="D578" s="60" t="str">
        <f>IFERROR(__xludf.DUMMYFUNCTION("IFERROR(GOOGLEFINANCE(A578,""CHANGEPCT""),)"),"")</f>
        <v/>
      </c>
      <c r="E578" s="60" t="str">
        <f t="shared" si="1"/>
        <v>%</v>
      </c>
      <c r="F578" s="60" t="str">
        <f t="shared" si="2"/>
        <v/>
      </c>
      <c r="G578" s="60" t="str">
        <f t="shared" si="3"/>
        <v/>
      </c>
      <c r="H578" s="60" t="str">
        <f>IFERROR(__xludf.DUMMYFUNCTION("IFERROR(GOOGLEFINANCE(A578,""PRICE""),)"),"")</f>
        <v/>
      </c>
      <c r="I578" s="61" t="str">
        <f>IFERROR(__xludf.DUMMYFUNCTION("IFERROR(GOOGLEFINANCE(A578,""VOLUME""),)"),"")</f>
        <v/>
      </c>
      <c r="J578" s="60" t="str">
        <f>IFERROR(__xludf.DUMMYFUNCTION("IFERROR(INDEX(SPLIT(A578,"":""),1,2),)"),"HIL")</f>
        <v>HIL</v>
      </c>
      <c r="K578" s="60" t="str">
        <f t="shared" si="4"/>
        <v/>
      </c>
      <c r="L578" s="60" t="str">
        <f t="shared" si="5"/>
        <v/>
      </c>
      <c r="M578" s="60" t="str">
        <f t="shared" si="6"/>
        <v/>
      </c>
      <c r="N578" s="62" t="str">
        <f>IFERROR(__xludf.DUMMYFUNCTION("IFERROR(GOOGLEFINANCE(A578,""TRADETIME""),)"),"")</f>
        <v/>
      </c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68" t="s">
        <v>625</v>
      </c>
      <c r="B579" s="64" t="str">
        <f>IFERROR(__xludf.DUMMYFUNCTION("IFERROR(GOOGLEFINANCE(A579,""NAME""),)"),"Hilton Metal Forging Ltd")</f>
        <v>Hilton Metal Forging Ltd</v>
      </c>
      <c r="C579" s="64">
        <f>IFERROR(__xludf.DUMMYFUNCTION("IFERROR(GOOGLEFINANCE(A579,""CHANGE""),)"),0.09)</f>
        <v>0.09</v>
      </c>
      <c r="D579" s="64">
        <f>IFERROR(__xludf.DUMMYFUNCTION("IFERROR(GOOGLEFINANCE(A579,""CHANGEPCT""),)"),0.53)</f>
        <v>0.53</v>
      </c>
      <c r="E579" s="64" t="str">
        <f t="shared" si="1"/>
        <v>0.53%</v>
      </c>
      <c r="F579" s="64">
        <f t="shared" si="2"/>
        <v>0.53</v>
      </c>
      <c r="G579" s="64" t="str">
        <f t="shared" si="3"/>
        <v/>
      </c>
      <c r="H579" s="64">
        <f>IFERROR(__xludf.DUMMYFUNCTION("IFERROR(GOOGLEFINANCE(A579,""PRICE""),)"),17.13)</f>
        <v>17.13</v>
      </c>
      <c r="I579" s="65">
        <f>IFERROR(__xludf.DUMMYFUNCTION("IFERROR(GOOGLEFINANCE(A579,""VOLUME""),)"),173550.0)</f>
        <v>173550</v>
      </c>
      <c r="J579" s="64" t="str">
        <f>IFERROR(__xludf.DUMMYFUNCTION("IFERROR(INDEX(SPLIT(A579,"":""),1,2),)"),"HILTON")</f>
        <v>HILTON</v>
      </c>
      <c r="K579" s="64">
        <f t="shared" si="4"/>
        <v>871</v>
      </c>
      <c r="L579" s="64" t="str">
        <f t="shared" si="5"/>
        <v/>
      </c>
      <c r="M579" s="64">
        <f t="shared" si="6"/>
        <v>636</v>
      </c>
      <c r="N579" s="66">
        <f>IFERROR(__xludf.DUMMYFUNCTION("IFERROR(GOOGLEFINANCE(A579,""TRADETIME""),)"),46086.64583333333)</f>
        <v>46086.64583</v>
      </c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67" t="s">
        <v>626</v>
      </c>
      <c r="B580" s="60" t="str">
        <f>IFERROR(__xludf.DUMMYFUNCTION("IFERROR(GOOGLEFINANCE(A580,""NAME""),)"),"Himatsingka Seide Ltd")</f>
        <v>Himatsingka Seide Ltd</v>
      </c>
      <c r="C580" s="60">
        <f>IFERROR(__xludf.DUMMYFUNCTION("IFERROR(GOOGLEFINANCE(A580,""CHANGE""),)"),0.09)</f>
        <v>0.09</v>
      </c>
      <c r="D580" s="60">
        <f>IFERROR(__xludf.DUMMYFUNCTION("IFERROR(GOOGLEFINANCE(A580,""CHANGEPCT""),)"),0.1)</f>
        <v>0.1</v>
      </c>
      <c r="E580" s="60" t="str">
        <f t="shared" si="1"/>
        <v>0.1%</v>
      </c>
      <c r="F580" s="60">
        <f t="shared" si="2"/>
        <v>0.1</v>
      </c>
      <c r="G580" s="60" t="str">
        <f t="shared" si="3"/>
        <v/>
      </c>
      <c r="H580" s="60">
        <f>IFERROR(__xludf.DUMMYFUNCTION("IFERROR(GOOGLEFINANCE(A580,""PRICE""),)"),93.0)</f>
        <v>93</v>
      </c>
      <c r="I580" s="61">
        <f>IFERROR(__xludf.DUMMYFUNCTION("IFERROR(GOOGLEFINANCE(A580,""VOLUME""),)"),392401.0)</f>
        <v>392401</v>
      </c>
      <c r="J580" s="60" t="str">
        <f>IFERROR(__xludf.DUMMYFUNCTION("IFERROR(INDEX(SPLIT(A580,"":""),1,2),)"),"HIMATSEIDE")</f>
        <v>HIMATSEIDE</v>
      </c>
      <c r="K580" s="60">
        <f t="shared" si="4"/>
        <v>976</v>
      </c>
      <c r="L580" s="60" t="str">
        <f t="shared" si="5"/>
        <v/>
      </c>
      <c r="M580" s="60">
        <f t="shared" si="6"/>
        <v>443</v>
      </c>
      <c r="N580" s="62">
        <f>IFERROR(__xludf.DUMMYFUNCTION("IFERROR(GOOGLEFINANCE(A580,""TRADETIME""),)"),46086.64148148148)</f>
        <v>46086.64148</v>
      </c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68" t="s">
        <v>627</v>
      </c>
      <c r="B581" s="64" t="str">
        <f>IFERROR(__xludf.DUMMYFUNCTION("IFERROR(GOOGLEFINANCE(A581,""NAME""),)"),"Hindalco Industries Ltd")</f>
        <v>Hindalco Industries Ltd</v>
      </c>
      <c r="C581" s="64">
        <f>IFERROR(__xludf.DUMMYFUNCTION("IFERROR(GOOGLEFINANCE(A581,""CHANGE""),)"),38.3)</f>
        <v>38.3</v>
      </c>
      <c r="D581" s="64">
        <f>IFERROR(__xludf.DUMMYFUNCTION("IFERROR(GOOGLEFINANCE(A581,""CHANGEPCT""),)"),3.79)</f>
        <v>3.79</v>
      </c>
      <c r="E581" s="64" t="str">
        <f t="shared" si="1"/>
        <v>3.79%</v>
      </c>
      <c r="F581" s="64">
        <f t="shared" si="2"/>
        <v>3.79</v>
      </c>
      <c r="G581" s="64" t="str">
        <f t="shared" si="3"/>
        <v/>
      </c>
      <c r="H581" s="64">
        <f>IFERROR(__xludf.DUMMYFUNCTION("IFERROR(GOOGLEFINANCE(A581,""PRICE""),)"),956.7)</f>
        <v>956.7</v>
      </c>
      <c r="I581" s="65">
        <f>IFERROR(__xludf.DUMMYFUNCTION("IFERROR(GOOGLEFINANCE(A581,""VOLUME""),)"),1.6532674E7)</f>
        <v>16532674</v>
      </c>
      <c r="J581" s="64" t="str">
        <f>IFERROR(__xludf.DUMMYFUNCTION("IFERROR(INDEX(SPLIT(A581,"":""),1,2),)"),"HINDALCO")</f>
        <v>HINDALCO</v>
      </c>
      <c r="K581" s="64">
        <f t="shared" si="4"/>
        <v>163</v>
      </c>
      <c r="L581" s="64" t="str">
        <f t="shared" si="5"/>
        <v/>
      </c>
      <c r="M581" s="64">
        <f t="shared" si="6"/>
        <v>39</v>
      </c>
      <c r="N581" s="66">
        <f>IFERROR(__xludf.DUMMYFUNCTION("IFERROR(GOOGLEFINANCE(A581,""TRADETIME""),)"),46086.64583333333)</f>
        <v>46086.64583</v>
      </c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67" t="s">
        <v>628</v>
      </c>
      <c r="B582" s="60" t="str">
        <f>IFERROR(__xludf.DUMMYFUNCTION("IFERROR(GOOGLEFINANCE(A582,""NAME""),)"),"Hindustan Composites Ltd")</f>
        <v>Hindustan Composites Ltd</v>
      </c>
      <c r="C582" s="60">
        <f>IFERROR(__xludf.DUMMYFUNCTION("IFERROR(GOOGLEFINANCE(A582,""CHANGE""),)"),3.4)</f>
        <v>3.4</v>
      </c>
      <c r="D582" s="60">
        <f>IFERROR(__xludf.DUMMYFUNCTION("IFERROR(GOOGLEFINANCE(A582,""CHANGEPCT""),)"),0.84)</f>
        <v>0.84</v>
      </c>
      <c r="E582" s="60" t="str">
        <f t="shared" si="1"/>
        <v>0.84%</v>
      </c>
      <c r="F582" s="60">
        <f t="shared" si="2"/>
        <v>0.84</v>
      </c>
      <c r="G582" s="60" t="str">
        <f t="shared" si="3"/>
        <v/>
      </c>
      <c r="H582" s="60">
        <f>IFERROR(__xludf.DUMMYFUNCTION("IFERROR(GOOGLEFINANCE(A582,""PRICE""),)"),410.35)</f>
        <v>410.35</v>
      </c>
      <c r="I582" s="61">
        <f>IFERROR(__xludf.DUMMYFUNCTION("IFERROR(GOOGLEFINANCE(A582,""VOLUME""),)"),744.0)</f>
        <v>744</v>
      </c>
      <c r="J582" s="60" t="str">
        <f>IFERROR(__xludf.DUMMYFUNCTION("IFERROR(INDEX(SPLIT(A582,"":""),1,2),)"),"HINDCOMPOS")</f>
        <v>HINDCOMPOS</v>
      </c>
      <c r="K582" s="60">
        <f t="shared" si="4"/>
        <v>767</v>
      </c>
      <c r="L582" s="60" t="str">
        <f t="shared" si="5"/>
        <v/>
      </c>
      <c r="M582" s="60">
        <f t="shared" si="6"/>
        <v>1437</v>
      </c>
      <c r="N582" s="62">
        <f>IFERROR(__xludf.DUMMYFUNCTION("IFERROR(GOOGLEFINANCE(A582,""TRADETIME""),)"),46086.64583333333)</f>
        <v>46086.64583</v>
      </c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68" t="s">
        <v>629</v>
      </c>
      <c r="B583" s="64" t="str">
        <f>IFERROR(__xludf.DUMMYFUNCTION("IFERROR(GOOGLEFINANCE(A583,""NAME""),)"),"Hindustan Copper Ltd")</f>
        <v>Hindustan Copper Ltd</v>
      </c>
      <c r="C583" s="64">
        <f>IFERROR(__xludf.DUMMYFUNCTION("IFERROR(GOOGLEFINANCE(A583,""CHANGE""),)"),11.45)</f>
        <v>11.45</v>
      </c>
      <c r="D583" s="64">
        <f>IFERROR(__xludf.DUMMYFUNCTION("IFERROR(GOOGLEFINANCE(A583,""CHANGEPCT""),)"),2.09)</f>
        <v>2.09</v>
      </c>
      <c r="E583" s="64" t="str">
        <f t="shared" si="1"/>
        <v>2.09%</v>
      </c>
      <c r="F583" s="64">
        <f t="shared" si="2"/>
        <v>2.09</v>
      </c>
      <c r="G583" s="64" t="str">
        <f t="shared" si="3"/>
        <v/>
      </c>
      <c r="H583" s="64">
        <f>IFERROR(__xludf.DUMMYFUNCTION("IFERROR(GOOGLEFINANCE(A583,""PRICE""),)"),558.25)</f>
        <v>558.25</v>
      </c>
      <c r="I583" s="65">
        <f>IFERROR(__xludf.DUMMYFUNCTION("IFERROR(GOOGLEFINANCE(A583,""VOLUME""),)"),1.1610315E7)</f>
        <v>11610315</v>
      </c>
      <c r="J583" s="64" t="str">
        <f>IFERROR(__xludf.DUMMYFUNCTION("IFERROR(INDEX(SPLIT(A583,"":""),1,2),)"),"HINDCOPPER")</f>
        <v>HINDCOPPER</v>
      </c>
      <c r="K583" s="64">
        <f t="shared" si="4"/>
        <v>422</v>
      </c>
      <c r="L583" s="64" t="str">
        <f t="shared" si="5"/>
        <v/>
      </c>
      <c r="M583" s="64">
        <f t="shared" si="6"/>
        <v>53</v>
      </c>
      <c r="N583" s="66">
        <f>IFERROR(__xludf.DUMMYFUNCTION("IFERROR(GOOGLEFINANCE(A583,""TRADETIME""),)"),46086.64583333333)</f>
        <v>46086.64583</v>
      </c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67" t="s">
        <v>630</v>
      </c>
      <c r="B584" s="60" t="str">
        <f>IFERROR(__xludf.DUMMYFUNCTION("IFERROR(GOOGLEFINANCE(A584,""NAME""),)"),"")</f>
        <v/>
      </c>
      <c r="C584" s="60" t="str">
        <f>IFERROR(__xludf.DUMMYFUNCTION("IFERROR(GOOGLEFINANCE(A584,""CHANGE""),)"),"")</f>
        <v/>
      </c>
      <c r="D584" s="60" t="str">
        <f>IFERROR(__xludf.DUMMYFUNCTION("IFERROR(GOOGLEFINANCE(A584,""CHANGEPCT""),)"),"")</f>
        <v/>
      </c>
      <c r="E584" s="60" t="str">
        <f t="shared" si="1"/>
        <v>%</v>
      </c>
      <c r="F584" s="60" t="str">
        <f t="shared" si="2"/>
        <v/>
      </c>
      <c r="G584" s="60" t="str">
        <f t="shared" si="3"/>
        <v/>
      </c>
      <c r="H584" s="60" t="str">
        <f>IFERROR(__xludf.DUMMYFUNCTION("IFERROR(GOOGLEFINANCE(A584,""PRICE""),)"),"")</f>
        <v/>
      </c>
      <c r="I584" s="61" t="str">
        <f>IFERROR(__xludf.DUMMYFUNCTION("IFERROR(GOOGLEFINANCE(A584,""VOLUME""),)"),"")</f>
        <v/>
      </c>
      <c r="J584" s="60" t="str">
        <f>IFERROR(__xludf.DUMMYFUNCTION("IFERROR(INDEX(SPLIT(A584,"":""),1,2),)"),"HINDMOTORS")</f>
        <v>HINDMOTORS</v>
      </c>
      <c r="K584" s="60" t="str">
        <f t="shared" si="4"/>
        <v/>
      </c>
      <c r="L584" s="60" t="str">
        <f t="shared" si="5"/>
        <v/>
      </c>
      <c r="M584" s="60" t="str">
        <f t="shared" si="6"/>
        <v/>
      </c>
      <c r="N584" s="62" t="str">
        <f>IFERROR(__xludf.DUMMYFUNCTION("IFERROR(GOOGLEFINANCE(A584,""TRADETIME""),)"),"")</f>
        <v/>
      </c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68" t="s">
        <v>631</v>
      </c>
      <c r="B585" s="64" t="str">
        <f>IFERROR(__xludf.DUMMYFUNCTION("IFERROR(GOOGLEFINANCE(A585,""NAME""),)"),"")</f>
        <v/>
      </c>
      <c r="C585" s="64" t="str">
        <f>IFERROR(__xludf.DUMMYFUNCTION("IFERROR(GOOGLEFINANCE(A585,""CHANGE""),)"),"")</f>
        <v/>
      </c>
      <c r="D585" s="64" t="str">
        <f>IFERROR(__xludf.DUMMYFUNCTION("IFERROR(GOOGLEFINANCE(A585,""CHANGEPCT""),)"),"")</f>
        <v/>
      </c>
      <c r="E585" s="64" t="str">
        <f t="shared" si="1"/>
        <v>%</v>
      </c>
      <c r="F585" s="64" t="str">
        <f t="shared" si="2"/>
        <v/>
      </c>
      <c r="G585" s="64" t="str">
        <f t="shared" si="3"/>
        <v/>
      </c>
      <c r="H585" s="64" t="str">
        <f>IFERROR(__xludf.DUMMYFUNCTION("IFERROR(GOOGLEFINANCE(A585,""PRICE""),)"),"")</f>
        <v/>
      </c>
      <c r="I585" s="65" t="str">
        <f>IFERROR(__xludf.DUMMYFUNCTION("IFERROR(GOOGLEFINANCE(A585,""VOLUME""),)"),"")</f>
        <v/>
      </c>
      <c r="J585" s="64" t="str">
        <f>IFERROR(__xludf.DUMMYFUNCTION("IFERROR(INDEX(SPLIT(A585,"":""),1,2),)"),"HINDNATGLS")</f>
        <v>HINDNATGLS</v>
      </c>
      <c r="K585" s="64" t="str">
        <f t="shared" si="4"/>
        <v/>
      </c>
      <c r="L585" s="64" t="str">
        <f t="shared" si="5"/>
        <v/>
      </c>
      <c r="M585" s="64" t="str">
        <f t="shared" si="6"/>
        <v/>
      </c>
      <c r="N585" s="66" t="str">
        <f>IFERROR(__xludf.DUMMYFUNCTION("IFERROR(GOOGLEFINANCE(A585,""TRADETIME""),)"),"")</f>
        <v/>
      </c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67" t="s">
        <v>632</v>
      </c>
      <c r="B586" s="60" t="str">
        <f>IFERROR(__xludf.DUMMYFUNCTION("IFERROR(GOOGLEFINANCE(A586,""NAME""),)"),"Hindustan Oil Exploration Company Ltd")</f>
        <v>Hindustan Oil Exploration Company Ltd</v>
      </c>
      <c r="C586" s="60">
        <f>IFERROR(__xludf.DUMMYFUNCTION("IFERROR(GOOGLEFINANCE(A586,""CHANGE""),)"),2.93)</f>
        <v>2.93</v>
      </c>
      <c r="D586" s="60">
        <f>IFERROR(__xludf.DUMMYFUNCTION("IFERROR(GOOGLEFINANCE(A586,""CHANGEPCT""),)"),1.57)</f>
        <v>1.57</v>
      </c>
      <c r="E586" s="60" t="str">
        <f t="shared" si="1"/>
        <v>1.57%</v>
      </c>
      <c r="F586" s="60">
        <f t="shared" si="2"/>
        <v>1.57</v>
      </c>
      <c r="G586" s="60" t="str">
        <f t="shared" si="3"/>
        <v/>
      </c>
      <c r="H586" s="60">
        <f>IFERROR(__xludf.DUMMYFUNCTION("IFERROR(GOOGLEFINANCE(A586,""PRICE""),)"),151.19)</f>
        <v>151.19</v>
      </c>
      <c r="I586" s="61">
        <f>IFERROR(__xludf.DUMMYFUNCTION("IFERROR(GOOGLEFINANCE(A586,""VOLUME""),)"),3573546.0)</f>
        <v>3573546</v>
      </c>
      <c r="J586" s="60" t="str">
        <f>IFERROR(__xludf.DUMMYFUNCTION("IFERROR(INDEX(SPLIT(A586,"":""),1,2),)"),"HINDOILEXP")</f>
        <v>HINDOILEXP</v>
      </c>
      <c r="K586" s="60">
        <f t="shared" si="4"/>
        <v>546</v>
      </c>
      <c r="L586" s="60" t="str">
        <f t="shared" si="5"/>
        <v/>
      </c>
      <c r="M586" s="60">
        <f t="shared" si="6"/>
        <v>135</v>
      </c>
      <c r="N586" s="62">
        <f>IFERROR(__xludf.DUMMYFUNCTION("IFERROR(GOOGLEFINANCE(A586,""TRADETIME""),)"),46086.64583333333)</f>
        <v>46086.64583</v>
      </c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68" t="s">
        <v>633</v>
      </c>
      <c r="B587" s="64" t="str">
        <f>IFERROR(__xludf.DUMMYFUNCTION("IFERROR(GOOGLEFINANCE(A587,""NAME""),)"),"Hindustan Petroleum Corp Ltd")</f>
        <v>Hindustan Petroleum Corp Ltd</v>
      </c>
      <c r="C587" s="64">
        <f>IFERROR(__xludf.DUMMYFUNCTION("IFERROR(GOOGLEFINANCE(A587,""CHANGE""),)"),15.35)</f>
        <v>15.35</v>
      </c>
      <c r="D587" s="64">
        <f>IFERROR(__xludf.DUMMYFUNCTION("IFERROR(GOOGLEFINANCE(A587,""CHANGEPCT""),)"),3.82)</f>
        <v>3.82</v>
      </c>
      <c r="E587" s="64" t="str">
        <f t="shared" si="1"/>
        <v>3.82%</v>
      </c>
      <c r="F587" s="64">
        <f t="shared" si="2"/>
        <v>3.82</v>
      </c>
      <c r="G587" s="64" t="str">
        <f t="shared" si="3"/>
        <v/>
      </c>
      <c r="H587" s="64">
        <f>IFERROR(__xludf.DUMMYFUNCTION("IFERROR(GOOGLEFINANCE(A587,""PRICE""),)"),416.8)</f>
        <v>416.8</v>
      </c>
      <c r="I587" s="65">
        <f>IFERROR(__xludf.DUMMYFUNCTION("IFERROR(GOOGLEFINANCE(A587,""VOLUME""),)"),1.015964E7)</f>
        <v>10159640</v>
      </c>
      <c r="J587" s="64" t="str">
        <f>IFERROR(__xludf.DUMMYFUNCTION("IFERROR(INDEX(SPLIT(A587,"":""),1,2),)"),"HINDPETRO")</f>
        <v>HINDPETRO</v>
      </c>
      <c r="K587" s="64">
        <f t="shared" si="4"/>
        <v>158</v>
      </c>
      <c r="L587" s="64" t="str">
        <f t="shared" si="5"/>
        <v/>
      </c>
      <c r="M587" s="64">
        <f t="shared" si="6"/>
        <v>60</v>
      </c>
      <c r="N587" s="66">
        <f>IFERROR(__xludf.DUMMYFUNCTION("IFERROR(GOOGLEFINANCE(A587,""TRADETIME""),)"),46086.6396875)</f>
        <v>46086.63969</v>
      </c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67" t="s">
        <v>634</v>
      </c>
      <c r="B588" s="60" t="str">
        <f>IFERROR(__xludf.DUMMYFUNCTION("IFERROR(GOOGLEFINANCE(A588,""NAME""),)"),"Hindustan Unilever Ltd")</f>
        <v>Hindustan Unilever Ltd</v>
      </c>
      <c r="C588" s="60">
        <f>IFERROR(__xludf.DUMMYFUNCTION("IFERROR(GOOGLEFINANCE(A588,""CHANGE""),)"),-8.9)</f>
        <v>-8.9</v>
      </c>
      <c r="D588" s="60">
        <f>IFERROR(__xludf.DUMMYFUNCTION("IFERROR(GOOGLEFINANCE(A588,""CHANGEPCT""),)"),-0.28)</f>
        <v>-0.28</v>
      </c>
      <c r="E588" s="60" t="str">
        <f t="shared" si="1"/>
        <v>-0.28%</v>
      </c>
      <c r="F588" s="60" t="str">
        <f t="shared" si="2"/>
        <v/>
      </c>
      <c r="G588" s="60">
        <f t="shared" si="3"/>
        <v>-0.28</v>
      </c>
      <c r="H588" s="60">
        <f>IFERROR(__xludf.DUMMYFUNCTION("IFERROR(GOOGLEFINANCE(A588,""PRICE""),)"),2254.9)</f>
        <v>2254.9</v>
      </c>
      <c r="I588" s="61">
        <f>IFERROR(__xludf.DUMMYFUNCTION("IFERROR(GOOGLEFINANCE(A588,""VOLUME""),)"),1751243.0)</f>
        <v>1751243</v>
      </c>
      <c r="J588" s="60" t="str">
        <f>IFERROR(__xludf.DUMMYFUNCTION("IFERROR(INDEX(SPLIT(A588,"":""),1,2),)"),"HINDUNILVR")</f>
        <v>HINDUNILVR</v>
      </c>
      <c r="K588" s="60" t="str">
        <f t="shared" si="4"/>
        <v/>
      </c>
      <c r="L588" s="60">
        <f t="shared" si="5"/>
        <v>72</v>
      </c>
      <c r="M588" s="60">
        <f t="shared" si="6"/>
        <v>222</v>
      </c>
      <c r="N588" s="62">
        <f>IFERROR(__xludf.DUMMYFUNCTION("IFERROR(GOOGLEFINANCE(A588,""TRADETIME""),)"),46086.64583333333)</f>
        <v>46086.64583</v>
      </c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68" t="s">
        <v>635</v>
      </c>
      <c r="B589" s="64" t="str">
        <f>IFERROR(__xludf.DUMMYFUNCTION("IFERROR(GOOGLEFINANCE(A589,""NAME""),)"),"Hindustan Zinc Ltd")</f>
        <v>Hindustan Zinc Ltd</v>
      </c>
      <c r="C589" s="64">
        <f>IFERROR(__xludf.DUMMYFUNCTION("IFERROR(GOOGLEFINANCE(A589,""CHANGE""),)"),4.3)</f>
        <v>4.3</v>
      </c>
      <c r="D589" s="64">
        <f>IFERROR(__xludf.DUMMYFUNCTION("IFERROR(GOOGLEFINANCE(A589,""CHANGEPCT""),)"),0.73)</f>
        <v>0.73</v>
      </c>
      <c r="E589" s="64" t="str">
        <f t="shared" si="1"/>
        <v>0.73%</v>
      </c>
      <c r="F589" s="64">
        <f t="shared" si="2"/>
        <v>0.73</v>
      </c>
      <c r="G589" s="64" t="str">
        <f t="shared" si="3"/>
        <v/>
      </c>
      <c r="H589" s="64">
        <f>IFERROR(__xludf.DUMMYFUNCTION("IFERROR(GOOGLEFINANCE(A589,""PRICE""),)"),595.55)</f>
        <v>595.55</v>
      </c>
      <c r="I589" s="65">
        <f>IFERROR(__xludf.DUMMYFUNCTION("IFERROR(GOOGLEFINANCE(A589,""VOLUME""),)"),5317142.0)</f>
        <v>5317142</v>
      </c>
      <c r="J589" s="64" t="str">
        <f>IFERROR(__xludf.DUMMYFUNCTION("IFERROR(INDEX(SPLIT(A589,"":""),1,2),)"),"HINDZINC")</f>
        <v>HINDZINC</v>
      </c>
      <c r="K589" s="64">
        <f t="shared" si="4"/>
        <v>813</v>
      </c>
      <c r="L589" s="64" t="str">
        <f t="shared" si="5"/>
        <v/>
      </c>
      <c r="M589" s="64">
        <f t="shared" si="6"/>
        <v>104</v>
      </c>
      <c r="N589" s="66">
        <f>IFERROR(__xludf.DUMMYFUNCTION("IFERROR(GOOGLEFINANCE(A589,""TRADETIME""),)"),46086.64583333333)</f>
        <v>46086.64583</v>
      </c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67" t="s">
        <v>636</v>
      </c>
      <c r="B590" s="60" t="str">
        <f>IFERROR(__xludf.DUMMYFUNCTION("IFERROR(GOOGLEFINANCE(A590,""NAME""),)"),"Hind Rectifiers Ltd")</f>
        <v>Hind Rectifiers Ltd</v>
      </c>
      <c r="C590" s="60">
        <f>IFERROR(__xludf.DUMMYFUNCTION("IFERROR(GOOGLEFINANCE(A590,""CHANGE""),)"),28.5)</f>
        <v>28.5</v>
      </c>
      <c r="D590" s="60">
        <f>IFERROR(__xludf.DUMMYFUNCTION("IFERROR(GOOGLEFINANCE(A590,""CHANGEPCT""),)"),2.14)</f>
        <v>2.14</v>
      </c>
      <c r="E590" s="60" t="str">
        <f t="shared" si="1"/>
        <v>2.14%</v>
      </c>
      <c r="F590" s="60">
        <f t="shared" si="2"/>
        <v>2.14</v>
      </c>
      <c r="G590" s="60" t="str">
        <f t="shared" si="3"/>
        <v/>
      </c>
      <c r="H590" s="60">
        <f>IFERROR(__xludf.DUMMYFUNCTION("IFERROR(GOOGLEFINANCE(A590,""PRICE""),)"),1358.0)</f>
        <v>1358</v>
      </c>
      <c r="I590" s="61">
        <f>IFERROR(__xludf.DUMMYFUNCTION("IFERROR(GOOGLEFINANCE(A590,""VOLUME""),)"),18534.0)</f>
        <v>18534</v>
      </c>
      <c r="J590" s="60" t="str">
        <f>IFERROR(__xludf.DUMMYFUNCTION("IFERROR(INDEX(SPLIT(A590,"":""),1,2),)"),"HIRECT")</f>
        <v>HIRECT</v>
      </c>
      <c r="K590" s="60">
        <f t="shared" si="4"/>
        <v>409</v>
      </c>
      <c r="L590" s="60" t="str">
        <f t="shared" si="5"/>
        <v/>
      </c>
      <c r="M590" s="60">
        <f t="shared" si="6"/>
        <v>1164</v>
      </c>
      <c r="N590" s="62">
        <f>IFERROR(__xludf.DUMMYFUNCTION("IFERROR(GOOGLEFINANCE(A590,""TRADETIME""),)"),46086.64583333333)</f>
        <v>46086.64583</v>
      </c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68" t="s">
        <v>637</v>
      </c>
      <c r="B591" s="64" t="str">
        <f>IFERROR(__xludf.DUMMYFUNCTION("IFERROR(GOOGLEFINANCE(A591,""NAME""),)"),"Hisar Metal Industries Ltd(NDA)")</f>
        <v>Hisar Metal Industries Ltd(NDA)</v>
      </c>
      <c r="C591" s="64">
        <f>IFERROR(__xludf.DUMMYFUNCTION("IFERROR(GOOGLEFINANCE(A591,""CHANGE""),)"),1.16)</f>
        <v>1.16</v>
      </c>
      <c r="D591" s="64">
        <f>IFERROR(__xludf.DUMMYFUNCTION("IFERROR(GOOGLEFINANCE(A591,""CHANGEPCT""),)"),0.74)</f>
        <v>0.74</v>
      </c>
      <c r="E591" s="64" t="str">
        <f t="shared" si="1"/>
        <v>0.74%</v>
      </c>
      <c r="F591" s="64">
        <f t="shared" si="2"/>
        <v>0.74</v>
      </c>
      <c r="G591" s="64" t="str">
        <f t="shared" si="3"/>
        <v/>
      </c>
      <c r="H591" s="64">
        <f>IFERROR(__xludf.DUMMYFUNCTION("IFERROR(GOOGLEFINANCE(A591,""PRICE""),)"),157.0)</f>
        <v>157</v>
      </c>
      <c r="I591" s="65">
        <f>IFERROR(__xludf.DUMMYFUNCTION("IFERROR(GOOGLEFINANCE(A591,""VOLUME""),)"),765.0)</f>
        <v>765</v>
      </c>
      <c r="J591" s="64" t="str">
        <f>IFERROR(__xludf.DUMMYFUNCTION("IFERROR(INDEX(SPLIT(A591,"":""),1,2),)"),"HISARMETAL")</f>
        <v>HISARMETAL</v>
      </c>
      <c r="K591" s="64">
        <f t="shared" si="4"/>
        <v>807</v>
      </c>
      <c r="L591" s="64" t="str">
        <f t="shared" si="5"/>
        <v/>
      </c>
      <c r="M591" s="64">
        <f t="shared" si="6"/>
        <v>1436</v>
      </c>
      <c r="N591" s="66">
        <f>IFERROR(__xludf.DUMMYFUNCTION("IFERROR(GOOGLEFINANCE(A591,""TRADETIME""),)"),46086.64583333333)</f>
        <v>46086.64583</v>
      </c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67" t="s">
        <v>638</v>
      </c>
      <c r="B592" s="60" t="str">
        <f>IFERROR(__xludf.DUMMYFUNCTION("IFERROR(GOOGLEFINANCE(A592,""NAME""),)"),"Hi-Tech Pipes Ltd")</f>
        <v>Hi-Tech Pipes Ltd</v>
      </c>
      <c r="C592" s="60">
        <f>IFERROR(__xludf.DUMMYFUNCTION("IFERROR(GOOGLEFINANCE(A592,""CHANGE""),)"),0.48)</f>
        <v>0.48</v>
      </c>
      <c r="D592" s="60">
        <f>IFERROR(__xludf.DUMMYFUNCTION("IFERROR(GOOGLEFINANCE(A592,""CHANGEPCT""),)"),0.42)</f>
        <v>0.42</v>
      </c>
      <c r="E592" s="60" t="str">
        <f t="shared" si="1"/>
        <v>0.42%</v>
      </c>
      <c r="F592" s="60">
        <f t="shared" si="2"/>
        <v>0.42</v>
      </c>
      <c r="G592" s="60" t="str">
        <f t="shared" si="3"/>
        <v/>
      </c>
      <c r="H592" s="60">
        <f>IFERROR(__xludf.DUMMYFUNCTION("IFERROR(GOOGLEFINANCE(A592,""PRICE""),)"),82.15)</f>
        <v>82.15</v>
      </c>
      <c r="I592" s="61">
        <f>IFERROR(__xludf.DUMMYFUNCTION("IFERROR(GOOGLEFINANCE(A592,""VOLUME""),)"),846940.0)</f>
        <v>846940</v>
      </c>
      <c r="J592" s="60" t="str">
        <f>IFERROR(__xludf.DUMMYFUNCTION("IFERROR(INDEX(SPLIT(A592,"":""),1,2),)"),"HITECH")</f>
        <v>HITECH</v>
      </c>
      <c r="K592" s="60">
        <f t="shared" si="4"/>
        <v>897</v>
      </c>
      <c r="L592" s="60" t="str">
        <f t="shared" si="5"/>
        <v/>
      </c>
      <c r="M592" s="60">
        <f t="shared" si="6"/>
        <v>309</v>
      </c>
      <c r="N592" s="62">
        <f>IFERROR(__xludf.DUMMYFUNCTION("IFERROR(GOOGLEFINANCE(A592,""TRADETIME""),)"),46086.64583333333)</f>
        <v>46086.64583</v>
      </c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68" t="s">
        <v>639</v>
      </c>
      <c r="B593" s="64" t="str">
        <f>IFERROR(__xludf.DUMMYFUNCTION("IFERROR(GOOGLEFINANCE(A593,""NAME""),)"),"Hitech Corporation Ltd")</f>
        <v>Hitech Corporation Ltd</v>
      </c>
      <c r="C593" s="64">
        <f>IFERROR(__xludf.DUMMYFUNCTION("IFERROR(GOOGLEFINANCE(A593,""CHANGE""),)"),-3.71)</f>
        <v>-3.71</v>
      </c>
      <c r="D593" s="64">
        <f>IFERROR(__xludf.DUMMYFUNCTION("IFERROR(GOOGLEFINANCE(A593,""CHANGEPCT""),)"),-2.88)</f>
        <v>-2.88</v>
      </c>
      <c r="E593" s="64" t="str">
        <f t="shared" si="1"/>
        <v>-2.88%</v>
      </c>
      <c r="F593" s="64" t="str">
        <f t="shared" si="2"/>
        <v/>
      </c>
      <c r="G593" s="64">
        <f t="shared" si="3"/>
        <v>-2.88</v>
      </c>
      <c r="H593" s="64">
        <f>IFERROR(__xludf.DUMMYFUNCTION("IFERROR(GOOGLEFINANCE(A593,""PRICE""),)"),123.5)</f>
        <v>123.5</v>
      </c>
      <c r="I593" s="65">
        <f>IFERROR(__xludf.DUMMYFUNCTION("IFERROR(GOOGLEFINANCE(A593,""VOLUME""),)"),8663.0)</f>
        <v>8663</v>
      </c>
      <c r="J593" s="64" t="str">
        <f>IFERROR(__xludf.DUMMYFUNCTION("IFERROR(INDEX(SPLIT(A593,"":""),1,2),)"),"HITECHCORP")</f>
        <v>HITECHCORP</v>
      </c>
      <c r="K593" s="64" t="str">
        <f t="shared" si="4"/>
        <v/>
      </c>
      <c r="L593" s="64">
        <f t="shared" si="5"/>
        <v>405</v>
      </c>
      <c r="M593" s="64">
        <f t="shared" si="6"/>
        <v>1284</v>
      </c>
      <c r="N593" s="66">
        <f>IFERROR(__xludf.DUMMYFUNCTION("IFERROR(GOOGLEFINANCE(A593,""TRADETIME""),)"),46086.64583333333)</f>
        <v>46086.64583</v>
      </c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67" t="s">
        <v>640</v>
      </c>
      <c r="B594" s="60" t="str">
        <f>IFERROR(__xludf.DUMMYFUNCTION("IFERROR(GOOGLEFINANCE(A594,""NAME""),)"),"Hi-Tech Gears Ltd")</f>
        <v>Hi-Tech Gears Ltd</v>
      </c>
      <c r="C594" s="60">
        <f>IFERROR(__xludf.DUMMYFUNCTION("IFERROR(GOOGLEFINANCE(A594,""CHANGE""),)"),4.4)</f>
        <v>4.4</v>
      </c>
      <c r="D594" s="60">
        <f>IFERROR(__xludf.DUMMYFUNCTION("IFERROR(GOOGLEFINANCE(A594,""CHANGEPCT""),)"),-0.42)</f>
        <v>-0.42</v>
      </c>
      <c r="E594" s="60" t="str">
        <f t="shared" si="1"/>
        <v>-0.42%</v>
      </c>
      <c r="F594" s="60" t="str">
        <f t="shared" si="2"/>
        <v/>
      </c>
      <c r="G594" s="60">
        <f t="shared" si="3"/>
        <v>-0.42</v>
      </c>
      <c r="H594" s="60">
        <f>IFERROR(__xludf.DUMMYFUNCTION("IFERROR(GOOGLEFINANCE(A594,""PRICE""),)"),615.95)</f>
        <v>615.95</v>
      </c>
      <c r="I594" s="61">
        <f>IFERROR(__xludf.DUMMYFUNCTION("IFERROR(GOOGLEFINANCE(A594,""VOLUME""),)"),797.0)</f>
        <v>797</v>
      </c>
      <c r="J594" s="60" t="str">
        <f>IFERROR(__xludf.DUMMYFUNCTION("IFERROR(INDEX(SPLIT(A594,"":""),1,2),)"),"HITECHGEAR")</f>
        <v>HITECHGEAR</v>
      </c>
      <c r="K594" s="60" t="str">
        <f t="shared" si="4"/>
        <v/>
      </c>
      <c r="L594" s="60">
        <f t="shared" si="5"/>
        <v>100</v>
      </c>
      <c r="M594" s="60">
        <f t="shared" si="6"/>
        <v>1434</v>
      </c>
      <c r="N594" s="62">
        <f>IFERROR(__xludf.DUMMYFUNCTION("IFERROR(GOOGLEFINANCE(A594,""TRADETIME""),)"),46086.63313657408)</f>
        <v>46086.63314</v>
      </c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68" t="s">
        <v>641</v>
      </c>
      <c r="B595" s="64" t="str">
        <f>IFERROR(__xludf.DUMMYFUNCTION("IFERROR(GOOGLEFINANCE(A595,""NAME""),)"),"HLV Ltd")</f>
        <v>HLV Ltd</v>
      </c>
      <c r="C595" s="64">
        <f>IFERROR(__xludf.DUMMYFUNCTION("IFERROR(GOOGLEFINANCE(A595,""CHANGE""),)"),0.14)</f>
        <v>0.14</v>
      </c>
      <c r="D595" s="64">
        <f>IFERROR(__xludf.DUMMYFUNCTION("IFERROR(GOOGLEFINANCE(A595,""CHANGEPCT""),)"),1.83)</f>
        <v>1.83</v>
      </c>
      <c r="E595" s="64" t="str">
        <f t="shared" si="1"/>
        <v>1.83%</v>
      </c>
      <c r="F595" s="64">
        <f t="shared" si="2"/>
        <v>1.83</v>
      </c>
      <c r="G595" s="64" t="str">
        <f t="shared" si="3"/>
        <v/>
      </c>
      <c r="H595" s="64">
        <f>IFERROR(__xludf.DUMMYFUNCTION("IFERROR(GOOGLEFINANCE(A595,""PRICE""),)"),7.79)</f>
        <v>7.79</v>
      </c>
      <c r="I595" s="65">
        <f>IFERROR(__xludf.DUMMYFUNCTION("IFERROR(GOOGLEFINANCE(A595,""VOLUME""),)"),321133.0)</f>
        <v>321133</v>
      </c>
      <c r="J595" s="64" t="str">
        <f>IFERROR(__xludf.DUMMYFUNCTION("IFERROR(INDEX(SPLIT(A595,"":""),1,2),)"),"HLVLTD")</f>
        <v>HLVLTD</v>
      </c>
      <c r="K595" s="64">
        <f t="shared" si="4"/>
        <v>490</v>
      </c>
      <c r="L595" s="64" t="str">
        <f t="shared" si="5"/>
        <v/>
      </c>
      <c r="M595" s="64">
        <f t="shared" si="6"/>
        <v>496</v>
      </c>
      <c r="N595" s="66">
        <f>IFERROR(__xludf.DUMMYFUNCTION("IFERROR(GOOGLEFINANCE(A595,""TRADETIME""),)"),46086.64583333333)</f>
        <v>46086.64583</v>
      </c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67" t="s">
        <v>642</v>
      </c>
      <c r="B596" s="60" t="str">
        <f>IFERROR(__xludf.DUMMYFUNCTION("IFERROR(GOOGLEFINANCE(A596,""NAME""),)"),"HMT Ltd")</f>
        <v>HMT Ltd</v>
      </c>
      <c r="C596" s="60">
        <f>IFERROR(__xludf.DUMMYFUNCTION("IFERROR(GOOGLEFINANCE(A596,""CHANGE""),)"),3.34)</f>
        <v>3.34</v>
      </c>
      <c r="D596" s="60">
        <f>IFERROR(__xludf.DUMMYFUNCTION("IFERROR(GOOGLEFINANCE(A596,""CHANGEPCT""),)"),4.99)</f>
        <v>4.99</v>
      </c>
      <c r="E596" s="60" t="str">
        <f t="shared" si="1"/>
        <v>4.99%</v>
      </c>
      <c r="F596" s="60">
        <f t="shared" si="2"/>
        <v>4.99</v>
      </c>
      <c r="G596" s="60" t="str">
        <f t="shared" si="3"/>
        <v/>
      </c>
      <c r="H596" s="60">
        <f>IFERROR(__xludf.DUMMYFUNCTION("IFERROR(GOOGLEFINANCE(A596,""PRICE""),)"),70.32)</f>
        <v>70.32</v>
      </c>
      <c r="I596" s="61">
        <f>IFERROR(__xludf.DUMMYFUNCTION("IFERROR(GOOGLEFINANCE(A596,""VOLUME""),)"),95554.0)</f>
        <v>95554</v>
      </c>
      <c r="J596" s="60" t="str">
        <f>IFERROR(__xludf.DUMMYFUNCTION("IFERROR(INDEX(SPLIT(A596,"":""),1,2),)"),"HMT")</f>
        <v>HMT</v>
      </c>
      <c r="K596" s="60">
        <f t="shared" si="4"/>
        <v>75</v>
      </c>
      <c r="L596" s="60" t="str">
        <f t="shared" si="5"/>
        <v/>
      </c>
      <c r="M596" s="60">
        <f t="shared" si="6"/>
        <v>767</v>
      </c>
      <c r="N596" s="62">
        <f>IFERROR(__xludf.DUMMYFUNCTION("IFERROR(GOOGLEFINANCE(A596,""TRADETIME""),)"),46086.64583333333)</f>
        <v>46086.64583</v>
      </c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68" t="s">
        <v>643</v>
      </c>
      <c r="B597" s="64" t="str">
        <f>IFERROR(__xludf.DUMMYFUNCTION("IFERROR(GOOGLEFINANCE(A597,""NAME""),)"),"Hindustan Media Ventures Ltd")</f>
        <v>Hindustan Media Ventures Ltd</v>
      </c>
      <c r="C597" s="64">
        <f>IFERROR(__xludf.DUMMYFUNCTION("IFERROR(GOOGLEFINANCE(A597,""CHANGE""),)"),2.5)</f>
        <v>2.5</v>
      </c>
      <c r="D597" s="64">
        <f>IFERROR(__xludf.DUMMYFUNCTION("IFERROR(GOOGLEFINANCE(A597,""CHANGEPCT""),)"),3.78)</f>
        <v>3.78</v>
      </c>
      <c r="E597" s="64" t="str">
        <f t="shared" si="1"/>
        <v>3.78%</v>
      </c>
      <c r="F597" s="64">
        <f t="shared" si="2"/>
        <v>3.78</v>
      </c>
      <c r="G597" s="64" t="str">
        <f t="shared" si="3"/>
        <v/>
      </c>
      <c r="H597" s="64">
        <f>IFERROR(__xludf.DUMMYFUNCTION("IFERROR(GOOGLEFINANCE(A597,""PRICE""),)"),68.6)</f>
        <v>68.6</v>
      </c>
      <c r="I597" s="65">
        <f>IFERROR(__xludf.DUMMYFUNCTION("IFERROR(GOOGLEFINANCE(A597,""VOLUME""),)"),11874.0)</f>
        <v>11874</v>
      </c>
      <c r="J597" s="64" t="str">
        <f>IFERROR(__xludf.DUMMYFUNCTION("IFERROR(INDEX(SPLIT(A597,"":""),1,2),)"),"HMVL")</f>
        <v>HMVL</v>
      </c>
      <c r="K597" s="64">
        <f t="shared" si="4"/>
        <v>164</v>
      </c>
      <c r="L597" s="64" t="str">
        <f t="shared" si="5"/>
        <v/>
      </c>
      <c r="M597" s="64">
        <f t="shared" si="6"/>
        <v>1231</v>
      </c>
      <c r="N597" s="66">
        <f>IFERROR(__xludf.DUMMYFUNCTION("IFERROR(GOOGLEFINANCE(A597,""TRADETIME""),)"),46086.64583333333)</f>
        <v>46086.64583</v>
      </c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67" t="s">
        <v>644</v>
      </c>
      <c r="B598" s="60" t="str">
        <f>IFERROR(__xludf.DUMMYFUNCTION("IFERROR(GOOGLEFINANCE(A598,""NAME""),)"),"Hindustan Foods Ltd(NDA)")</f>
        <v>Hindustan Foods Ltd(NDA)</v>
      </c>
      <c r="C598" s="60">
        <f>IFERROR(__xludf.DUMMYFUNCTION("IFERROR(GOOGLEFINANCE(A598,""CHANGE""),)"),-4.45)</f>
        <v>-4.45</v>
      </c>
      <c r="D598" s="60">
        <f>IFERROR(__xludf.DUMMYFUNCTION("IFERROR(GOOGLEFINANCE(A598,""CHANGEPCT""),)"),-0.93)</f>
        <v>-0.93</v>
      </c>
      <c r="E598" s="60" t="str">
        <f t="shared" si="1"/>
        <v>-0.93%</v>
      </c>
      <c r="F598" s="60" t="str">
        <f t="shared" si="2"/>
        <v/>
      </c>
      <c r="G598" s="60">
        <f t="shared" si="3"/>
        <v>-0.93</v>
      </c>
      <c r="H598" s="60">
        <f>IFERROR(__xludf.DUMMYFUNCTION("IFERROR(GOOGLEFINANCE(A598,""PRICE""),)"),474.0)</f>
        <v>474</v>
      </c>
      <c r="I598" s="61">
        <f>IFERROR(__xludf.DUMMYFUNCTION("IFERROR(GOOGLEFINANCE(A598,""VOLUME""),)"),49706.0)</f>
        <v>49706</v>
      </c>
      <c r="J598" s="60" t="str">
        <f>IFERROR(__xludf.DUMMYFUNCTION("IFERROR(INDEX(SPLIT(A598,"":""),1,2),)"),"HNDFDS")</f>
        <v>HNDFDS</v>
      </c>
      <c r="K598" s="60" t="str">
        <f t="shared" si="4"/>
        <v/>
      </c>
      <c r="L598" s="60">
        <f t="shared" si="5"/>
        <v>205</v>
      </c>
      <c r="M598" s="60">
        <f t="shared" si="6"/>
        <v>936</v>
      </c>
      <c r="N598" s="62">
        <f>IFERROR(__xludf.DUMMYFUNCTION("IFERROR(GOOGLEFINANCE(A598,""TRADETIME""),)"),46086.64583333333)</f>
        <v>46086.64583</v>
      </c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68" t="s">
        <v>645</v>
      </c>
      <c r="B599" s="64" t="str">
        <f>IFERROR(__xludf.DUMMYFUNCTION("IFERROR(GOOGLEFINANCE(A599,""NAME""),)"),"Honeywell Automation India Ltd")</f>
        <v>Honeywell Automation India Ltd</v>
      </c>
      <c r="C599" s="64">
        <f>IFERROR(__xludf.DUMMYFUNCTION("IFERROR(GOOGLEFINANCE(A599,""CHANGE""),)"),-130.0)</f>
        <v>-130</v>
      </c>
      <c r="D599" s="64">
        <f>IFERROR(__xludf.DUMMYFUNCTION("IFERROR(GOOGLEFINANCE(A599,""CHANGEPCT""),)"),-0.43)</f>
        <v>-0.43</v>
      </c>
      <c r="E599" s="64" t="str">
        <f t="shared" si="1"/>
        <v>-0.43%</v>
      </c>
      <c r="F599" s="64" t="str">
        <f t="shared" si="2"/>
        <v/>
      </c>
      <c r="G599" s="64">
        <f t="shared" si="3"/>
        <v>-0.43</v>
      </c>
      <c r="H599" s="64">
        <f>IFERROR(__xludf.DUMMYFUNCTION("IFERROR(GOOGLEFINANCE(A599,""PRICE""),)"),29995.0)</f>
        <v>29995</v>
      </c>
      <c r="I599" s="65">
        <f>IFERROR(__xludf.DUMMYFUNCTION("IFERROR(GOOGLEFINANCE(A599,""VOLUME""),)"),3231.0)</f>
        <v>3231</v>
      </c>
      <c r="J599" s="64" t="str">
        <f>IFERROR(__xludf.DUMMYFUNCTION("IFERROR(INDEX(SPLIT(A599,"":""),1,2),)"),"HONAUT")</f>
        <v>HONAUT</v>
      </c>
      <c r="K599" s="64" t="str">
        <f t="shared" si="4"/>
        <v/>
      </c>
      <c r="L599" s="64">
        <f t="shared" si="5"/>
        <v>105</v>
      </c>
      <c r="M599" s="64">
        <f t="shared" si="6"/>
        <v>1380</v>
      </c>
      <c r="N599" s="66">
        <f>IFERROR(__xludf.DUMMYFUNCTION("IFERROR(GOOGLEFINANCE(A599,""TRADETIME""),)"),46086.64585648148)</f>
        <v>46086.64586</v>
      </c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67" t="s">
        <v>646</v>
      </c>
      <c r="B600" s="60" t="str">
        <f>IFERROR(__xludf.DUMMYFUNCTION("IFERROR(GOOGLEFINANCE(A600,""NAME""),)"),"Honda India Power Products Ltd")</f>
        <v>Honda India Power Products Ltd</v>
      </c>
      <c r="C600" s="60">
        <f>IFERROR(__xludf.DUMMYFUNCTION("IFERROR(GOOGLEFINANCE(A600,""CHANGE""),)"),24.8)</f>
        <v>24.8</v>
      </c>
      <c r="D600" s="60">
        <f>IFERROR(__xludf.DUMMYFUNCTION("IFERROR(GOOGLEFINANCE(A600,""CHANGEPCT""),)"),1.22)</f>
        <v>1.22</v>
      </c>
      <c r="E600" s="60" t="str">
        <f t="shared" si="1"/>
        <v>1.22%</v>
      </c>
      <c r="F600" s="60">
        <f t="shared" si="2"/>
        <v>1.22</v>
      </c>
      <c r="G600" s="60" t="str">
        <f t="shared" si="3"/>
        <v/>
      </c>
      <c r="H600" s="60">
        <f>IFERROR(__xludf.DUMMYFUNCTION("IFERROR(GOOGLEFINANCE(A600,""PRICE""),)"),2050.8)</f>
        <v>2050.8</v>
      </c>
      <c r="I600" s="61">
        <f>IFERROR(__xludf.DUMMYFUNCTION("IFERROR(GOOGLEFINANCE(A600,""VOLUME""),)"),2521.0)</f>
        <v>2521</v>
      </c>
      <c r="J600" s="60" t="str">
        <f>IFERROR(__xludf.DUMMYFUNCTION("IFERROR(INDEX(SPLIT(A600,"":""),1,2),)"),"HONDAPOWER")</f>
        <v>HONDAPOWER</v>
      </c>
      <c r="K600" s="60">
        <f t="shared" si="4"/>
        <v>665</v>
      </c>
      <c r="L600" s="60" t="str">
        <f t="shared" si="5"/>
        <v/>
      </c>
      <c r="M600" s="60">
        <f t="shared" si="6"/>
        <v>1391</v>
      </c>
      <c r="N600" s="62">
        <f>IFERROR(__xludf.DUMMYFUNCTION("IFERROR(GOOGLEFINANCE(A600,""TRADETIME""),)"),46086.64583333333)</f>
        <v>46086.64583</v>
      </c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68" t="s">
        <v>647</v>
      </c>
      <c r="B601" s="64" t="str">
        <f>IFERROR(__xludf.DUMMYFUNCTION("IFERROR(GOOGLEFINANCE(A601,""NAME""),)"),"Univa Foods Ltd")</f>
        <v>Univa Foods Ltd</v>
      </c>
      <c r="C601" s="64">
        <f>IFERROR(__xludf.DUMMYFUNCTION("IFERROR(GOOGLEFINANCE(A601,""CHANGE""),)"),0.0)</f>
        <v>0</v>
      </c>
      <c r="D601" s="64">
        <f>IFERROR(__xludf.DUMMYFUNCTION("IFERROR(GOOGLEFINANCE(A601,""CHANGEPCT""),)"),0.0)</f>
        <v>0</v>
      </c>
      <c r="E601" s="64" t="str">
        <f t="shared" si="1"/>
        <v>0%</v>
      </c>
      <c r="F601" s="64" t="str">
        <f t="shared" si="2"/>
        <v/>
      </c>
      <c r="G601" s="64" t="str">
        <f t="shared" si="3"/>
        <v/>
      </c>
      <c r="H601" s="64">
        <f>IFERROR(__xludf.DUMMYFUNCTION("IFERROR(GOOGLEFINANCE(A601,""PRICE""),)"),9.91)</f>
        <v>9.91</v>
      </c>
      <c r="I601" s="65">
        <f>IFERROR(__xludf.DUMMYFUNCTION("IFERROR(GOOGLEFINANCE(A601,""VOLUME""),)"),600.0)</f>
        <v>600</v>
      </c>
      <c r="J601" s="64" t="str">
        <f>IFERROR(__xludf.DUMMYFUNCTION("IFERROR(INDEX(SPLIT(A601,"":""),1,2),)"),"UNIVAFOODS")</f>
        <v>UNIVAFOODS</v>
      </c>
      <c r="K601" s="64" t="str">
        <f t="shared" si="4"/>
        <v/>
      </c>
      <c r="L601" s="64" t="str">
        <f t="shared" si="5"/>
        <v/>
      </c>
      <c r="M601" s="64">
        <f t="shared" si="6"/>
        <v>1439</v>
      </c>
      <c r="N601" s="66">
        <f>IFERROR(__xludf.DUMMYFUNCTION("IFERROR(GOOGLEFINANCE(A601,""TRADETIME""),)"),46083.64583333333)</f>
        <v>46083.64583</v>
      </c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67" t="s">
        <v>648</v>
      </c>
      <c r="B602" s="60" t="str">
        <f>IFERROR(__xludf.DUMMYFUNCTION("IFERROR(GOOGLEFINANCE(A602,""NAME""),)"),"")</f>
        <v/>
      </c>
      <c r="C602" s="60" t="str">
        <f>IFERROR(__xludf.DUMMYFUNCTION("IFERROR(GOOGLEFINANCE(A602,""CHANGE""),)"),"")</f>
        <v/>
      </c>
      <c r="D602" s="60" t="str">
        <f>IFERROR(__xludf.DUMMYFUNCTION("IFERROR(GOOGLEFINANCE(A602,""CHANGEPCT""),)"),"")</f>
        <v/>
      </c>
      <c r="E602" s="60" t="str">
        <f t="shared" si="1"/>
        <v>%</v>
      </c>
      <c r="F602" s="60" t="str">
        <f t="shared" si="2"/>
        <v/>
      </c>
      <c r="G602" s="60" t="str">
        <f t="shared" si="3"/>
        <v/>
      </c>
      <c r="H602" s="60" t="str">
        <f>IFERROR(__xludf.DUMMYFUNCTION("IFERROR(GOOGLEFINANCE(A602,""PRICE""),)"),"")</f>
        <v/>
      </c>
      <c r="I602" s="61" t="str">
        <f>IFERROR(__xludf.DUMMYFUNCTION("IFERROR(GOOGLEFINANCE(A602,""VOLUME""),)"),"")</f>
        <v/>
      </c>
      <c r="J602" s="60" t="str">
        <f>IFERROR(__xludf.DUMMYFUNCTION("IFERROR(INDEX(SPLIT(A602,"":""),1,2),)"),"HOVS")</f>
        <v>HOVS</v>
      </c>
      <c r="K602" s="60" t="str">
        <f t="shared" si="4"/>
        <v/>
      </c>
      <c r="L602" s="60" t="str">
        <f t="shared" si="5"/>
        <v/>
      </c>
      <c r="M602" s="60" t="str">
        <f t="shared" si="6"/>
        <v/>
      </c>
      <c r="N602" s="62" t="str">
        <f>IFERROR(__xludf.DUMMYFUNCTION("IFERROR(GOOGLEFINANCE(A602,""TRADETIME""),)"),"")</f>
        <v/>
      </c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68" t="s">
        <v>649</v>
      </c>
      <c r="B603" s="64" t="str">
        <f>IFERROR(__xludf.DUMMYFUNCTION("IFERROR(GOOGLEFINANCE(A603,""NAME""),)"),"HPL Electric &amp; Power Ltd")</f>
        <v>HPL Electric &amp; Power Ltd</v>
      </c>
      <c r="C603" s="64">
        <f>IFERROR(__xludf.DUMMYFUNCTION("IFERROR(GOOGLEFINANCE(A603,""CHANGE""),)"),5.2)</f>
        <v>5.2</v>
      </c>
      <c r="D603" s="64">
        <f>IFERROR(__xludf.DUMMYFUNCTION("IFERROR(GOOGLEFINANCE(A603,""CHANGEPCT""),)"),1.68)</f>
        <v>1.68</v>
      </c>
      <c r="E603" s="64" t="str">
        <f t="shared" si="1"/>
        <v>1.68%</v>
      </c>
      <c r="F603" s="64">
        <f t="shared" si="2"/>
        <v>1.68</v>
      </c>
      <c r="G603" s="64" t="str">
        <f t="shared" si="3"/>
        <v/>
      </c>
      <c r="H603" s="64">
        <f>IFERROR(__xludf.DUMMYFUNCTION("IFERROR(GOOGLEFINANCE(A603,""PRICE""),)"),315.6)</f>
        <v>315.6</v>
      </c>
      <c r="I603" s="65">
        <f>IFERROR(__xludf.DUMMYFUNCTION("IFERROR(GOOGLEFINANCE(A603,""VOLUME""),)"),170554.0)</f>
        <v>170554</v>
      </c>
      <c r="J603" s="64" t="str">
        <f>IFERROR(__xludf.DUMMYFUNCTION("IFERROR(INDEX(SPLIT(A603,"":""),1,2),)"),"HPL")</f>
        <v>HPL</v>
      </c>
      <c r="K603" s="64">
        <f t="shared" si="4"/>
        <v>520</v>
      </c>
      <c r="L603" s="64" t="str">
        <f t="shared" si="5"/>
        <v/>
      </c>
      <c r="M603" s="64">
        <f t="shared" si="6"/>
        <v>640</v>
      </c>
      <c r="N603" s="66">
        <f>IFERROR(__xludf.DUMMYFUNCTION("IFERROR(GOOGLEFINANCE(A603,""TRADETIME""),)"),46086.64034722222)</f>
        <v>46086.64035</v>
      </c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67" t="s">
        <v>650</v>
      </c>
      <c r="B604" s="60" t="str">
        <f>IFERROR(__xludf.DUMMYFUNCTION("IFERROR(GOOGLEFINANCE(A604,""NAME""),)"),"Himadri Speciality Chemical Ltd")</f>
        <v>Himadri Speciality Chemical Ltd</v>
      </c>
      <c r="C604" s="60">
        <f>IFERROR(__xludf.DUMMYFUNCTION("IFERROR(GOOGLEFINANCE(A604,""CHANGE""),)"),13.05)</f>
        <v>13.05</v>
      </c>
      <c r="D604" s="60">
        <f>IFERROR(__xludf.DUMMYFUNCTION("IFERROR(GOOGLEFINANCE(A604,""CHANGEPCT""),)"),3.32)</f>
        <v>3.32</v>
      </c>
      <c r="E604" s="60" t="str">
        <f t="shared" si="1"/>
        <v>3.32%</v>
      </c>
      <c r="F604" s="60">
        <f t="shared" si="2"/>
        <v>3.32</v>
      </c>
      <c r="G604" s="60" t="str">
        <f t="shared" si="3"/>
        <v/>
      </c>
      <c r="H604" s="60">
        <f>IFERROR(__xludf.DUMMYFUNCTION("IFERROR(GOOGLEFINANCE(A604,""PRICE""),)"),457.0)</f>
        <v>457</v>
      </c>
      <c r="I604" s="61">
        <f>IFERROR(__xludf.DUMMYFUNCTION("IFERROR(GOOGLEFINANCE(A604,""VOLUME""),)"),3077165.0)</f>
        <v>3077165</v>
      </c>
      <c r="J604" s="60" t="str">
        <f>IFERROR(__xludf.DUMMYFUNCTION("IFERROR(INDEX(SPLIT(A604,"":""),1,2),)"),"HSCL")</f>
        <v>HSCL</v>
      </c>
      <c r="K604" s="60">
        <f t="shared" si="4"/>
        <v>211</v>
      </c>
      <c r="L604" s="60" t="str">
        <f t="shared" si="5"/>
        <v/>
      </c>
      <c r="M604" s="60">
        <f t="shared" si="6"/>
        <v>145</v>
      </c>
      <c r="N604" s="62">
        <f>IFERROR(__xludf.DUMMYFUNCTION("IFERROR(GOOGLEFINANCE(A604,""TRADETIME""),)"),46086.64584490741)</f>
        <v>46086.64584</v>
      </c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68" t="s">
        <v>651</v>
      </c>
      <c r="B605" s="64" t="str">
        <f>IFERROR(__xludf.DUMMYFUNCTION("IFERROR(GOOGLEFINANCE(A605,""NAME""),)"),"AGI Greenpac Ltd")</f>
        <v>AGI Greenpac Ltd</v>
      </c>
      <c r="C605" s="64">
        <f>IFERROR(__xludf.DUMMYFUNCTION("IFERROR(GOOGLEFINANCE(A605,""CHANGE""),)"),-8.85)</f>
        <v>-8.85</v>
      </c>
      <c r="D605" s="64">
        <f>IFERROR(__xludf.DUMMYFUNCTION("IFERROR(GOOGLEFINANCE(A605,""CHANGEPCT""),)"),-1.7)</f>
        <v>-1.7</v>
      </c>
      <c r="E605" s="64" t="str">
        <f t="shared" si="1"/>
        <v>-1.7%</v>
      </c>
      <c r="F605" s="64" t="str">
        <f t="shared" si="2"/>
        <v/>
      </c>
      <c r="G605" s="64">
        <f t="shared" si="3"/>
        <v>-1.7</v>
      </c>
      <c r="H605" s="64">
        <f>IFERROR(__xludf.DUMMYFUNCTION("IFERROR(GOOGLEFINANCE(A605,""PRICE""),)"),511.95)</f>
        <v>511.95</v>
      </c>
      <c r="I605" s="65">
        <f>IFERROR(__xludf.DUMMYFUNCTION("IFERROR(GOOGLEFINANCE(A605,""VOLUME""),)"),257636.0)</f>
        <v>257636</v>
      </c>
      <c r="J605" s="64" t="str">
        <f>IFERROR(__xludf.DUMMYFUNCTION("IFERROR(INDEX(SPLIT(A605,"":""),1,2),)"),"AGI")</f>
        <v>AGI</v>
      </c>
      <c r="K605" s="64" t="str">
        <f t="shared" si="4"/>
        <v/>
      </c>
      <c r="L605" s="64">
        <f t="shared" si="5"/>
        <v>311</v>
      </c>
      <c r="M605" s="64">
        <f t="shared" si="6"/>
        <v>548</v>
      </c>
      <c r="N605" s="66">
        <f>IFERROR(__xludf.DUMMYFUNCTION("IFERROR(GOOGLEFINANCE(A605,""TRADETIME""),)"),46086.64583333333)</f>
        <v>46086.64583</v>
      </c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67" t="s">
        <v>652</v>
      </c>
      <c r="B606" s="60" t="str">
        <f>IFERROR(__xludf.DUMMYFUNCTION("IFERROR(GOOGLEFINANCE(A606,""NAME""),)"),"HT Media Ltd")</f>
        <v>HT Media Ltd</v>
      </c>
      <c r="C606" s="60">
        <f>IFERROR(__xludf.DUMMYFUNCTION("IFERROR(GOOGLEFINANCE(A606,""CHANGE""),)"),0.35)</f>
        <v>0.35</v>
      </c>
      <c r="D606" s="60">
        <f>IFERROR(__xludf.DUMMYFUNCTION("IFERROR(GOOGLEFINANCE(A606,""CHANGEPCT""),)"),1.7)</f>
        <v>1.7</v>
      </c>
      <c r="E606" s="60" t="str">
        <f t="shared" si="1"/>
        <v>1.7%</v>
      </c>
      <c r="F606" s="60">
        <f t="shared" si="2"/>
        <v>1.7</v>
      </c>
      <c r="G606" s="60" t="str">
        <f t="shared" si="3"/>
        <v/>
      </c>
      <c r="H606" s="60">
        <f>IFERROR(__xludf.DUMMYFUNCTION("IFERROR(GOOGLEFINANCE(A606,""PRICE""),)"),20.99)</f>
        <v>20.99</v>
      </c>
      <c r="I606" s="61">
        <f>IFERROR(__xludf.DUMMYFUNCTION("IFERROR(GOOGLEFINANCE(A606,""VOLUME""),)"),39244.0)</f>
        <v>39244</v>
      </c>
      <c r="J606" s="60" t="str">
        <f>IFERROR(__xludf.DUMMYFUNCTION("IFERROR(INDEX(SPLIT(A606,"":""),1,2),)"),"HTMEDIA")</f>
        <v>HTMEDIA</v>
      </c>
      <c r="K606" s="60">
        <f t="shared" si="4"/>
        <v>517</v>
      </c>
      <c r="L606" s="60" t="str">
        <f t="shared" si="5"/>
        <v/>
      </c>
      <c r="M606" s="60">
        <f t="shared" si="6"/>
        <v>998</v>
      </c>
      <c r="N606" s="62">
        <f>IFERROR(__xludf.DUMMYFUNCTION("IFERROR(GOOGLEFINANCE(A606,""TRADETIME""),)"),46086.64583333333)</f>
        <v>46086.64583</v>
      </c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68" t="s">
        <v>653</v>
      </c>
      <c r="B607" s="64" t="str">
        <f>IFERROR(__xludf.DUMMYFUNCTION("IFERROR(GOOGLEFINANCE(A607,""NAME""),)"),"Hubtown Ltd")</f>
        <v>Hubtown Ltd</v>
      </c>
      <c r="C607" s="64">
        <f>IFERROR(__xludf.DUMMYFUNCTION("IFERROR(GOOGLEFINANCE(A607,""CHANGE""),)"),18.29)</f>
        <v>18.29</v>
      </c>
      <c r="D607" s="64">
        <f>IFERROR(__xludf.DUMMYFUNCTION("IFERROR(GOOGLEFINANCE(A607,""CHANGEPCT""),)"),8.93)</f>
        <v>8.93</v>
      </c>
      <c r="E607" s="64" t="str">
        <f t="shared" si="1"/>
        <v>8.93%</v>
      </c>
      <c r="F607" s="64">
        <f t="shared" si="2"/>
        <v>8.93</v>
      </c>
      <c r="G607" s="64" t="str">
        <f t="shared" si="3"/>
        <v/>
      </c>
      <c r="H607" s="64">
        <f>IFERROR(__xludf.DUMMYFUNCTION("IFERROR(GOOGLEFINANCE(A607,""PRICE""),)"),223.15)</f>
        <v>223.15</v>
      </c>
      <c r="I607" s="65">
        <f>IFERROR(__xludf.DUMMYFUNCTION("IFERROR(GOOGLEFINANCE(A607,""VOLUME""),)"),1121094.0)</f>
        <v>1121094</v>
      </c>
      <c r="J607" s="64" t="str">
        <f>IFERROR(__xludf.DUMMYFUNCTION("IFERROR(INDEX(SPLIT(A607,"":""),1,2),)"),"HUBTOWN")</f>
        <v>HUBTOWN</v>
      </c>
      <c r="K607" s="64">
        <f t="shared" si="4"/>
        <v>15</v>
      </c>
      <c r="L607" s="64" t="str">
        <f t="shared" si="5"/>
        <v/>
      </c>
      <c r="M607" s="64">
        <f t="shared" si="6"/>
        <v>271</v>
      </c>
      <c r="N607" s="66">
        <f>IFERROR(__xludf.DUMMYFUNCTION("IFERROR(GOOGLEFINANCE(A607,""TRADETIME""),)"),46086.64585648148)</f>
        <v>46086.64586</v>
      </c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67" t="s">
        <v>654</v>
      </c>
      <c r="B608" s="60" t="str">
        <f>IFERROR(__xludf.DUMMYFUNCTION("IFERROR(GOOGLEFINANCE(A608,""NAME""),)"),"Housing And Urban Development Corp Ltd")</f>
        <v>Housing And Urban Development Corp Ltd</v>
      </c>
      <c r="C608" s="60">
        <f>IFERROR(__xludf.DUMMYFUNCTION("IFERROR(GOOGLEFINANCE(A608,""CHANGE""),)"),2.25)</f>
        <v>2.25</v>
      </c>
      <c r="D608" s="60">
        <f>IFERROR(__xludf.DUMMYFUNCTION("IFERROR(GOOGLEFINANCE(A608,""CHANGEPCT""),)"),1.28)</f>
        <v>1.28</v>
      </c>
      <c r="E608" s="60" t="str">
        <f t="shared" si="1"/>
        <v>1.28%</v>
      </c>
      <c r="F608" s="60">
        <f t="shared" si="2"/>
        <v>1.28</v>
      </c>
      <c r="G608" s="60" t="str">
        <f t="shared" si="3"/>
        <v/>
      </c>
      <c r="H608" s="60">
        <f>IFERROR(__xludf.DUMMYFUNCTION("IFERROR(GOOGLEFINANCE(A608,""PRICE""),)"),178.4)</f>
        <v>178.4</v>
      </c>
      <c r="I608" s="61">
        <f>IFERROR(__xludf.DUMMYFUNCTION("IFERROR(GOOGLEFINANCE(A608,""VOLUME""),)"),2907385.0)</f>
        <v>2907385</v>
      </c>
      <c r="J608" s="60" t="str">
        <f>IFERROR(__xludf.DUMMYFUNCTION("IFERROR(INDEX(SPLIT(A608,"":""),1,2),)"),"HUDCO")</f>
        <v>HUDCO</v>
      </c>
      <c r="K608" s="60">
        <f t="shared" si="4"/>
        <v>647</v>
      </c>
      <c r="L608" s="60" t="str">
        <f t="shared" si="5"/>
        <v/>
      </c>
      <c r="M608" s="60">
        <f t="shared" si="6"/>
        <v>154</v>
      </c>
      <c r="N608" s="62">
        <f>IFERROR(__xludf.DUMMYFUNCTION("IFERROR(GOOGLEFINANCE(A608,""TRADETIME""),)"),46086.64583333333)</f>
        <v>46086.64583</v>
      </c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68" t="s">
        <v>655</v>
      </c>
      <c r="B609" s="64" t="str">
        <f>IFERROR(__xludf.DUMMYFUNCTION("IFERROR(GOOGLEFINANCE(A609,""NAME""),)"),"Huhtamaki India Ltd")</f>
        <v>Huhtamaki India Ltd</v>
      </c>
      <c r="C609" s="64">
        <f>IFERROR(__xludf.DUMMYFUNCTION("IFERROR(GOOGLEFINANCE(A609,""CHANGE""),)"),1.9)</f>
        <v>1.9</v>
      </c>
      <c r="D609" s="64">
        <f>IFERROR(__xludf.DUMMYFUNCTION("IFERROR(GOOGLEFINANCE(A609,""CHANGEPCT""),)"),1.12)</f>
        <v>1.12</v>
      </c>
      <c r="E609" s="64" t="str">
        <f t="shared" si="1"/>
        <v>1.12%</v>
      </c>
      <c r="F609" s="64">
        <f t="shared" si="2"/>
        <v>1.12</v>
      </c>
      <c r="G609" s="64" t="str">
        <f t="shared" si="3"/>
        <v/>
      </c>
      <c r="H609" s="64">
        <f>IFERROR(__xludf.DUMMYFUNCTION("IFERROR(GOOGLEFINANCE(A609,""PRICE""),)"),170.25)</f>
        <v>170.25</v>
      </c>
      <c r="I609" s="65">
        <f>IFERROR(__xludf.DUMMYFUNCTION("IFERROR(GOOGLEFINANCE(A609,""VOLUME""),)"),213147.0)</f>
        <v>213147</v>
      </c>
      <c r="J609" s="64" t="str">
        <f>IFERROR(__xludf.DUMMYFUNCTION("IFERROR(INDEX(SPLIT(A609,"":""),1,2),)"),"HUHTAMAKI")</f>
        <v>HUHTAMAKI</v>
      </c>
      <c r="K609" s="64">
        <f t="shared" si="4"/>
        <v>682</v>
      </c>
      <c r="L609" s="64" t="str">
        <f t="shared" si="5"/>
        <v/>
      </c>
      <c r="M609" s="64">
        <f t="shared" si="6"/>
        <v>589</v>
      </c>
      <c r="N609" s="66">
        <f>IFERROR(__xludf.DUMMYFUNCTION("IFERROR(GOOGLEFINANCE(A609,""TRADETIME""),)"),46086.64583333333)</f>
        <v>46086.64583</v>
      </c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67" t="s">
        <v>656</v>
      </c>
      <c r="B610" s="60" t="str">
        <f>IFERROR(__xludf.DUMMYFUNCTION("IFERROR(GOOGLEFINANCE(A610,""NAME""),)"),"")</f>
        <v/>
      </c>
      <c r="C610" s="60" t="str">
        <f>IFERROR(__xludf.DUMMYFUNCTION("IFERROR(GOOGLEFINANCE(A610,""CHANGE""),)"),"")</f>
        <v/>
      </c>
      <c r="D610" s="60" t="str">
        <f>IFERROR(__xludf.DUMMYFUNCTION("IFERROR(GOOGLEFINANCE(A610,""CHANGEPCT""),)"),"")</f>
        <v/>
      </c>
      <c r="E610" s="60" t="str">
        <f t="shared" si="1"/>
        <v>%</v>
      </c>
      <c r="F610" s="60" t="str">
        <f t="shared" si="2"/>
        <v/>
      </c>
      <c r="G610" s="60" t="str">
        <f t="shared" si="3"/>
        <v/>
      </c>
      <c r="H610" s="60" t="str">
        <f>IFERROR(__xludf.DUMMYFUNCTION("IFERROR(GOOGLEFINANCE(A610,""PRICE""),)"),"")</f>
        <v/>
      </c>
      <c r="I610" s="61" t="str">
        <f>IFERROR(__xludf.DUMMYFUNCTION("IFERROR(GOOGLEFINANCE(A610,""VOLUME""),)"),"")</f>
        <v/>
      </c>
      <c r="J610" s="60" t="str">
        <f>IFERROR(__xludf.DUMMYFUNCTION("IFERROR(INDEX(SPLIT(A610,"":""),1,2),)"),"IBREALEST")</f>
        <v>IBREALEST</v>
      </c>
      <c r="K610" s="60" t="str">
        <f t="shared" si="4"/>
        <v/>
      </c>
      <c r="L610" s="60" t="str">
        <f t="shared" si="5"/>
        <v/>
      </c>
      <c r="M610" s="60" t="str">
        <f t="shared" si="6"/>
        <v/>
      </c>
      <c r="N610" s="62" t="str">
        <f>IFERROR(__xludf.DUMMYFUNCTION("IFERROR(GOOGLEFINANCE(A610,""TRADETIME""),)"),"")</f>
        <v/>
      </c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68" t="s">
        <v>657</v>
      </c>
      <c r="B611" s="64" t="str">
        <f>IFERROR(__xludf.DUMMYFUNCTION("IFERROR(GOOGLEFINANCE(A611,""NAME""),)"),"")</f>
        <v/>
      </c>
      <c r="C611" s="64" t="str">
        <f>IFERROR(__xludf.DUMMYFUNCTION("IFERROR(GOOGLEFINANCE(A611,""CHANGE""),)"),"")</f>
        <v/>
      </c>
      <c r="D611" s="64" t="str">
        <f>IFERROR(__xludf.DUMMYFUNCTION("IFERROR(GOOGLEFINANCE(A611,""CHANGEPCT""),)"),"")</f>
        <v/>
      </c>
      <c r="E611" s="64" t="str">
        <f t="shared" si="1"/>
        <v>%</v>
      </c>
      <c r="F611" s="64" t="str">
        <f t="shared" si="2"/>
        <v/>
      </c>
      <c r="G611" s="64" t="str">
        <f t="shared" si="3"/>
        <v/>
      </c>
      <c r="H611" s="64" t="str">
        <f>IFERROR(__xludf.DUMMYFUNCTION("IFERROR(GOOGLEFINANCE(A611,""PRICE""),)"),"")</f>
        <v/>
      </c>
      <c r="I611" s="65" t="str">
        <f>IFERROR(__xludf.DUMMYFUNCTION("IFERROR(GOOGLEFINANCE(A611,""VOLUME""),)"),"")</f>
        <v/>
      </c>
      <c r="J611" s="64" t="str">
        <f>IFERROR(__xludf.DUMMYFUNCTION("IFERROR(INDEX(SPLIT(A611,"":""),1,2),)"),"IBULHSGFIN")</f>
        <v>IBULHSGFIN</v>
      </c>
      <c r="K611" s="64" t="str">
        <f t="shared" si="4"/>
        <v/>
      </c>
      <c r="L611" s="64" t="str">
        <f t="shared" si="5"/>
        <v/>
      </c>
      <c r="M611" s="64" t="str">
        <f t="shared" si="6"/>
        <v/>
      </c>
      <c r="N611" s="66" t="str">
        <f>IFERROR(__xludf.DUMMYFUNCTION("IFERROR(GOOGLEFINANCE(A611,""TRADETIME""),)"),"")</f>
        <v/>
      </c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67" t="s">
        <v>658</v>
      </c>
      <c r="B612" s="60" t="str">
        <f>IFERROR(__xludf.DUMMYFUNCTION("IFERROR(GOOGLEFINANCE(A612,""NAME""),)"),"Ice Make Refrigeration Ltd")</f>
        <v>Ice Make Refrigeration Ltd</v>
      </c>
      <c r="C612" s="60">
        <f>IFERROR(__xludf.DUMMYFUNCTION("IFERROR(GOOGLEFINANCE(A612,""CHANGE""),)"),5.1)</f>
        <v>5.1</v>
      </c>
      <c r="D612" s="60">
        <f>IFERROR(__xludf.DUMMYFUNCTION("IFERROR(GOOGLEFINANCE(A612,""CHANGEPCT""),)"),0.62)</f>
        <v>0.62</v>
      </c>
      <c r="E612" s="60" t="str">
        <f t="shared" si="1"/>
        <v>0.62%</v>
      </c>
      <c r="F612" s="60">
        <f t="shared" si="2"/>
        <v>0.62</v>
      </c>
      <c r="G612" s="60" t="str">
        <f t="shared" si="3"/>
        <v/>
      </c>
      <c r="H612" s="60">
        <f>IFERROR(__xludf.DUMMYFUNCTION("IFERROR(GOOGLEFINANCE(A612,""PRICE""),)"),830.0)</f>
        <v>830</v>
      </c>
      <c r="I612" s="61">
        <f>IFERROR(__xludf.DUMMYFUNCTION("IFERROR(GOOGLEFINANCE(A612,""VOLUME""),)"),60314.0)</f>
        <v>60314</v>
      </c>
      <c r="J612" s="60" t="str">
        <f>IFERROR(__xludf.DUMMYFUNCTION("IFERROR(INDEX(SPLIT(A612,"":""),1,2),)"),"ICEMAKE")</f>
        <v>ICEMAKE</v>
      </c>
      <c r="K612" s="60">
        <f t="shared" si="4"/>
        <v>844</v>
      </c>
      <c r="L612" s="60" t="str">
        <f t="shared" si="5"/>
        <v/>
      </c>
      <c r="M612" s="60">
        <f t="shared" si="6"/>
        <v>880</v>
      </c>
      <c r="N612" s="62">
        <f>IFERROR(__xludf.DUMMYFUNCTION("IFERROR(GOOGLEFINANCE(A612,""TRADETIME""),)"),46086.64583333333)</f>
        <v>46086.64583</v>
      </c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68" t="s">
        <v>659</v>
      </c>
      <c r="B613" s="64" t="str">
        <f>IFERROR(__xludf.DUMMYFUNCTION("IFERROR(GOOGLEFINANCE(A613,""NAME""),)"),"ICICI Bank Ltd")</f>
        <v>ICICI Bank Ltd</v>
      </c>
      <c r="C613" s="64">
        <f>IFERROR(__xludf.DUMMYFUNCTION("IFERROR(GOOGLEFINANCE(A613,""CHANGE""),)"),-12.1)</f>
        <v>-12.1</v>
      </c>
      <c r="D613" s="64">
        <f>IFERROR(__xludf.DUMMYFUNCTION("IFERROR(GOOGLEFINANCE(A613,""CHANGEPCT""),)"),-0.89)</f>
        <v>-0.89</v>
      </c>
      <c r="E613" s="64" t="str">
        <f t="shared" si="1"/>
        <v>-0.89%</v>
      </c>
      <c r="F613" s="64" t="str">
        <f t="shared" si="2"/>
        <v/>
      </c>
      <c r="G613" s="64">
        <f t="shared" si="3"/>
        <v>-0.89</v>
      </c>
      <c r="H613" s="64">
        <f>IFERROR(__xludf.DUMMYFUNCTION("IFERROR(GOOGLEFINANCE(A613,""PRICE""),)"),1353.3)</f>
        <v>1353.3</v>
      </c>
      <c r="I613" s="65">
        <f>IFERROR(__xludf.DUMMYFUNCTION("IFERROR(GOOGLEFINANCE(A613,""VOLUME""),)"),1.758866E7)</f>
        <v>17588660</v>
      </c>
      <c r="J613" s="64" t="str">
        <f>IFERROR(__xludf.DUMMYFUNCTION("IFERROR(INDEX(SPLIT(A613,"":""),1,2),)"),"ICICIBANK")</f>
        <v>ICICIBANK</v>
      </c>
      <c r="K613" s="64" t="str">
        <f t="shared" si="4"/>
        <v/>
      </c>
      <c r="L613" s="64">
        <f t="shared" si="5"/>
        <v>197</v>
      </c>
      <c r="M613" s="64">
        <f t="shared" si="6"/>
        <v>37</v>
      </c>
      <c r="N613" s="66">
        <f>IFERROR(__xludf.DUMMYFUNCTION("IFERROR(GOOGLEFINANCE(A613,""TRADETIME""),)"),46086.64583333333)</f>
        <v>46086.64583</v>
      </c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67" t="s">
        <v>660</v>
      </c>
      <c r="B614" s="60" t="str">
        <f>IFERROR(__xludf.DUMMYFUNCTION("IFERROR(GOOGLEFINANCE(A614,""NAME""),)"),"ICICI Lombard General Insurance Co Ltd")</f>
        <v>ICICI Lombard General Insurance Co Ltd</v>
      </c>
      <c r="C614" s="60">
        <f>IFERROR(__xludf.DUMMYFUNCTION("IFERROR(GOOGLEFINANCE(A614,""CHANGE""),)"),19.1)</f>
        <v>19.1</v>
      </c>
      <c r="D614" s="60">
        <f>IFERROR(__xludf.DUMMYFUNCTION("IFERROR(GOOGLEFINANCE(A614,""CHANGEPCT""),)"),1.29)</f>
        <v>1.29</v>
      </c>
      <c r="E614" s="60" t="str">
        <f t="shared" si="1"/>
        <v>1.29%</v>
      </c>
      <c r="F614" s="60">
        <f t="shared" si="2"/>
        <v>1.29</v>
      </c>
      <c r="G614" s="60" t="str">
        <f t="shared" si="3"/>
        <v/>
      </c>
      <c r="H614" s="60">
        <f>IFERROR(__xludf.DUMMYFUNCTION("IFERROR(GOOGLEFINANCE(A614,""PRICE""),)"),1879.4)</f>
        <v>1879.4</v>
      </c>
      <c r="I614" s="61">
        <f>IFERROR(__xludf.DUMMYFUNCTION("IFERROR(GOOGLEFINANCE(A614,""VOLUME""),)"),598944.0)</f>
        <v>598944</v>
      </c>
      <c r="J614" s="60" t="str">
        <f>IFERROR(__xludf.DUMMYFUNCTION("IFERROR(INDEX(SPLIT(A614,"":""),1,2),)"),"ICICIGI")</f>
        <v>ICICIGI</v>
      </c>
      <c r="K614" s="60">
        <f t="shared" si="4"/>
        <v>643</v>
      </c>
      <c r="L614" s="60" t="str">
        <f t="shared" si="5"/>
        <v/>
      </c>
      <c r="M614" s="60">
        <f t="shared" si="6"/>
        <v>367</v>
      </c>
      <c r="N614" s="62">
        <f>IFERROR(__xludf.DUMMYFUNCTION("IFERROR(GOOGLEFINANCE(A614,""TRADETIME""),)"),46086.64583333333)</f>
        <v>46086.64583</v>
      </c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68" t="s">
        <v>661</v>
      </c>
      <c r="B615" s="64" t="str">
        <f>IFERROR(__xludf.DUMMYFUNCTION("IFERROR(GOOGLEFINANCE(A615,""NAME""),)"),"Icici Prudential Life Insurance Comp Ltd")</f>
        <v>Icici Prudential Life Insurance Comp Ltd</v>
      </c>
      <c r="C615" s="64">
        <f>IFERROR(__xludf.DUMMYFUNCTION("IFERROR(GOOGLEFINANCE(A615,""CHANGE""),)"),-0.7)</f>
        <v>-0.7</v>
      </c>
      <c r="D615" s="64">
        <f>IFERROR(__xludf.DUMMYFUNCTION("IFERROR(GOOGLEFINANCE(A615,""CHANGEPCT""),)"),-0.11)</f>
        <v>-0.11</v>
      </c>
      <c r="E615" s="64" t="str">
        <f t="shared" si="1"/>
        <v>-0.11%</v>
      </c>
      <c r="F615" s="64" t="str">
        <f t="shared" si="2"/>
        <v/>
      </c>
      <c r="G615" s="64">
        <f t="shared" si="3"/>
        <v>-0.11</v>
      </c>
      <c r="H615" s="64">
        <f>IFERROR(__xludf.DUMMYFUNCTION("IFERROR(GOOGLEFINANCE(A615,""PRICE""),)"),625.05)</f>
        <v>625.05</v>
      </c>
      <c r="I615" s="65">
        <f>IFERROR(__xludf.DUMMYFUNCTION("IFERROR(GOOGLEFINANCE(A615,""VOLUME""),)"),527703.0)</f>
        <v>527703</v>
      </c>
      <c r="J615" s="64" t="str">
        <f>IFERROR(__xludf.DUMMYFUNCTION("IFERROR(INDEX(SPLIT(A615,"":""),1,2),)"),"ICICIPRULI")</f>
        <v>ICICIPRULI</v>
      </c>
      <c r="K615" s="64" t="str">
        <f t="shared" si="4"/>
        <v/>
      </c>
      <c r="L615" s="64">
        <f t="shared" si="5"/>
        <v>29</v>
      </c>
      <c r="M615" s="64">
        <f t="shared" si="6"/>
        <v>389</v>
      </c>
      <c r="N615" s="66">
        <f>IFERROR(__xludf.DUMMYFUNCTION("IFERROR(GOOGLEFINANCE(A615,""TRADETIME""),)"),46086.64585648148)</f>
        <v>46086.64586</v>
      </c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67" t="s">
        <v>662</v>
      </c>
      <c r="B616" s="60" t="str">
        <f>IFERROR(__xludf.DUMMYFUNCTION("IFERROR(GOOGLEFINANCE(A616,""NAME""),)"),"Indo Count Industries Ltd")</f>
        <v>Indo Count Industries Ltd</v>
      </c>
      <c r="C616" s="60">
        <f>IFERROR(__xludf.DUMMYFUNCTION("IFERROR(GOOGLEFINANCE(A616,""CHANGE""),)"),12.5)</f>
        <v>12.5</v>
      </c>
      <c r="D616" s="60">
        <f>IFERROR(__xludf.DUMMYFUNCTION("IFERROR(GOOGLEFINANCE(A616,""CHANGEPCT""),)"),5.04)</f>
        <v>5.04</v>
      </c>
      <c r="E616" s="60" t="str">
        <f t="shared" si="1"/>
        <v>5.04%</v>
      </c>
      <c r="F616" s="60">
        <f t="shared" si="2"/>
        <v>5.04</v>
      </c>
      <c r="G616" s="60" t="str">
        <f t="shared" si="3"/>
        <v/>
      </c>
      <c r="H616" s="60">
        <f>IFERROR(__xludf.DUMMYFUNCTION("IFERROR(GOOGLEFINANCE(A616,""PRICE""),)"),260.3)</f>
        <v>260.3</v>
      </c>
      <c r="I616" s="61">
        <f>IFERROR(__xludf.DUMMYFUNCTION("IFERROR(GOOGLEFINANCE(A616,""VOLUME""),)"),332008.0)</f>
        <v>332008</v>
      </c>
      <c r="J616" s="60" t="str">
        <f>IFERROR(__xludf.DUMMYFUNCTION("IFERROR(INDEX(SPLIT(A616,"":""),1,2),)"),"ICIL")</f>
        <v>ICIL</v>
      </c>
      <c r="K616" s="60">
        <f t="shared" si="4"/>
        <v>65</v>
      </c>
      <c r="L616" s="60" t="str">
        <f t="shared" si="5"/>
        <v/>
      </c>
      <c r="M616" s="60">
        <f t="shared" si="6"/>
        <v>491</v>
      </c>
      <c r="N616" s="62">
        <f>IFERROR(__xludf.DUMMYFUNCTION("IFERROR(GOOGLEFINANCE(A616,""TRADETIME""),)"),46086.64583333333)</f>
        <v>46086.64583</v>
      </c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68" t="s">
        <v>663</v>
      </c>
      <c r="B617" s="64" t="str">
        <f>IFERROR(__xludf.DUMMYFUNCTION("IFERROR(GOOGLEFINANCE(A617,""NAME""),)"),"ICRA Ltd")</f>
        <v>ICRA Ltd</v>
      </c>
      <c r="C617" s="64">
        <f>IFERROR(__xludf.DUMMYFUNCTION("IFERROR(GOOGLEFINANCE(A617,""CHANGE""),)"),-65.5)</f>
        <v>-65.5</v>
      </c>
      <c r="D617" s="64">
        <f>IFERROR(__xludf.DUMMYFUNCTION("IFERROR(GOOGLEFINANCE(A617,""CHANGEPCT""),)"),-1.18)</f>
        <v>-1.18</v>
      </c>
      <c r="E617" s="64" t="str">
        <f t="shared" si="1"/>
        <v>-1.18%</v>
      </c>
      <c r="F617" s="64" t="str">
        <f t="shared" si="2"/>
        <v/>
      </c>
      <c r="G617" s="64">
        <f t="shared" si="3"/>
        <v>-1.18</v>
      </c>
      <c r="H617" s="64">
        <f>IFERROR(__xludf.DUMMYFUNCTION("IFERROR(GOOGLEFINANCE(A617,""PRICE""),)"),5500.0)</f>
        <v>5500</v>
      </c>
      <c r="I617" s="65">
        <f>IFERROR(__xludf.DUMMYFUNCTION("IFERROR(GOOGLEFINANCE(A617,""VOLUME""),)"),3726.0)</f>
        <v>3726</v>
      </c>
      <c r="J617" s="64" t="str">
        <f>IFERROR(__xludf.DUMMYFUNCTION("IFERROR(INDEX(SPLIT(A617,"":""),1,2),)"),"ICRA")</f>
        <v>ICRA</v>
      </c>
      <c r="K617" s="64" t="str">
        <f t="shared" si="4"/>
        <v/>
      </c>
      <c r="L617" s="64">
        <f t="shared" si="5"/>
        <v>242</v>
      </c>
      <c r="M617" s="64">
        <f t="shared" si="6"/>
        <v>1371</v>
      </c>
      <c r="N617" s="66">
        <f>IFERROR(__xludf.DUMMYFUNCTION("IFERROR(GOOGLEFINANCE(A617,""TRADETIME""),)"),46086.64583333333)</f>
        <v>46086.64583</v>
      </c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67" t="s">
        <v>664</v>
      </c>
      <c r="B618" s="60" t="str">
        <f>IFERROR(__xludf.DUMMYFUNCTION("IFERROR(GOOGLEFINANCE(A618,""NAME""),)"),"IDBI Bank Ltd")</f>
        <v>IDBI Bank Ltd</v>
      </c>
      <c r="C618" s="60">
        <f>IFERROR(__xludf.DUMMYFUNCTION("IFERROR(GOOGLEFINANCE(A618,""CHANGE""),)"),0.12)</f>
        <v>0.12</v>
      </c>
      <c r="D618" s="60">
        <f>IFERROR(__xludf.DUMMYFUNCTION("IFERROR(GOOGLEFINANCE(A618,""CHANGEPCT""),)"),0.11)</f>
        <v>0.11</v>
      </c>
      <c r="E618" s="60" t="str">
        <f t="shared" si="1"/>
        <v>0.11%</v>
      </c>
      <c r="F618" s="60">
        <f t="shared" si="2"/>
        <v>0.11</v>
      </c>
      <c r="G618" s="60" t="str">
        <f t="shared" si="3"/>
        <v/>
      </c>
      <c r="H618" s="60">
        <f>IFERROR(__xludf.DUMMYFUNCTION("IFERROR(GOOGLEFINANCE(A618,""PRICE""),)"),110.3)</f>
        <v>110.3</v>
      </c>
      <c r="I618" s="61">
        <f>IFERROR(__xludf.DUMMYFUNCTION("IFERROR(GOOGLEFINANCE(A618,""VOLUME""),)"),1.1864465E7)</f>
        <v>11864465</v>
      </c>
      <c r="J618" s="60" t="str">
        <f>IFERROR(__xludf.DUMMYFUNCTION("IFERROR(INDEX(SPLIT(A618,"":""),1,2),)"),"IDBI")</f>
        <v>IDBI</v>
      </c>
      <c r="K618" s="60">
        <f t="shared" si="4"/>
        <v>973</v>
      </c>
      <c r="L618" s="60" t="str">
        <f t="shared" si="5"/>
        <v/>
      </c>
      <c r="M618" s="60">
        <f t="shared" si="6"/>
        <v>50</v>
      </c>
      <c r="N618" s="62">
        <f>IFERROR(__xludf.DUMMYFUNCTION("IFERROR(GOOGLEFINANCE(A618,""TRADETIME""),)"),46086.64583333333)</f>
        <v>46086.64583</v>
      </c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68" t="s">
        <v>665</v>
      </c>
      <c r="B619" s="64" t="str">
        <f>IFERROR(__xludf.DUMMYFUNCTION("IFERROR(GOOGLEFINANCE(A619,""NAME""),)"),"Vodafone Idea Ltd")</f>
        <v>Vodafone Idea Ltd</v>
      </c>
      <c r="C619" s="64">
        <f>IFERROR(__xludf.DUMMYFUNCTION("IFERROR(GOOGLEFINANCE(A619,""CHANGE""),)"),0.26)</f>
        <v>0.26</v>
      </c>
      <c r="D619" s="64">
        <f>IFERROR(__xludf.DUMMYFUNCTION("IFERROR(GOOGLEFINANCE(A619,""CHANGEPCT""),)"),2.6)</f>
        <v>2.6</v>
      </c>
      <c r="E619" s="64" t="str">
        <f t="shared" si="1"/>
        <v>2.6%</v>
      </c>
      <c r="F619" s="64">
        <f t="shared" si="2"/>
        <v>2.6</v>
      </c>
      <c r="G619" s="64" t="str">
        <f t="shared" si="3"/>
        <v/>
      </c>
      <c r="H619" s="64">
        <f>IFERROR(__xludf.DUMMYFUNCTION("IFERROR(GOOGLEFINANCE(A619,""PRICE""),)"),10.25)</f>
        <v>10.25</v>
      </c>
      <c r="I619" s="65">
        <f>IFERROR(__xludf.DUMMYFUNCTION("IFERROR(GOOGLEFINANCE(A619,""VOLUME""),)"),5.69460486E8)</f>
        <v>569460486</v>
      </c>
      <c r="J619" s="64" t="str">
        <f>IFERROR(__xludf.DUMMYFUNCTION("IFERROR(INDEX(SPLIT(A619,"":""),1,2),)"),"IDEA")</f>
        <v>IDEA</v>
      </c>
      <c r="K619" s="64">
        <f t="shared" si="4"/>
        <v>323</v>
      </c>
      <c r="L619" s="64" t="str">
        <f t="shared" si="5"/>
        <v/>
      </c>
      <c r="M619" s="64">
        <f t="shared" si="6"/>
        <v>1</v>
      </c>
      <c r="N619" s="66">
        <f>IFERROR(__xludf.DUMMYFUNCTION("IFERROR(GOOGLEFINANCE(A619,""TRADETIME""),)"),46086.64583333333)</f>
        <v>46086.64583</v>
      </c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67" t="s">
        <v>666</v>
      </c>
      <c r="B620" s="60" t="str">
        <f>IFERROR(__xludf.DUMMYFUNCTION("IFERROR(GOOGLEFINANCE(A620,""NAME""),)"),"")</f>
        <v/>
      </c>
      <c r="C620" s="60" t="str">
        <f>IFERROR(__xludf.DUMMYFUNCTION("IFERROR(GOOGLEFINANCE(A620,""CHANGE""),)"),"")</f>
        <v/>
      </c>
      <c r="D620" s="60" t="str">
        <f>IFERROR(__xludf.DUMMYFUNCTION("IFERROR(GOOGLEFINANCE(A620,""CHANGEPCT""),)"),"")</f>
        <v/>
      </c>
      <c r="E620" s="60" t="str">
        <f t="shared" si="1"/>
        <v>%</v>
      </c>
      <c r="F620" s="60" t="str">
        <f t="shared" si="2"/>
        <v/>
      </c>
      <c r="G620" s="60" t="str">
        <f t="shared" si="3"/>
        <v/>
      </c>
      <c r="H620" s="60" t="str">
        <f>IFERROR(__xludf.DUMMYFUNCTION("IFERROR(GOOGLEFINANCE(A620,""PRICE""),)"),"")</f>
        <v/>
      </c>
      <c r="I620" s="61" t="str">
        <f>IFERROR(__xludf.DUMMYFUNCTION("IFERROR(GOOGLEFINANCE(A620,""VOLUME""),)"),"")</f>
        <v/>
      </c>
      <c r="J620" s="60" t="str">
        <f>IFERROR(__xludf.DUMMYFUNCTION("IFERROR(INDEX(SPLIT(A620,"":""),1,2),)"),"IDFC")</f>
        <v>IDFC</v>
      </c>
      <c r="K620" s="60" t="str">
        <f t="shared" si="4"/>
        <v/>
      </c>
      <c r="L620" s="60" t="str">
        <f t="shared" si="5"/>
        <v/>
      </c>
      <c r="M620" s="60" t="str">
        <f t="shared" si="6"/>
        <v/>
      </c>
      <c r="N620" s="62" t="str">
        <f>IFERROR(__xludf.DUMMYFUNCTION("IFERROR(GOOGLEFINANCE(A620,""TRADETIME""),)"),"")</f>
        <v/>
      </c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68" t="s">
        <v>667</v>
      </c>
      <c r="B621" s="64" t="str">
        <f>IFERROR(__xludf.DUMMYFUNCTION("IFERROR(GOOGLEFINANCE(A621,""NAME""),)"),"IDFC First Bank Ltd")</f>
        <v>IDFC First Bank Ltd</v>
      </c>
      <c r="C621" s="64">
        <f>IFERROR(__xludf.DUMMYFUNCTION("IFERROR(GOOGLEFINANCE(A621,""CHANGE""),)"),0.32)</f>
        <v>0.32</v>
      </c>
      <c r="D621" s="64">
        <f>IFERROR(__xludf.DUMMYFUNCTION("IFERROR(GOOGLEFINANCE(A621,""CHANGEPCT""),)"),0.63)</f>
        <v>0.63</v>
      </c>
      <c r="E621" s="64" t="str">
        <f t="shared" si="1"/>
        <v>0.63%</v>
      </c>
      <c r="F621" s="64">
        <f t="shared" si="2"/>
        <v>0.63</v>
      </c>
      <c r="G621" s="64" t="str">
        <f t="shared" si="3"/>
        <v/>
      </c>
      <c r="H621" s="64">
        <f>IFERROR(__xludf.DUMMYFUNCTION("IFERROR(GOOGLEFINANCE(A621,""PRICE""),)"),70.5)</f>
        <v>70.5</v>
      </c>
      <c r="I621" s="65">
        <f>IFERROR(__xludf.DUMMYFUNCTION("IFERROR(GOOGLEFINANCE(A621,""VOLUME""),)"),3.3309626E7)</f>
        <v>33309626</v>
      </c>
      <c r="J621" s="64" t="str">
        <f>IFERROR(__xludf.DUMMYFUNCTION("IFERROR(INDEX(SPLIT(A621,"":""),1,2),)"),"IDFCFIRSTB")</f>
        <v>IDFCFIRSTB</v>
      </c>
      <c r="K621" s="64">
        <f t="shared" si="4"/>
        <v>838</v>
      </c>
      <c r="L621" s="64" t="str">
        <f t="shared" si="5"/>
        <v/>
      </c>
      <c r="M621" s="64">
        <f t="shared" si="6"/>
        <v>11</v>
      </c>
      <c r="N621" s="66">
        <f>IFERROR(__xludf.DUMMYFUNCTION("IFERROR(GOOGLEFINANCE(A621,""TRADETIME""),)"),46086.64584490741)</f>
        <v>46086.64584</v>
      </c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67" t="s">
        <v>668</v>
      </c>
      <c r="B622" s="60" t="str">
        <f>IFERROR(__xludf.DUMMYFUNCTION("IFERROR(GOOGLEFINANCE(A622,""NAME""),)"),"Indian Energy Exchange Ltd")</f>
        <v>Indian Energy Exchange Ltd</v>
      </c>
      <c r="C622" s="60">
        <f>IFERROR(__xludf.DUMMYFUNCTION("IFERROR(GOOGLEFINANCE(A622,""CHANGE""),)"),2.93)</f>
        <v>2.93</v>
      </c>
      <c r="D622" s="60">
        <f>IFERROR(__xludf.DUMMYFUNCTION("IFERROR(GOOGLEFINANCE(A622,""CHANGEPCT""),)"),2.5)</f>
        <v>2.5</v>
      </c>
      <c r="E622" s="60" t="str">
        <f t="shared" si="1"/>
        <v>2.5%</v>
      </c>
      <c r="F622" s="60">
        <f t="shared" si="2"/>
        <v>2.5</v>
      </c>
      <c r="G622" s="60" t="str">
        <f t="shared" si="3"/>
        <v/>
      </c>
      <c r="H622" s="60">
        <f>IFERROR(__xludf.DUMMYFUNCTION("IFERROR(GOOGLEFINANCE(A622,""PRICE""),)"),121.56)</f>
        <v>121.56</v>
      </c>
      <c r="I622" s="61">
        <f>IFERROR(__xludf.DUMMYFUNCTION("IFERROR(GOOGLEFINANCE(A622,""VOLUME""),)"),5655146.0)</f>
        <v>5655146</v>
      </c>
      <c r="J622" s="60" t="str">
        <f>IFERROR(__xludf.DUMMYFUNCTION("IFERROR(INDEX(SPLIT(A622,"":""),1,2),)"),"IEX")</f>
        <v>IEX</v>
      </c>
      <c r="K622" s="60">
        <f t="shared" si="4"/>
        <v>340</v>
      </c>
      <c r="L622" s="60" t="str">
        <f t="shared" si="5"/>
        <v/>
      </c>
      <c r="M622" s="60">
        <f t="shared" si="6"/>
        <v>99</v>
      </c>
      <c r="N622" s="62">
        <f>IFERROR(__xludf.DUMMYFUNCTION("IFERROR(GOOGLEFINANCE(A622,""TRADETIME""),)"),46086.64583333333)</f>
        <v>46086.64583</v>
      </c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68" t="s">
        <v>669</v>
      </c>
      <c r="B623" s="64" t="str">
        <f>IFERROR(__xludf.DUMMYFUNCTION("IFERROR(GOOGLEFINANCE(A623,""NAME""),)"),"Ifb Agro Industries Ltd")</f>
        <v>Ifb Agro Industries Ltd</v>
      </c>
      <c r="C623" s="64">
        <f>IFERROR(__xludf.DUMMYFUNCTION("IFERROR(GOOGLEFINANCE(A623,""CHANGE""),)"),13.75)</f>
        <v>13.75</v>
      </c>
      <c r="D623" s="64">
        <f>IFERROR(__xludf.DUMMYFUNCTION("IFERROR(GOOGLEFINANCE(A623,""CHANGEPCT""),)"),0.87)</f>
        <v>0.87</v>
      </c>
      <c r="E623" s="64" t="str">
        <f t="shared" si="1"/>
        <v>0.87%</v>
      </c>
      <c r="F623" s="64">
        <f t="shared" si="2"/>
        <v>0.87</v>
      </c>
      <c r="G623" s="64" t="str">
        <f t="shared" si="3"/>
        <v/>
      </c>
      <c r="H623" s="64">
        <f>IFERROR(__xludf.DUMMYFUNCTION("IFERROR(GOOGLEFINANCE(A623,""PRICE""),)"),795.25)</f>
        <v>795.25</v>
      </c>
      <c r="I623" s="65">
        <f>IFERROR(__xludf.DUMMYFUNCTION("IFERROR(GOOGLEFINANCE(A623,""VOLUME""),)"),30020.0)</f>
        <v>30020</v>
      </c>
      <c r="J623" s="64" t="str">
        <f>IFERROR(__xludf.DUMMYFUNCTION("IFERROR(INDEX(SPLIT(A623,"":""),1,2),)"),"IFBAGRO")</f>
        <v>IFBAGRO</v>
      </c>
      <c r="K623" s="64">
        <f t="shared" si="4"/>
        <v>762</v>
      </c>
      <c r="L623" s="64" t="str">
        <f t="shared" si="5"/>
        <v/>
      </c>
      <c r="M623" s="64">
        <f t="shared" si="6"/>
        <v>1058</v>
      </c>
      <c r="N623" s="66">
        <f>IFERROR(__xludf.DUMMYFUNCTION("IFERROR(GOOGLEFINANCE(A623,""TRADETIME""),)"),46086.64586805555)</f>
        <v>46086.64587</v>
      </c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67" t="s">
        <v>670</v>
      </c>
      <c r="B624" s="60" t="str">
        <f>IFERROR(__xludf.DUMMYFUNCTION("IFERROR(GOOGLEFINANCE(A624,""NAME""),)"),"IFB Industries Ltd")</f>
        <v>IFB Industries Ltd</v>
      </c>
      <c r="C624" s="60">
        <f>IFERROR(__xludf.DUMMYFUNCTION("IFERROR(GOOGLEFINANCE(A624,""CHANGE""),)"),-0.9)</f>
        <v>-0.9</v>
      </c>
      <c r="D624" s="60">
        <f>IFERROR(__xludf.DUMMYFUNCTION("IFERROR(GOOGLEFINANCE(A624,""CHANGEPCT""),)"),-0.08)</f>
        <v>-0.08</v>
      </c>
      <c r="E624" s="60" t="str">
        <f t="shared" si="1"/>
        <v>-0.08%</v>
      </c>
      <c r="F624" s="60" t="str">
        <f t="shared" si="2"/>
        <v/>
      </c>
      <c r="G624" s="60">
        <f t="shared" si="3"/>
        <v>-0.08</v>
      </c>
      <c r="H624" s="60">
        <f>IFERROR(__xludf.DUMMYFUNCTION("IFERROR(GOOGLEFINANCE(A624,""PRICE""),)"),1085.0)</f>
        <v>1085</v>
      </c>
      <c r="I624" s="61">
        <f>IFERROR(__xludf.DUMMYFUNCTION("IFERROR(GOOGLEFINANCE(A624,""VOLUME""),)"),105277.0)</f>
        <v>105277</v>
      </c>
      <c r="J624" s="60" t="str">
        <f>IFERROR(__xludf.DUMMYFUNCTION("IFERROR(INDEX(SPLIT(A624,"":""),1,2),)"),"IFBIND")</f>
        <v>IFBIND</v>
      </c>
      <c r="K624" s="60" t="str">
        <f t="shared" si="4"/>
        <v/>
      </c>
      <c r="L624" s="60">
        <f t="shared" si="5"/>
        <v>23</v>
      </c>
      <c r="M624" s="60">
        <f t="shared" si="6"/>
        <v>750</v>
      </c>
      <c r="N624" s="62">
        <f>IFERROR(__xludf.DUMMYFUNCTION("IFERROR(GOOGLEFINANCE(A624,""TRADETIME""),)"),46086.64583333333)</f>
        <v>46086.64583</v>
      </c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68" t="s">
        <v>671</v>
      </c>
      <c r="B625" s="64" t="str">
        <f>IFERROR(__xludf.DUMMYFUNCTION("IFERROR(GOOGLEFINANCE(A625,""NAME""),)"),"IFCI Ltd")</f>
        <v>IFCI Ltd</v>
      </c>
      <c r="C625" s="64">
        <f>IFERROR(__xludf.DUMMYFUNCTION("IFERROR(GOOGLEFINANCE(A625,""CHANGE""),)"),0.73)</f>
        <v>0.73</v>
      </c>
      <c r="D625" s="64">
        <f>IFERROR(__xludf.DUMMYFUNCTION("IFERROR(GOOGLEFINANCE(A625,""CHANGEPCT""),)"),1.36)</f>
        <v>1.36</v>
      </c>
      <c r="E625" s="64" t="str">
        <f t="shared" si="1"/>
        <v>1.36%</v>
      </c>
      <c r="F625" s="64">
        <f t="shared" si="2"/>
        <v>1.36</v>
      </c>
      <c r="G625" s="64" t="str">
        <f t="shared" si="3"/>
        <v/>
      </c>
      <c r="H625" s="64">
        <f>IFERROR(__xludf.DUMMYFUNCTION("IFERROR(GOOGLEFINANCE(A625,""PRICE""),)"),54.6)</f>
        <v>54.6</v>
      </c>
      <c r="I625" s="65">
        <f>IFERROR(__xludf.DUMMYFUNCTION("IFERROR(GOOGLEFINANCE(A625,""VOLUME""),)"),1.1264853E7)</f>
        <v>11264853</v>
      </c>
      <c r="J625" s="64" t="str">
        <f>IFERROR(__xludf.DUMMYFUNCTION("IFERROR(INDEX(SPLIT(A625,"":""),1,2),)"),"IFCI")</f>
        <v>IFCI</v>
      </c>
      <c r="K625" s="64">
        <f t="shared" si="4"/>
        <v>612</v>
      </c>
      <c r="L625" s="64" t="str">
        <f t="shared" si="5"/>
        <v/>
      </c>
      <c r="M625" s="64">
        <f t="shared" si="6"/>
        <v>54</v>
      </c>
      <c r="N625" s="66">
        <f>IFERROR(__xludf.DUMMYFUNCTION("IFERROR(GOOGLEFINANCE(A625,""TRADETIME""),)"),46086.644062499996)</f>
        <v>46086.64406</v>
      </c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67" t="s">
        <v>672</v>
      </c>
      <c r="B626" s="60" t="str">
        <f>IFERROR(__xludf.DUMMYFUNCTION("IFERROR(GOOGLEFINANCE(A626,""NAME""),)"),"IFGL Refractories Ltd")</f>
        <v>IFGL Refractories Ltd</v>
      </c>
      <c r="C626" s="60">
        <f>IFERROR(__xludf.DUMMYFUNCTION("IFERROR(GOOGLEFINANCE(A626,""CHANGE""),)"),-3.13)</f>
        <v>-3.13</v>
      </c>
      <c r="D626" s="60">
        <f>IFERROR(__xludf.DUMMYFUNCTION("IFERROR(GOOGLEFINANCE(A626,""CHANGEPCT""),)"),-2.03)</f>
        <v>-2.03</v>
      </c>
      <c r="E626" s="60" t="str">
        <f t="shared" si="1"/>
        <v>-2.03%</v>
      </c>
      <c r="F626" s="60" t="str">
        <f t="shared" si="2"/>
        <v/>
      </c>
      <c r="G626" s="60">
        <f t="shared" si="3"/>
        <v>-2.03</v>
      </c>
      <c r="H626" s="60">
        <f>IFERROR(__xludf.DUMMYFUNCTION("IFERROR(GOOGLEFINANCE(A626,""PRICE""),)"),150.99)</f>
        <v>150.99</v>
      </c>
      <c r="I626" s="61">
        <f>IFERROR(__xludf.DUMMYFUNCTION("IFERROR(GOOGLEFINANCE(A626,""VOLUME""),)"),19324.0)</f>
        <v>19324</v>
      </c>
      <c r="J626" s="60" t="str">
        <f>IFERROR(__xludf.DUMMYFUNCTION("IFERROR(INDEX(SPLIT(A626,"":""),1,2),)"),"IFGLEXPOR")</f>
        <v>IFGLEXPOR</v>
      </c>
      <c r="K626" s="60" t="str">
        <f t="shared" si="4"/>
        <v/>
      </c>
      <c r="L626" s="60">
        <f t="shared" si="5"/>
        <v>357</v>
      </c>
      <c r="M626" s="60">
        <f t="shared" si="6"/>
        <v>1148</v>
      </c>
      <c r="N626" s="62">
        <f>IFERROR(__xludf.DUMMYFUNCTION("IFERROR(GOOGLEFINANCE(A626,""TRADETIME""),)"),46086.64583333333)</f>
        <v>46086.64583</v>
      </c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68" t="s">
        <v>673</v>
      </c>
      <c r="B627" s="64" t="str">
        <f>IFERROR(__xludf.DUMMYFUNCTION("IFERROR(GOOGLEFINANCE(A627,""NAME""),)"),"Igarashi Motors India Ltd")</f>
        <v>Igarashi Motors India Ltd</v>
      </c>
      <c r="C627" s="64">
        <f>IFERROR(__xludf.DUMMYFUNCTION("IFERROR(GOOGLEFINANCE(A627,""CHANGE""),)"),-7.25)</f>
        <v>-7.25</v>
      </c>
      <c r="D627" s="64">
        <f>IFERROR(__xludf.DUMMYFUNCTION("IFERROR(GOOGLEFINANCE(A627,""CHANGEPCT""),)"),-2.16)</f>
        <v>-2.16</v>
      </c>
      <c r="E627" s="64" t="str">
        <f t="shared" si="1"/>
        <v>-2.16%</v>
      </c>
      <c r="F627" s="64" t="str">
        <f t="shared" si="2"/>
        <v/>
      </c>
      <c r="G627" s="64">
        <f t="shared" si="3"/>
        <v>-2.16</v>
      </c>
      <c r="H627" s="64">
        <f>IFERROR(__xludf.DUMMYFUNCTION("IFERROR(GOOGLEFINANCE(A627,""PRICE""),)"),329.0)</f>
        <v>329</v>
      </c>
      <c r="I627" s="65">
        <f>IFERROR(__xludf.DUMMYFUNCTION("IFERROR(GOOGLEFINANCE(A627,""VOLUME""),)"),61210.0)</f>
        <v>61210</v>
      </c>
      <c r="J627" s="64" t="str">
        <f>IFERROR(__xludf.DUMMYFUNCTION("IFERROR(INDEX(SPLIT(A627,"":""),1,2),)"),"IGARASHI")</f>
        <v>IGARASHI</v>
      </c>
      <c r="K627" s="64" t="str">
        <f t="shared" si="4"/>
        <v/>
      </c>
      <c r="L627" s="64">
        <f t="shared" si="5"/>
        <v>367</v>
      </c>
      <c r="M627" s="64">
        <f t="shared" si="6"/>
        <v>877</v>
      </c>
      <c r="N627" s="66">
        <f>IFERROR(__xludf.DUMMYFUNCTION("IFERROR(GOOGLEFINANCE(A627,""TRADETIME""),)"),46086.64583333333)</f>
        <v>46086.64583</v>
      </c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67" t="s">
        <v>674</v>
      </c>
      <c r="B628" s="60" t="str">
        <f>IFERROR(__xludf.DUMMYFUNCTION("IFERROR(GOOGLEFINANCE(A628,""NAME""),)"),"Indraprastha Gas Limited")</f>
        <v>Indraprastha Gas Limited</v>
      </c>
      <c r="C628" s="60">
        <f>IFERROR(__xludf.DUMMYFUNCTION("IFERROR(GOOGLEFINANCE(A628,""CHANGE""),)"),2.59)</f>
        <v>2.59</v>
      </c>
      <c r="D628" s="60">
        <f>IFERROR(__xludf.DUMMYFUNCTION("IFERROR(GOOGLEFINANCE(A628,""CHANGEPCT""),)"),1.65)</f>
        <v>1.65</v>
      </c>
      <c r="E628" s="60" t="str">
        <f t="shared" si="1"/>
        <v>1.65%</v>
      </c>
      <c r="F628" s="60">
        <f t="shared" si="2"/>
        <v>1.65</v>
      </c>
      <c r="G628" s="60" t="str">
        <f t="shared" si="3"/>
        <v/>
      </c>
      <c r="H628" s="60">
        <f>IFERROR(__xludf.DUMMYFUNCTION("IFERROR(GOOGLEFINANCE(A628,""PRICE""),)"),160.0)</f>
        <v>160</v>
      </c>
      <c r="I628" s="61">
        <f>IFERROR(__xludf.DUMMYFUNCTION("IFERROR(GOOGLEFINANCE(A628,""VOLUME""),)"),4311050.0)</f>
        <v>4311050</v>
      </c>
      <c r="J628" s="60" t="str">
        <f>IFERROR(__xludf.DUMMYFUNCTION("IFERROR(INDEX(SPLIT(A628,"":""),1,2),)"),"IGL")</f>
        <v>IGL</v>
      </c>
      <c r="K628" s="60">
        <f t="shared" si="4"/>
        <v>527</v>
      </c>
      <c r="L628" s="60" t="str">
        <f t="shared" si="5"/>
        <v/>
      </c>
      <c r="M628" s="60">
        <f t="shared" si="6"/>
        <v>120</v>
      </c>
      <c r="N628" s="62">
        <f>IFERROR(__xludf.DUMMYFUNCTION("IFERROR(GOOGLEFINANCE(A628,""TRADETIME""),)"),46086.64584490741)</f>
        <v>46086.64584</v>
      </c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68" t="s">
        <v>675</v>
      </c>
      <c r="B629" s="64" t="str">
        <f>IFERROR(__xludf.DUMMYFUNCTION("IFERROR(GOOGLEFINANCE(A629,""NAME""),)"),"I G Petrochemicals Ltd")</f>
        <v>I G Petrochemicals Ltd</v>
      </c>
      <c r="C629" s="64">
        <f>IFERROR(__xludf.DUMMYFUNCTION("IFERROR(GOOGLEFINANCE(A629,""CHANGE""),)"),6.8)</f>
        <v>6.8</v>
      </c>
      <c r="D629" s="64">
        <f>IFERROR(__xludf.DUMMYFUNCTION("IFERROR(GOOGLEFINANCE(A629,""CHANGEPCT""),)"),2.07)</f>
        <v>2.07</v>
      </c>
      <c r="E629" s="64" t="str">
        <f t="shared" si="1"/>
        <v>2.07%</v>
      </c>
      <c r="F629" s="64">
        <f t="shared" si="2"/>
        <v>2.07</v>
      </c>
      <c r="G629" s="64" t="str">
        <f t="shared" si="3"/>
        <v/>
      </c>
      <c r="H629" s="64">
        <f>IFERROR(__xludf.DUMMYFUNCTION("IFERROR(GOOGLEFINANCE(A629,""PRICE""),)"),335.85)</f>
        <v>335.85</v>
      </c>
      <c r="I629" s="65">
        <f>IFERROR(__xludf.DUMMYFUNCTION("IFERROR(GOOGLEFINANCE(A629,""VOLUME""),)"),16225.0)</f>
        <v>16225</v>
      </c>
      <c r="J629" s="64" t="str">
        <f>IFERROR(__xludf.DUMMYFUNCTION("IFERROR(INDEX(SPLIT(A629,"":""),1,2),)"),"IGPL")</f>
        <v>IGPL</v>
      </c>
      <c r="K629" s="64">
        <f t="shared" si="4"/>
        <v>428</v>
      </c>
      <c r="L629" s="64" t="str">
        <f t="shared" si="5"/>
        <v/>
      </c>
      <c r="M629" s="64">
        <f t="shared" si="6"/>
        <v>1183</v>
      </c>
      <c r="N629" s="66">
        <f>IFERROR(__xludf.DUMMYFUNCTION("IFERROR(GOOGLEFINANCE(A629,""TRADETIME""),)"),46086.64583333333)</f>
        <v>46086.64583</v>
      </c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67" t="s">
        <v>676</v>
      </c>
      <c r="B630" s="60" t="str">
        <f>IFERROR(__xludf.DUMMYFUNCTION("IFERROR(GOOGLEFINANCE(A630,""NAME""),)"),"IIFL Finance Ltd")</f>
        <v>IIFL Finance Ltd</v>
      </c>
      <c r="C630" s="60">
        <f>IFERROR(__xludf.DUMMYFUNCTION("IFERROR(GOOGLEFINANCE(A630,""CHANGE""),)"),13.05)</f>
        <v>13.05</v>
      </c>
      <c r="D630" s="60">
        <f>IFERROR(__xludf.DUMMYFUNCTION("IFERROR(GOOGLEFINANCE(A630,""CHANGEPCT""),)"),2.72)</f>
        <v>2.72</v>
      </c>
      <c r="E630" s="60" t="str">
        <f t="shared" si="1"/>
        <v>2.72%</v>
      </c>
      <c r="F630" s="60">
        <f t="shared" si="2"/>
        <v>2.72</v>
      </c>
      <c r="G630" s="60" t="str">
        <f t="shared" si="3"/>
        <v/>
      </c>
      <c r="H630" s="60">
        <f>IFERROR(__xludf.DUMMYFUNCTION("IFERROR(GOOGLEFINANCE(A630,""PRICE""),)"),493.0)</f>
        <v>493</v>
      </c>
      <c r="I630" s="61">
        <f>IFERROR(__xludf.DUMMYFUNCTION("IFERROR(GOOGLEFINANCE(A630,""VOLUME""),)"),728666.0)</f>
        <v>728666</v>
      </c>
      <c r="J630" s="60" t="str">
        <f>IFERROR(__xludf.DUMMYFUNCTION("IFERROR(INDEX(SPLIT(A630,"":""),1,2),)"),"IIFL")</f>
        <v>IIFL</v>
      </c>
      <c r="K630" s="60">
        <f t="shared" si="4"/>
        <v>308</v>
      </c>
      <c r="L630" s="60" t="str">
        <f t="shared" si="5"/>
        <v/>
      </c>
      <c r="M630" s="60">
        <f t="shared" si="6"/>
        <v>330</v>
      </c>
      <c r="N630" s="62">
        <f>IFERROR(__xludf.DUMMYFUNCTION("IFERROR(GOOGLEFINANCE(A630,""TRADETIME""),)"),46086.64583333333)</f>
        <v>46086.64583</v>
      </c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68" t="s">
        <v>677</v>
      </c>
      <c r="B631" s="64" t="str">
        <f>IFERROR(__xludf.DUMMYFUNCTION("IFERROR(GOOGLEFINANCE(A631,""NAME""),)"),"")</f>
        <v/>
      </c>
      <c r="C631" s="64" t="str">
        <f>IFERROR(__xludf.DUMMYFUNCTION("IFERROR(GOOGLEFINANCE(A631,""CHANGE""),)"),"")</f>
        <v/>
      </c>
      <c r="D631" s="64" t="str">
        <f>IFERROR(__xludf.DUMMYFUNCTION("IFERROR(GOOGLEFINANCE(A631,""CHANGEPCT""),)"),"")</f>
        <v/>
      </c>
      <c r="E631" s="64" t="str">
        <f t="shared" si="1"/>
        <v>%</v>
      </c>
      <c r="F631" s="64" t="str">
        <f t="shared" si="2"/>
        <v/>
      </c>
      <c r="G631" s="64" t="str">
        <f t="shared" si="3"/>
        <v/>
      </c>
      <c r="H631" s="64" t="str">
        <f>IFERROR(__xludf.DUMMYFUNCTION("IFERROR(GOOGLEFINANCE(A631,""PRICE""),)"),"")</f>
        <v/>
      </c>
      <c r="I631" s="65" t="str">
        <f>IFERROR(__xludf.DUMMYFUNCTION("IFERROR(GOOGLEFINANCE(A631,""VOLUME""),)"),"")</f>
        <v/>
      </c>
      <c r="J631" s="64" t="str">
        <f>IFERROR(__xludf.DUMMYFUNCTION("IFERROR(INDEX(SPLIT(A631,"":""),1,2),)"),"IIFLSEC")</f>
        <v>IIFLSEC</v>
      </c>
      <c r="K631" s="64" t="str">
        <f t="shared" si="4"/>
        <v/>
      </c>
      <c r="L631" s="64" t="str">
        <f t="shared" si="5"/>
        <v/>
      </c>
      <c r="M631" s="64" t="str">
        <f t="shared" si="6"/>
        <v/>
      </c>
      <c r="N631" s="66" t="str">
        <f>IFERROR(__xludf.DUMMYFUNCTION("IFERROR(GOOGLEFINANCE(A631,""TRADETIME""),)"),"")</f>
        <v/>
      </c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67" t="s">
        <v>678</v>
      </c>
      <c r="B632" s="60" t="str">
        <f>IFERROR(__xludf.DUMMYFUNCTION("IFERROR(GOOGLEFINANCE(A632,""NAME""),)"),"360 One Wam Ltd")</f>
        <v>360 One Wam Ltd</v>
      </c>
      <c r="C632" s="60">
        <f>IFERROR(__xludf.DUMMYFUNCTION("IFERROR(GOOGLEFINANCE(A632,""CHANGE""),)"),11.6)</f>
        <v>11.6</v>
      </c>
      <c r="D632" s="60">
        <f>IFERROR(__xludf.DUMMYFUNCTION("IFERROR(GOOGLEFINANCE(A632,""CHANGEPCT""),)"),1.43)</f>
        <v>1.43</v>
      </c>
      <c r="E632" s="60" t="str">
        <f t="shared" si="1"/>
        <v>1.43%</v>
      </c>
      <c r="F632" s="60">
        <f t="shared" si="2"/>
        <v>1.43</v>
      </c>
      <c r="G632" s="60" t="str">
        <f t="shared" si="3"/>
        <v/>
      </c>
      <c r="H632" s="60">
        <f>IFERROR(__xludf.DUMMYFUNCTION("IFERROR(GOOGLEFINANCE(A632,""PRICE""),)"),1078.0)</f>
        <v>1078</v>
      </c>
      <c r="I632" s="61">
        <f>IFERROR(__xludf.DUMMYFUNCTION("IFERROR(GOOGLEFINANCE(A632,""VOLUME""),)"),315547.0)</f>
        <v>315547</v>
      </c>
      <c r="J632" s="60" t="str">
        <f>IFERROR(__xludf.DUMMYFUNCTION("IFERROR(INDEX(SPLIT(A632,"":""),1,2),)"),"360ONE")</f>
        <v>360ONE</v>
      </c>
      <c r="K632" s="60">
        <f t="shared" si="4"/>
        <v>598</v>
      </c>
      <c r="L632" s="60" t="str">
        <f t="shared" si="5"/>
        <v/>
      </c>
      <c r="M632" s="60">
        <f t="shared" si="6"/>
        <v>498</v>
      </c>
      <c r="N632" s="62">
        <f>IFERROR(__xludf.DUMMYFUNCTION("IFERROR(GOOGLEFINANCE(A632,""TRADETIME""),)"),46086.64583333333)</f>
        <v>46086.64583</v>
      </c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68" t="s">
        <v>679</v>
      </c>
      <c r="B633" s="64" t="str">
        <f>IFERROR(__xludf.DUMMYFUNCTION("IFERROR(GOOGLEFINANCE(A633,""NAME""),)"),"Industrial Investment Trust Ltd")</f>
        <v>Industrial Investment Trust Ltd</v>
      </c>
      <c r="C633" s="64">
        <f>IFERROR(__xludf.DUMMYFUNCTION("IFERROR(GOOGLEFINANCE(A633,""CHANGE""),)"),-0.53)</f>
        <v>-0.53</v>
      </c>
      <c r="D633" s="64">
        <f>IFERROR(__xludf.DUMMYFUNCTION("IFERROR(GOOGLEFINANCE(A633,""CHANGEPCT""),)"),-0.41)</f>
        <v>-0.41</v>
      </c>
      <c r="E633" s="64" t="str">
        <f t="shared" si="1"/>
        <v>-0.41%</v>
      </c>
      <c r="F633" s="64" t="str">
        <f t="shared" si="2"/>
        <v/>
      </c>
      <c r="G633" s="64">
        <f t="shared" si="3"/>
        <v>-0.41</v>
      </c>
      <c r="H633" s="64">
        <f>IFERROR(__xludf.DUMMYFUNCTION("IFERROR(GOOGLEFINANCE(A633,""PRICE""),)"),128.0)</f>
        <v>128</v>
      </c>
      <c r="I633" s="65">
        <f>IFERROR(__xludf.DUMMYFUNCTION("IFERROR(GOOGLEFINANCE(A633,""VOLUME""),)"),20867.0)</f>
        <v>20867</v>
      </c>
      <c r="J633" s="64" t="str">
        <f>IFERROR(__xludf.DUMMYFUNCTION("IFERROR(INDEX(SPLIT(A633,"":""),1,2),)"),"IITL")</f>
        <v>IITL</v>
      </c>
      <c r="K633" s="64" t="str">
        <f t="shared" si="4"/>
        <v/>
      </c>
      <c r="L633" s="64">
        <f t="shared" si="5"/>
        <v>97</v>
      </c>
      <c r="M633" s="64">
        <f t="shared" si="6"/>
        <v>1134</v>
      </c>
      <c r="N633" s="66">
        <f>IFERROR(__xludf.DUMMYFUNCTION("IFERROR(GOOGLEFINANCE(A633,""TRADETIME""),)"),46086.64583333333)</f>
        <v>46086.64583</v>
      </c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67" t="s">
        <v>680</v>
      </c>
      <c r="B634" s="60" t="str">
        <f>IFERROR(__xludf.DUMMYFUNCTION("IFERROR(GOOGLEFINANCE(A634,""NAME""),)"),"IL&amp;FS Engineering and Constructin Co Ltd")</f>
        <v>IL&amp;FS Engineering and Constructin Co Ltd</v>
      </c>
      <c r="C634" s="60">
        <f>IFERROR(__xludf.DUMMYFUNCTION("IFERROR(GOOGLEFINANCE(A634,""CHANGE""),)"),0.11)</f>
        <v>0.11</v>
      </c>
      <c r="D634" s="60">
        <f>IFERROR(__xludf.DUMMYFUNCTION("IFERROR(GOOGLEFINANCE(A634,""CHANGEPCT""),)"),0.44)</f>
        <v>0.44</v>
      </c>
      <c r="E634" s="60" t="str">
        <f t="shared" si="1"/>
        <v>0.44%</v>
      </c>
      <c r="F634" s="60">
        <f t="shared" si="2"/>
        <v>0.44</v>
      </c>
      <c r="G634" s="60" t="str">
        <f t="shared" si="3"/>
        <v/>
      </c>
      <c r="H634" s="60">
        <f>IFERROR(__xludf.DUMMYFUNCTION("IFERROR(GOOGLEFINANCE(A634,""PRICE""),)"),24.84)</f>
        <v>24.84</v>
      </c>
      <c r="I634" s="61">
        <f>IFERROR(__xludf.DUMMYFUNCTION("IFERROR(GOOGLEFINANCE(A634,""VOLUME""),)"),10537.0)</f>
        <v>10537</v>
      </c>
      <c r="J634" s="60" t="str">
        <f>IFERROR(__xludf.DUMMYFUNCTION("IFERROR(INDEX(SPLIT(A634,"":""),1,2),)"),"IL&amp;FSENGG")</f>
        <v>IL&amp;FSENGG</v>
      </c>
      <c r="K634" s="60">
        <f t="shared" si="4"/>
        <v>895</v>
      </c>
      <c r="L634" s="60" t="str">
        <f t="shared" si="5"/>
        <v/>
      </c>
      <c r="M634" s="60">
        <f t="shared" si="6"/>
        <v>1256</v>
      </c>
      <c r="N634" s="62">
        <f>IFERROR(__xludf.DUMMYFUNCTION("IFERROR(GOOGLEFINANCE(A634,""TRADETIME""),)"),46086.64583333333)</f>
        <v>46086.64583</v>
      </c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68" t="s">
        <v>681</v>
      </c>
      <c r="B635" s="64" t="str">
        <f>IFERROR(__xludf.DUMMYFUNCTION("IFERROR(GOOGLEFINANCE(A635,""NAME""),)"),"IL&amp;FS Transportation Networks Ltd")</f>
        <v>IL&amp;FS Transportation Networks Ltd</v>
      </c>
      <c r="C635" s="64">
        <f>IFERROR(__xludf.DUMMYFUNCTION("IFERROR(GOOGLEFINANCE(A635,""CHANGE""),)"),-0.04)</f>
        <v>-0.04</v>
      </c>
      <c r="D635" s="64">
        <f>IFERROR(__xludf.DUMMYFUNCTION("IFERROR(GOOGLEFINANCE(A635,""CHANGEPCT""),)"),-1.69)</f>
        <v>-1.69</v>
      </c>
      <c r="E635" s="64" t="str">
        <f t="shared" si="1"/>
        <v>-1.69%</v>
      </c>
      <c r="F635" s="64" t="str">
        <f t="shared" si="2"/>
        <v/>
      </c>
      <c r="G635" s="64">
        <f t="shared" si="3"/>
        <v>-1.69</v>
      </c>
      <c r="H635" s="64">
        <f>IFERROR(__xludf.DUMMYFUNCTION("IFERROR(GOOGLEFINANCE(A635,""PRICE""),)"),2.32)</f>
        <v>2.32</v>
      </c>
      <c r="I635" s="65">
        <f>IFERROR(__xludf.DUMMYFUNCTION("IFERROR(GOOGLEFINANCE(A635,""VOLUME""),)"),43958.0)</f>
        <v>43958</v>
      </c>
      <c r="J635" s="64" t="str">
        <f>IFERROR(__xludf.DUMMYFUNCTION("IFERROR(INDEX(SPLIT(A635,"":""),1,2),)"),"IL&amp;FSTRANS")</f>
        <v>IL&amp;FSTRANS</v>
      </c>
      <c r="K635" s="64" t="str">
        <f t="shared" si="4"/>
        <v/>
      </c>
      <c r="L635" s="64">
        <f t="shared" si="5"/>
        <v>309</v>
      </c>
      <c r="M635" s="64">
        <f t="shared" si="6"/>
        <v>974</v>
      </c>
      <c r="N635" s="66">
        <f>IFERROR(__xludf.DUMMYFUNCTION("IFERROR(GOOGLEFINANCE(A635,""TRADETIME""),)"),46086.64583333333)</f>
        <v>46086.64583</v>
      </c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67" t="s">
        <v>682</v>
      </c>
      <c r="B636" s="60" t="str">
        <f>IFERROR(__xludf.DUMMYFUNCTION("IFERROR(GOOGLEFINANCE(A636,""NAME""),)"),"Imagicaaworld Entertainment Ltd")</f>
        <v>Imagicaaworld Entertainment Ltd</v>
      </c>
      <c r="C636" s="60">
        <f>IFERROR(__xludf.DUMMYFUNCTION("IFERROR(GOOGLEFINANCE(A636,""CHANGE""),)"),1.53)</f>
        <v>1.53</v>
      </c>
      <c r="D636" s="60">
        <f>IFERROR(__xludf.DUMMYFUNCTION("IFERROR(GOOGLEFINANCE(A636,""CHANGEPCT""),)"),1.52)</f>
        <v>1.52</v>
      </c>
      <c r="E636" s="60" t="str">
        <f t="shared" si="1"/>
        <v>1.52%</v>
      </c>
      <c r="F636" s="60">
        <f t="shared" si="2"/>
        <v>1.52</v>
      </c>
      <c r="G636" s="60" t="str">
        <f t="shared" si="3"/>
        <v/>
      </c>
      <c r="H636" s="60">
        <f>IFERROR(__xludf.DUMMYFUNCTION("IFERROR(GOOGLEFINANCE(A636,""PRICE""),)"),41.03)</f>
        <v>41.03</v>
      </c>
      <c r="I636" s="61">
        <f>IFERROR(__xludf.DUMMYFUNCTION("IFERROR(GOOGLEFINANCE(A636,""VOLUME""),)"),642538.0)</f>
        <v>642538</v>
      </c>
      <c r="J636" s="60" t="str">
        <f>IFERROR(__xludf.DUMMYFUNCTION("IFERROR(INDEX(SPLIT(A636,"":""),1,2),)"),"IMAGICAA")</f>
        <v>IMAGICAA</v>
      </c>
      <c r="K636" s="60">
        <f t="shared" si="4"/>
        <v>567</v>
      </c>
      <c r="L636" s="60" t="str">
        <f t="shared" si="5"/>
        <v/>
      </c>
      <c r="M636" s="60">
        <f t="shared" si="6"/>
        <v>350</v>
      </c>
      <c r="N636" s="62">
        <f>IFERROR(__xludf.DUMMYFUNCTION("IFERROR(GOOGLEFINANCE(A636,""TRADETIME""),)"),46086.64583333333)</f>
        <v>46086.64583</v>
      </c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68" t="s">
        <v>683</v>
      </c>
      <c r="B637" s="64" t="str">
        <f>IFERROR(__xludf.DUMMYFUNCTION("IFERROR(GOOGLEFINANCE(A637,""NAME""),)"),"Indian Metals and Ferro Alloys Ltd")</f>
        <v>Indian Metals and Ferro Alloys Ltd</v>
      </c>
      <c r="C637" s="64">
        <f>IFERROR(__xludf.DUMMYFUNCTION("IFERROR(GOOGLEFINANCE(A637,""CHANGE""),)"),25.6)</f>
        <v>25.6</v>
      </c>
      <c r="D637" s="64">
        <f>IFERROR(__xludf.DUMMYFUNCTION("IFERROR(GOOGLEFINANCE(A637,""CHANGEPCT""),)"),2.19)</f>
        <v>2.19</v>
      </c>
      <c r="E637" s="64" t="str">
        <f t="shared" si="1"/>
        <v>2.19%</v>
      </c>
      <c r="F637" s="64">
        <f t="shared" si="2"/>
        <v>2.19</v>
      </c>
      <c r="G637" s="64" t="str">
        <f t="shared" si="3"/>
        <v/>
      </c>
      <c r="H637" s="64">
        <f>IFERROR(__xludf.DUMMYFUNCTION("IFERROR(GOOGLEFINANCE(A637,""PRICE""),)"),1196.0)</f>
        <v>1196</v>
      </c>
      <c r="I637" s="65">
        <f>IFERROR(__xludf.DUMMYFUNCTION("IFERROR(GOOGLEFINANCE(A637,""VOLUME""),)"),108110.0)</f>
        <v>108110</v>
      </c>
      <c r="J637" s="64" t="str">
        <f>IFERROR(__xludf.DUMMYFUNCTION("IFERROR(INDEX(SPLIT(A637,"":""),1,2),)"),"IMFA")</f>
        <v>IMFA</v>
      </c>
      <c r="K637" s="64">
        <f t="shared" si="4"/>
        <v>401</v>
      </c>
      <c r="L637" s="64" t="str">
        <f t="shared" si="5"/>
        <v/>
      </c>
      <c r="M637" s="64">
        <f t="shared" si="6"/>
        <v>744</v>
      </c>
      <c r="N637" s="66">
        <f>IFERROR(__xludf.DUMMYFUNCTION("IFERROR(GOOGLEFINANCE(A637,""TRADETIME""),)"),46086.64583333333)</f>
        <v>46086.64583</v>
      </c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67" t="s">
        <v>684</v>
      </c>
      <c r="B638" s="60" t="str">
        <f>IFERROR(__xludf.DUMMYFUNCTION("IFERROR(GOOGLEFINANCE(A638,""NAME""),)"),"India Motor Parts &amp; Accessories Ltd")</f>
        <v>India Motor Parts &amp; Accessories Ltd</v>
      </c>
      <c r="C638" s="60">
        <f>IFERROR(__xludf.DUMMYFUNCTION("IFERROR(GOOGLEFINANCE(A638,""CHANGE""),)"),-1.5)</f>
        <v>-1.5</v>
      </c>
      <c r="D638" s="60">
        <f>IFERROR(__xludf.DUMMYFUNCTION("IFERROR(GOOGLEFINANCE(A638,""CHANGEPCT""),)"),-0.14)</f>
        <v>-0.14</v>
      </c>
      <c r="E638" s="60" t="str">
        <f t="shared" si="1"/>
        <v>-0.14%</v>
      </c>
      <c r="F638" s="60" t="str">
        <f t="shared" si="2"/>
        <v/>
      </c>
      <c r="G638" s="60">
        <f t="shared" si="3"/>
        <v>-0.14</v>
      </c>
      <c r="H638" s="60">
        <f>IFERROR(__xludf.DUMMYFUNCTION("IFERROR(GOOGLEFINANCE(A638,""PRICE""),)"),1033.0)</f>
        <v>1033</v>
      </c>
      <c r="I638" s="61">
        <f>IFERROR(__xludf.DUMMYFUNCTION("IFERROR(GOOGLEFINANCE(A638,""VOLUME""),)"),5664.0)</f>
        <v>5664</v>
      </c>
      <c r="J638" s="60" t="str">
        <f>IFERROR(__xludf.DUMMYFUNCTION("IFERROR(INDEX(SPLIT(A638,"":""),1,2),)"),"IMPAL")</f>
        <v>IMPAL</v>
      </c>
      <c r="K638" s="60" t="str">
        <f t="shared" si="4"/>
        <v/>
      </c>
      <c r="L638" s="60">
        <f t="shared" si="5"/>
        <v>40</v>
      </c>
      <c r="M638" s="60">
        <f t="shared" si="6"/>
        <v>1331</v>
      </c>
      <c r="N638" s="62">
        <f>IFERROR(__xludf.DUMMYFUNCTION("IFERROR(GOOGLEFINANCE(A638,""TRADETIME""),)"),46086.64583333333)</f>
        <v>46086.64583</v>
      </c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68" t="s">
        <v>685</v>
      </c>
      <c r="B639" s="64" t="str">
        <f>IFERROR(__xludf.DUMMYFUNCTION("IFERROR(GOOGLEFINANCE(A639,""NAME""),)"),"Impex Ferro Tech Ltd")</f>
        <v>Impex Ferro Tech Ltd</v>
      </c>
      <c r="C639" s="64">
        <f>IFERROR(__xludf.DUMMYFUNCTION("IFERROR(GOOGLEFINANCE(A639,""CHANGE""),)"),-0.02)</f>
        <v>-0.02</v>
      </c>
      <c r="D639" s="64">
        <f>IFERROR(__xludf.DUMMYFUNCTION("IFERROR(GOOGLEFINANCE(A639,""CHANGEPCT""),)"),-1.18)</f>
        <v>-1.18</v>
      </c>
      <c r="E639" s="64" t="str">
        <f t="shared" si="1"/>
        <v>-1.18%</v>
      </c>
      <c r="F639" s="64" t="str">
        <f t="shared" si="2"/>
        <v/>
      </c>
      <c r="G639" s="64">
        <f t="shared" si="3"/>
        <v>-1.18</v>
      </c>
      <c r="H639" s="64">
        <f>IFERROR(__xludf.DUMMYFUNCTION("IFERROR(GOOGLEFINANCE(A639,""PRICE""),)"),1.68)</f>
        <v>1.68</v>
      </c>
      <c r="I639" s="65">
        <f>IFERROR(__xludf.DUMMYFUNCTION("IFERROR(GOOGLEFINANCE(A639,""VOLUME""),)"),1574.0)</f>
        <v>1574</v>
      </c>
      <c r="J639" s="64" t="str">
        <f>IFERROR(__xludf.DUMMYFUNCTION("IFERROR(INDEX(SPLIT(A639,"":""),1,2),)"),"IMPEXFERRO")</f>
        <v>IMPEXFERRO</v>
      </c>
      <c r="K639" s="64" t="str">
        <f t="shared" si="4"/>
        <v/>
      </c>
      <c r="L639" s="64">
        <f t="shared" si="5"/>
        <v>243</v>
      </c>
      <c r="M639" s="64">
        <f t="shared" si="6"/>
        <v>1419</v>
      </c>
      <c r="N639" s="66">
        <f>IFERROR(__xludf.DUMMYFUNCTION("IFERROR(GOOGLEFINANCE(A639,""TRADETIME""),)"),46086.64583333333)</f>
        <v>46086.64583</v>
      </c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67" t="s">
        <v>686</v>
      </c>
      <c r="B640" s="60" t="str">
        <f>IFERROR(__xludf.DUMMYFUNCTION("IFERROR(GOOGLEFINANCE(A640,""NAME""),)"),"Indbank Merchant Banking Services Ltd")</f>
        <v>Indbank Merchant Banking Services Ltd</v>
      </c>
      <c r="C640" s="60">
        <f>IFERROR(__xludf.DUMMYFUNCTION("IFERROR(GOOGLEFINANCE(A640,""CHANGE""),)"),0.2)</f>
        <v>0.2</v>
      </c>
      <c r="D640" s="60">
        <f>IFERROR(__xludf.DUMMYFUNCTION("IFERROR(GOOGLEFINANCE(A640,""CHANGEPCT""),)"),0.6)</f>
        <v>0.6</v>
      </c>
      <c r="E640" s="60" t="str">
        <f t="shared" si="1"/>
        <v>0.6%</v>
      </c>
      <c r="F640" s="60">
        <f t="shared" si="2"/>
        <v>0.6</v>
      </c>
      <c r="G640" s="60" t="str">
        <f t="shared" si="3"/>
        <v/>
      </c>
      <c r="H640" s="60">
        <f>IFERROR(__xludf.DUMMYFUNCTION("IFERROR(GOOGLEFINANCE(A640,""PRICE""),)"),33.3)</f>
        <v>33.3</v>
      </c>
      <c r="I640" s="61">
        <f>IFERROR(__xludf.DUMMYFUNCTION("IFERROR(GOOGLEFINANCE(A640,""VOLUME""),)"),20310.0)</f>
        <v>20310</v>
      </c>
      <c r="J640" s="60" t="str">
        <f>IFERROR(__xludf.DUMMYFUNCTION("IFERROR(INDEX(SPLIT(A640,"":""),1,2),)"),"INDBANK")</f>
        <v>INDBANK</v>
      </c>
      <c r="K640" s="60">
        <f t="shared" si="4"/>
        <v>845</v>
      </c>
      <c r="L640" s="60" t="str">
        <f t="shared" si="5"/>
        <v/>
      </c>
      <c r="M640" s="60">
        <f t="shared" si="6"/>
        <v>1136</v>
      </c>
      <c r="N640" s="62">
        <f>IFERROR(__xludf.DUMMYFUNCTION("IFERROR(GOOGLEFINANCE(A640,""TRADETIME""),)"),46086.64583333333)</f>
        <v>46086.64583</v>
      </c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68" t="s">
        <v>687</v>
      </c>
      <c r="B641" s="64" t="str">
        <f>IFERROR(__xludf.DUMMYFUNCTION("IFERROR(GOOGLEFINANCE(A641,""NAME""),)"),"Indian Hotels Company Ltd")</f>
        <v>Indian Hotels Company Ltd</v>
      </c>
      <c r="C641" s="64">
        <f>IFERROR(__xludf.DUMMYFUNCTION("IFERROR(GOOGLEFINANCE(A641,""CHANGE""),)"),-2.9)</f>
        <v>-2.9</v>
      </c>
      <c r="D641" s="64">
        <f>IFERROR(__xludf.DUMMYFUNCTION("IFERROR(GOOGLEFINANCE(A641,""CHANGEPCT""),)"),-0.46)</f>
        <v>-0.46</v>
      </c>
      <c r="E641" s="64" t="str">
        <f t="shared" si="1"/>
        <v>-0.46%</v>
      </c>
      <c r="F641" s="64" t="str">
        <f t="shared" si="2"/>
        <v/>
      </c>
      <c r="G641" s="64">
        <f t="shared" si="3"/>
        <v>-0.46</v>
      </c>
      <c r="H641" s="64">
        <f>IFERROR(__xludf.DUMMYFUNCTION("IFERROR(GOOGLEFINANCE(A641,""PRICE""),)"),630.85)</f>
        <v>630.85</v>
      </c>
      <c r="I641" s="65">
        <f>IFERROR(__xludf.DUMMYFUNCTION("IFERROR(GOOGLEFINANCE(A641,""VOLUME""),)"),4257428.0)</f>
        <v>4257428</v>
      </c>
      <c r="J641" s="64" t="str">
        <f>IFERROR(__xludf.DUMMYFUNCTION("IFERROR(INDEX(SPLIT(A641,"":""),1,2),)"),"INDHOTEL")</f>
        <v>INDHOTEL</v>
      </c>
      <c r="K641" s="64" t="str">
        <f t="shared" si="4"/>
        <v/>
      </c>
      <c r="L641" s="64">
        <f t="shared" si="5"/>
        <v>111</v>
      </c>
      <c r="M641" s="64">
        <f t="shared" si="6"/>
        <v>121</v>
      </c>
      <c r="N641" s="66">
        <f>IFERROR(__xludf.DUMMYFUNCTION("IFERROR(GOOGLEFINANCE(A641,""TRADETIME""),)"),46086.64115740741)</f>
        <v>46086.64116</v>
      </c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67" t="s">
        <v>688</v>
      </c>
      <c r="B642" s="60" t="str">
        <f>IFERROR(__xludf.DUMMYFUNCTION("IFERROR(GOOGLEFINANCE(A642,""NAME""),)"),"India Cements Ltd")</f>
        <v>India Cements Ltd</v>
      </c>
      <c r="C642" s="60">
        <f>IFERROR(__xludf.DUMMYFUNCTION("IFERROR(GOOGLEFINANCE(A642,""CHANGE""),)"),4.3)</f>
        <v>4.3</v>
      </c>
      <c r="D642" s="60">
        <f>IFERROR(__xludf.DUMMYFUNCTION("IFERROR(GOOGLEFINANCE(A642,""CHANGEPCT""),)"),1.09)</f>
        <v>1.09</v>
      </c>
      <c r="E642" s="60" t="str">
        <f t="shared" si="1"/>
        <v>1.09%</v>
      </c>
      <c r="F642" s="60">
        <f t="shared" si="2"/>
        <v>1.09</v>
      </c>
      <c r="G642" s="60" t="str">
        <f t="shared" si="3"/>
        <v/>
      </c>
      <c r="H642" s="60">
        <f>IFERROR(__xludf.DUMMYFUNCTION("IFERROR(GOOGLEFINANCE(A642,""PRICE""),)"),393.9)</f>
        <v>393.9</v>
      </c>
      <c r="I642" s="61">
        <f>IFERROR(__xludf.DUMMYFUNCTION("IFERROR(GOOGLEFINANCE(A642,""VOLUME""),)"),286546.0)</f>
        <v>286546</v>
      </c>
      <c r="J642" s="60" t="str">
        <f>IFERROR(__xludf.DUMMYFUNCTION("IFERROR(INDEX(SPLIT(A642,"":""),1,2),)"),"INDIACEM")</f>
        <v>INDIACEM</v>
      </c>
      <c r="K642" s="60">
        <f t="shared" si="4"/>
        <v>694</v>
      </c>
      <c r="L642" s="60" t="str">
        <f t="shared" si="5"/>
        <v/>
      </c>
      <c r="M642" s="60">
        <f t="shared" si="6"/>
        <v>519</v>
      </c>
      <c r="N642" s="62">
        <f>IFERROR(__xludf.DUMMYFUNCTION("IFERROR(GOOGLEFINANCE(A642,""TRADETIME""),)"),46086.64004629629)</f>
        <v>46086.64005</v>
      </c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68" t="s">
        <v>689</v>
      </c>
      <c r="B643" s="64" t="str">
        <f>IFERROR(__xludf.DUMMYFUNCTION("IFERROR(GOOGLEFINANCE(A643,""NAME""),)"),"India Glycols Ltd")</f>
        <v>India Glycols Ltd</v>
      </c>
      <c r="C643" s="64">
        <f>IFERROR(__xludf.DUMMYFUNCTION("IFERROR(GOOGLEFINANCE(A643,""CHANGE""),)"),-6.05)</f>
        <v>-6.05</v>
      </c>
      <c r="D643" s="64">
        <f>IFERROR(__xludf.DUMMYFUNCTION("IFERROR(GOOGLEFINANCE(A643,""CHANGEPCT""),)"),0.65)</f>
        <v>0.65</v>
      </c>
      <c r="E643" s="64" t="str">
        <f t="shared" si="1"/>
        <v>0.65%</v>
      </c>
      <c r="F643" s="64">
        <f t="shared" si="2"/>
        <v>0.65</v>
      </c>
      <c r="G643" s="64" t="str">
        <f t="shared" si="3"/>
        <v/>
      </c>
      <c r="H643" s="64">
        <f>IFERROR(__xludf.DUMMYFUNCTION("IFERROR(GOOGLEFINANCE(A643,""PRICE""),)"),861.15)</f>
        <v>861.15</v>
      </c>
      <c r="I643" s="65">
        <f>IFERROR(__xludf.DUMMYFUNCTION("IFERROR(GOOGLEFINANCE(A643,""VOLUME""),)"),173634.0)</f>
        <v>173634</v>
      </c>
      <c r="J643" s="64" t="str">
        <f>IFERROR(__xludf.DUMMYFUNCTION("IFERROR(INDEX(SPLIT(A643,"":""),1,2),)"),"INDIAGLYCO")</f>
        <v>INDIAGLYCO</v>
      </c>
      <c r="K643" s="64">
        <f t="shared" si="4"/>
        <v>833</v>
      </c>
      <c r="L643" s="64" t="str">
        <f t="shared" si="5"/>
        <v/>
      </c>
      <c r="M643" s="64">
        <f t="shared" si="6"/>
        <v>634</v>
      </c>
      <c r="N643" s="66">
        <f>IFERROR(__xludf.DUMMYFUNCTION("IFERROR(GOOGLEFINANCE(A643,""TRADETIME""),)"),46086.64583333333)</f>
        <v>46086.64583</v>
      </c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67" t="s">
        <v>690</v>
      </c>
      <c r="B644" s="60" t="str">
        <f>IFERROR(__xludf.DUMMYFUNCTION("IFERROR(GOOGLEFINANCE(A644,""NAME""),)"),"IndiaMART InterMESH Ltd")</f>
        <v>IndiaMART InterMESH Ltd</v>
      </c>
      <c r="C644" s="60">
        <f>IFERROR(__xludf.DUMMYFUNCTION("IFERROR(GOOGLEFINANCE(A644,""CHANGE""),)"),-0.5)</f>
        <v>-0.5</v>
      </c>
      <c r="D644" s="60">
        <f>IFERROR(__xludf.DUMMYFUNCTION("IFERROR(GOOGLEFINANCE(A644,""CHANGEPCT""),)"),-0.04)</f>
        <v>-0.04</v>
      </c>
      <c r="E644" s="60" t="str">
        <f t="shared" si="1"/>
        <v>-0.04%</v>
      </c>
      <c r="F644" s="60" t="str">
        <f t="shared" si="2"/>
        <v/>
      </c>
      <c r="G644" s="60">
        <f t="shared" si="3"/>
        <v>-0.04</v>
      </c>
      <c r="H644" s="60">
        <f>IFERROR(__xludf.DUMMYFUNCTION("IFERROR(GOOGLEFINANCE(A644,""PRICE""),)"),2080.0)</f>
        <v>2080</v>
      </c>
      <c r="I644" s="61">
        <f>IFERROR(__xludf.DUMMYFUNCTION("IFERROR(GOOGLEFINANCE(A644,""VOLUME""),)"),89858.0)</f>
        <v>89858</v>
      </c>
      <c r="J644" s="60" t="str">
        <f>IFERROR(__xludf.DUMMYFUNCTION("IFERROR(INDEX(SPLIT(A644,"":""),1,2),)"),"INDIAMART")</f>
        <v>INDIAMART</v>
      </c>
      <c r="K644" s="60" t="str">
        <f t="shared" si="4"/>
        <v/>
      </c>
      <c r="L644" s="60">
        <f t="shared" si="5"/>
        <v>8</v>
      </c>
      <c r="M644" s="60">
        <f t="shared" si="6"/>
        <v>782</v>
      </c>
      <c r="N644" s="62">
        <f>IFERROR(__xludf.DUMMYFUNCTION("IFERROR(GOOGLEFINANCE(A644,""TRADETIME""),)"),46086.64584490741)</f>
        <v>46086.64584</v>
      </c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68" t="s">
        <v>691</v>
      </c>
      <c r="B645" s="64" t="str">
        <f>IFERROR(__xludf.DUMMYFUNCTION("IFERROR(GOOGLEFINANCE(A645,""NAME""),)"),"Indian Bank")</f>
        <v>Indian Bank</v>
      </c>
      <c r="C645" s="64">
        <f>IFERROR(__xludf.DUMMYFUNCTION("IFERROR(GOOGLEFINANCE(A645,""CHANGE""),)"),11.0)</f>
        <v>11</v>
      </c>
      <c r="D645" s="64">
        <f>IFERROR(__xludf.DUMMYFUNCTION("IFERROR(GOOGLEFINANCE(A645,""CHANGEPCT""),)"),1.17)</f>
        <v>1.17</v>
      </c>
      <c r="E645" s="64" t="str">
        <f t="shared" si="1"/>
        <v>1.17%</v>
      </c>
      <c r="F645" s="64">
        <f t="shared" si="2"/>
        <v>1.17</v>
      </c>
      <c r="G645" s="64" t="str">
        <f t="shared" si="3"/>
        <v/>
      </c>
      <c r="H645" s="64">
        <f>IFERROR(__xludf.DUMMYFUNCTION("IFERROR(GOOGLEFINANCE(A645,""PRICE""),)"),950.0)</f>
        <v>950</v>
      </c>
      <c r="I645" s="65">
        <f>IFERROR(__xludf.DUMMYFUNCTION("IFERROR(GOOGLEFINANCE(A645,""VOLUME""),)"),2154748.0)</f>
        <v>2154748</v>
      </c>
      <c r="J645" s="64" t="str">
        <f>IFERROR(__xludf.DUMMYFUNCTION("IFERROR(INDEX(SPLIT(A645,"":""),1,2),)"),"INDIANB")</f>
        <v>INDIANB</v>
      </c>
      <c r="K645" s="64">
        <f t="shared" si="4"/>
        <v>673</v>
      </c>
      <c r="L645" s="64" t="str">
        <f t="shared" si="5"/>
        <v/>
      </c>
      <c r="M645" s="64">
        <f t="shared" si="6"/>
        <v>189</v>
      </c>
      <c r="N645" s="66">
        <f>IFERROR(__xludf.DUMMYFUNCTION("IFERROR(GOOGLEFINANCE(A645,""TRADETIME""),)"),46086.64583333333)</f>
        <v>46086.64583</v>
      </c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67" t="s">
        <v>692</v>
      </c>
      <c r="B646" s="60" t="str">
        <f>IFERROR(__xludf.DUMMYFUNCTION("IFERROR(GOOGLEFINANCE(A646,""NAME""),)"),"Indian Card Clothing Company Ltd")</f>
        <v>Indian Card Clothing Company Ltd</v>
      </c>
      <c r="C646" s="60">
        <f>IFERROR(__xludf.DUMMYFUNCTION("IFERROR(GOOGLEFINANCE(A646,""CHANGE""),)"),7.8)</f>
        <v>7.8</v>
      </c>
      <c r="D646" s="60">
        <f>IFERROR(__xludf.DUMMYFUNCTION("IFERROR(GOOGLEFINANCE(A646,""CHANGEPCT""),)"),3.98)</f>
        <v>3.98</v>
      </c>
      <c r="E646" s="60" t="str">
        <f t="shared" si="1"/>
        <v>3.98%</v>
      </c>
      <c r="F646" s="60">
        <f t="shared" si="2"/>
        <v>3.98</v>
      </c>
      <c r="G646" s="60" t="str">
        <f t="shared" si="3"/>
        <v/>
      </c>
      <c r="H646" s="60">
        <f>IFERROR(__xludf.DUMMYFUNCTION("IFERROR(GOOGLEFINANCE(A646,""PRICE""),)"),204.0)</f>
        <v>204</v>
      </c>
      <c r="I646" s="61">
        <f>IFERROR(__xludf.DUMMYFUNCTION("IFERROR(GOOGLEFINANCE(A646,""VOLUME""),)"),2531.0)</f>
        <v>2531</v>
      </c>
      <c r="J646" s="60" t="str">
        <f>IFERROR(__xludf.DUMMYFUNCTION("IFERROR(INDEX(SPLIT(A646,"":""),1,2),)"),"INDIANCARD")</f>
        <v>INDIANCARD</v>
      </c>
      <c r="K646" s="60">
        <f t="shared" si="4"/>
        <v>145</v>
      </c>
      <c r="L646" s="60" t="str">
        <f t="shared" si="5"/>
        <v/>
      </c>
      <c r="M646" s="60">
        <f t="shared" si="6"/>
        <v>1390</v>
      </c>
      <c r="N646" s="62">
        <f>IFERROR(__xludf.DUMMYFUNCTION("IFERROR(GOOGLEFINANCE(A646,""TRADETIME""),)"),46086.64583333333)</f>
        <v>46086.64583</v>
      </c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68" t="s">
        <v>693</v>
      </c>
      <c r="B647" s="64" t="str">
        <f>IFERROR(__xludf.DUMMYFUNCTION("IFERROR(GOOGLEFINANCE(A647,""NAME""),)"),"Indian Hume Pipe Company Ltd")</f>
        <v>Indian Hume Pipe Company Ltd</v>
      </c>
      <c r="C647" s="64">
        <f>IFERROR(__xludf.DUMMYFUNCTION("IFERROR(GOOGLEFINANCE(A647,""CHANGE""),)"),-0.95)</f>
        <v>-0.95</v>
      </c>
      <c r="D647" s="64">
        <f>IFERROR(__xludf.DUMMYFUNCTION("IFERROR(GOOGLEFINANCE(A647,""CHANGEPCT""),)"),-0.3)</f>
        <v>-0.3</v>
      </c>
      <c r="E647" s="64" t="str">
        <f t="shared" si="1"/>
        <v>-0.3%</v>
      </c>
      <c r="F647" s="64" t="str">
        <f t="shared" si="2"/>
        <v/>
      </c>
      <c r="G647" s="64">
        <f t="shared" si="3"/>
        <v>-0.3</v>
      </c>
      <c r="H647" s="64">
        <f>IFERROR(__xludf.DUMMYFUNCTION("IFERROR(GOOGLEFINANCE(A647,""PRICE""),)"),315.05)</f>
        <v>315.05</v>
      </c>
      <c r="I647" s="65">
        <f>IFERROR(__xludf.DUMMYFUNCTION("IFERROR(GOOGLEFINANCE(A647,""VOLUME""),)"),18830.0)</f>
        <v>18830</v>
      </c>
      <c r="J647" s="64" t="str">
        <f>IFERROR(__xludf.DUMMYFUNCTION("IFERROR(INDEX(SPLIT(A647,"":""),1,2),)"),"INDIANHUME")</f>
        <v>INDIANHUME</v>
      </c>
      <c r="K647" s="64" t="str">
        <f t="shared" si="4"/>
        <v/>
      </c>
      <c r="L647" s="64">
        <f t="shared" si="5"/>
        <v>77</v>
      </c>
      <c r="M647" s="64">
        <f t="shared" si="6"/>
        <v>1158</v>
      </c>
      <c r="N647" s="66">
        <f>IFERROR(__xludf.DUMMYFUNCTION("IFERROR(GOOGLEFINANCE(A647,""TRADETIME""),)"),46086.64583333333)</f>
        <v>46086.64583</v>
      </c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67" t="s">
        <v>694</v>
      </c>
      <c r="B648" s="60" t="str">
        <f>IFERROR(__xludf.DUMMYFUNCTION("IFERROR(GOOGLEFINANCE(A648,""NAME""),)"),"Interglobe Aviation Ltd")</f>
        <v>Interglobe Aviation Ltd</v>
      </c>
      <c r="C648" s="60">
        <f>IFERROR(__xludf.DUMMYFUNCTION("IFERROR(GOOGLEFINANCE(A648,""CHANGE""),)"),102.1)</f>
        <v>102.1</v>
      </c>
      <c r="D648" s="60">
        <f>IFERROR(__xludf.DUMMYFUNCTION("IFERROR(GOOGLEFINANCE(A648,""CHANGEPCT""),)"),2.32)</f>
        <v>2.32</v>
      </c>
      <c r="E648" s="60" t="str">
        <f t="shared" si="1"/>
        <v>2.32%</v>
      </c>
      <c r="F648" s="60">
        <f t="shared" si="2"/>
        <v>2.32</v>
      </c>
      <c r="G648" s="60" t="str">
        <f t="shared" si="3"/>
        <v/>
      </c>
      <c r="H648" s="60">
        <f>IFERROR(__xludf.DUMMYFUNCTION("IFERROR(GOOGLEFINANCE(A648,""PRICE""),)"),4495.0)</f>
        <v>4495</v>
      </c>
      <c r="I648" s="61">
        <f>IFERROR(__xludf.DUMMYFUNCTION("IFERROR(GOOGLEFINANCE(A648,""VOLUME""),)"),2629337.0)</f>
        <v>2629337</v>
      </c>
      <c r="J648" s="60" t="str">
        <f>IFERROR(__xludf.DUMMYFUNCTION("IFERROR(INDEX(SPLIT(A648,"":""),1,2),)"),"INDIGO")</f>
        <v>INDIGO</v>
      </c>
      <c r="K648" s="60">
        <f t="shared" si="4"/>
        <v>371</v>
      </c>
      <c r="L648" s="60" t="str">
        <f t="shared" si="5"/>
        <v/>
      </c>
      <c r="M648" s="60">
        <f t="shared" si="6"/>
        <v>166</v>
      </c>
      <c r="N648" s="62">
        <f>IFERROR(__xludf.DUMMYFUNCTION("IFERROR(GOOGLEFINANCE(A648,""TRADETIME""),)"),46086.64583333333)</f>
        <v>46086.64583</v>
      </c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68" t="s">
        <v>695</v>
      </c>
      <c r="B649" s="64" t="str">
        <f>IFERROR(__xludf.DUMMYFUNCTION("IFERROR(GOOGLEFINANCE(A649,""NAME""),)"),"")</f>
        <v/>
      </c>
      <c r="C649" s="64" t="str">
        <f>IFERROR(__xludf.DUMMYFUNCTION("IFERROR(GOOGLEFINANCE(A649,""CHANGE""),)"),"")</f>
        <v/>
      </c>
      <c r="D649" s="64" t="str">
        <f>IFERROR(__xludf.DUMMYFUNCTION("IFERROR(GOOGLEFINANCE(A649,""CHANGEPCT""),)"),"")</f>
        <v/>
      </c>
      <c r="E649" s="64" t="str">
        <f t="shared" si="1"/>
        <v>%</v>
      </c>
      <c r="F649" s="64" t="str">
        <f t="shared" si="2"/>
        <v/>
      </c>
      <c r="G649" s="64" t="str">
        <f t="shared" si="3"/>
        <v/>
      </c>
      <c r="H649" s="64" t="str">
        <f>IFERROR(__xludf.DUMMYFUNCTION("IFERROR(GOOGLEFINANCE(A649,""PRICE""),)"),"")</f>
        <v/>
      </c>
      <c r="I649" s="65" t="str">
        <f>IFERROR(__xludf.DUMMYFUNCTION("IFERROR(GOOGLEFINANCE(A649,""VOLUME""),)"),"")</f>
        <v/>
      </c>
      <c r="J649" s="64" t="str">
        <f>IFERROR(__xludf.DUMMYFUNCTION("IFERROR(INDEX(SPLIT(A649,"":""),1,2),)"),"INDLMETER")</f>
        <v>INDLMETER</v>
      </c>
      <c r="K649" s="64" t="str">
        <f t="shared" si="4"/>
        <v/>
      </c>
      <c r="L649" s="64" t="str">
        <f t="shared" si="5"/>
        <v/>
      </c>
      <c r="M649" s="64" t="str">
        <f t="shared" si="6"/>
        <v/>
      </c>
      <c r="N649" s="66" t="str">
        <f>IFERROR(__xludf.DUMMYFUNCTION("IFERROR(GOOGLEFINANCE(A649,""TRADETIME""),)"),"")</f>
        <v/>
      </c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67" t="s">
        <v>696</v>
      </c>
      <c r="B650" s="60" t="str">
        <f>IFERROR(__xludf.DUMMYFUNCTION("IFERROR(GOOGLEFINANCE(A650,""NAME""),)"),"India Nippon Electricals Ltd")</f>
        <v>India Nippon Electricals Ltd</v>
      </c>
      <c r="C650" s="60">
        <f>IFERROR(__xludf.DUMMYFUNCTION("IFERROR(GOOGLEFINANCE(A650,""CHANGE""),)"),18.1)</f>
        <v>18.1</v>
      </c>
      <c r="D650" s="60">
        <f>IFERROR(__xludf.DUMMYFUNCTION("IFERROR(GOOGLEFINANCE(A650,""CHANGEPCT""),)"),2.81)</f>
        <v>2.81</v>
      </c>
      <c r="E650" s="60" t="str">
        <f t="shared" si="1"/>
        <v>2.81%</v>
      </c>
      <c r="F650" s="60">
        <f t="shared" si="2"/>
        <v>2.81</v>
      </c>
      <c r="G650" s="60" t="str">
        <f t="shared" si="3"/>
        <v/>
      </c>
      <c r="H650" s="60">
        <f>IFERROR(__xludf.DUMMYFUNCTION("IFERROR(GOOGLEFINANCE(A650,""PRICE""),)"),809.8)</f>
        <v>809.8</v>
      </c>
      <c r="I650" s="61">
        <f>IFERROR(__xludf.DUMMYFUNCTION("IFERROR(GOOGLEFINANCE(A650,""VOLUME""),)"),24295.0)</f>
        <v>24295</v>
      </c>
      <c r="J650" s="60" t="str">
        <f>IFERROR(__xludf.DUMMYFUNCTION("IFERROR(INDEX(SPLIT(A650,"":""),1,2),)"),"INDNIPPON")</f>
        <v>INDNIPPON</v>
      </c>
      <c r="K650" s="60">
        <f t="shared" si="4"/>
        <v>287</v>
      </c>
      <c r="L650" s="60" t="str">
        <f t="shared" si="5"/>
        <v/>
      </c>
      <c r="M650" s="60">
        <f t="shared" si="6"/>
        <v>1103</v>
      </c>
      <c r="N650" s="62">
        <f>IFERROR(__xludf.DUMMYFUNCTION("IFERROR(GOOGLEFINANCE(A650,""TRADETIME""),)"),46086.64583333333)</f>
        <v>46086.64583</v>
      </c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68" t="s">
        <v>697</v>
      </c>
      <c r="B651" s="64" t="str">
        <f>IFERROR(__xludf.DUMMYFUNCTION("IFERROR(GOOGLEFINANCE(A651,""NAME""),)"),"Indoco Remedies Ltd")</f>
        <v>Indoco Remedies Ltd</v>
      </c>
      <c r="C651" s="64">
        <f>IFERROR(__xludf.DUMMYFUNCTION("IFERROR(GOOGLEFINANCE(A651,""CHANGE""),)"),0.35)</f>
        <v>0.35</v>
      </c>
      <c r="D651" s="64">
        <f>IFERROR(__xludf.DUMMYFUNCTION("IFERROR(GOOGLEFINANCE(A651,""CHANGEPCT""),)"),0.18)</f>
        <v>0.18</v>
      </c>
      <c r="E651" s="64" t="str">
        <f t="shared" si="1"/>
        <v>0.18%</v>
      </c>
      <c r="F651" s="64">
        <f t="shared" si="2"/>
        <v>0.18</v>
      </c>
      <c r="G651" s="64" t="str">
        <f t="shared" si="3"/>
        <v/>
      </c>
      <c r="H651" s="64">
        <f>IFERROR(__xludf.DUMMYFUNCTION("IFERROR(GOOGLEFINANCE(A651,""PRICE""),)"),196.52)</f>
        <v>196.52</v>
      </c>
      <c r="I651" s="65">
        <f>IFERROR(__xludf.DUMMYFUNCTION("IFERROR(GOOGLEFINANCE(A651,""VOLUME""),)"),34457.0)</f>
        <v>34457</v>
      </c>
      <c r="J651" s="64" t="str">
        <f>IFERROR(__xludf.DUMMYFUNCTION("IFERROR(INDEX(SPLIT(A651,"":""),1,2),)"),"INDOCO")</f>
        <v>INDOCO</v>
      </c>
      <c r="K651" s="64">
        <f t="shared" si="4"/>
        <v>957</v>
      </c>
      <c r="L651" s="64" t="str">
        <f t="shared" si="5"/>
        <v/>
      </c>
      <c r="M651" s="64">
        <f t="shared" si="6"/>
        <v>1025</v>
      </c>
      <c r="N651" s="66">
        <f>IFERROR(__xludf.DUMMYFUNCTION("IFERROR(GOOGLEFINANCE(A651,""TRADETIME""),)"),46086.64583333333)</f>
        <v>46086.64583</v>
      </c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9" t="s">
        <v>698</v>
      </c>
      <c r="B652" s="60" t="str">
        <f>IFERROR(__xludf.DUMMYFUNCTION("IFERROR(GOOGLEFINANCE(A652,""NAME""),)"),"Insecticides (India) Ltd")</f>
        <v>Insecticides (India) Ltd</v>
      </c>
      <c r="C652" s="60">
        <f>IFERROR(__xludf.DUMMYFUNCTION("IFERROR(GOOGLEFINANCE(A652,""CHANGE""),)"),-3.55)</f>
        <v>-3.55</v>
      </c>
      <c r="D652" s="60">
        <f>IFERROR(__xludf.DUMMYFUNCTION("IFERROR(GOOGLEFINANCE(A652,""CHANGEPCT""),)"),0.63)</f>
        <v>0.63</v>
      </c>
      <c r="E652" s="60" t="str">
        <f t="shared" si="1"/>
        <v>0.63%</v>
      </c>
      <c r="F652" s="60">
        <f t="shared" si="2"/>
        <v>0.63</v>
      </c>
      <c r="G652" s="60" t="str">
        <f t="shared" si="3"/>
        <v/>
      </c>
      <c r="H652" s="60">
        <f>IFERROR(__xludf.DUMMYFUNCTION("IFERROR(GOOGLEFINANCE(A652,""PRICE""),)"),606.55)</f>
        <v>606.55</v>
      </c>
      <c r="I652" s="61">
        <f>IFERROR(__xludf.DUMMYFUNCTION("IFERROR(GOOGLEFINANCE(A652,""VOLUME""),)"),9716.0)</f>
        <v>9716</v>
      </c>
      <c r="J652" s="60" t="str">
        <f>IFERROR(__xludf.DUMMYFUNCTION("IFERROR(INDEX(SPLIT(A652,"":""),1,2),)"),"INSECTICID")</f>
        <v>INSECTICID</v>
      </c>
      <c r="K652" s="60">
        <f t="shared" si="4"/>
        <v>839</v>
      </c>
      <c r="L652" s="60" t="str">
        <f t="shared" si="5"/>
        <v/>
      </c>
      <c r="M652" s="60">
        <f t="shared" si="6"/>
        <v>1266</v>
      </c>
      <c r="N652" s="62">
        <f>IFERROR(__xludf.DUMMYFUNCTION("IFERROR(GOOGLEFINANCE(A652,""TRADETIME""),)"),46086.64583333333)</f>
        <v>46086.64583</v>
      </c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68" t="s">
        <v>699</v>
      </c>
      <c r="B653" s="64" t="str">
        <f>IFERROR(__xludf.DUMMYFUNCTION("IFERROR(GOOGLEFINANCE(A653,""NAME""),)"),"IndoStar Capital Finance Ltd")</f>
        <v>IndoStar Capital Finance Ltd</v>
      </c>
      <c r="C653" s="64">
        <f>IFERROR(__xludf.DUMMYFUNCTION("IFERROR(GOOGLEFINANCE(A653,""CHANGE""),)"),-0.52)</f>
        <v>-0.52</v>
      </c>
      <c r="D653" s="64">
        <f>IFERROR(__xludf.DUMMYFUNCTION("IFERROR(GOOGLEFINANCE(A653,""CHANGEPCT""),)"),-0.24)</f>
        <v>-0.24</v>
      </c>
      <c r="E653" s="64" t="str">
        <f t="shared" si="1"/>
        <v>-0.24%</v>
      </c>
      <c r="F653" s="64" t="str">
        <f t="shared" si="2"/>
        <v/>
      </c>
      <c r="G653" s="64">
        <f t="shared" si="3"/>
        <v>-0.24</v>
      </c>
      <c r="H653" s="64">
        <f>IFERROR(__xludf.DUMMYFUNCTION("IFERROR(GOOGLEFINANCE(A653,""PRICE""),)"),215.6)</f>
        <v>215.6</v>
      </c>
      <c r="I653" s="65">
        <f>IFERROR(__xludf.DUMMYFUNCTION("IFERROR(GOOGLEFINANCE(A653,""VOLUME""),)"),127703.0)</f>
        <v>127703</v>
      </c>
      <c r="J653" s="64" t="str">
        <f>IFERROR(__xludf.DUMMYFUNCTION("IFERROR(INDEX(SPLIT(A653,"":""),1,2),)"),"INDOSTAR")</f>
        <v>INDOSTAR</v>
      </c>
      <c r="K653" s="64" t="str">
        <f t="shared" si="4"/>
        <v/>
      </c>
      <c r="L653" s="64">
        <f t="shared" si="5"/>
        <v>62</v>
      </c>
      <c r="M653" s="64">
        <f t="shared" si="6"/>
        <v>706</v>
      </c>
      <c r="N653" s="66">
        <f>IFERROR(__xludf.DUMMYFUNCTION("IFERROR(GOOGLEFINANCE(A653,""TRADETIME""),)"),46086.63979166667)</f>
        <v>46086.63979</v>
      </c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67" t="s">
        <v>700</v>
      </c>
      <c r="B654" s="60" t="str">
        <f>IFERROR(__xludf.DUMMYFUNCTION("IFERROR(GOOGLEFINANCE(A654,""NAME""),)"),"Indo Tech Transformers Limited")</f>
        <v>Indo Tech Transformers Limited</v>
      </c>
      <c r="C654" s="60">
        <f>IFERROR(__xludf.DUMMYFUNCTION("IFERROR(GOOGLEFINANCE(A654,""CHANGE""),)"),-14.9)</f>
        <v>-14.9</v>
      </c>
      <c r="D654" s="60">
        <f>IFERROR(__xludf.DUMMYFUNCTION("IFERROR(GOOGLEFINANCE(A654,""CHANGEPCT""),)"),-0.42)</f>
        <v>-0.42</v>
      </c>
      <c r="E654" s="60" t="str">
        <f t="shared" si="1"/>
        <v>-0.42%</v>
      </c>
      <c r="F654" s="60" t="str">
        <f t="shared" si="2"/>
        <v/>
      </c>
      <c r="G654" s="60">
        <f t="shared" si="3"/>
        <v>-0.42</v>
      </c>
      <c r="H654" s="60">
        <f>IFERROR(__xludf.DUMMYFUNCTION("IFERROR(GOOGLEFINANCE(A654,""PRICE""),)"),1386.1)</f>
        <v>1386.1</v>
      </c>
      <c r="I654" s="61">
        <f>IFERROR(__xludf.DUMMYFUNCTION("IFERROR(GOOGLEFINANCE(A654,""VOLUME""),)"),35391.0)</f>
        <v>35391</v>
      </c>
      <c r="J654" s="60" t="str">
        <f>IFERROR(__xludf.DUMMYFUNCTION("IFERROR(INDEX(SPLIT(A654,"":""),1,2),)"),"INDOTECH")</f>
        <v>INDOTECH</v>
      </c>
      <c r="K654" s="60" t="str">
        <f t="shared" si="4"/>
        <v/>
      </c>
      <c r="L654" s="60">
        <f t="shared" si="5"/>
        <v>101</v>
      </c>
      <c r="M654" s="60">
        <f t="shared" si="6"/>
        <v>1015</v>
      </c>
      <c r="N654" s="62">
        <f>IFERROR(__xludf.DUMMYFUNCTION("IFERROR(GOOGLEFINANCE(A654,""TRADETIME""),)"),46086.64583333333)</f>
        <v>46086.64583</v>
      </c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68" t="s">
        <v>701</v>
      </c>
      <c r="B655" s="64" t="str">
        <f>IFERROR(__xludf.DUMMYFUNCTION("IFERROR(GOOGLEFINANCE(A655,""NAME""),)"),"Indo Thai Securities Ltd")</f>
        <v>Indo Thai Securities Ltd</v>
      </c>
      <c r="C655" s="64">
        <f>IFERROR(__xludf.DUMMYFUNCTION("IFERROR(GOOGLEFINANCE(A655,""CHANGE""),)"),-0.55)</f>
        <v>-0.55</v>
      </c>
      <c r="D655" s="64">
        <f>IFERROR(__xludf.DUMMYFUNCTION("IFERROR(GOOGLEFINANCE(A655,""CHANGEPCT""),)"),-0.21)</f>
        <v>-0.21</v>
      </c>
      <c r="E655" s="64" t="str">
        <f t="shared" si="1"/>
        <v>-0.21%</v>
      </c>
      <c r="F655" s="64" t="str">
        <f t="shared" si="2"/>
        <v/>
      </c>
      <c r="G655" s="64">
        <f t="shared" si="3"/>
        <v>-0.21</v>
      </c>
      <c r="H655" s="64">
        <f>IFERROR(__xludf.DUMMYFUNCTION("IFERROR(GOOGLEFINANCE(A655,""PRICE""),)"),259.9)</f>
        <v>259.9</v>
      </c>
      <c r="I655" s="65">
        <f>IFERROR(__xludf.DUMMYFUNCTION("IFERROR(GOOGLEFINANCE(A655,""VOLUME""),)"),297267.0)</f>
        <v>297267</v>
      </c>
      <c r="J655" s="64" t="str">
        <f>IFERROR(__xludf.DUMMYFUNCTION("IFERROR(INDEX(SPLIT(A655,"":""),1,2),)"),"INDOTHAI")</f>
        <v>INDOTHAI</v>
      </c>
      <c r="K655" s="64" t="str">
        <f t="shared" si="4"/>
        <v/>
      </c>
      <c r="L655" s="64">
        <f t="shared" si="5"/>
        <v>55</v>
      </c>
      <c r="M655" s="64">
        <f t="shared" si="6"/>
        <v>509</v>
      </c>
      <c r="N655" s="66">
        <f>IFERROR(__xludf.DUMMYFUNCTION("IFERROR(GOOGLEFINANCE(A655,""TRADETIME""),)"),46086.64586805555)</f>
        <v>46086.64587</v>
      </c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67" t="s">
        <v>702</v>
      </c>
      <c r="B656" s="60" t="str">
        <f>IFERROR(__xludf.DUMMYFUNCTION("IFERROR(GOOGLEFINANCE(A656,""NAME""),)"),"Indowind Energy Limited")</f>
        <v>Indowind Energy Limited</v>
      </c>
      <c r="C656" s="60">
        <f>IFERROR(__xludf.DUMMYFUNCTION("IFERROR(GOOGLEFINANCE(A656,""CHANGE""),)"),0.19)</f>
        <v>0.19</v>
      </c>
      <c r="D656" s="60">
        <f>IFERROR(__xludf.DUMMYFUNCTION("IFERROR(GOOGLEFINANCE(A656,""CHANGEPCT""),)"),2.17)</f>
        <v>2.17</v>
      </c>
      <c r="E656" s="60" t="str">
        <f t="shared" si="1"/>
        <v>2.17%</v>
      </c>
      <c r="F656" s="60">
        <f t="shared" si="2"/>
        <v>2.17</v>
      </c>
      <c r="G656" s="60" t="str">
        <f t="shared" si="3"/>
        <v/>
      </c>
      <c r="H656" s="60">
        <f>IFERROR(__xludf.DUMMYFUNCTION("IFERROR(GOOGLEFINANCE(A656,""PRICE""),)"),8.95)</f>
        <v>8.95</v>
      </c>
      <c r="I656" s="61">
        <f>IFERROR(__xludf.DUMMYFUNCTION("IFERROR(GOOGLEFINANCE(A656,""VOLUME""),)"),418602.0)</f>
        <v>418602</v>
      </c>
      <c r="J656" s="60" t="str">
        <f>IFERROR(__xludf.DUMMYFUNCTION("IFERROR(INDEX(SPLIT(A656,"":""),1,2),)"),"INDOWIND")</f>
        <v>INDOWIND</v>
      </c>
      <c r="K656" s="60">
        <f t="shared" si="4"/>
        <v>403</v>
      </c>
      <c r="L656" s="60" t="str">
        <f t="shared" si="5"/>
        <v/>
      </c>
      <c r="M656" s="60">
        <f t="shared" si="6"/>
        <v>434</v>
      </c>
      <c r="N656" s="62">
        <f>IFERROR(__xludf.DUMMYFUNCTION("IFERROR(GOOGLEFINANCE(A656,""TRADETIME""),)"),46086.64583333333)</f>
        <v>46086.64583</v>
      </c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68" t="s">
        <v>703</v>
      </c>
      <c r="B657" s="64" t="str">
        <f>IFERROR(__xludf.DUMMYFUNCTION("IFERROR(GOOGLEFINANCE(A657,""NAME""),)"),"Indraprastha Medical Corporation Ltd")</f>
        <v>Indraprastha Medical Corporation Ltd</v>
      </c>
      <c r="C657" s="64">
        <f>IFERROR(__xludf.DUMMYFUNCTION("IFERROR(GOOGLEFINANCE(A657,""CHANGE""),)"),11.85)</f>
        <v>11.85</v>
      </c>
      <c r="D657" s="64">
        <f>IFERROR(__xludf.DUMMYFUNCTION("IFERROR(GOOGLEFINANCE(A657,""CHANGEPCT""),)"),3.89)</f>
        <v>3.89</v>
      </c>
      <c r="E657" s="64" t="str">
        <f t="shared" si="1"/>
        <v>3.89%</v>
      </c>
      <c r="F657" s="64">
        <f t="shared" si="2"/>
        <v>3.89</v>
      </c>
      <c r="G657" s="64" t="str">
        <f t="shared" si="3"/>
        <v/>
      </c>
      <c r="H657" s="64">
        <f>IFERROR(__xludf.DUMMYFUNCTION("IFERROR(GOOGLEFINANCE(A657,""PRICE""),)"),400.7)</f>
        <v>400.7</v>
      </c>
      <c r="I657" s="65">
        <f>IFERROR(__xludf.DUMMYFUNCTION("IFERROR(GOOGLEFINANCE(A657,""VOLUME""),)"),338034.0)</f>
        <v>338034</v>
      </c>
      <c r="J657" s="64" t="str">
        <f>IFERROR(__xludf.DUMMYFUNCTION("IFERROR(INDEX(SPLIT(A657,"":""),1,2),)"),"INDRAMEDCO")</f>
        <v>INDRAMEDCO</v>
      </c>
      <c r="K657" s="64">
        <f t="shared" si="4"/>
        <v>150</v>
      </c>
      <c r="L657" s="64" t="str">
        <f t="shared" si="5"/>
        <v/>
      </c>
      <c r="M657" s="64">
        <f t="shared" si="6"/>
        <v>486</v>
      </c>
      <c r="N657" s="66">
        <f>IFERROR(__xludf.DUMMYFUNCTION("IFERROR(GOOGLEFINANCE(A657,""TRADETIME""),)"),46086.64585648148)</f>
        <v>46086.64586</v>
      </c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67" t="s">
        <v>704</v>
      </c>
      <c r="B658" s="60" t="str">
        <f>IFERROR(__xludf.DUMMYFUNCTION("IFERROR(GOOGLEFINANCE(A658,""NAME""),)"),"IND Swift Laboratories Ltd")</f>
        <v>IND Swift Laboratories Ltd</v>
      </c>
      <c r="C658" s="60">
        <f>IFERROR(__xludf.DUMMYFUNCTION("IFERROR(GOOGLEFINANCE(A658,""CHANGE""),)"),10.48)</f>
        <v>10.48</v>
      </c>
      <c r="D658" s="60">
        <f>IFERROR(__xludf.DUMMYFUNCTION("IFERROR(GOOGLEFINANCE(A658,""CHANGEPCT""),)"),8.3)</f>
        <v>8.3</v>
      </c>
      <c r="E658" s="60" t="str">
        <f t="shared" si="1"/>
        <v>8.3%</v>
      </c>
      <c r="F658" s="60">
        <f t="shared" si="2"/>
        <v>8.3</v>
      </c>
      <c r="G658" s="60" t="str">
        <f t="shared" si="3"/>
        <v/>
      </c>
      <c r="H658" s="60">
        <f>IFERROR(__xludf.DUMMYFUNCTION("IFERROR(GOOGLEFINANCE(A658,""PRICE""),)"),136.7)</f>
        <v>136.7</v>
      </c>
      <c r="I658" s="61">
        <f>IFERROR(__xludf.DUMMYFUNCTION("IFERROR(GOOGLEFINANCE(A658,""VOLUME""),)"),2917974.0)</f>
        <v>2917974</v>
      </c>
      <c r="J658" s="60" t="str">
        <f>IFERROR(__xludf.DUMMYFUNCTION("IFERROR(INDEX(SPLIT(A658,"":""),1,2),)"),"INDSWFTLAB")</f>
        <v>INDSWFTLAB</v>
      </c>
      <c r="K658" s="60">
        <f t="shared" si="4"/>
        <v>18</v>
      </c>
      <c r="L658" s="60" t="str">
        <f t="shared" si="5"/>
        <v/>
      </c>
      <c r="M658" s="60">
        <f t="shared" si="6"/>
        <v>153</v>
      </c>
      <c r="N658" s="62">
        <f>IFERROR(__xludf.DUMMYFUNCTION("IFERROR(GOOGLEFINANCE(A658,""TRADETIME""),)"),46086.64583333333)</f>
        <v>46086.64583</v>
      </c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68" t="s">
        <v>705</v>
      </c>
      <c r="B659" s="64" t="str">
        <f>IFERROR(__xludf.DUMMYFUNCTION("IFERROR(GOOGLEFINANCE(A659,""NAME""),)"),"Indian Terrain Fashions Ltd")</f>
        <v>Indian Terrain Fashions Ltd</v>
      </c>
      <c r="C659" s="64">
        <f>IFERROR(__xludf.DUMMYFUNCTION("IFERROR(GOOGLEFINANCE(A659,""CHANGE""),)"),-0.01)</f>
        <v>-0.01</v>
      </c>
      <c r="D659" s="64">
        <f>IFERROR(__xludf.DUMMYFUNCTION("IFERROR(GOOGLEFINANCE(A659,""CHANGEPCT""),)"),-0.33)</f>
        <v>-0.33</v>
      </c>
      <c r="E659" s="64" t="str">
        <f t="shared" si="1"/>
        <v>-0.33%</v>
      </c>
      <c r="F659" s="64" t="str">
        <f t="shared" si="2"/>
        <v/>
      </c>
      <c r="G659" s="64">
        <f t="shared" si="3"/>
        <v>-0.33</v>
      </c>
      <c r="H659" s="64">
        <f>IFERROR(__xludf.DUMMYFUNCTION("IFERROR(GOOGLEFINANCE(A659,""PRICE""),)"),29.9)</f>
        <v>29.9</v>
      </c>
      <c r="I659" s="65">
        <f>IFERROR(__xludf.DUMMYFUNCTION("IFERROR(GOOGLEFINANCE(A659,""VOLUME""),)"),68644.0)</f>
        <v>68644</v>
      </c>
      <c r="J659" s="64" t="str">
        <f>IFERROR(__xludf.DUMMYFUNCTION("IFERROR(INDEX(SPLIT(A659,"":""),1,2),)"),"INDTERRAIN")</f>
        <v>INDTERRAIN</v>
      </c>
      <c r="K659" s="64" t="str">
        <f t="shared" si="4"/>
        <v/>
      </c>
      <c r="L659" s="64">
        <f t="shared" si="5"/>
        <v>85</v>
      </c>
      <c r="M659" s="64">
        <f t="shared" si="6"/>
        <v>853</v>
      </c>
      <c r="N659" s="66">
        <f>IFERROR(__xludf.DUMMYFUNCTION("IFERROR(GOOGLEFINANCE(A659,""TRADETIME""),)"),46086.64583333333)</f>
        <v>46086.64583</v>
      </c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67" t="s">
        <v>706</v>
      </c>
      <c r="B660" s="60" t="str">
        <f>IFERROR(__xludf.DUMMYFUNCTION("IFERROR(GOOGLEFINANCE(A660,""NAME""),)"),"Indusind Bank Ltd")</f>
        <v>Indusind Bank Ltd</v>
      </c>
      <c r="C660" s="60">
        <f>IFERROR(__xludf.DUMMYFUNCTION("IFERROR(GOOGLEFINANCE(A660,""CHANGE""),)"),9.45)</f>
        <v>9.45</v>
      </c>
      <c r="D660" s="60">
        <f>IFERROR(__xludf.DUMMYFUNCTION("IFERROR(GOOGLEFINANCE(A660,""CHANGEPCT""),)"),1.02)</f>
        <v>1.02</v>
      </c>
      <c r="E660" s="60" t="str">
        <f t="shared" si="1"/>
        <v>1.02%</v>
      </c>
      <c r="F660" s="60">
        <f t="shared" si="2"/>
        <v>1.02</v>
      </c>
      <c r="G660" s="60" t="str">
        <f t="shared" si="3"/>
        <v/>
      </c>
      <c r="H660" s="60">
        <f>IFERROR(__xludf.DUMMYFUNCTION("IFERROR(GOOGLEFINANCE(A660,""PRICE""),)"),937.0)</f>
        <v>937</v>
      </c>
      <c r="I660" s="61">
        <f>IFERROR(__xludf.DUMMYFUNCTION("IFERROR(GOOGLEFINANCE(A660,""VOLUME""),)"),1949146.0)</f>
        <v>1949146</v>
      </c>
      <c r="J660" s="60" t="str">
        <f>IFERROR(__xludf.DUMMYFUNCTION("IFERROR(INDEX(SPLIT(A660,"":""),1,2),)"),"INDUSINDBK")</f>
        <v>INDUSINDBK</v>
      </c>
      <c r="K660" s="60">
        <f t="shared" si="4"/>
        <v>716</v>
      </c>
      <c r="L660" s="60" t="str">
        <f t="shared" si="5"/>
        <v/>
      </c>
      <c r="M660" s="60">
        <f t="shared" si="6"/>
        <v>208</v>
      </c>
      <c r="N660" s="62">
        <f>IFERROR(__xludf.DUMMYFUNCTION("IFERROR(GOOGLEFINANCE(A660,""TRADETIME""),)"),46086.64584490741)</f>
        <v>46086.64584</v>
      </c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68" t="s">
        <v>707</v>
      </c>
      <c r="B661" s="64" t="str">
        <f>IFERROR(__xludf.DUMMYFUNCTION("IFERROR(GOOGLEFINANCE(A661,""NAME""),)"),"Indus Towers Ltd")</f>
        <v>Indus Towers Ltd</v>
      </c>
      <c r="C661" s="64">
        <f>IFERROR(__xludf.DUMMYFUNCTION("IFERROR(GOOGLEFINANCE(A661,""CHANGE""),)"),8.45)</f>
        <v>8.45</v>
      </c>
      <c r="D661" s="64">
        <f>IFERROR(__xludf.DUMMYFUNCTION("IFERROR(GOOGLEFINANCE(A661,""CHANGEPCT""),)"),1.91)</f>
        <v>1.91</v>
      </c>
      <c r="E661" s="64" t="str">
        <f t="shared" si="1"/>
        <v>1.91%</v>
      </c>
      <c r="F661" s="64">
        <f t="shared" si="2"/>
        <v>1.91</v>
      </c>
      <c r="G661" s="64" t="str">
        <f t="shared" si="3"/>
        <v/>
      </c>
      <c r="H661" s="64">
        <f>IFERROR(__xludf.DUMMYFUNCTION("IFERROR(GOOGLEFINANCE(A661,""PRICE""),)"),450.75)</f>
        <v>450.75</v>
      </c>
      <c r="I661" s="65">
        <f>IFERROR(__xludf.DUMMYFUNCTION("IFERROR(GOOGLEFINANCE(A661,""VOLUME""),)"),3038042.0)</f>
        <v>3038042</v>
      </c>
      <c r="J661" s="64" t="str">
        <f>IFERROR(__xludf.DUMMYFUNCTION("IFERROR(INDEX(SPLIT(A661,"":""),1,2),)"),"INDUSTOWER")</f>
        <v>INDUSTOWER</v>
      </c>
      <c r="K661" s="64">
        <f t="shared" si="4"/>
        <v>458</v>
      </c>
      <c r="L661" s="64" t="str">
        <f t="shared" si="5"/>
        <v/>
      </c>
      <c r="M661" s="64">
        <f t="shared" si="6"/>
        <v>146</v>
      </c>
      <c r="N661" s="66">
        <f>IFERROR(__xludf.DUMMYFUNCTION("IFERROR(GOOGLEFINANCE(A661,""TRADETIME""),)"),46086.641863425924)</f>
        <v>46086.64186</v>
      </c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67" t="s">
        <v>708</v>
      </c>
      <c r="B662" s="60" t="str">
        <f>IFERROR(__xludf.DUMMYFUNCTION("IFERROR(GOOGLEFINANCE(A662,""NAME""),)"),"Styrenix Performance Materials Ltd")</f>
        <v>Styrenix Performance Materials Ltd</v>
      </c>
      <c r="C662" s="60">
        <f>IFERROR(__xludf.DUMMYFUNCTION("IFERROR(GOOGLEFINANCE(A662,""CHANGE""),)"),-3.6)</f>
        <v>-3.6</v>
      </c>
      <c r="D662" s="60">
        <f>IFERROR(__xludf.DUMMYFUNCTION("IFERROR(GOOGLEFINANCE(A662,""CHANGEPCT""),)"),-0.19)</f>
        <v>-0.19</v>
      </c>
      <c r="E662" s="60" t="str">
        <f t="shared" si="1"/>
        <v>-0.19%</v>
      </c>
      <c r="F662" s="60" t="str">
        <f t="shared" si="2"/>
        <v/>
      </c>
      <c r="G662" s="60">
        <f t="shared" si="3"/>
        <v>-0.19</v>
      </c>
      <c r="H662" s="60">
        <f>IFERROR(__xludf.DUMMYFUNCTION("IFERROR(GOOGLEFINANCE(A662,""PRICE""),)"),1870.0)</f>
        <v>1870</v>
      </c>
      <c r="I662" s="61">
        <f>IFERROR(__xludf.DUMMYFUNCTION("IFERROR(GOOGLEFINANCE(A662,""VOLUME""),)"),16011.0)</f>
        <v>16011</v>
      </c>
      <c r="J662" s="60" t="str">
        <f>IFERROR(__xludf.DUMMYFUNCTION("IFERROR(INDEX(SPLIT(A662,"":""),1,2),)"),"STYRENIX")</f>
        <v>STYRENIX</v>
      </c>
      <c r="K662" s="60" t="str">
        <f t="shared" si="4"/>
        <v/>
      </c>
      <c r="L662" s="60">
        <f t="shared" si="5"/>
        <v>47</v>
      </c>
      <c r="M662" s="60">
        <f t="shared" si="6"/>
        <v>1186</v>
      </c>
      <c r="N662" s="62">
        <f>IFERROR(__xludf.DUMMYFUNCTION("IFERROR(GOOGLEFINANCE(A662,""TRADETIME""),)"),46086.64585648148)</f>
        <v>46086.64586</v>
      </c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68" t="s">
        <v>709</v>
      </c>
      <c r="B663" s="64" t="str">
        <f>IFERROR(__xludf.DUMMYFUNCTION("IFERROR(GOOGLEFINANCE(A663,""NAME""),)"),"")</f>
        <v/>
      </c>
      <c r="C663" s="64" t="str">
        <f>IFERROR(__xludf.DUMMYFUNCTION("IFERROR(GOOGLEFINANCE(A663,""CHANGE""),)"),"")</f>
        <v/>
      </c>
      <c r="D663" s="64" t="str">
        <f>IFERROR(__xludf.DUMMYFUNCTION("IFERROR(GOOGLEFINANCE(A663,""CHANGEPCT""),)"),"")</f>
        <v/>
      </c>
      <c r="E663" s="64" t="str">
        <f t="shared" si="1"/>
        <v>%</v>
      </c>
      <c r="F663" s="64" t="str">
        <f t="shared" si="2"/>
        <v/>
      </c>
      <c r="G663" s="64" t="str">
        <f t="shared" si="3"/>
        <v/>
      </c>
      <c r="H663" s="64" t="str">
        <f>IFERROR(__xludf.DUMMYFUNCTION("IFERROR(GOOGLEFINANCE(A663,""PRICE""),)"),"")</f>
        <v/>
      </c>
      <c r="I663" s="65" t="str">
        <f>IFERROR(__xludf.DUMMYFUNCTION("IFERROR(GOOGLEFINANCE(A663,""VOLUME""),)"),"")</f>
        <v/>
      </c>
      <c r="J663" s="64" t="str">
        <f>IFERROR(__xludf.DUMMYFUNCTION("IFERROR(INDEX(SPLIT(A663,"":""),1,2),)"),"INFIBEAM")</f>
        <v>INFIBEAM</v>
      </c>
      <c r="K663" s="64" t="str">
        <f t="shared" si="4"/>
        <v/>
      </c>
      <c r="L663" s="64" t="str">
        <f t="shared" si="5"/>
        <v/>
      </c>
      <c r="M663" s="64" t="str">
        <f t="shared" si="6"/>
        <v/>
      </c>
      <c r="N663" s="66" t="str">
        <f>IFERROR(__xludf.DUMMYFUNCTION("IFERROR(GOOGLEFINANCE(A663,""TRADETIME""),)"),"")</f>
        <v/>
      </c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67" t="s">
        <v>710</v>
      </c>
      <c r="B664" s="60" t="str">
        <f>IFERROR(__xludf.DUMMYFUNCTION("IFERROR(GOOGLEFINANCE(A664,""NAME""),)"),"InfoBeans Technologies Ltd")</f>
        <v>InfoBeans Technologies Ltd</v>
      </c>
      <c r="C664" s="60">
        <f>IFERROR(__xludf.DUMMYFUNCTION("IFERROR(GOOGLEFINANCE(A664,""CHANGE""),)"),-14.43)</f>
        <v>-14.43</v>
      </c>
      <c r="D664" s="60">
        <f>IFERROR(__xludf.DUMMYFUNCTION("IFERROR(GOOGLEFINANCE(A664,""CHANGEPCT""),)"),-8.26)</f>
        <v>-8.26</v>
      </c>
      <c r="E664" s="60" t="str">
        <f t="shared" si="1"/>
        <v>-8.26%</v>
      </c>
      <c r="F664" s="60" t="str">
        <f t="shared" si="2"/>
        <v/>
      </c>
      <c r="G664" s="60">
        <f t="shared" si="3"/>
        <v>-8.26</v>
      </c>
      <c r="H664" s="60">
        <f>IFERROR(__xludf.DUMMYFUNCTION("IFERROR(GOOGLEFINANCE(A664,""PRICE""),)"),160.82)</f>
        <v>160.82</v>
      </c>
      <c r="I664" s="61">
        <f>IFERROR(__xludf.DUMMYFUNCTION("IFERROR(GOOGLEFINANCE(A664,""VOLUME""),)"),1471851.0)</f>
        <v>1471851</v>
      </c>
      <c r="J664" s="60" t="str">
        <f>IFERROR(__xludf.DUMMYFUNCTION("IFERROR(INDEX(SPLIT(A664,"":""),1,2),)"),"INFOBEAN")</f>
        <v>INFOBEAN</v>
      </c>
      <c r="K664" s="60" t="str">
        <f t="shared" si="4"/>
        <v/>
      </c>
      <c r="L664" s="60">
        <f t="shared" si="5"/>
        <v>451</v>
      </c>
      <c r="M664" s="60">
        <f t="shared" si="6"/>
        <v>241</v>
      </c>
      <c r="N664" s="62">
        <f>IFERROR(__xludf.DUMMYFUNCTION("IFERROR(GOOGLEFINANCE(A664,""TRADETIME""),)"),46086.64585648148)</f>
        <v>46086.64586</v>
      </c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68" t="s">
        <v>711</v>
      </c>
      <c r="B665" s="64" t="str">
        <f>IFERROR(__xludf.DUMMYFUNCTION("IFERROR(GOOGLEFINANCE(A665,""NAME""),)"),"Infomedia Press Ltd")</f>
        <v>Infomedia Press Ltd</v>
      </c>
      <c r="C665" s="64">
        <f>IFERROR(__xludf.DUMMYFUNCTION("IFERROR(GOOGLEFINANCE(A665,""CHANGE""),)"),-0.04)</f>
        <v>-0.04</v>
      </c>
      <c r="D665" s="64">
        <f>IFERROR(__xludf.DUMMYFUNCTION("IFERROR(GOOGLEFINANCE(A665,""CHANGEPCT""),)"),-0.97)</f>
        <v>-0.97</v>
      </c>
      <c r="E665" s="64" t="str">
        <f t="shared" si="1"/>
        <v>-0.97%</v>
      </c>
      <c r="F665" s="64" t="str">
        <f t="shared" si="2"/>
        <v/>
      </c>
      <c r="G665" s="64">
        <f t="shared" si="3"/>
        <v>-0.97</v>
      </c>
      <c r="H665" s="64">
        <f>IFERROR(__xludf.DUMMYFUNCTION("IFERROR(GOOGLEFINANCE(A665,""PRICE""),)"),5.08)</f>
        <v>5.08</v>
      </c>
      <c r="I665" s="65">
        <f>IFERROR(__xludf.DUMMYFUNCTION("IFERROR(GOOGLEFINANCE(A665,""VOLUME""),)"),25706.0)</f>
        <v>25706</v>
      </c>
      <c r="J665" s="64" t="str">
        <f>IFERROR(__xludf.DUMMYFUNCTION("IFERROR(INDEX(SPLIT(A665,"":""),1,2),)"),"INFOMEDIA")</f>
        <v>INFOMEDIA</v>
      </c>
      <c r="K665" s="64" t="str">
        <f t="shared" si="4"/>
        <v/>
      </c>
      <c r="L665" s="64">
        <f t="shared" si="5"/>
        <v>213</v>
      </c>
      <c r="M665" s="64">
        <f t="shared" si="6"/>
        <v>1088</v>
      </c>
      <c r="N665" s="66">
        <f>IFERROR(__xludf.DUMMYFUNCTION("IFERROR(GOOGLEFINANCE(A665,""TRADETIME""),)"),46086.64583333333)</f>
        <v>46086.64583</v>
      </c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67" t="s">
        <v>712</v>
      </c>
      <c r="B666" s="60" t="str">
        <f>IFERROR(__xludf.DUMMYFUNCTION("IFERROR(GOOGLEFINANCE(A666,""NAME""),)"),"Infosys Ltd")</f>
        <v>Infosys Ltd</v>
      </c>
      <c r="C666" s="60">
        <f>IFERROR(__xludf.DUMMYFUNCTION("IFERROR(GOOGLEFINANCE(A666,""CHANGE""),)"),-3.8)</f>
        <v>-3.8</v>
      </c>
      <c r="D666" s="60">
        <f>IFERROR(__xludf.DUMMYFUNCTION("IFERROR(GOOGLEFINANCE(A666,""CHANGEPCT""),)"),-0.29)</f>
        <v>-0.29</v>
      </c>
      <c r="E666" s="60" t="str">
        <f t="shared" si="1"/>
        <v>-0.29%</v>
      </c>
      <c r="F666" s="60" t="str">
        <f t="shared" si="2"/>
        <v/>
      </c>
      <c r="G666" s="60">
        <f t="shared" si="3"/>
        <v>-0.29</v>
      </c>
      <c r="H666" s="60">
        <f>IFERROR(__xludf.DUMMYFUNCTION("IFERROR(GOOGLEFINANCE(A666,""PRICE""),)"),1305.3)</f>
        <v>1305.3</v>
      </c>
      <c r="I666" s="61">
        <f>IFERROR(__xludf.DUMMYFUNCTION("IFERROR(GOOGLEFINANCE(A666,""VOLUME""),)"),9949822.0)</f>
        <v>9949822</v>
      </c>
      <c r="J666" s="60" t="str">
        <f>IFERROR(__xludf.DUMMYFUNCTION("IFERROR(INDEX(SPLIT(A666,"":""),1,2),)"),"INFY")</f>
        <v>INFY</v>
      </c>
      <c r="K666" s="60" t="str">
        <f t="shared" si="4"/>
        <v/>
      </c>
      <c r="L666" s="60">
        <f t="shared" si="5"/>
        <v>74</v>
      </c>
      <c r="M666" s="60">
        <f t="shared" si="6"/>
        <v>64</v>
      </c>
      <c r="N666" s="62">
        <f>IFERROR(__xludf.DUMMYFUNCTION("IFERROR(GOOGLEFINANCE(A666,""TRADETIME""),)"),46086.64583333333)</f>
        <v>46086.64583</v>
      </c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63" t="s">
        <v>713</v>
      </c>
      <c r="B667" s="64" t="str">
        <f>IFERROR(__xludf.DUMMYFUNCTION("IFERROR(GOOGLEFINANCE(A667,""NAME""),)"),"")</f>
        <v/>
      </c>
      <c r="C667" s="64" t="str">
        <f>IFERROR(__xludf.DUMMYFUNCTION("IFERROR(GOOGLEFINANCE(A667,""CHANGE""),)"),"")</f>
        <v/>
      </c>
      <c r="D667" s="64" t="str">
        <f>IFERROR(__xludf.DUMMYFUNCTION("IFERROR(GOOGLEFINANCE(A667,""CHANGEPCT""),)"),"")</f>
        <v/>
      </c>
      <c r="E667" s="64" t="str">
        <f t="shared" si="1"/>
        <v>%</v>
      </c>
      <c r="F667" s="64" t="str">
        <f t="shared" si="2"/>
        <v/>
      </c>
      <c r="G667" s="64" t="str">
        <f t="shared" si="3"/>
        <v/>
      </c>
      <c r="H667" s="64" t="str">
        <f>IFERROR(__xludf.DUMMYFUNCTION("IFERROR(GOOGLEFINANCE(A667,""PRICE""),)"),"")</f>
        <v/>
      </c>
      <c r="I667" s="65" t="str">
        <f>IFERROR(__xludf.DUMMYFUNCTION("IFERROR(GOOGLEFINANCE(A667,""VOLUME""),)"),"")</f>
        <v/>
      </c>
      <c r="J667" s="64" t="str">
        <f>IFERROR(__xludf.DUMMYFUNCTION("IFERROR(INDEX(SPLIT(A667,"":""),1,2),)"),"JETAIRWAYS")</f>
        <v>JETAIRWAYS</v>
      </c>
      <c r="K667" s="64" t="str">
        <f t="shared" si="4"/>
        <v/>
      </c>
      <c r="L667" s="64" t="str">
        <f t="shared" si="5"/>
        <v/>
      </c>
      <c r="M667" s="64" t="str">
        <f t="shared" si="6"/>
        <v/>
      </c>
      <c r="N667" s="66" t="str">
        <f>IFERROR(__xludf.DUMMYFUNCTION("IFERROR(GOOGLEFINANCE(A667,""TRADETIME""),)"),"")</f>
        <v/>
      </c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9" t="s">
        <v>714</v>
      </c>
      <c r="B668" s="60" t="str">
        <f>IFERROR(__xludf.DUMMYFUNCTION("IFERROR(GOOGLEFINANCE(A668,""NAME""),)"),"")</f>
        <v/>
      </c>
      <c r="C668" s="60" t="str">
        <f>IFERROR(__xludf.DUMMYFUNCTION("IFERROR(GOOGLEFINANCE(A668,""CHANGE""),)"),"")</f>
        <v/>
      </c>
      <c r="D668" s="60" t="str">
        <f>IFERROR(__xludf.DUMMYFUNCTION("IFERROR(GOOGLEFINANCE(A668,""CHANGEPCT""),)"),"")</f>
        <v/>
      </c>
      <c r="E668" s="60" t="str">
        <f t="shared" si="1"/>
        <v>%</v>
      </c>
      <c r="F668" s="60" t="str">
        <f t="shared" si="2"/>
        <v/>
      </c>
      <c r="G668" s="60" t="str">
        <f t="shared" si="3"/>
        <v/>
      </c>
      <c r="H668" s="60" t="str">
        <f>IFERROR(__xludf.DUMMYFUNCTION("IFERROR(GOOGLEFINANCE(A668,""PRICE""),)"),"")</f>
        <v/>
      </c>
      <c r="I668" s="61" t="str">
        <f>IFERROR(__xludf.DUMMYFUNCTION("IFERROR(GOOGLEFINANCE(A668,""VOLUME""),)"),"")</f>
        <v/>
      </c>
      <c r="J668" s="60">
        <f>IFERROR(__xludf.DUMMYFUNCTION("IFERROR(INDEX(SPLIT(A668,"":""),1,2),)"),532706.0)</f>
        <v>532706</v>
      </c>
      <c r="K668" s="60" t="str">
        <f t="shared" si="4"/>
        <v/>
      </c>
      <c r="L668" s="60" t="str">
        <f t="shared" si="5"/>
        <v/>
      </c>
      <c r="M668" s="60" t="str">
        <f t="shared" si="6"/>
        <v/>
      </c>
      <c r="N668" s="62" t="str">
        <f>IFERROR(__xludf.DUMMYFUNCTION("IFERROR(GOOGLEFINANCE(A668,""TRADETIME""),)"),"")</f>
        <v/>
      </c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68" t="s">
        <v>715</v>
      </c>
      <c r="B669" s="64" t="str">
        <f>IFERROR(__xludf.DUMMYFUNCTION("IFERROR(GOOGLEFINANCE(A669,""NAME""),)"),"Inox Wind Ltd")</f>
        <v>Inox Wind Ltd</v>
      </c>
      <c r="C669" s="64">
        <f>IFERROR(__xludf.DUMMYFUNCTION("IFERROR(GOOGLEFINANCE(A669,""CHANGE""),)"),0.87)</f>
        <v>0.87</v>
      </c>
      <c r="D669" s="64">
        <f>IFERROR(__xludf.DUMMYFUNCTION("IFERROR(GOOGLEFINANCE(A669,""CHANGEPCT""),)"),1.01)</f>
        <v>1.01</v>
      </c>
      <c r="E669" s="64" t="str">
        <f t="shared" si="1"/>
        <v>1.01%</v>
      </c>
      <c r="F669" s="64">
        <f t="shared" si="2"/>
        <v>1.01</v>
      </c>
      <c r="G669" s="64" t="str">
        <f t="shared" si="3"/>
        <v/>
      </c>
      <c r="H669" s="64">
        <f>IFERROR(__xludf.DUMMYFUNCTION("IFERROR(GOOGLEFINANCE(A669,""PRICE""),)"),86.72)</f>
        <v>86.72</v>
      </c>
      <c r="I669" s="65">
        <f>IFERROR(__xludf.DUMMYFUNCTION("IFERROR(GOOGLEFINANCE(A669,""VOLUME""),)"),9876380.0)</f>
        <v>9876380</v>
      </c>
      <c r="J669" s="64" t="str">
        <f>IFERROR(__xludf.DUMMYFUNCTION("IFERROR(INDEX(SPLIT(A669,"":""),1,2),)"),"INOXWIND")</f>
        <v>INOXWIND</v>
      </c>
      <c r="K669" s="64">
        <f t="shared" si="4"/>
        <v>719</v>
      </c>
      <c r="L669" s="64" t="str">
        <f t="shared" si="5"/>
        <v/>
      </c>
      <c r="M669" s="64">
        <f t="shared" si="6"/>
        <v>65</v>
      </c>
      <c r="N669" s="66">
        <f>IFERROR(__xludf.DUMMYFUNCTION("IFERROR(GOOGLEFINANCE(A669,""TRADETIME""),)"),46086.64584490741)</f>
        <v>46086.64584</v>
      </c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9" t="s">
        <v>716</v>
      </c>
      <c r="B670" s="60" t="str">
        <f>IFERROR(__xludf.DUMMYFUNCTION("IFERROR(GOOGLEFINANCE(A670,""NAME""),)"),"")</f>
        <v/>
      </c>
      <c r="C670" s="60" t="str">
        <f>IFERROR(__xludf.DUMMYFUNCTION("IFERROR(GOOGLEFINANCE(A670,""CHANGE""),)"),"")</f>
        <v/>
      </c>
      <c r="D670" s="60" t="str">
        <f>IFERROR(__xludf.DUMMYFUNCTION("IFERROR(GOOGLEFINANCE(A670,""CHANGEPCT""),)"),"")</f>
        <v/>
      </c>
      <c r="E670" s="60" t="str">
        <f t="shared" si="1"/>
        <v>%</v>
      </c>
      <c r="F670" s="60" t="str">
        <f t="shared" si="2"/>
        <v/>
      </c>
      <c r="G670" s="60" t="str">
        <f t="shared" si="3"/>
        <v/>
      </c>
      <c r="H670" s="60" t="str">
        <f>IFERROR(__xludf.DUMMYFUNCTION("IFERROR(GOOGLEFINANCE(A670,""PRICE""),)"),"")</f>
        <v/>
      </c>
      <c r="I670" s="61" t="str">
        <f>IFERROR(__xludf.DUMMYFUNCTION("IFERROR(GOOGLEFINANCE(A670,""VOLUME""),)"),"")</f>
        <v/>
      </c>
      <c r="J670" s="60">
        <f>IFERROR(__xludf.DUMMYFUNCTION("IFERROR(INDEX(SPLIT(A670,"":""),1,2),)"),522263.0)</f>
        <v>522263</v>
      </c>
      <c r="K670" s="60" t="str">
        <f t="shared" si="4"/>
        <v/>
      </c>
      <c r="L670" s="60" t="str">
        <f t="shared" si="5"/>
        <v/>
      </c>
      <c r="M670" s="60" t="str">
        <f t="shared" si="6"/>
        <v/>
      </c>
      <c r="N670" s="62" t="str">
        <f>IFERROR(__xludf.DUMMYFUNCTION("IFERROR(GOOGLEFINANCE(A670,""TRADETIME""),)"),"")</f>
        <v/>
      </c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68" t="s">
        <v>717</v>
      </c>
      <c r="B671" s="64" t="str">
        <f>IFERROR(__xludf.DUMMYFUNCTION("IFERROR(GOOGLEFINANCE(A671,""NAME""),)"),"Inspirisys Solutions Ltd")</f>
        <v>Inspirisys Solutions Ltd</v>
      </c>
      <c r="C671" s="64">
        <f>IFERROR(__xludf.DUMMYFUNCTION("IFERROR(GOOGLEFINANCE(A671,""CHANGE""),)"),2.95)</f>
        <v>2.95</v>
      </c>
      <c r="D671" s="64">
        <f>IFERROR(__xludf.DUMMYFUNCTION("IFERROR(GOOGLEFINANCE(A671,""CHANGEPCT""),)"),3.63)</f>
        <v>3.63</v>
      </c>
      <c r="E671" s="64" t="str">
        <f t="shared" si="1"/>
        <v>3.63%</v>
      </c>
      <c r="F671" s="64">
        <f t="shared" si="2"/>
        <v>3.63</v>
      </c>
      <c r="G671" s="64" t="str">
        <f t="shared" si="3"/>
        <v/>
      </c>
      <c r="H671" s="64">
        <f>IFERROR(__xludf.DUMMYFUNCTION("IFERROR(GOOGLEFINANCE(A671,""PRICE""),)"),84.18)</f>
        <v>84.18</v>
      </c>
      <c r="I671" s="65">
        <f>IFERROR(__xludf.DUMMYFUNCTION("IFERROR(GOOGLEFINANCE(A671,""VOLUME""),)"),3940.0)</f>
        <v>3940</v>
      </c>
      <c r="J671" s="64" t="str">
        <f>IFERROR(__xludf.DUMMYFUNCTION("IFERROR(INDEX(SPLIT(A671,"":""),1,2),)"),"INSPIRISYS")</f>
        <v>INSPIRISYS</v>
      </c>
      <c r="K671" s="64">
        <f t="shared" si="4"/>
        <v>181</v>
      </c>
      <c r="L671" s="64" t="str">
        <f t="shared" si="5"/>
        <v/>
      </c>
      <c r="M671" s="64">
        <f t="shared" si="6"/>
        <v>1369</v>
      </c>
      <c r="N671" s="66">
        <f>IFERROR(__xludf.DUMMYFUNCTION("IFERROR(GOOGLEFINANCE(A671,""TRADETIME""),)"),46086.64583333333)</f>
        <v>46086.64583</v>
      </c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67" t="s">
        <v>718</v>
      </c>
      <c r="B672" s="60" t="str">
        <f>IFERROR(__xludf.DUMMYFUNCTION("IFERROR(GOOGLEFINANCE(A672,""NAME""),)"),"Integra Essentia Ltd")</f>
        <v>Integra Essentia Ltd</v>
      </c>
      <c r="C672" s="60">
        <f>IFERROR(__xludf.DUMMYFUNCTION("IFERROR(GOOGLEFINANCE(A672,""CHANGE""),)"),0.24)</f>
        <v>0.24</v>
      </c>
      <c r="D672" s="60">
        <f>IFERROR(__xludf.DUMMYFUNCTION("IFERROR(GOOGLEFINANCE(A672,""CHANGEPCT""),)"),19.67)</f>
        <v>19.67</v>
      </c>
      <c r="E672" s="60" t="str">
        <f t="shared" si="1"/>
        <v>19.67%</v>
      </c>
      <c r="F672" s="60">
        <f t="shared" si="2"/>
        <v>19.67</v>
      </c>
      <c r="G672" s="60" t="str">
        <f t="shared" si="3"/>
        <v/>
      </c>
      <c r="H672" s="60">
        <f>IFERROR(__xludf.DUMMYFUNCTION("IFERROR(GOOGLEFINANCE(A672,""PRICE""),)"),1.46)</f>
        <v>1.46</v>
      </c>
      <c r="I672" s="61">
        <f>IFERROR(__xludf.DUMMYFUNCTION("IFERROR(GOOGLEFINANCE(A672,""VOLUME""),)"),7352392.0)</f>
        <v>7352392</v>
      </c>
      <c r="J672" s="60" t="str">
        <f>IFERROR(__xludf.DUMMYFUNCTION("IFERROR(INDEX(SPLIT(A672,"":""),1,2),)"),"ESSENTIA")</f>
        <v>ESSENTIA</v>
      </c>
      <c r="K672" s="60">
        <f t="shared" si="4"/>
        <v>5</v>
      </c>
      <c r="L672" s="60" t="str">
        <f t="shared" si="5"/>
        <v/>
      </c>
      <c r="M672" s="60">
        <f t="shared" si="6"/>
        <v>82</v>
      </c>
      <c r="N672" s="62">
        <f>IFERROR(__xludf.DUMMYFUNCTION("IFERROR(GOOGLEFINANCE(A672,""TRADETIME""),)"),46086.64583333333)</f>
        <v>46086.64583</v>
      </c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68" t="s">
        <v>719</v>
      </c>
      <c r="B673" s="64" t="str">
        <f>IFERROR(__xludf.DUMMYFUNCTION("IFERROR(GOOGLEFINANCE(A673,""NAME""),)"),"Intellect Design Arena Ltd")</f>
        <v>Intellect Design Arena Ltd</v>
      </c>
      <c r="C673" s="64">
        <f>IFERROR(__xludf.DUMMYFUNCTION("IFERROR(GOOGLEFINANCE(A673,""CHANGE""),)"),-13.15)</f>
        <v>-13.15</v>
      </c>
      <c r="D673" s="64">
        <f>IFERROR(__xludf.DUMMYFUNCTION("IFERROR(GOOGLEFINANCE(A673,""CHANGEPCT""),)"),-1.96)</f>
        <v>-1.96</v>
      </c>
      <c r="E673" s="64" t="str">
        <f t="shared" si="1"/>
        <v>-1.96%</v>
      </c>
      <c r="F673" s="64" t="str">
        <f t="shared" si="2"/>
        <v/>
      </c>
      <c r="G673" s="64">
        <f t="shared" si="3"/>
        <v>-1.96</v>
      </c>
      <c r="H673" s="64">
        <f>IFERROR(__xludf.DUMMYFUNCTION("IFERROR(GOOGLEFINANCE(A673,""PRICE""),)"),656.8)</f>
        <v>656.8</v>
      </c>
      <c r="I673" s="65">
        <f>IFERROR(__xludf.DUMMYFUNCTION("IFERROR(GOOGLEFINANCE(A673,""VOLUME""),)"),448274.0)</f>
        <v>448274</v>
      </c>
      <c r="J673" s="64" t="str">
        <f>IFERROR(__xludf.DUMMYFUNCTION("IFERROR(INDEX(SPLIT(A673,"":""),1,2),)"),"INTELLECT")</f>
        <v>INTELLECT</v>
      </c>
      <c r="K673" s="64" t="str">
        <f t="shared" si="4"/>
        <v/>
      </c>
      <c r="L673" s="64">
        <f t="shared" si="5"/>
        <v>346</v>
      </c>
      <c r="M673" s="64">
        <f t="shared" si="6"/>
        <v>417</v>
      </c>
      <c r="N673" s="66">
        <f>IFERROR(__xludf.DUMMYFUNCTION("IFERROR(GOOGLEFINANCE(A673,""TRADETIME""),)"),46086.64111111111)</f>
        <v>46086.64111</v>
      </c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67" t="s">
        <v>720</v>
      </c>
      <c r="B674" s="60" t="str">
        <f>IFERROR(__xludf.DUMMYFUNCTION("IFERROR(GOOGLEFINANCE(A674,""NAME""),)"),"Intense Technologies Ltd")</f>
        <v>Intense Technologies Ltd</v>
      </c>
      <c r="C674" s="60">
        <f>IFERROR(__xludf.DUMMYFUNCTION("IFERROR(GOOGLEFINANCE(A674,""CHANGE""),)"),-0.25)</f>
        <v>-0.25</v>
      </c>
      <c r="D674" s="60">
        <f>IFERROR(__xludf.DUMMYFUNCTION("IFERROR(GOOGLEFINANCE(A674,""CHANGEPCT""),)"),-0.26)</f>
        <v>-0.26</v>
      </c>
      <c r="E674" s="60" t="str">
        <f t="shared" si="1"/>
        <v>-0.26%</v>
      </c>
      <c r="F674" s="60" t="str">
        <f t="shared" si="2"/>
        <v/>
      </c>
      <c r="G674" s="60">
        <f t="shared" si="3"/>
        <v>-0.26</v>
      </c>
      <c r="H674" s="60">
        <f>IFERROR(__xludf.DUMMYFUNCTION("IFERROR(GOOGLEFINANCE(A674,""PRICE""),)"),96.25)</f>
        <v>96.25</v>
      </c>
      <c r="I674" s="61">
        <f>IFERROR(__xludf.DUMMYFUNCTION("IFERROR(GOOGLEFINANCE(A674,""VOLUME""),)"),22900.0)</f>
        <v>22900</v>
      </c>
      <c r="J674" s="60" t="str">
        <f>IFERROR(__xludf.DUMMYFUNCTION("IFERROR(INDEX(SPLIT(A674,"":""),1,2),)"),"INTENTECH")</f>
        <v>INTENTECH</v>
      </c>
      <c r="K674" s="60" t="str">
        <f t="shared" si="4"/>
        <v/>
      </c>
      <c r="L674" s="60">
        <f t="shared" si="5"/>
        <v>67</v>
      </c>
      <c r="M674" s="60">
        <f t="shared" si="6"/>
        <v>1117</v>
      </c>
      <c r="N674" s="62">
        <f>IFERROR(__xludf.DUMMYFUNCTION("IFERROR(GOOGLEFINANCE(A674,""TRADETIME""),)"),46086.64583333333)</f>
        <v>46086.64583</v>
      </c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68" t="s">
        <v>721</v>
      </c>
      <c r="B675" s="64" t="str">
        <f>IFERROR(__xludf.DUMMYFUNCTION("IFERROR(GOOGLEFINANCE(A675,""NAME""),)"),"Inventure Growth &amp; Securities Ltd")</f>
        <v>Inventure Growth &amp; Securities Ltd</v>
      </c>
      <c r="C675" s="64">
        <f>IFERROR(__xludf.DUMMYFUNCTION("IFERROR(GOOGLEFINANCE(A675,""CHANGE""),)"),0.03)</f>
        <v>0.03</v>
      </c>
      <c r="D675" s="64">
        <f>IFERROR(__xludf.DUMMYFUNCTION("IFERROR(GOOGLEFINANCE(A675,""CHANGEPCT""),)"),2.91)</f>
        <v>2.91</v>
      </c>
      <c r="E675" s="64" t="str">
        <f t="shared" si="1"/>
        <v>2.91%</v>
      </c>
      <c r="F675" s="64">
        <f t="shared" si="2"/>
        <v>2.91</v>
      </c>
      <c r="G675" s="64" t="str">
        <f t="shared" si="3"/>
        <v/>
      </c>
      <c r="H675" s="64">
        <f>IFERROR(__xludf.DUMMYFUNCTION("IFERROR(GOOGLEFINANCE(A675,""PRICE""),)"),1.06)</f>
        <v>1.06</v>
      </c>
      <c r="I675" s="65">
        <f>IFERROR(__xludf.DUMMYFUNCTION("IFERROR(GOOGLEFINANCE(A675,""VOLUME""),)"),678030.0)</f>
        <v>678030</v>
      </c>
      <c r="J675" s="64" t="str">
        <f>IFERROR(__xludf.DUMMYFUNCTION("IFERROR(INDEX(SPLIT(A675,"":""),1,2),)"),"INVENTURE")</f>
        <v>INVENTURE</v>
      </c>
      <c r="K675" s="64">
        <f t="shared" si="4"/>
        <v>274</v>
      </c>
      <c r="L675" s="64" t="str">
        <f t="shared" si="5"/>
        <v/>
      </c>
      <c r="M675" s="64">
        <f t="shared" si="6"/>
        <v>343</v>
      </c>
      <c r="N675" s="66">
        <f>IFERROR(__xludf.DUMMYFUNCTION("IFERROR(GOOGLEFINANCE(A675,""TRADETIME""),)"),46086.64119212963)</f>
        <v>46086.64119</v>
      </c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67" t="s">
        <v>722</v>
      </c>
      <c r="B676" s="60" t="str">
        <f>IFERROR(__xludf.DUMMYFUNCTION("IFERROR(GOOGLEFINANCE(A676,""NAME""),)"),"Indian Overseas Bank")</f>
        <v>Indian Overseas Bank</v>
      </c>
      <c r="C676" s="60">
        <f>IFERROR(__xludf.DUMMYFUNCTION("IFERROR(GOOGLEFINANCE(A676,""CHANGE""),)"),0.42)</f>
        <v>0.42</v>
      </c>
      <c r="D676" s="60">
        <f>IFERROR(__xludf.DUMMYFUNCTION("IFERROR(GOOGLEFINANCE(A676,""CHANGEPCT""),)"),1.23)</f>
        <v>1.23</v>
      </c>
      <c r="E676" s="60" t="str">
        <f t="shared" si="1"/>
        <v>1.23%</v>
      </c>
      <c r="F676" s="60">
        <f t="shared" si="2"/>
        <v>1.23</v>
      </c>
      <c r="G676" s="60" t="str">
        <f t="shared" si="3"/>
        <v/>
      </c>
      <c r="H676" s="60">
        <f>IFERROR(__xludf.DUMMYFUNCTION("IFERROR(GOOGLEFINANCE(A676,""PRICE""),)"),34.6)</f>
        <v>34.6</v>
      </c>
      <c r="I676" s="61">
        <f>IFERROR(__xludf.DUMMYFUNCTION("IFERROR(GOOGLEFINANCE(A676,""VOLUME""),)"),5465031.0)</f>
        <v>5465031</v>
      </c>
      <c r="J676" s="60" t="str">
        <f>IFERROR(__xludf.DUMMYFUNCTION("IFERROR(INDEX(SPLIT(A676,"":""),1,2),)"),"IOB")</f>
        <v>IOB</v>
      </c>
      <c r="K676" s="60">
        <f t="shared" si="4"/>
        <v>660</v>
      </c>
      <c r="L676" s="60" t="str">
        <f t="shared" si="5"/>
        <v/>
      </c>
      <c r="M676" s="60">
        <f t="shared" si="6"/>
        <v>100</v>
      </c>
      <c r="N676" s="62">
        <f>IFERROR(__xludf.DUMMYFUNCTION("IFERROR(GOOGLEFINANCE(A676,""TRADETIME""),)"),46086.64584490741)</f>
        <v>46086.64584</v>
      </c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68" t="s">
        <v>723</v>
      </c>
      <c r="B677" s="64" t="str">
        <f>IFERROR(__xludf.DUMMYFUNCTION("IFERROR(GOOGLEFINANCE(A677,""NAME""),)"),"Indian Oil Corporation Ltd")</f>
        <v>Indian Oil Corporation Ltd</v>
      </c>
      <c r="C677" s="64">
        <f>IFERROR(__xludf.DUMMYFUNCTION("IFERROR(GOOGLEFINANCE(A677,""CHANGE""),)"),1.49)</f>
        <v>1.49</v>
      </c>
      <c r="D677" s="64">
        <f>IFERROR(__xludf.DUMMYFUNCTION("IFERROR(GOOGLEFINANCE(A677,""CHANGEPCT""),)"),0.87)</f>
        <v>0.87</v>
      </c>
      <c r="E677" s="64" t="str">
        <f t="shared" si="1"/>
        <v>0.87%</v>
      </c>
      <c r="F677" s="64">
        <f t="shared" si="2"/>
        <v>0.87</v>
      </c>
      <c r="G677" s="64" t="str">
        <f t="shared" si="3"/>
        <v/>
      </c>
      <c r="H677" s="64">
        <f>IFERROR(__xludf.DUMMYFUNCTION("IFERROR(GOOGLEFINANCE(A677,""PRICE""),)"),171.93)</f>
        <v>171.93</v>
      </c>
      <c r="I677" s="65">
        <f>IFERROR(__xludf.DUMMYFUNCTION("IFERROR(GOOGLEFINANCE(A677,""VOLUME""),)"),3.235365E7)</f>
        <v>32353650</v>
      </c>
      <c r="J677" s="64" t="str">
        <f>IFERROR(__xludf.DUMMYFUNCTION("IFERROR(INDEX(SPLIT(A677,"":""),1,2),)"),"IOC")</f>
        <v>IOC</v>
      </c>
      <c r="K677" s="64">
        <f t="shared" si="4"/>
        <v>763</v>
      </c>
      <c r="L677" s="64" t="str">
        <f t="shared" si="5"/>
        <v/>
      </c>
      <c r="M677" s="64">
        <f t="shared" si="6"/>
        <v>12</v>
      </c>
      <c r="N677" s="66">
        <f>IFERROR(__xludf.DUMMYFUNCTION("IFERROR(GOOGLEFINANCE(A677,""TRADETIME""),)"),46086.64010416667)</f>
        <v>46086.6401</v>
      </c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67" t="s">
        <v>724</v>
      </c>
      <c r="B678" s="60" t="str">
        <f>IFERROR(__xludf.DUMMYFUNCTION("IFERROR(GOOGLEFINANCE(A678,""NAME""),)"),"IOL Chemicals and Pharmaceuticals Ltd")</f>
        <v>IOL Chemicals and Pharmaceuticals Ltd</v>
      </c>
      <c r="C678" s="60">
        <f>IFERROR(__xludf.DUMMYFUNCTION("IFERROR(GOOGLEFINANCE(A678,""CHANGE""),)"),0.57)</f>
        <v>0.57</v>
      </c>
      <c r="D678" s="60">
        <f>IFERROR(__xludf.DUMMYFUNCTION("IFERROR(GOOGLEFINANCE(A678,""CHANGEPCT""),)"),1.62)</f>
        <v>1.62</v>
      </c>
      <c r="E678" s="60" t="str">
        <f t="shared" si="1"/>
        <v>1.62%</v>
      </c>
      <c r="F678" s="60">
        <f t="shared" si="2"/>
        <v>1.62</v>
      </c>
      <c r="G678" s="60" t="str">
        <f t="shared" si="3"/>
        <v/>
      </c>
      <c r="H678" s="60">
        <f>IFERROR(__xludf.DUMMYFUNCTION("IFERROR(GOOGLEFINANCE(A678,""PRICE""),)"),71.3)</f>
        <v>71.3</v>
      </c>
      <c r="I678" s="61">
        <f>IFERROR(__xludf.DUMMYFUNCTION("IFERROR(GOOGLEFINANCE(A678,""VOLUME""),)"),895954.0)</f>
        <v>895954</v>
      </c>
      <c r="J678" s="60" t="str">
        <f>IFERROR(__xludf.DUMMYFUNCTION("IFERROR(INDEX(SPLIT(A678,"":""),1,2),)"),"IOLCP")</f>
        <v>IOLCP</v>
      </c>
      <c r="K678" s="60">
        <f t="shared" si="4"/>
        <v>536</v>
      </c>
      <c r="L678" s="60" t="str">
        <f t="shared" si="5"/>
        <v/>
      </c>
      <c r="M678" s="60">
        <f t="shared" si="6"/>
        <v>302</v>
      </c>
      <c r="N678" s="62">
        <f>IFERROR(__xludf.DUMMYFUNCTION("IFERROR(GOOGLEFINANCE(A678,""TRADETIME""),)"),46086.64583333333)</f>
        <v>46086.64583</v>
      </c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68" t="s">
        <v>725</v>
      </c>
      <c r="B679" s="64" t="str">
        <f>IFERROR(__xludf.DUMMYFUNCTION("IFERROR(GOOGLEFINANCE(A679,""NAME""),)"),"IPCA Laboratories Ltd")</f>
        <v>IPCA Laboratories Ltd</v>
      </c>
      <c r="C679" s="64">
        <f>IFERROR(__xludf.DUMMYFUNCTION("IFERROR(GOOGLEFINANCE(A679,""CHANGE""),)"),21.6)</f>
        <v>21.6</v>
      </c>
      <c r="D679" s="64">
        <f>IFERROR(__xludf.DUMMYFUNCTION("IFERROR(GOOGLEFINANCE(A679,""CHANGEPCT""),)"),1.46)</f>
        <v>1.46</v>
      </c>
      <c r="E679" s="64" t="str">
        <f t="shared" si="1"/>
        <v>1.46%</v>
      </c>
      <c r="F679" s="64">
        <f t="shared" si="2"/>
        <v>1.46</v>
      </c>
      <c r="G679" s="64" t="str">
        <f t="shared" si="3"/>
        <v/>
      </c>
      <c r="H679" s="64">
        <f>IFERROR(__xludf.DUMMYFUNCTION("IFERROR(GOOGLEFINANCE(A679,""PRICE""),)"),1497.0)</f>
        <v>1497</v>
      </c>
      <c r="I679" s="65">
        <f>IFERROR(__xludf.DUMMYFUNCTION("IFERROR(GOOGLEFINANCE(A679,""VOLUME""),)"),61764.0)</f>
        <v>61764</v>
      </c>
      <c r="J679" s="64" t="str">
        <f>IFERROR(__xludf.DUMMYFUNCTION("IFERROR(INDEX(SPLIT(A679,"":""),1,2),)"),"IPCALAB")</f>
        <v>IPCALAB</v>
      </c>
      <c r="K679" s="64">
        <f t="shared" si="4"/>
        <v>584</v>
      </c>
      <c r="L679" s="64" t="str">
        <f t="shared" si="5"/>
        <v/>
      </c>
      <c r="M679" s="64">
        <f t="shared" si="6"/>
        <v>872</v>
      </c>
      <c r="N679" s="66">
        <f>IFERROR(__xludf.DUMMYFUNCTION("IFERROR(GOOGLEFINANCE(A679,""TRADETIME""),)"),46086.64583333333)</f>
        <v>46086.64583</v>
      </c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67" t="s">
        <v>726</v>
      </c>
      <c r="B680" s="60" t="str">
        <f>IFERROR(__xludf.DUMMYFUNCTION("IFERROR(GOOGLEFINANCE(A680,""NAME""),)"),"Irb Infrastructure Developers Ltd")</f>
        <v>Irb Infrastructure Developers Ltd</v>
      </c>
      <c r="C680" s="60">
        <f>IFERROR(__xludf.DUMMYFUNCTION("IFERROR(GOOGLEFINANCE(A680,""CHANGE""),)"),0.65)</f>
        <v>0.65</v>
      </c>
      <c r="D680" s="60">
        <f>IFERROR(__xludf.DUMMYFUNCTION("IFERROR(GOOGLEFINANCE(A680,""CHANGEPCT""),)"),1.63)</f>
        <v>1.63</v>
      </c>
      <c r="E680" s="60" t="str">
        <f t="shared" si="1"/>
        <v>1.63%</v>
      </c>
      <c r="F680" s="60">
        <f t="shared" si="2"/>
        <v>1.63</v>
      </c>
      <c r="G680" s="60" t="str">
        <f t="shared" si="3"/>
        <v/>
      </c>
      <c r="H680" s="60">
        <f>IFERROR(__xludf.DUMMYFUNCTION("IFERROR(GOOGLEFINANCE(A680,""PRICE""),)"),40.47)</f>
        <v>40.47</v>
      </c>
      <c r="I680" s="61">
        <f>IFERROR(__xludf.DUMMYFUNCTION("IFERROR(GOOGLEFINANCE(A680,""VOLUME""),)"),5390280.0)</f>
        <v>5390280</v>
      </c>
      <c r="J680" s="60" t="str">
        <f>IFERROR(__xludf.DUMMYFUNCTION("IFERROR(INDEX(SPLIT(A680,"":""),1,2),)"),"IRB")</f>
        <v>IRB</v>
      </c>
      <c r="K680" s="60">
        <f t="shared" si="4"/>
        <v>534</v>
      </c>
      <c r="L680" s="60" t="str">
        <f t="shared" si="5"/>
        <v/>
      </c>
      <c r="M680" s="60">
        <f t="shared" si="6"/>
        <v>103</v>
      </c>
      <c r="N680" s="62">
        <f>IFERROR(__xludf.DUMMYFUNCTION("IFERROR(GOOGLEFINANCE(A680,""TRADETIME""),)"),46086.64584490741)</f>
        <v>46086.64584</v>
      </c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68" t="s">
        <v>727</v>
      </c>
      <c r="B681" s="64" t="str">
        <f>IFERROR(__xludf.DUMMYFUNCTION("IFERROR(GOOGLEFINANCE(A681,""NAME""),)"),"Ircon International Ltd")</f>
        <v>Ircon International Ltd</v>
      </c>
      <c r="C681" s="64">
        <f>IFERROR(__xludf.DUMMYFUNCTION("IFERROR(GOOGLEFINANCE(A681,""CHANGE""),)"),3.8)</f>
        <v>3.8</v>
      </c>
      <c r="D681" s="64">
        <f>IFERROR(__xludf.DUMMYFUNCTION("IFERROR(GOOGLEFINANCE(A681,""CHANGEPCT""),)"),2.91)</f>
        <v>2.91</v>
      </c>
      <c r="E681" s="64" t="str">
        <f t="shared" si="1"/>
        <v>2.91%</v>
      </c>
      <c r="F681" s="64">
        <f t="shared" si="2"/>
        <v>2.91</v>
      </c>
      <c r="G681" s="64" t="str">
        <f t="shared" si="3"/>
        <v/>
      </c>
      <c r="H681" s="64">
        <f>IFERROR(__xludf.DUMMYFUNCTION("IFERROR(GOOGLEFINANCE(A681,""PRICE""),)"),133.99)</f>
        <v>133.99</v>
      </c>
      <c r="I681" s="65">
        <f>IFERROR(__xludf.DUMMYFUNCTION("IFERROR(GOOGLEFINANCE(A681,""VOLUME""),)"),2403819.0)</f>
        <v>2403819</v>
      </c>
      <c r="J681" s="64" t="str">
        <f>IFERROR(__xludf.DUMMYFUNCTION("IFERROR(INDEX(SPLIT(A681,"":""),1,2),)"),"IRCON")</f>
        <v>IRCON</v>
      </c>
      <c r="K681" s="64">
        <f t="shared" si="4"/>
        <v>275</v>
      </c>
      <c r="L681" s="64" t="str">
        <f t="shared" si="5"/>
        <v/>
      </c>
      <c r="M681" s="64">
        <f t="shared" si="6"/>
        <v>177</v>
      </c>
      <c r="N681" s="66">
        <f>IFERROR(__xludf.DUMMYFUNCTION("IFERROR(GOOGLEFINANCE(A681,""TRADETIME""),)"),46086.64584490741)</f>
        <v>46086.64584</v>
      </c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67" t="s">
        <v>728</v>
      </c>
      <c r="B682" s="60" t="str">
        <f>IFERROR(__xludf.DUMMYFUNCTION("IFERROR(GOOGLEFINANCE(A682,""NAME""),)"),"Indian Railway Ctrng nd Trsm Corp Ltd")</f>
        <v>Indian Railway Ctrng nd Trsm Corp Ltd</v>
      </c>
      <c r="C682" s="60">
        <f>IFERROR(__xludf.DUMMYFUNCTION("IFERROR(GOOGLEFINANCE(A682,""CHANGE""),)"),7.65)</f>
        <v>7.65</v>
      </c>
      <c r="D682" s="60">
        <f>IFERROR(__xludf.DUMMYFUNCTION("IFERROR(GOOGLEFINANCE(A682,""CHANGEPCT""),)"),1.38)</f>
        <v>1.38</v>
      </c>
      <c r="E682" s="60" t="str">
        <f t="shared" si="1"/>
        <v>1.38%</v>
      </c>
      <c r="F682" s="60">
        <f t="shared" si="2"/>
        <v>1.38</v>
      </c>
      <c r="G682" s="60" t="str">
        <f t="shared" si="3"/>
        <v/>
      </c>
      <c r="H682" s="60">
        <f>IFERROR(__xludf.DUMMYFUNCTION("IFERROR(GOOGLEFINANCE(A682,""PRICE""),)"),561.1)</f>
        <v>561.1</v>
      </c>
      <c r="I682" s="61">
        <f>IFERROR(__xludf.DUMMYFUNCTION("IFERROR(GOOGLEFINANCE(A682,""VOLUME""),)"),2344634.0)</f>
        <v>2344634</v>
      </c>
      <c r="J682" s="60" t="str">
        <f>IFERROR(__xludf.DUMMYFUNCTION("IFERROR(INDEX(SPLIT(A682,"":""),1,2),)"),"IRCTC")</f>
        <v>IRCTC</v>
      </c>
      <c r="K682" s="60">
        <f t="shared" si="4"/>
        <v>610</v>
      </c>
      <c r="L682" s="60" t="str">
        <f t="shared" si="5"/>
        <v/>
      </c>
      <c r="M682" s="60">
        <f t="shared" si="6"/>
        <v>179</v>
      </c>
      <c r="N682" s="62">
        <f>IFERROR(__xludf.DUMMYFUNCTION("IFERROR(GOOGLEFINANCE(A682,""TRADETIME""),)"),46086.64583333333)</f>
        <v>46086.64583</v>
      </c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68" t="s">
        <v>729</v>
      </c>
      <c r="B683" s="64" t="str">
        <f>IFERROR(__xludf.DUMMYFUNCTION("IFERROR(GOOGLEFINANCE(A683,""NAME""),)"),"Iris Clothings Ltd")</f>
        <v>Iris Clothings Ltd</v>
      </c>
      <c r="C683" s="64">
        <f>IFERROR(__xludf.DUMMYFUNCTION("IFERROR(GOOGLEFINANCE(A683,""CHANGE""),)"),0.69)</f>
        <v>0.69</v>
      </c>
      <c r="D683" s="64">
        <f>IFERROR(__xludf.DUMMYFUNCTION("IFERROR(GOOGLEFINANCE(A683,""CHANGEPCT""),)"),3.68)</f>
        <v>3.68</v>
      </c>
      <c r="E683" s="64" t="str">
        <f t="shared" si="1"/>
        <v>3.68%</v>
      </c>
      <c r="F683" s="64">
        <f t="shared" si="2"/>
        <v>3.68</v>
      </c>
      <c r="G683" s="64" t="str">
        <f t="shared" si="3"/>
        <v/>
      </c>
      <c r="H683" s="64">
        <f>IFERROR(__xludf.DUMMYFUNCTION("IFERROR(GOOGLEFINANCE(A683,""PRICE""),)"),32.7)</f>
        <v>32.7</v>
      </c>
      <c r="I683" s="65">
        <f>IFERROR(__xludf.DUMMYFUNCTION("IFERROR(GOOGLEFINANCE(A683,""VOLUME""),)"),437307.0)</f>
        <v>437307</v>
      </c>
      <c r="J683" s="64" t="str">
        <f>IFERROR(__xludf.DUMMYFUNCTION("IFERROR(INDEX(SPLIT(A683,"":""),1,2),)"),"IRISDOREME")</f>
        <v>IRISDOREME</v>
      </c>
      <c r="K683" s="64">
        <f t="shared" si="4"/>
        <v>174</v>
      </c>
      <c r="L683" s="64" t="str">
        <f t="shared" si="5"/>
        <v/>
      </c>
      <c r="M683" s="64">
        <f t="shared" si="6"/>
        <v>424</v>
      </c>
      <c r="N683" s="66">
        <f>IFERROR(__xludf.DUMMYFUNCTION("IFERROR(GOOGLEFINANCE(A683,""TRADETIME""),)"),46086.64583333333)</f>
        <v>46086.64583</v>
      </c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67" t="s">
        <v>730</v>
      </c>
      <c r="B684" s="60" t="str">
        <f>IFERROR(__xludf.DUMMYFUNCTION("IFERROR(GOOGLEFINANCE(A684,""NAME""),)"),"")</f>
        <v/>
      </c>
      <c r="C684" s="60" t="str">
        <f>IFERROR(__xludf.DUMMYFUNCTION("IFERROR(GOOGLEFINANCE(A684,""CHANGE""),)"),"")</f>
        <v/>
      </c>
      <c r="D684" s="60" t="str">
        <f>IFERROR(__xludf.DUMMYFUNCTION("IFERROR(GOOGLEFINANCE(A684,""CHANGEPCT""),)"),"")</f>
        <v/>
      </c>
      <c r="E684" s="60" t="str">
        <f t="shared" si="1"/>
        <v>%</v>
      </c>
      <c r="F684" s="60" t="str">
        <f t="shared" si="2"/>
        <v/>
      </c>
      <c r="G684" s="60" t="str">
        <f t="shared" si="3"/>
        <v/>
      </c>
      <c r="H684" s="60" t="str">
        <f>IFERROR(__xludf.DUMMYFUNCTION("IFERROR(GOOGLEFINANCE(A684,""PRICE""),)"),"")</f>
        <v/>
      </c>
      <c r="I684" s="61" t="str">
        <f>IFERROR(__xludf.DUMMYFUNCTION("IFERROR(GOOGLEFINANCE(A684,""VOLUME""),)"),"")</f>
        <v/>
      </c>
      <c r="J684" s="60" t="str">
        <f>IFERROR(__xludf.DUMMYFUNCTION("IFERROR(INDEX(SPLIT(A684,"":""),1,2),)"),"ISEC")</f>
        <v>ISEC</v>
      </c>
      <c r="K684" s="60" t="str">
        <f t="shared" si="4"/>
        <v/>
      </c>
      <c r="L684" s="60" t="str">
        <f t="shared" si="5"/>
        <v/>
      </c>
      <c r="M684" s="60" t="str">
        <f t="shared" si="6"/>
        <v/>
      </c>
      <c r="N684" s="62" t="str">
        <f>IFERROR(__xludf.DUMMYFUNCTION("IFERROR(GOOGLEFINANCE(A684,""TRADETIME""),)"),"")</f>
        <v/>
      </c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68" t="s">
        <v>731</v>
      </c>
      <c r="B685" s="64" t="str">
        <f>IFERROR(__xludf.DUMMYFUNCTION("IFERROR(GOOGLEFINANCE(A685,""NAME""),)"),"Intrasoft Technologies Ltd")</f>
        <v>Intrasoft Technologies Ltd</v>
      </c>
      <c r="C685" s="64">
        <f>IFERROR(__xludf.DUMMYFUNCTION("IFERROR(GOOGLEFINANCE(A685,""CHANGE""),)"),-0.17)</f>
        <v>-0.17</v>
      </c>
      <c r="D685" s="64">
        <f>IFERROR(__xludf.DUMMYFUNCTION("IFERROR(GOOGLEFINANCE(A685,""CHANGEPCT""),)"),-1.82)</f>
        <v>-1.82</v>
      </c>
      <c r="E685" s="64" t="str">
        <f t="shared" si="1"/>
        <v>-1.82%</v>
      </c>
      <c r="F685" s="64" t="str">
        <f t="shared" si="2"/>
        <v/>
      </c>
      <c r="G685" s="64">
        <f t="shared" si="3"/>
        <v>-1.82</v>
      </c>
      <c r="H685" s="64">
        <f>IFERROR(__xludf.DUMMYFUNCTION("IFERROR(GOOGLEFINANCE(A685,""PRICE""),)"),68.15)</f>
        <v>68.15</v>
      </c>
      <c r="I685" s="65">
        <f>IFERROR(__xludf.DUMMYFUNCTION("IFERROR(GOOGLEFINANCE(A685,""VOLUME""),)"),10913.0)</f>
        <v>10913</v>
      </c>
      <c r="J685" s="64" t="str">
        <f>IFERROR(__xludf.DUMMYFUNCTION("IFERROR(INDEX(SPLIT(A685,"":""),1,2),)"),"ISFT")</f>
        <v>ISFT</v>
      </c>
      <c r="K685" s="64" t="str">
        <f t="shared" si="4"/>
        <v/>
      </c>
      <c r="L685" s="64">
        <f t="shared" si="5"/>
        <v>327</v>
      </c>
      <c r="M685" s="64">
        <f t="shared" si="6"/>
        <v>1248</v>
      </c>
      <c r="N685" s="66">
        <f>IFERROR(__xludf.DUMMYFUNCTION("IFERROR(GOOGLEFINANCE(A685,""TRADETIME""),)"),46086.64583333333)</f>
        <v>46086.64583</v>
      </c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67" t="s">
        <v>732</v>
      </c>
      <c r="B686" s="60" t="str">
        <f>IFERROR(__xludf.DUMMYFUNCTION("IFERROR(GOOGLEFINANCE(A686,""NAME""),)"),"")</f>
        <v/>
      </c>
      <c r="C686" s="60" t="str">
        <f>IFERROR(__xludf.DUMMYFUNCTION("IFERROR(GOOGLEFINANCE(A686,""CHANGE""),)"),"")</f>
        <v/>
      </c>
      <c r="D686" s="60" t="str">
        <f>IFERROR(__xludf.DUMMYFUNCTION("IFERROR(GOOGLEFINANCE(A686,""CHANGEPCT""),)"),"")</f>
        <v/>
      </c>
      <c r="E686" s="60" t="str">
        <f t="shared" si="1"/>
        <v>%</v>
      </c>
      <c r="F686" s="60" t="str">
        <f t="shared" si="2"/>
        <v/>
      </c>
      <c r="G686" s="60" t="str">
        <f t="shared" si="3"/>
        <v/>
      </c>
      <c r="H686" s="60" t="str">
        <f>IFERROR(__xludf.DUMMYFUNCTION("IFERROR(GOOGLEFINANCE(A686,""PRICE""),)"),"")</f>
        <v/>
      </c>
      <c r="I686" s="61" t="str">
        <f>IFERROR(__xludf.DUMMYFUNCTION("IFERROR(GOOGLEFINANCE(A686,""VOLUME""),)"),"")</f>
        <v/>
      </c>
      <c r="J686" s="60" t="str">
        <f>IFERROR(__xludf.DUMMYFUNCTION("IFERROR(INDEX(SPLIT(A686,"":""),1,2),)"),"ISMTLTD")</f>
        <v>ISMTLTD</v>
      </c>
      <c r="K686" s="60" t="str">
        <f t="shared" si="4"/>
        <v/>
      </c>
      <c r="L686" s="60" t="str">
        <f t="shared" si="5"/>
        <v/>
      </c>
      <c r="M686" s="60" t="str">
        <f t="shared" si="6"/>
        <v/>
      </c>
      <c r="N686" s="62" t="str">
        <f>IFERROR(__xludf.DUMMYFUNCTION("IFERROR(GOOGLEFINANCE(A686,""TRADETIME""),)"),"")</f>
        <v/>
      </c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68" t="s">
        <v>733</v>
      </c>
      <c r="B687" s="64" t="str">
        <f>IFERROR(__xludf.DUMMYFUNCTION("IFERROR(GOOGLEFINANCE(A687,""NAME""),)"),"ITC Ltd")</f>
        <v>ITC Ltd</v>
      </c>
      <c r="C687" s="64">
        <f>IFERROR(__xludf.DUMMYFUNCTION("IFERROR(GOOGLEFINANCE(A687,""CHANGE""),)"),-0.3)</f>
        <v>-0.3</v>
      </c>
      <c r="D687" s="64">
        <f>IFERROR(__xludf.DUMMYFUNCTION("IFERROR(GOOGLEFINANCE(A687,""CHANGEPCT""),)"),-0.1)</f>
        <v>-0.1</v>
      </c>
      <c r="E687" s="64" t="str">
        <f t="shared" si="1"/>
        <v>-0.1%</v>
      </c>
      <c r="F687" s="64" t="str">
        <f t="shared" si="2"/>
        <v/>
      </c>
      <c r="G687" s="64">
        <f t="shared" si="3"/>
        <v>-0.1</v>
      </c>
      <c r="H687" s="64">
        <f>IFERROR(__xludf.DUMMYFUNCTION("IFERROR(GOOGLEFINANCE(A687,""PRICE""),)"),311.65)</f>
        <v>311.65</v>
      </c>
      <c r="I687" s="65">
        <f>IFERROR(__xludf.DUMMYFUNCTION("IFERROR(GOOGLEFINANCE(A687,""VOLUME""),)"),1.9936156E7)</f>
        <v>19936156</v>
      </c>
      <c r="J687" s="64" t="str">
        <f>IFERROR(__xludf.DUMMYFUNCTION("IFERROR(INDEX(SPLIT(A687,"":""),1,2),)"),"ITC")</f>
        <v>ITC</v>
      </c>
      <c r="K687" s="64" t="str">
        <f t="shared" si="4"/>
        <v/>
      </c>
      <c r="L687" s="64">
        <f t="shared" si="5"/>
        <v>27</v>
      </c>
      <c r="M687" s="64">
        <f t="shared" si="6"/>
        <v>29</v>
      </c>
      <c r="N687" s="66">
        <f>IFERROR(__xludf.DUMMYFUNCTION("IFERROR(GOOGLEFINANCE(A687,""TRADETIME""),)"),46086.64583333333)</f>
        <v>46086.64583</v>
      </c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67" t="s">
        <v>734</v>
      </c>
      <c r="B688" s="60" t="str">
        <f>IFERROR(__xludf.DUMMYFUNCTION("IFERROR(GOOGLEFINANCE(A688,""NAME""),)"),"India Tourism Development Corp Ltd")</f>
        <v>India Tourism Development Corp Ltd</v>
      </c>
      <c r="C688" s="60">
        <f>IFERROR(__xludf.DUMMYFUNCTION("IFERROR(GOOGLEFINANCE(A688,""CHANGE""),)"),13.4)</f>
        <v>13.4</v>
      </c>
      <c r="D688" s="60">
        <f>IFERROR(__xludf.DUMMYFUNCTION("IFERROR(GOOGLEFINANCE(A688,""CHANGEPCT""),)"),2.79)</f>
        <v>2.79</v>
      </c>
      <c r="E688" s="60" t="str">
        <f t="shared" si="1"/>
        <v>2.79%</v>
      </c>
      <c r="F688" s="60">
        <f t="shared" si="2"/>
        <v>2.79</v>
      </c>
      <c r="G688" s="60" t="str">
        <f t="shared" si="3"/>
        <v/>
      </c>
      <c r="H688" s="60">
        <f>IFERROR(__xludf.DUMMYFUNCTION("IFERROR(GOOGLEFINANCE(A688,""PRICE""),)"),493.0)</f>
        <v>493</v>
      </c>
      <c r="I688" s="61">
        <f>IFERROR(__xludf.DUMMYFUNCTION("IFERROR(GOOGLEFINANCE(A688,""VOLUME""),)"),29484.0)</f>
        <v>29484</v>
      </c>
      <c r="J688" s="60" t="str">
        <f>IFERROR(__xludf.DUMMYFUNCTION("IFERROR(INDEX(SPLIT(A688,"":""),1,2),)"),"ITDC")</f>
        <v>ITDC</v>
      </c>
      <c r="K688" s="60">
        <f t="shared" si="4"/>
        <v>289</v>
      </c>
      <c r="L688" s="60" t="str">
        <f t="shared" si="5"/>
        <v/>
      </c>
      <c r="M688" s="60">
        <f t="shared" si="6"/>
        <v>1061</v>
      </c>
      <c r="N688" s="62">
        <f>IFERROR(__xludf.DUMMYFUNCTION("IFERROR(GOOGLEFINANCE(A688,""TRADETIME""),)"),46086.64583333333)</f>
        <v>46086.64583</v>
      </c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68" t="s">
        <v>735</v>
      </c>
      <c r="B689" s="64" t="str">
        <f>IFERROR(__xludf.DUMMYFUNCTION("IFERROR(GOOGLEFINANCE(A689,""NAME""),)"),"")</f>
        <v/>
      </c>
      <c r="C689" s="64" t="str">
        <f>IFERROR(__xludf.DUMMYFUNCTION("IFERROR(GOOGLEFINANCE(A689,""CHANGE""),)"),"")</f>
        <v/>
      </c>
      <c r="D689" s="64" t="str">
        <f>IFERROR(__xludf.DUMMYFUNCTION("IFERROR(GOOGLEFINANCE(A689,""CHANGEPCT""),)"),"")</f>
        <v/>
      </c>
      <c r="E689" s="64" t="str">
        <f t="shared" si="1"/>
        <v>%</v>
      </c>
      <c r="F689" s="64" t="str">
        <f t="shared" si="2"/>
        <v/>
      </c>
      <c r="G689" s="64" t="str">
        <f t="shared" si="3"/>
        <v/>
      </c>
      <c r="H689" s="64" t="str">
        <f>IFERROR(__xludf.DUMMYFUNCTION("IFERROR(GOOGLEFINANCE(A689,""PRICE""),)"),"")</f>
        <v/>
      </c>
      <c r="I689" s="65" t="str">
        <f>IFERROR(__xludf.DUMMYFUNCTION("IFERROR(GOOGLEFINANCE(A689,""VOLUME""),)"),"")</f>
        <v/>
      </c>
      <c r="J689" s="64" t="str">
        <f>IFERROR(__xludf.DUMMYFUNCTION("IFERROR(INDEX(SPLIT(A689,"":""),1,2),)"),"ITDCEM")</f>
        <v>ITDCEM</v>
      </c>
      <c r="K689" s="64" t="str">
        <f t="shared" si="4"/>
        <v/>
      </c>
      <c r="L689" s="64" t="str">
        <f t="shared" si="5"/>
        <v/>
      </c>
      <c r="M689" s="64" t="str">
        <f t="shared" si="6"/>
        <v/>
      </c>
      <c r="N689" s="66" t="str">
        <f>IFERROR(__xludf.DUMMYFUNCTION("IFERROR(GOOGLEFINANCE(A689,""TRADETIME""),)"),"")</f>
        <v/>
      </c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67" t="s">
        <v>736</v>
      </c>
      <c r="B690" s="60" t="str">
        <f>IFERROR(__xludf.DUMMYFUNCTION("IFERROR(GOOGLEFINANCE(A690,""NAME""),)"),"ITI Ltd")</f>
        <v>ITI Ltd</v>
      </c>
      <c r="C690" s="60">
        <f>IFERROR(__xludf.DUMMYFUNCTION("IFERROR(GOOGLEFINANCE(A690,""CHANGE""),)"),4.1)</f>
        <v>4.1</v>
      </c>
      <c r="D690" s="60">
        <f>IFERROR(__xludf.DUMMYFUNCTION("IFERROR(GOOGLEFINANCE(A690,""CHANGEPCT""),)"),1.62)</f>
        <v>1.62</v>
      </c>
      <c r="E690" s="60" t="str">
        <f t="shared" si="1"/>
        <v>1.62%</v>
      </c>
      <c r="F690" s="60">
        <f t="shared" si="2"/>
        <v>1.62</v>
      </c>
      <c r="G690" s="60" t="str">
        <f t="shared" si="3"/>
        <v/>
      </c>
      <c r="H690" s="60">
        <f>IFERROR(__xludf.DUMMYFUNCTION("IFERROR(GOOGLEFINANCE(A690,""PRICE""),)"),257.4)</f>
        <v>257.4</v>
      </c>
      <c r="I690" s="61">
        <f>IFERROR(__xludf.DUMMYFUNCTION("IFERROR(GOOGLEFINANCE(A690,""VOLUME""),)"),377646.0)</f>
        <v>377646</v>
      </c>
      <c r="J690" s="60" t="str">
        <f>IFERROR(__xludf.DUMMYFUNCTION("IFERROR(INDEX(SPLIT(A690,"":""),1,2),)"),"ITI")</f>
        <v>ITI</v>
      </c>
      <c r="K690" s="60">
        <f t="shared" si="4"/>
        <v>537</v>
      </c>
      <c r="L690" s="60" t="str">
        <f t="shared" si="5"/>
        <v/>
      </c>
      <c r="M690" s="60">
        <f t="shared" si="6"/>
        <v>457</v>
      </c>
      <c r="N690" s="62">
        <f>IFERROR(__xludf.DUMMYFUNCTION("IFERROR(GOOGLEFINANCE(A690,""TRADETIME""),)"),46086.64584490741)</f>
        <v>46086.64584</v>
      </c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68" t="s">
        <v>737</v>
      </c>
      <c r="B691" s="64" t="str">
        <f>IFERROR(__xludf.DUMMYFUNCTION("IFERROR(GOOGLEFINANCE(A691,""NAME""),)"),"IL&amp;FS Investment Managers Ltd")</f>
        <v>IL&amp;FS Investment Managers Ltd</v>
      </c>
      <c r="C691" s="64">
        <f>IFERROR(__xludf.DUMMYFUNCTION("IFERROR(GOOGLEFINANCE(A691,""CHANGE""),)"),0.09)</f>
        <v>0.09</v>
      </c>
      <c r="D691" s="64">
        <f>IFERROR(__xludf.DUMMYFUNCTION("IFERROR(GOOGLEFINANCE(A691,""CHANGEPCT""),)"),1.28)</f>
        <v>1.28</v>
      </c>
      <c r="E691" s="64" t="str">
        <f t="shared" si="1"/>
        <v>1.28%</v>
      </c>
      <c r="F691" s="64">
        <f t="shared" si="2"/>
        <v>1.28</v>
      </c>
      <c r="G691" s="64" t="str">
        <f t="shared" si="3"/>
        <v/>
      </c>
      <c r="H691" s="64">
        <f>IFERROR(__xludf.DUMMYFUNCTION("IFERROR(GOOGLEFINANCE(A691,""PRICE""),)"),7.14)</f>
        <v>7.14</v>
      </c>
      <c r="I691" s="65">
        <f>IFERROR(__xludf.DUMMYFUNCTION("IFERROR(GOOGLEFINANCE(A691,""VOLUME""),)"),107513.0)</f>
        <v>107513</v>
      </c>
      <c r="J691" s="64" t="str">
        <f>IFERROR(__xludf.DUMMYFUNCTION("IFERROR(INDEX(SPLIT(A691,"":""),1,2),)"),"IVC")</f>
        <v>IVC</v>
      </c>
      <c r="K691" s="64">
        <f t="shared" si="4"/>
        <v>648</v>
      </c>
      <c r="L691" s="64" t="str">
        <f t="shared" si="5"/>
        <v/>
      </c>
      <c r="M691" s="64">
        <f t="shared" si="6"/>
        <v>745</v>
      </c>
      <c r="N691" s="66">
        <f>IFERROR(__xludf.DUMMYFUNCTION("IFERROR(GOOGLEFINANCE(A691,""TRADETIME""),)"),46086.64583333333)</f>
        <v>46086.64583</v>
      </c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67" t="s">
        <v>738</v>
      </c>
      <c r="B692" s="60" t="str">
        <f>IFERROR(__xludf.DUMMYFUNCTION("IFERROR(GOOGLEFINANCE(A692,""NAME""),)"),"IVP Ltd")</f>
        <v>IVP Ltd</v>
      </c>
      <c r="C692" s="60">
        <f>IFERROR(__xludf.DUMMYFUNCTION("IFERROR(GOOGLEFINANCE(A692,""CHANGE""),)"),-0.09)</f>
        <v>-0.09</v>
      </c>
      <c r="D692" s="60">
        <f>IFERROR(__xludf.DUMMYFUNCTION("IFERROR(GOOGLEFINANCE(A692,""CHANGEPCT""),)"),-0.66)</f>
        <v>-0.66</v>
      </c>
      <c r="E692" s="60" t="str">
        <f t="shared" si="1"/>
        <v>-0.66%</v>
      </c>
      <c r="F692" s="60" t="str">
        <f t="shared" si="2"/>
        <v/>
      </c>
      <c r="G692" s="60">
        <f t="shared" si="3"/>
        <v>-0.66</v>
      </c>
      <c r="H692" s="60">
        <f>IFERROR(__xludf.DUMMYFUNCTION("IFERROR(GOOGLEFINANCE(A692,""PRICE""),)"),126.24)</f>
        <v>126.24</v>
      </c>
      <c r="I692" s="61">
        <f>IFERROR(__xludf.DUMMYFUNCTION("IFERROR(GOOGLEFINANCE(A692,""VOLUME""),)"),2357.0)</f>
        <v>2357</v>
      </c>
      <c r="J692" s="60" t="str">
        <f>IFERROR(__xludf.DUMMYFUNCTION("IFERROR(INDEX(SPLIT(A692,"":""),1,2),)"),"IVP")</f>
        <v>IVP</v>
      </c>
      <c r="K692" s="60" t="str">
        <f t="shared" si="4"/>
        <v/>
      </c>
      <c r="L692" s="60">
        <f t="shared" si="5"/>
        <v>160</v>
      </c>
      <c r="M692" s="60">
        <f t="shared" si="6"/>
        <v>1396</v>
      </c>
      <c r="N692" s="62">
        <f>IFERROR(__xludf.DUMMYFUNCTION("IFERROR(GOOGLEFINANCE(A692,""TRADETIME""),)"),46086.63875)</f>
        <v>46086.63875</v>
      </c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68" t="s">
        <v>739</v>
      </c>
      <c r="B693" s="64" t="str">
        <f>IFERROR(__xludf.DUMMYFUNCTION("IFERROR(GOOGLEFINANCE(A693,""NAME""),)"),"Izmo Ltd")</f>
        <v>Izmo Ltd</v>
      </c>
      <c r="C693" s="64">
        <f>IFERROR(__xludf.DUMMYFUNCTION("IFERROR(GOOGLEFINANCE(A693,""CHANGE""),)"),17.95)</f>
        <v>17.95</v>
      </c>
      <c r="D693" s="64">
        <f>IFERROR(__xludf.DUMMYFUNCTION("IFERROR(GOOGLEFINANCE(A693,""CHANGEPCT""),)"),2.68)</f>
        <v>2.68</v>
      </c>
      <c r="E693" s="64" t="str">
        <f t="shared" si="1"/>
        <v>2.68%</v>
      </c>
      <c r="F693" s="64">
        <f t="shared" si="2"/>
        <v>2.68</v>
      </c>
      <c r="G693" s="64" t="str">
        <f t="shared" si="3"/>
        <v/>
      </c>
      <c r="H693" s="64">
        <f>IFERROR(__xludf.DUMMYFUNCTION("IFERROR(GOOGLEFINANCE(A693,""PRICE""),)"),686.9)</f>
        <v>686.9</v>
      </c>
      <c r="I693" s="65">
        <f>IFERROR(__xludf.DUMMYFUNCTION("IFERROR(GOOGLEFINANCE(A693,""VOLUME""),)"),38485.0)</f>
        <v>38485</v>
      </c>
      <c r="J693" s="64" t="str">
        <f>IFERROR(__xludf.DUMMYFUNCTION("IFERROR(INDEX(SPLIT(A693,"":""),1,2),)"),"IZMO")</f>
        <v>IZMO</v>
      </c>
      <c r="K693" s="64">
        <f t="shared" si="4"/>
        <v>309</v>
      </c>
      <c r="L693" s="64" t="str">
        <f t="shared" si="5"/>
        <v/>
      </c>
      <c r="M693" s="64">
        <f t="shared" si="6"/>
        <v>1002</v>
      </c>
      <c r="N693" s="66">
        <f>IFERROR(__xludf.DUMMYFUNCTION("IFERROR(GOOGLEFINANCE(A693,""TRADETIME""),)"),46086.64585648148)</f>
        <v>46086.64586</v>
      </c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67" t="s">
        <v>740</v>
      </c>
      <c r="B694" s="60" t="str">
        <f>IFERROR(__xludf.DUMMYFUNCTION("IFERROR(GOOGLEFINANCE(A694,""NAME""),)"),"Jammu and Kashmir Bank Ltd")</f>
        <v>Jammu and Kashmir Bank Ltd</v>
      </c>
      <c r="C694" s="60">
        <f>IFERROR(__xludf.DUMMYFUNCTION("IFERROR(GOOGLEFINANCE(A694,""CHANGE""),)"),5.26)</f>
        <v>5.26</v>
      </c>
      <c r="D694" s="60">
        <f>IFERROR(__xludf.DUMMYFUNCTION("IFERROR(GOOGLEFINANCE(A694,""CHANGEPCT""),)"),4.24)</f>
        <v>4.24</v>
      </c>
      <c r="E694" s="60" t="str">
        <f t="shared" si="1"/>
        <v>4.24%</v>
      </c>
      <c r="F694" s="60">
        <f t="shared" si="2"/>
        <v>4.24</v>
      </c>
      <c r="G694" s="60" t="str">
        <f t="shared" si="3"/>
        <v/>
      </c>
      <c r="H694" s="60">
        <f>IFERROR(__xludf.DUMMYFUNCTION("IFERROR(GOOGLEFINANCE(A694,""PRICE""),)"),121.5)</f>
        <v>121.5</v>
      </c>
      <c r="I694" s="61">
        <f>IFERROR(__xludf.DUMMYFUNCTION("IFERROR(GOOGLEFINANCE(A694,""VOLUME""),)"),7360960.0)</f>
        <v>7360960</v>
      </c>
      <c r="J694" s="60" t="str">
        <f>IFERROR(__xludf.DUMMYFUNCTION("IFERROR(INDEX(SPLIT(A694,"":""),1,2),)"),"J&amp;KBANK")</f>
        <v>J&amp;KBANK</v>
      </c>
      <c r="K694" s="60">
        <f t="shared" si="4"/>
        <v>127</v>
      </c>
      <c r="L694" s="60" t="str">
        <f t="shared" si="5"/>
        <v/>
      </c>
      <c r="M694" s="60">
        <f t="shared" si="6"/>
        <v>80</v>
      </c>
      <c r="N694" s="62">
        <f>IFERROR(__xludf.DUMMYFUNCTION("IFERROR(GOOGLEFINANCE(A694,""TRADETIME""),)"),46086.63983796297)</f>
        <v>46086.63984</v>
      </c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68" t="s">
        <v>741</v>
      </c>
      <c r="B695" s="64" t="str">
        <f>IFERROR(__xludf.DUMMYFUNCTION("IFERROR(GOOGLEFINANCE(A695,""NAME""),)"),"Jagran Prakashan Ltd")</f>
        <v>Jagran Prakashan Ltd</v>
      </c>
      <c r="C695" s="64">
        <f>IFERROR(__xludf.DUMMYFUNCTION("IFERROR(GOOGLEFINANCE(A695,""CHANGE""),)"),0.91)</f>
        <v>0.91</v>
      </c>
      <c r="D695" s="64">
        <f>IFERROR(__xludf.DUMMYFUNCTION("IFERROR(GOOGLEFINANCE(A695,""CHANGEPCT""),)"),1.47)</f>
        <v>1.47</v>
      </c>
      <c r="E695" s="64" t="str">
        <f t="shared" si="1"/>
        <v>1.47%</v>
      </c>
      <c r="F695" s="64">
        <f t="shared" si="2"/>
        <v>1.47</v>
      </c>
      <c r="G695" s="64" t="str">
        <f t="shared" si="3"/>
        <v/>
      </c>
      <c r="H695" s="64">
        <f>IFERROR(__xludf.DUMMYFUNCTION("IFERROR(GOOGLEFINANCE(A695,""PRICE""),)"),63.0)</f>
        <v>63</v>
      </c>
      <c r="I695" s="65">
        <f>IFERROR(__xludf.DUMMYFUNCTION("IFERROR(GOOGLEFINANCE(A695,""VOLUME""),)"),188225.0)</f>
        <v>188225</v>
      </c>
      <c r="J695" s="64" t="str">
        <f>IFERROR(__xludf.DUMMYFUNCTION("IFERROR(INDEX(SPLIT(A695,"":""),1,2),)"),"JAGRAN")</f>
        <v>JAGRAN</v>
      </c>
      <c r="K695" s="64">
        <f t="shared" si="4"/>
        <v>580</v>
      </c>
      <c r="L695" s="64" t="str">
        <f t="shared" si="5"/>
        <v/>
      </c>
      <c r="M695" s="64">
        <f t="shared" si="6"/>
        <v>621</v>
      </c>
      <c r="N695" s="66">
        <f>IFERROR(__xludf.DUMMYFUNCTION("IFERROR(GOOGLEFINANCE(A695,""TRADETIME""),)"),46086.639652777776)</f>
        <v>46086.63965</v>
      </c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67" t="s">
        <v>742</v>
      </c>
      <c r="B696" s="60" t="str">
        <f>IFERROR(__xludf.DUMMYFUNCTION("IFERROR(GOOGLEFINANCE(A696,""NAME""),)"),"Jagsonpal Pharmaceuticals Ltd")</f>
        <v>Jagsonpal Pharmaceuticals Ltd</v>
      </c>
      <c r="C696" s="60">
        <f>IFERROR(__xludf.DUMMYFUNCTION("IFERROR(GOOGLEFINANCE(A696,""CHANGE""),)"),-0.58)</f>
        <v>-0.58</v>
      </c>
      <c r="D696" s="60">
        <f>IFERROR(__xludf.DUMMYFUNCTION("IFERROR(GOOGLEFINANCE(A696,""CHANGEPCT""),)"),-0.34)</f>
        <v>-0.34</v>
      </c>
      <c r="E696" s="60" t="str">
        <f t="shared" si="1"/>
        <v>-0.34%</v>
      </c>
      <c r="F696" s="60" t="str">
        <f t="shared" si="2"/>
        <v/>
      </c>
      <c r="G696" s="60">
        <f t="shared" si="3"/>
        <v>-0.34</v>
      </c>
      <c r="H696" s="60">
        <f>IFERROR(__xludf.DUMMYFUNCTION("IFERROR(GOOGLEFINANCE(A696,""PRICE""),)"),170.0)</f>
        <v>170</v>
      </c>
      <c r="I696" s="61">
        <f>IFERROR(__xludf.DUMMYFUNCTION("IFERROR(GOOGLEFINANCE(A696,""VOLUME""),)"),56234.0)</f>
        <v>56234</v>
      </c>
      <c r="J696" s="60" t="str">
        <f>IFERROR(__xludf.DUMMYFUNCTION("IFERROR(INDEX(SPLIT(A696,"":""),1,2),)"),"JAGSNPHARM")</f>
        <v>JAGSNPHARM</v>
      </c>
      <c r="K696" s="60" t="str">
        <f t="shared" si="4"/>
        <v/>
      </c>
      <c r="L696" s="60">
        <f t="shared" si="5"/>
        <v>87</v>
      </c>
      <c r="M696" s="60">
        <f t="shared" si="6"/>
        <v>895</v>
      </c>
      <c r="N696" s="62">
        <f>IFERROR(__xludf.DUMMYFUNCTION("IFERROR(GOOGLEFINANCE(A696,""TRADETIME""),)"),46086.6396875)</f>
        <v>46086.63969</v>
      </c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68" t="s">
        <v>743</v>
      </c>
      <c r="B697" s="64" t="str">
        <f>IFERROR(__xludf.DUMMYFUNCTION("IFERROR(GOOGLEFINANCE(A697,""NAME""),)"),"Jai Balaji Industries Ltd.")</f>
        <v>Jai Balaji Industries Ltd.</v>
      </c>
      <c r="C697" s="64">
        <f>IFERROR(__xludf.DUMMYFUNCTION("IFERROR(GOOGLEFINANCE(A697,""CHANGE""),)"),1.01)</f>
        <v>1.01</v>
      </c>
      <c r="D697" s="64">
        <f>IFERROR(__xludf.DUMMYFUNCTION("IFERROR(GOOGLEFINANCE(A697,""CHANGEPCT""),)"),1.06)</f>
        <v>1.06</v>
      </c>
      <c r="E697" s="64" t="str">
        <f t="shared" si="1"/>
        <v>1.06%</v>
      </c>
      <c r="F697" s="64">
        <f t="shared" si="2"/>
        <v>1.06</v>
      </c>
      <c r="G697" s="64" t="str">
        <f t="shared" si="3"/>
        <v/>
      </c>
      <c r="H697" s="64">
        <f>IFERROR(__xludf.DUMMYFUNCTION("IFERROR(GOOGLEFINANCE(A697,""PRICE""),)"),61.8)</f>
        <v>61.8</v>
      </c>
      <c r="I697" s="65">
        <f>IFERROR(__xludf.DUMMYFUNCTION("IFERROR(GOOGLEFINANCE(A697,""VOLUME""),)"),3197765.0)</f>
        <v>3197765</v>
      </c>
      <c r="J697" s="64" t="str">
        <f>IFERROR(__xludf.DUMMYFUNCTION("IFERROR(INDEX(SPLIT(A697,"":""),1,2),)"),"JAIBALAJI")</f>
        <v>JAIBALAJI</v>
      </c>
      <c r="K697" s="64">
        <f t="shared" si="4"/>
        <v>705</v>
      </c>
      <c r="L697" s="64" t="str">
        <f t="shared" si="5"/>
        <v/>
      </c>
      <c r="M697" s="64">
        <f t="shared" si="6"/>
        <v>143</v>
      </c>
      <c r="N697" s="66">
        <f>IFERROR(__xludf.DUMMYFUNCTION("IFERROR(GOOGLEFINANCE(A697,""TRADETIME""),)"),46086.64583333333)</f>
        <v>46086.64583</v>
      </c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67" t="s">
        <v>744</v>
      </c>
      <c r="B698" s="60" t="str">
        <f>IFERROR(__xludf.DUMMYFUNCTION("IFERROR(GOOGLEFINANCE(A698,""NAME""),)"),"Jai Corp Ltd")</f>
        <v>Jai Corp Ltd</v>
      </c>
      <c r="C698" s="60">
        <f>IFERROR(__xludf.DUMMYFUNCTION("IFERROR(GOOGLEFINANCE(A698,""CHANGE""),)"),1.26)</f>
        <v>1.26</v>
      </c>
      <c r="D698" s="60">
        <f>IFERROR(__xludf.DUMMYFUNCTION("IFERROR(GOOGLEFINANCE(A698,""CHANGEPCT""),)"),1.26)</f>
        <v>1.26</v>
      </c>
      <c r="E698" s="60" t="str">
        <f t="shared" si="1"/>
        <v>1.26%</v>
      </c>
      <c r="F698" s="60">
        <f t="shared" si="2"/>
        <v>1.26</v>
      </c>
      <c r="G698" s="60" t="str">
        <f t="shared" si="3"/>
        <v/>
      </c>
      <c r="H698" s="60">
        <f>IFERROR(__xludf.DUMMYFUNCTION("IFERROR(GOOGLEFINANCE(A698,""PRICE""),)"),101.3)</f>
        <v>101.3</v>
      </c>
      <c r="I698" s="61">
        <f>IFERROR(__xludf.DUMMYFUNCTION("IFERROR(GOOGLEFINANCE(A698,""VOLUME""),)"),600602.0)</f>
        <v>600602</v>
      </c>
      <c r="J698" s="60" t="str">
        <f>IFERROR(__xludf.DUMMYFUNCTION("IFERROR(INDEX(SPLIT(A698,"":""),1,2),)"),"JAICORPLTD")</f>
        <v>JAICORPLTD</v>
      </c>
      <c r="K698" s="60">
        <f t="shared" si="4"/>
        <v>652</v>
      </c>
      <c r="L698" s="60" t="str">
        <f t="shared" si="5"/>
        <v/>
      </c>
      <c r="M698" s="60">
        <f t="shared" si="6"/>
        <v>365</v>
      </c>
      <c r="N698" s="62">
        <f>IFERROR(__xludf.DUMMYFUNCTION("IFERROR(GOOGLEFINANCE(A698,""TRADETIME""),)"),46086.64583333333)</f>
        <v>46086.64583</v>
      </c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68" t="s">
        <v>745</v>
      </c>
      <c r="B699" s="64" t="str">
        <f>IFERROR(__xludf.DUMMYFUNCTION("IFERROR(GOOGLEFINANCE(A699,""NAME""),)"),"Jamna Auto Industries Ltd")</f>
        <v>Jamna Auto Industries Ltd</v>
      </c>
      <c r="C699" s="64">
        <f>IFERROR(__xludf.DUMMYFUNCTION("IFERROR(GOOGLEFINANCE(A699,""CHANGE""),)"),1.2)</f>
        <v>1.2</v>
      </c>
      <c r="D699" s="64">
        <f>IFERROR(__xludf.DUMMYFUNCTION("IFERROR(GOOGLEFINANCE(A699,""CHANGEPCT""),)"),0.87)</f>
        <v>0.87</v>
      </c>
      <c r="E699" s="64" t="str">
        <f t="shared" si="1"/>
        <v>0.87%</v>
      </c>
      <c r="F699" s="64">
        <f t="shared" si="2"/>
        <v>0.87</v>
      </c>
      <c r="G699" s="64" t="str">
        <f t="shared" si="3"/>
        <v/>
      </c>
      <c r="H699" s="64">
        <f>IFERROR(__xludf.DUMMYFUNCTION("IFERROR(GOOGLEFINANCE(A699,""PRICE""),)"),138.4)</f>
        <v>138.4</v>
      </c>
      <c r="I699" s="65">
        <f>IFERROR(__xludf.DUMMYFUNCTION("IFERROR(GOOGLEFINANCE(A699,""VOLUME""),)"),2051737.0)</f>
        <v>2051737</v>
      </c>
      <c r="J699" s="64" t="str">
        <f>IFERROR(__xludf.DUMMYFUNCTION("IFERROR(INDEX(SPLIT(A699,"":""),1,2),)"),"JAMNAAUTO")</f>
        <v>JAMNAAUTO</v>
      </c>
      <c r="K699" s="64">
        <f t="shared" si="4"/>
        <v>764</v>
      </c>
      <c r="L699" s="64" t="str">
        <f t="shared" si="5"/>
        <v/>
      </c>
      <c r="M699" s="64">
        <f t="shared" si="6"/>
        <v>198</v>
      </c>
      <c r="N699" s="66">
        <f>IFERROR(__xludf.DUMMYFUNCTION("IFERROR(GOOGLEFINANCE(A699,""TRADETIME""),)"),46086.64585648148)</f>
        <v>46086.64586</v>
      </c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67" t="s">
        <v>746</v>
      </c>
      <c r="B700" s="60" t="str">
        <f>IFERROR(__xludf.DUMMYFUNCTION("IFERROR(GOOGLEFINANCE(A700,""NAME""),)"),"Jash Engineering Ltd")</f>
        <v>Jash Engineering Ltd</v>
      </c>
      <c r="C700" s="60">
        <f>IFERROR(__xludf.DUMMYFUNCTION("IFERROR(GOOGLEFINANCE(A700,""CHANGE""),)"),-1.1)</f>
        <v>-1.1</v>
      </c>
      <c r="D700" s="60">
        <f>IFERROR(__xludf.DUMMYFUNCTION("IFERROR(GOOGLEFINANCE(A700,""CHANGEPCT""),)"),-0.59)</f>
        <v>-0.59</v>
      </c>
      <c r="E700" s="60" t="str">
        <f t="shared" si="1"/>
        <v>-0.59%</v>
      </c>
      <c r="F700" s="60" t="str">
        <f t="shared" si="2"/>
        <v/>
      </c>
      <c r="G700" s="60">
        <f t="shared" si="3"/>
        <v>-0.59</v>
      </c>
      <c r="H700" s="60">
        <f>IFERROR(__xludf.DUMMYFUNCTION("IFERROR(GOOGLEFINANCE(A700,""PRICE""),)"),387.0)</f>
        <v>387</v>
      </c>
      <c r="I700" s="61">
        <f>IFERROR(__xludf.DUMMYFUNCTION("IFERROR(GOOGLEFINANCE(A700,""VOLUME""),)"),89000.0)</f>
        <v>89000</v>
      </c>
      <c r="J700" s="60" t="str">
        <f>IFERROR(__xludf.DUMMYFUNCTION("IFERROR(INDEX(SPLIT(A700,"":""),1,2),)"),"JASH")</f>
        <v>JASH</v>
      </c>
      <c r="K700" s="60" t="str">
        <f t="shared" si="4"/>
        <v/>
      </c>
      <c r="L700" s="60">
        <f t="shared" si="5"/>
        <v>142</v>
      </c>
      <c r="M700" s="60">
        <f t="shared" si="6"/>
        <v>786</v>
      </c>
      <c r="N700" s="62">
        <f>IFERROR(__xludf.DUMMYFUNCTION("IFERROR(GOOGLEFINANCE(A700,""TRADETIME""),)"),46086.64583333333)</f>
        <v>46086.64583</v>
      </c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68" t="s">
        <v>747</v>
      </c>
      <c r="B701" s="64" t="str">
        <f>IFERROR(__xludf.DUMMYFUNCTION("IFERROR(GOOGLEFINANCE(A701,""NAME""),)"),"Jayant Agro-Organics Ltd")</f>
        <v>Jayant Agro-Organics Ltd</v>
      </c>
      <c r="C701" s="64">
        <f>IFERROR(__xludf.DUMMYFUNCTION("IFERROR(GOOGLEFINANCE(A701,""CHANGE""),)"),-4.85)</f>
        <v>-4.85</v>
      </c>
      <c r="D701" s="64">
        <f>IFERROR(__xludf.DUMMYFUNCTION("IFERROR(GOOGLEFINANCE(A701,""CHANGEPCT""),)"),-1.93)</f>
        <v>-1.93</v>
      </c>
      <c r="E701" s="64" t="str">
        <f t="shared" si="1"/>
        <v>-1.93%</v>
      </c>
      <c r="F701" s="64" t="str">
        <f t="shared" si="2"/>
        <v/>
      </c>
      <c r="G701" s="64">
        <f t="shared" si="3"/>
        <v>-1.93</v>
      </c>
      <c r="H701" s="64">
        <f>IFERROR(__xludf.DUMMYFUNCTION("IFERROR(GOOGLEFINANCE(A701,""PRICE""),)"),182.0)</f>
        <v>182</v>
      </c>
      <c r="I701" s="65">
        <f>IFERROR(__xludf.DUMMYFUNCTION("IFERROR(GOOGLEFINANCE(A701,""VOLUME""),)"),4402.0)</f>
        <v>4402</v>
      </c>
      <c r="J701" s="64" t="str">
        <f>IFERROR(__xludf.DUMMYFUNCTION("IFERROR(INDEX(SPLIT(A701,"":""),1,2),)"),"JAYAGROGN")</f>
        <v>JAYAGROGN</v>
      </c>
      <c r="K701" s="64" t="str">
        <f t="shared" si="4"/>
        <v/>
      </c>
      <c r="L701" s="64">
        <f t="shared" si="5"/>
        <v>341</v>
      </c>
      <c r="M701" s="64">
        <f t="shared" si="6"/>
        <v>1363</v>
      </c>
      <c r="N701" s="66">
        <f>IFERROR(__xludf.DUMMYFUNCTION("IFERROR(GOOGLEFINANCE(A701,""TRADETIME""),)"),46086.64583333333)</f>
        <v>46086.64583</v>
      </c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67" t="s">
        <v>748</v>
      </c>
      <c r="B702" s="60" t="str">
        <f>IFERROR(__xludf.DUMMYFUNCTION("IFERROR(GOOGLEFINANCE(A702,""NAME""),)"),"Jay Bharat Maruti Ltd")</f>
        <v>Jay Bharat Maruti Ltd</v>
      </c>
      <c r="C702" s="60">
        <f>IFERROR(__xludf.DUMMYFUNCTION("IFERROR(GOOGLEFINANCE(A702,""CHANGE""),)"),-0.83)</f>
        <v>-0.83</v>
      </c>
      <c r="D702" s="60">
        <f>IFERROR(__xludf.DUMMYFUNCTION("IFERROR(GOOGLEFINANCE(A702,""CHANGEPCT""),)"),-0.85)</f>
        <v>-0.85</v>
      </c>
      <c r="E702" s="60" t="str">
        <f t="shared" si="1"/>
        <v>-0.85%</v>
      </c>
      <c r="F702" s="60" t="str">
        <f t="shared" si="2"/>
        <v/>
      </c>
      <c r="G702" s="60">
        <f t="shared" si="3"/>
        <v>-0.85</v>
      </c>
      <c r="H702" s="60">
        <f>IFERROR(__xludf.DUMMYFUNCTION("IFERROR(GOOGLEFINANCE(A702,""PRICE""),)"),96.8)</f>
        <v>96.8</v>
      </c>
      <c r="I702" s="61">
        <f>IFERROR(__xludf.DUMMYFUNCTION("IFERROR(GOOGLEFINANCE(A702,""VOLUME""),)"),341418.0)</f>
        <v>341418</v>
      </c>
      <c r="J702" s="60" t="str">
        <f>IFERROR(__xludf.DUMMYFUNCTION("IFERROR(INDEX(SPLIT(A702,"":""),1,2),)"),"JAYBARMARU")</f>
        <v>JAYBARMARU</v>
      </c>
      <c r="K702" s="60" t="str">
        <f t="shared" si="4"/>
        <v/>
      </c>
      <c r="L702" s="60">
        <f t="shared" si="5"/>
        <v>192</v>
      </c>
      <c r="M702" s="60">
        <f t="shared" si="6"/>
        <v>484</v>
      </c>
      <c r="N702" s="62">
        <f>IFERROR(__xludf.DUMMYFUNCTION("IFERROR(GOOGLEFINANCE(A702,""TRADETIME""),)"),46086.64583333333)</f>
        <v>46086.64583</v>
      </c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68" t="s">
        <v>749</v>
      </c>
      <c r="B703" s="64" t="str">
        <f>IFERROR(__xludf.DUMMYFUNCTION("IFERROR(GOOGLEFINANCE(A703,""NAME""),)"),"Jayaswal Neco Industries Ltd")</f>
        <v>Jayaswal Neco Industries Ltd</v>
      </c>
      <c r="C703" s="64">
        <f>IFERROR(__xludf.DUMMYFUNCTION("IFERROR(GOOGLEFINANCE(A703,""CHANGE""),)"),-0.04)</f>
        <v>-0.04</v>
      </c>
      <c r="D703" s="64">
        <f>IFERROR(__xludf.DUMMYFUNCTION("IFERROR(GOOGLEFINANCE(A703,""CHANGEPCT""),)"),-0.05)</f>
        <v>-0.05</v>
      </c>
      <c r="E703" s="64" t="str">
        <f t="shared" si="1"/>
        <v>-0.05%</v>
      </c>
      <c r="F703" s="64" t="str">
        <f t="shared" si="2"/>
        <v/>
      </c>
      <c r="G703" s="64">
        <f t="shared" si="3"/>
        <v>-0.05</v>
      </c>
      <c r="H703" s="64">
        <f>IFERROR(__xludf.DUMMYFUNCTION("IFERROR(GOOGLEFINANCE(A703,""PRICE""),)"),74.5)</f>
        <v>74.5</v>
      </c>
      <c r="I703" s="65">
        <f>IFERROR(__xludf.DUMMYFUNCTION("IFERROR(GOOGLEFINANCE(A703,""VOLUME""),)"),2072577.0)</f>
        <v>2072577</v>
      </c>
      <c r="J703" s="64" t="str">
        <f>IFERROR(__xludf.DUMMYFUNCTION("IFERROR(INDEX(SPLIT(A703,"":""),1,2),)"),"JAYNECOIND")</f>
        <v>JAYNECOIND</v>
      </c>
      <c r="K703" s="64" t="str">
        <f t="shared" si="4"/>
        <v/>
      </c>
      <c r="L703" s="64">
        <f t="shared" si="5"/>
        <v>11</v>
      </c>
      <c r="M703" s="64">
        <f t="shared" si="6"/>
        <v>195</v>
      </c>
      <c r="N703" s="66">
        <f>IFERROR(__xludf.DUMMYFUNCTION("IFERROR(GOOGLEFINANCE(A703,""TRADETIME""),)"),46086.64585648148)</f>
        <v>46086.64586</v>
      </c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67" t="s">
        <v>750</v>
      </c>
      <c r="B704" s="60" t="str">
        <f>IFERROR(__xludf.DUMMYFUNCTION("IFERROR(GOOGLEFINANCE(A704,""NAME""),)"),"Jay Shree Tea and Industries Ltd")</f>
        <v>Jay Shree Tea and Industries Ltd</v>
      </c>
      <c r="C704" s="60">
        <f>IFERROR(__xludf.DUMMYFUNCTION("IFERROR(GOOGLEFINANCE(A704,""CHANGE""),)"),2.46)</f>
        <v>2.46</v>
      </c>
      <c r="D704" s="60">
        <f>IFERROR(__xludf.DUMMYFUNCTION("IFERROR(GOOGLEFINANCE(A704,""CHANGEPCT""),)"),3.32)</f>
        <v>3.32</v>
      </c>
      <c r="E704" s="60" t="str">
        <f t="shared" si="1"/>
        <v>3.32%</v>
      </c>
      <c r="F704" s="60">
        <f t="shared" si="2"/>
        <v>3.32</v>
      </c>
      <c r="G704" s="60" t="str">
        <f t="shared" si="3"/>
        <v/>
      </c>
      <c r="H704" s="60">
        <f>IFERROR(__xludf.DUMMYFUNCTION("IFERROR(GOOGLEFINANCE(A704,""PRICE""),)"),75.51)</f>
        <v>75.51</v>
      </c>
      <c r="I704" s="61">
        <f>IFERROR(__xludf.DUMMYFUNCTION("IFERROR(GOOGLEFINANCE(A704,""VOLUME""),)"),32539.0)</f>
        <v>32539</v>
      </c>
      <c r="J704" s="60" t="str">
        <f>IFERROR(__xludf.DUMMYFUNCTION("IFERROR(INDEX(SPLIT(A704,"":""),1,2),)"),"JAYSREETEA")</f>
        <v>JAYSREETEA</v>
      </c>
      <c r="K704" s="60">
        <f t="shared" si="4"/>
        <v>212</v>
      </c>
      <c r="L704" s="60" t="str">
        <f t="shared" si="5"/>
        <v/>
      </c>
      <c r="M704" s="60">
        <f t="shared" si="6"/>
        <v>1037</v>
      </c>
      <c r="N704" s="62">
        <f>IFERROR(__xludf.DUMMYFUNCTION("IFERROR(GOOGLEFINANCE(A704,""TRADETIME""),)"),46086.64583333333)</f>
        <v>46086.64583</v>
      </c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68" t="s">
        <v>751</v>
      </c>
      <c r="B705" s="64" t="str">
        <f>IFERROR(__xludf.DUMMYFUNCTION("IFERROR(GOOGLEFINANCE(A705,""NAME""),)"),"J B Chemicals and Pharmaceuticals Ltd")</f>
        <v>J B Chemicals and Pharmaceuticals Ltd</v>
      </c>
      <c r="C705" s="64">
        <f>IFERROR(__xludf.DUMMYFUNCTION("IFERROR(GOOGLEFINANCE(A705,""CHANGE""),)"),22.9)</f>
        <v>22.9</v>
      </c>
      <c r="D705" s="64">
        <f>IFERROR(__xludf.DUMMYFUNCTION("IFERROR(GOOGLEFINANCE(A705,""CHANGEPCT""),)"),1.12)</f>
        <v>1.12</v>
      </c>
      <c r="E705" s="64" t="str">
        <f t="shared" si="1"/>
        <v>1.12%</v>
      </c>
      <c r="F705" s="64">
        <f t="shared" si="2"/>
        <v>1.12</v>
      </c>
      <c r="G705" s="64" t="str">
        <f t="shared" si="3"/>
        <v/>
      </c>
      <c r="H705" s="64">
        <f>IFERROR(__xludf.DUMMYFUNCTION("IFERROR(GOOGLEFINANCE(A705,""PRICE""),)"),2074.7)</f>
        <v>2074.7</v>
      </c>
      <c r="I705" s="65">
        <f>IFERROR(__xludf.DUMMYFUNCTION("IFERROR(GOOGLEFINANCE(A705,""VOLUME""),)"),370392.0)</f>
        <v>370392</v>
      </c>
      <c r="J705" s="64" t="str">
        <f>IFERROR(__xludf.DUMMYFUNCTION("IFERROR(INDEX(SPLIT(A705,"":""),1,2),)"),"JBCHEPHARM")</f>
        <v>JBCHEPHARM</v>
      </c>
      <c r="K705" s="64">
        <f t="shared" si="4"/>
        <v>683</v>
      </c>
      <c r="L705" s="64" t="str">
        <f t="shared" si="5"/>
        <v/>
      </c>
      <c r="M705" s="64">
        <f t="shared" si="6"/>
        <v>461</v>
      </c>
      <c r="N705" s="66">
        <f>IFERROR(__xludf.DUMMYFUNCTION("IFERROR(GOOGLEFINANCE(A705,""TRADETIME""),)"),46086.64583333333)</f>
        <v>46086.64583</v>
      </c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67" t="s">
        <v>752</v>
      </c>
      <c r="B706" s="60" t="str">
        <f>IFERROR(__xludf.DUMMYFUNCTION("IFERROR(GOOGLEFINANCE(A706,""NAME""),)"),"")</f>
        <v/>
      </c>
      <c r="C706" s="60" t="str">
        <f>IFERROR(__xludf.DUMMYFUNCTION("IFERROR(GOOGLEFINANCE(A706,""CHANGE""),)"),"")</f>
        <v/>
      </c>
      <c r="D706" s="60" t="str">
        <f>IFERROR(__xludf.DUMMYFUNCTION("IFERROR(GOOGLEFINANCE(A706,""CHANGEPCT""),)"),"")</f>
        <v/>
      </c>
      <c r="E706" s="60" t="str">
        <f t="shared" si="1"/>
        <v>%</v>
      </c>
      <c r="F706" s="60" t="str">
        <f t="shared" si="2"/>
        <v/>
      </c>
      <c r="G706" s="60" t="str">
        <f t="shared" si="3"/>
        <v/>
      </c>
      <c r="H706" s="60" t="str">
        <f>IFERROR(__xludf.DUMMYFUNCTION("IFERROR(GOOGLEFINANCE(A706,""PRICE""),)"),"")</f>
        <v/>
      </c>
      <c r="I706" s="61" t="str">
        <f>IFERROR(__xludf.DUMMYFUNCTION("IFERROR(GOOGLEFINANCE(A706,""VOLUME""),)"),"")</f>
        <v/>
      </c>
      <c r="J706" s="60" t="str">
        <f>IFERROR(__xludf.DUMMYFUNCTION("IFERROR(INDEX(SPLIT(A706,"":""),1,2),)"),"JBFIND")</f>
        <v>JBFIND</v>
      </c>
      <c r="K706" s="60" t="str">
        <f t="shared" si="4"/>
        <v/>
      </c>
      <c r="L706" s="60" t="str">
        <f t="shared" si="5"/>
        <v/>
      </c>
      <c r="M706" s="60" t="str">
        <f t="shared" si="6"/>
        <v/>
      </c>
      <c r="N706" s="62" t="str">
        <f>IFERROR(__xludf.DUMMYFUNCTION("IFERROR(GOOGLEFINANCE(A706,""TRADETIME""),)"),"")</f>
        <v/>
      </c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68" t="s">
        <v>753</v>
      </c>
      <c r="B707" s="64" t="str">
        <f>IFERROR(__xludf.DUMMYFUNCTION("IFERROR(GOOGLEFINANCE(A707,""NAME""),)"),"Jbm Auto Ltd")</f>
        <v>Jbm Auto Ltd</v>
      </c>
      <c r="C707" s="64">
        <f>IFERROR(__xludf.DUMMYFUNCTION("IFERROR(GOOGLEFINANCE(A707,""CHANGE""),)"),7.95)</f>
        <v>7.95</v>
      </c>
      <c r="D707" s="64">
        <f>IFERROR(__xludf.DUMMYFUNCTION("IFERROR(GOOGLEFINANCE(A707,""CHANGEPCT""),)"),1.56)</f>
        <v>1.56</v>
      </c>
      <c r="E707" s="64" t="str">
        <f t="shared" si="1"/>
        <v>1.56%</v>
      </c>
      <c r="F707" s="64">
        <f t="shared" si="2"/>
        <v>1.56</v>
      </c>
      <c r="G707" s="64" t="str">
        <f t="shared" si="3"/>
        <v/>
      </c>
      <c r="H707" s="64">
        <f>IFERROR(__xludf.DUMMYFUNCTION("IFERROR(GOOGLEFINANCE(A707,""PRICE""),)"),515.95)</f>
        <v>515.95</v>
      </c>
      <c r="I707" s="65">
        <f>IFERROR(__xludf.DUMMYFUNCTION("IFERROR(GOOGLEFINANCE(A707,""VOLUME""),)"),280496.0)</f>
        <v>280496</v>
      </c>
      <c r="J707" s="64" t="str">
        <f>IFERROR(__xludf.DUMMYFUNCTION("IFERROR(INDEX(SPLIT(A707,"":""),1,2),)"),"JBMA")</f>
        <v>JBMA</v>
      </c>
      <c r="K707" s="64">
        <f t="shared" si="4"/>
        <v>548</v>
      </c>
      <c r="L707" s="64" t="str">
        <f t="shared" si="5"/>
        <v/>
      </c>
      <c r="M707" s="64">
        <f t="shared" si="6"/>
        <v>527</v>
      </c>
      <c r="N707" s="66">
        <f>IFERROR(__xludf.DUMMYFUNCTION("IFERROR(GOOGLEFINANCE(A707,""TRADETIME""),)"),46086.64584490741)</f>
        <v>46086.64584</v>
      </c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67" t="s">
        <v>754</v>
      </c>
      <c r="B708" s="60" t="str">
        <f>IFERROR(__xludf.DUMMYFUNCTION("IFERROR(GOOGLEFINANCE(A708,""NAME""),)"),"")</f>
        <v/>
      </c>
      <c r="C708" s="60" t="str">
        <f>IFERROR(__xludf.DUMMYFUNCTION("IFERROR(GOOGLEFINANCE(A708,""CHANGE""),)"),"")</f>
        <v/>
      </c>
      <c r="D708" s="60" t="str">
        <f>IFERROR(__xludf.DUMMYFUNCTION("IFERROR(GOOGLEFINANCE(A708,""CHANGEPCT""),)"),"")</f>
        <v/>
      </c>
      <c r="E708" s="60" t="str">
        <f t="shared" si="1"/>
        <v>%</v>
      </c>
      <c r="F708" s="60" t="str">
        <f t="shared" si="2"/>
        <v/>
      </c>
      <c r="G708" s="60" t="str">
        <f t="shared" si="3"/>
        <v/>
      </c>
      <c r="H708" s="60" t="str">
        <f>IFERROR(__xludf.DUMMYFUNCTION("IFERROR(GOOGLEFINANCE(A708,""PRICE""),)"),"")</f>
        <v/>
      </c>
      <c r="I708" s="61" t="str">
        <f>IFERROR(__xludf.DUMMYFUNCTION("IFERROR(GOOGLEFINANCE(A708,""VOLUME""),)"),"")</f>
        <v/>
      </c>
      <c r="J708" s="60" t="str">
        <f>IFERROR(__xludf.DUMMYFUNCTION("IFERROR(INDEX(SPLIT(A708,"":""),1,2),)"),"JCHAC")</f>
        <v>JCHAC</v>
      </c>
      <c r="K708" s="60" t="str">
        <f t="shared" si="4"/>
        <v/>
      </c>
      <c r="L708" s="60" t="str">
        <f t="shared" si="5"/>
        <v/>
      </c>
      <c r="M708" s="60" t="str">
        <f t="shared" si="6"/>
        <v/>
      </c>
      <c r="N708" s="62" t="str">
        <f>IFERROR(__xludf.DUMMYFUNCTION("IFERROR(GOOGLEFINANCE(A708,""TRADETIME""),)"),"")</f>
        <v/>
      </c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63" t="s">
        <v>755</v>
      </c>
      <c r="B709" s="64" t="str">
        <f>IFERROR(__xludf.DUMMYFUNCTION("IFERROR(GOOGLEFINANCE(A709,""NAME""),)"),"Kamat Hotels (India) Ltd")</f>
        <v>Kamat Hotels (India) Ltd</v>
      </c>
      <c r="C709" s="64">
        <f>IFERROR(__xludf.DUMMYFUNCTION("IFERROR(GOOGLEFINANCE(A709,""CHANGE""),)"),-2.36)</f>
        <v>-2.36</v>
      </c>
      <c r="D709" s="64">
        <f>IFERROR(__xludf.DUMMYFUNCTION("IFERROR(GOOGLEFINANCE(A709,""CHANGEPCT""),)"),-1.28)</f>
        <v>-1.28</v>
      </c>
      <c r="E709" s="64" t="str">
        <f t="shared" si="1"/>
        <v>-1.28%</v>
      </c>
      <c r="F709" s="64" t="str">
        <f t="shared" si="2"/>
        <v/>
      </c>
      <c r="G709" s="64">
        <f t="shared" si="3"/>
        <v>-1.28</v>
      </c>
      <c r="H709" s="64">
        <f>IFERROR(__xludf.DUMMYFUNCTION("IFERROR(GOOGLEFINANCE(A709,""PRICE""),)"),181.81)</f>
        <v>181.81</v>
      </c>
      <c r="I709" s="65">
        <f>IFERROR(__xludf.DUMMYFUNCTION("IFERROR(GOOGLEFINANCE(A709,""VOLUME""),)"),112752.0)</f>
        <v>112752</v>
      </c>
      <c r="J709" s="64" t="str">
        <f>IFERROR(__xludf.DUMMYFUNCTION("IFERROR(INDEX(SPLIT(A709,"":""),1,2),)"),"KAMATHOTEL")</f>
        <v>KAMATHOTEL</v>
      </c>
      <c r="K709" s="64" t="str">
        <f t="shared" si="4"/>
        <v/>
      </c>
      <c r="L709" s="64">
        <f t="shared" si="5"/>
        <v>260</v>
      </c>
      <c r="M709" s="64">
        <f t="shared" si="6"/>
        <v>734</v>
      </c>
      <c r="N709" s="66">
        <f>IFERROR(__xludf.DUMMYFUNCTION("IFERROR(GOOGLEFINANCE(A709,""TRADETIME""),)"),46086.64583333333)</f>
        <v>46086.64583</v>
      </c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67" t="s">
        <v>756</v>
      </c>
      <c r="B710" s="60" t="str">
        <f>IFERROR(__xludf.DUMMYFUNCTION("IFERROR(GOOGLEFINANCE(A710,""NAME""),)"),"JHS Svendgaard Laboratories Limited")</f>
        <v>JHS Svendgaard Laboratories Limited</v>
      </c>
      <c r="C710" s="60">
        <f>IFERROR(__xludf.DUMMYFUNCTION("IFERROR(GOOGLEFINANCE(A710,""CHANGE""),)"),-0.01)</f>
        <v>-0.01</v>
      </c>
      <c r="D710" s="60">
        <f>IFERROR(__xludf.DUMMYFUNCTION("IFERROR(GOOGLEFINANCE(A710,""CHANGEPCT""),)"),-0.11)</f>
        <v>-0.11</v>
      </c>
      <c r="E710" s="60" t="str">
        <f t="shared" si="1"/>
        <v>-0.11%</v>
      </c>
      <c r="F710" s="60" t="str">
        <f t="shared" si="2"/>
        <v/>
      </c>
      <c r="G710" s="60">
        <f t="shared" si="3"/>
        <v>-0.11</v>
      </c>
      <c r="H710" s="60">
        <f>IFERROR(__xludf.DUMMYFUNCTION("IFERROR(GOOGLEFINANCE(A710,""PRICE""),)"),8.92)</f>
        <v>8.92</v>
      </c>
      <c r="I710" s="61">
        <f>IFERROR(__xludf.DUMMYFUNCTION("IFERROR(GOOGLEFINANCE(A710,""VOLUME""),)"),95543.0)</f>
        <v>95543</v>
      </c>
      <c r="J710" s="60" t="str">
        <f>IFERROR(__xludf.DUMMYFUNCTION("IFERROR(INDEX(SPLIT(A710,"":""),1,2),)"),"JHS")</f>
        <v>JHS</v>
      </c>
      <c r="K710" s="60" t="str">
        <f t="shared" si="4"/>
        <v/>
      </c>
      <c r="L710" s="60">
        <f t="shared" si="5"/>
        <v>30</v>
      </c>
      <c r="M710" s="60">
        <f t="shared" si="6"/>
        <v>768</v>
      </c>
      <c r="N710" s="62">
        <f>IFERROR(__xludf.DUMMYFUNCTION("IFERROR(GOOGLEFINANCE(A710,""TRADETIME""),)"),46086.64583333333)</f>
        <v>46086.64583</v>
      </c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68" t="s">
        <v>757</v>
      </c>
      <c r="B711" s="64" t="str">
        <f>IFERROR(__xludf.DUMMYFUNCTION("IFERROR(GOOGLEFINANCE(A711,""NAME""),)"),"")</f>
        <v/>
      </c>
      <c r="C711" s="64" t="str">
        <f>IFERROR(__xludf.DUMMYFUNCTION("IFERROR(GOOGLEFINANCE(A711,""CHANGE""),)"),"")</f>
        <v/>
      </c>
      <c r="D711" s="64" t="str">
        <f>IFERROR(__xludf.DUMMYFUNCTION("IFERROR(GOOGLEFINANCE(A711,""CHANGEPCT""),)"),"")</f>
        <v/>
      </c>
      <c r="E711" s="64" t="str">
        <f t="shared" si="1"/>
        <v>%</v>
      </c>
      <c r="F711" s="64" t="str">
        <f t="shared" si="2"/>
        <v/>
      </c>
      <c r="G711" s="64" t="str">
        <f t="shared" si="3"/>
        <v/>
      </c>
      <c r="H711" s="64" t="str">
        <f>IFERROR(__xludf.DUMMYFUNCTION("IFERROR(GOOGLEFINANCE(A711,""PRICE""),)"),"")</f>
        <v/>
      </c>
      <c r="I711" s="65" t="str">
        <f>IFERROR(__xludf.DUMMYFUNCTION("IFERROR(GOOGLEFINANCE(A711,""VOLUME""),)"),"")</f>
        <v/>
      </c>
      <c r="J711" s="64" t="str">
        <f>IFERROR(__xludf.DUMMYFUNCTION("IFERROR(INDEX(SPLIT(A711,"":""),1,2),)"),"JIKIND")</f>
        <v>JIKIND</v>
      </c>
      <c r="K711" s="64" t="str">
        <f t="shared" si="4"/>
        <v/>
      </c>
      <c r="L711" s="64" t="str">
        <f t="shared" si="5"/>
        <v/>
      </c>
      <c r="M711" s="64" t="str">
        <f t="shared" si="6"/>
        <v/>
      </c>
      <c r="N711" s="66" t="str">
        <f>IFERROR(__xludf.DUMMYFUNCTION("IFERROR(GOOGLEFINANCE(A711,""TRADETIME""),)"),"")</f>
        <v/>
      </c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67" t="s">
        <v>758</v>
      </c>
      <c r="B712" s="60" t="str">
        <f>IFERROR(__xludf.DUMMYFUNCTION("IFERROR(GOOGLEFINANCE(A712,""NAME""),)"),"Jindal Photo Limited")</f>
        <v>Jindal Photo Limited</v>
      </c>
      <c r="C712" s="60">
        <f>IFERROR(__xludf.DUMMYFUNCTION("IFERROR(GOOGLEFINANCE(A712,""CHANGE""),)"),-2.2)</f>
        <v>-2.2</v>
      </c>
      <c r="D712" s="60">
        <f>IFERROR(__xludf.DUMMYFUNCTION("IFERROR(GOOGLEFINANCE(A712,""CHANGEPCT""),)"),-0.19)</f>
        <v>-0.19</v>
      </c>
      <c r="E712" s="60" t="str">
        <f t="shared" si="1"/>
        <v>-0.19%</v>
      </c>
      <c r="F712" s="60" t="str">
        <f t="shared" si="2"/>
        <v/>
      </c>
      <c r="G712" s="60">
        <f t="shared" si="3"/>
        <v>-0.19</v>
      </c>
      <c r="H712" s="60">
        <f>IFERROR(__xludf.DUMMYFUNCTION("IFERROR(GOOGLEFINANCE(A712,""PRICE""),)"),1128.0)</f>
        <v>1128</v>
      </c>
      <c r="I712" s="61">
        <f>IFERROR(__xludf.DUMMYFUNCTION("IFERROR(GOOGLEFINANCE(A712,""VOLUME""),)"),10662.0)</f>
        <v>10662</v>
      </c>
      <c r="J712" s="60" t="str">
        <f>IFERROR(__xludf.DUMMYFUNCTION("IFERROR(INDEX(SPLIT(A712,"":""),1,2),)"),"JINDALPHOT")</f>
        <v>JINDALPHOT</v>
      </c>
      <c r="K712" s="60" t="str">
        <f t="shared" si="4"/>
        <v/>
      </c>
      <c r="L712" s="60">
        <f t="shared" si="5"/>
        <v>48</v>
      </c>
      <c r="M712" s="60">
        <f t="shared" si="6"/>
        <v>1255</v>
      </c>
      <c r="N712" s="62">
        <f>IFERROR(__xludf.DUMMYFUNCTION("IFERROR(GOOGLEFINANCE(A712,""TRADETIME""),)"),46086.64586805555)</f>
        <v>46086.64587</v>
      </c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68" t="s">
        <v>759</v>
      </c>
      <c r="B713" s="64" t="str">
        <f>IFERROR(__xludf.DUMMYFUNCTION("IFERROR(GOOGLEFINANCE(A713,""NAME""),)"),"Jindal Poly Films Ltd")</f>
        <v>Jindal Poly Films Ltd</v>
      </c>
      <c r="C713" s="64">
        <f>IFERROR(__xludf.DUMMYFUNCTION("IFERROR(GOOGLEFINANCE(A713,""CHANGE""),)"),71.35)</f>
        <v>71.35</v>
      </c>
      <c r="D713" s="64">
        <f>IFERROR(__xludf.DUMMYFUNCTION("IFERROR(GOOGLEFINANCE(A713,""CHANGEPCT""),)"),10.58)</f>
        <v>10.58</v>
      </c>
      <c r="E713" s="64" t="str">
        <f t="shared" si="1"/>
        <v>10.58%</v>
      </c>
      <c r="F713" s="64">
        <f t="shared" si="2"/>
        <v>10.58</v>
      </c>
      <c r="G713" s="64" t="str">
        <f t="shared" si="3"/>
        <v/>
      </c>
      <c r="H713" s="64">
        <f>IFERROR(__xludf.DUMMYFUNCTION("IFERROR(GOOGLEFINANCE(A713,""PRICE""),)"),735.0)</f>
        <v>735</v>
      </c>
      <c r="I713" s="65">
        <f>IFERROR(__xludf.DUMMYFUNCTION("IFERROR(GOOGLEFINANCE(A713,""VOLUME""),)"),2996977.0)</f>
        <v>2996977</v>
      </c>
      <c r="J713" s="64" t="str">
        <f>IFERROR(__xludf.DUMMYFUNCTION("IFERROR(INDEX(SPLIT(A713,"":""),1,2),)"),"JINDALPOLY")</f>
        <v>JINDALPOLY</v>
      </c>
      <c r="K713" s="64">
        <f t="shared" si="4"/>
        <v>10</v>
      </c>
      <c r="L713" s="64" t="str">
        <f t="shared" si="5"/>
        <v/>
      </c>
      <c r="M713" s="64">
        <f t="shared" si="6"/>
        <v>149</v>
      </c>
      <c r="N713" s="66">
        <f>IFERROR(__xludf.DUMMYFUNCTION("IFERROR(GOOGLEFINANCE(A713,""TRADETIME""),)"),46086.64584490741)</f>
        <v>46086.64584</v>
      </c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67" t="s">
        <v>760</v>
      </c>
      <c r="B714" s="60" t="str">
        <f>IFERROR(__xludf.DUMMYFUNCTION("IFERROR(GOOGLEFINANCE(A714,""NAME""),)"),"Jindal SAW Ltd")</f>
        <v>Jindal SAW Ltd</v>
      </c>
      <c r="C714" s="60">
        <f>IFERROR(__xludf.DUMMYFUNCTION("IFERROR(GOOGLEFINANCE(A714,""CHANGE""),)"),-0.04)</f>
        <v>-0.04</v>
      </c>
      <c r="D714" s="60">
        <f>IFERROR(__xludf.DUMMYFUNCTION("IFERROR(GOOGLEFINANCE(A714,""CHANGEPCT""),)"),-0.02)</f>
        <v>-0.02</v>
      </c>
      <c r="E714" s="60" t="str">
        <f t="shared" si="1"/>
        <v>-0.02%</v>
      </c>
      <c r="F714" s="60" t="str">
        <f t="shared" si="2"/>
        <v/>
      </c>
      <c r="G714" s="60">
        <f t="shared" si="3"/>
        <v>-0.02</v>
      </c>
      <c r="H714" s="60">
        <f>IFERROR(__xludf.DUMMYFUNCTION("IFERROR(GOOGLEFINANCE(A714,""PRICE""),)"),169.35)</f>
        <v>169.35</v>
      </c>
      <c r="I714" s="61">
        <f>IFERROR(__xludf.DUMMYFUNCTION("IFERROR(GOOGLEFINANCE(A714,""VOLUME""),)"),1857754.0)</f>
        <v>1857754</v>
      </c>
      <c r="J714" s="60" t="str">
        <f>IFERROR(__xludf.DUMMYFUNCTION("IFERROR(INDEX(SPLIT(A714,"":""),1,2),)"),"JINDALSAW")</f>
        <v>JINDALSAW</v>
      </c>
      <c r="K714" s="60" t="str">
        <f t="shared" si="4"/>
        <v/>
      </c>
      <c r="L714" s="60">
        <f t="shared" si="5"/>
        <v>3</v>
      </c>
      <c r="M714" s="60">
        <f t="shared" si="6"/>
        <v>218</v>
      </c>
      <c r="N714" s="62">
        <f>IFERROR(__xludf.DUMMYFUNCTION("IFERROR(GOOGLEFINANCE(A714,""TRADETIME""),)"),46086.64583333333)</f>
        <v>46086.64583</v>
      </c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68" t="s">
        <v>761</v>
      </c>
      <c r="B715" s="64" t="str">
        <f>IFERROR(__xludf.DUMMYFUNCTION("IFERROR(GOOGLEFINANCE(A715,""NAME""),)"),"Jindal Steel Ltd")</f>
        <v>Jindal Steel Ltd</v>
      </c>
      <c r="C715" s="64">
        <f>IFERROR(__xludf.DUMMYFUNCTION("IFERROR(GOOGLEFINANCE(A715,""CHANGE""),)"),15.6)</f>
        <v>15.6</v>
      </c>
      <c r="D715" s="64">
        <f>IFERROR(__xludf.DUMMYFUNCTION("IFERROR(GOOGLEFINANCE(A715,""CHANGEPCT""),)"),1.34)</f>
        <v>1.34</v>
      </c>
      <c r="E715" s="64" t="str">
        <f t="shared" si="1"/>
        <v>1.34%</v>
      </c>
      <c r="F715" s="64">
        <f t="shared" si="2"/>
        <v>1.34</v>
      </c>
      <c r="G715" s="64" t="str">
        <f t="shared" si="3"/>
        <v/>
      </c>
      <c r="H715" s="64">
        <f>IFERROR(__xludf.DUMMYFUNCTION("IFERROR(GOOGLEFINANCE(A715,""PRICE""),)"),1184.0)</f>
        <v>1184</v>
      </c>
      <c r="I715" s="65">
        <f>IFERROR(__xludf.DUMMYFUNCTION("IFERROR(GOOGLEFINANCE(A715,""VOLUME""),)"),788317.0)</f>
        <v>788317</v>
      </c>
      <c r="J715" s="64" t="str">
        <f>IFERROR(__xludf.DUMMYFUNCTION("IFERROR(INDEX(SPLIT(A715,"":""),1,2),)"),"JINDALSTEL")</f>
        <v>JINDALSTEL</v>
      </c>
      <c r="K715" s="64">
        <f t="shared" si="4"/>
        <v>621</v>
      </c>
      <c r="L715" s="64" t="str">
        <f t="shared" si="5"/>
        <v/>
      </c>
      <c r="M715" s="64">
        <f t="shared" si="6"/>
        <v>319</v>
      </c>
      <c r="N715" s="66">
        <f>IFERROR(__xludf.DUMMYFUNCTION("IFERROR(GOOGLEFINANCE(A715,""TRADETIME""),)"),46086.64583333333)</f>
        <v>46086.64583</v>
      </c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67" t="s">
        <v>762</v>
      </c>
      <c r="B716" s="60" t="str">
        <f>IFERROR(__xludf.DUMMYFUNCTION("IFERROR(GOOGLEFINANCE(A716,""NAME""),)"),"Jindal Drilling and Industries Ltd")</f>
        <v>Jindal Drilling and Industries Ltd</v>
      </c>
      <c r="C716" s="60">
        <f>IFERROR(__xludf.DUMMYFUNCTION("IFERROR(GOOGLEFINANCE(A716,""CHANGE""),)"),-20.3)</f>
        <v>-20.3</v>
      </c>
      <c r="D716" s="60">
        <f>IFERROR(__xludf.DUMMYFUNCTION("IFERROR(GOOGLEFINANCE(A716,""CHANGEPCT""),)"),-3.39)</f>
        <v>-3.39</v>
      </c>
      <c r="E716" s="60" t="str">
        <f t="shared" si="1"/>
        <v>-3.39%</v>
      </c>
      <c r="F716" s="60" t="str">
        <f t="shared" si="2"/>
        <v/>
      </c>
      <c r="G716" s="60">
        <f t="shared" si="3"/>
        <v>-3.39</v>
      </c>
      <c r="H716" s="60">
        <f>IFERROR(__xludf.DUMMYFUNCTION("IFERROR(GOOGLEFINANCE(A716,""PRICE""),)"),578.0)</f>
        <v>578</v>
      </c>
      <c r="I716" s="61">
        <f>IFERROR(__xludf.DUMMYFUNCTION("IFERROR(GOOGLEFINANCE(A716,""VOLUME""),)"),2.0787628E7)</f>
        <v>20787628</v>
      </c>
      <c r="J716" s="60" t="str">
        <f>IFERROR(__xludf.DUMMYFUNCTION("IFERROR(INDEX(SPLIT(A716,"":""),1,2),)"),"JINDRILL")</f>
        <v>JINDRILL</v>
      </c>
      <c r="K716" s="60" t="str">
        <f t="shared" si="4"/>
        <v/>
      </c>
      <c r="L716" s="60">
        <f t="shared" si="5"/>
        <v>417</v>
      </c>
      <c r="M716" s="60">
        <f t="shared" si="6"/>
        <v>26</v>
      </c>
      <c r="N716" s="62">
        <f>IFERROR(__xludf.DUMMYFUNCTION("IFERROR(GOOGLEFINANCE(A716,""TRADETIME""),)"),46086.64583333333)</f>
        <v>46086.64583</v>
      </c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68" t="s">
        <v>763</v>
      </c>
      <c r="B717" s="64" t="str">
        <f>IFERROR(__xludf.DUMMYFUNCTION("IFERROR(GOOGLEFINANCE(A717,""NAME""),)"),"Jindal Worldwide Ltd")</f>
        <v>Jindal Worldwide Ltd</v>
      </c>
      <c r="C717" s="64">
        <f>IFERROR(__xludf.DUMMYFUNCTION("IFERROR(GOOGLEFINANCE(A717,""CHANGE""),)"),0.12)</f>
        <v>0.12</v>
      </c>
      <c r="D717" s="64">
        <f>IFERROR(__xludf.DUMMYFUNCTION("IFERROR(GOOGLEFINANCE(A717,""CHANGEPCT""),)"),0.52)</f>
        <v>0.52</v>
      </c>
      <c r="E717" s="64" t="str">
        <f t="shared" si="1"/>
        <v>0.52%</v>
      </c>
      <c r="F717" s="64">
        <f t="shared" si="2"/>
        <v>0.52</v>
      </c>
      <c r="G717" s="64" t="str">
        <f t="shared" si="3"/>
        <v/>
      </c>
      <c r="H717" s="64">
        <f>IFERROR(__xludf.DUMMYFUNCTION("IFERROR(GOOGLEFINANCE(A717,""PRICE""),)"),23.3)</f>
        <v>23.3</v>
      </c>
      <c r="I717" s="65">
        <f>IFERROR(__xludf.DUMMYFUNCTION("IFERROR(GOOGLEFINANCE(A717,""VOLUME""),)"),491443.0)</f>
        <v>491443</v>
      </c>
      <c r="J717" s="64" t="str">
        <f>IFERROR(__xludf.DUMMYFUNCTION("IFERROR(INDEX(SPLIT(A717,"":""),1,2),)"),"JINDWORLD")</f>
        <v>JINDWORLD</v>
      </c>
      <c r="K717" s="64">
        <f t="shared" si="4"/>
        <v>874</v>
      </c>
      <c r="L717" s="64" t="str">
        <f t="shared" si="5"/>
        <v/>
      </c>
      <c r="M717" s="64">
        <f t="shared" si="6"/>
        <v>402</v>
      </c>
      <c r="N717" s="66">
        <f>IFERROR(__xludf.DUMMYFUNCTION("IFERROR(GOOGLEFINANCE(A717,""TRADETIME""),)"),46086.64583333333)</f>
        <v>46086.64583</v>
      </c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67" t="s">
        <v>764</v>
      </c>
      <c r="B718" s="60" t="str">
        <f>IFERROR(__xludf.DUMMYFUNCTION("IFERROR(GOOGLEFINANCE(A718,""NAME""),)"),"Jain Irrigation Systems Ord Shs DVR")</f>
        <v>Jain Irrigation Systems Ord Shs DVR</v>
      </c>
      <c r="C718" s="60">
        <f>IFERROR(__xludf.DUMMYFUNCTION("IFERROR(GOOGLEFINANCE(A718,""CHANGE""),)"),-0.02)</f>
        <v>-0.02</v>
      </c>
      <c r="D718" s="60">
        <f>IFERROR(__xludf.DUMMYFUNCTION("IFERROR(GOOGLEFINANCE(A718,""CHANGEPCT""),)"),-0.52)</f>
        <v>-0.52</v>
      </c>
      <c r="E718" s="60" t="str">
        <f t="shared" si="1"/>
        <v>-0.52%</v>
      </c>
      <c r="F718" s="60" t="str">
        <f t="shared" si="2"/>
        <v/>
      </c>
      <c r="G718" s="60">
        <f t="shared" si="3"/>
        <v>-0.52</v>
      </c>
      <c r="H718" s="60">
        <f>IFERROR(__xludf.DUMMYFUNCTION("IFERROR(GOOGLEFINANCE(A718,""PRICE""),)"),21.01)</f>
        <v>21.01</v>
      </c>
      <c r="I718" s="61">
        <f>IFERROR(__xludf.DUMMYFUNCTION("IFERROR(GOOGLEFINANCE(A718,""VOLUME""),)"),23283.0)</f>
        <v>23283</v>
      </c>
      <c r="J718" s="60" t="str">
        <f>IFERROR(__xludf.DUMMYFUNCTION("IFERROR(INDEX(SPLIT(A718,"":""),1,2),)"),"JISLDVREQS")</f>
        <v>JISLDVREQS</v>
      </c>
      <c r="K718" s="60" t="str">
        <f t="shared" si="4"/>
        <v/>
      </c>
      <c r="L718" s="60">
        <f t="shared" si="5"/>
        <v>124</v>
      </c>
      <c r="M718" s="60">
        <f t="shared" si="6"/>
        <v>1113</v>
      </c>
      <c r="N718" s="62">
        <f>IFERROR(__xludf.DUMMYFUNCTION("IFERROR(GOOGLEFINANCE(A718,""TRADETIME""),)"),46086.64583333333)</f>
        <v>46086.64583</v>
      </c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68" t="s">
        <v>765</v>
      </c>
      <c r="B719" s="64" t="str">
        <f>IFERROR(__xludf.DUMMYFUNCTION("IFERROR(GOOGLEFINANCE(A719,""NAME""),)"),"Jain Irrigation Systems Ltd")</f>
        <v>Jain Irrigation Systems Ltd</v>
      </c>
      <c r="C719" s="64">
        <f>IFERROR(__xludf.DUMMYFUNCTION("IFERROR(GOOGLEFINANCE(A719,""CHANGE""),)"),-0.24)</f>
        <v>-0.24</v>
      </c>
      <c r="D719" s="64">
        <f>IFERROR(__xludf.DUMMYFUNCTION("IFERROR(GOOGLEFINANCE(A719,""CHANGEPCT""),)"),-1.33)</f>
        <v>-1.33</v>
      </c>
      <c r="E719" s="64" t="str">
        <f t="shared" si="1"/>
        <v>-1.33%</v>
      </c>
      <c r="F719" s="64" t="str">
        <f t="shared" si="2"/>
        <v/>
      </c>
      <c r="G719" s="64">
        <f t="shared" si="3"/>
        <v>-1.33</v>
      </c>
      <c r="H719" s="64">
        <f>IFERROR(__xludf.DUMMYFUNCTION("IFERROR(GOOGLEFINANCE(A719,""PRICE""),)"),34.35)</f>
        <v>34.35</v>
      </c>
      <c r="I719" s="65">
        <f>IFERROR(__xludf.DUMMYFUNCTION("IFERROR(GOOGLEFINANCE(A719,""VOLUME""),)"),2591658.0)</f>
        <v>2591658</v>
      </c>
      <c r="J719" s="64" t="str">
        <f>IFERROR(__xludf.DUMMYFUNCTION("IFERROR(INDEX(SPLIT(A719,"":""),1,2),)"),"JISLJALEQS")</f>
        <v>JISLJALEQS</v>
      </c>
      <c r="K719" s="64" t="str">
        <f t="shared" si="4"/>
        <v/>
      </c>
      <c r="L719" s="64">
        <f t="shared" si="5"/>
        <v>269</v>
      </c>
      <c r="M719" s="64">
        <f t="shared" si="6"/>
        <v>167</v>
      </c>
      <c r="N719" s="66">
        <f>IFERROR(__xludf.DUMMYFUNCTION("IFERROR(GOOGLEFINANCE(A719,""TRADETIME""),)"),46086.64583333333)</f>
        <v>46086.64583</v>
      </c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67" t="s">
        <v>766</v>
      </c>
      <c r="B720" s="60" t="str">
        <f>IFERROR(__xludf.DUMMYFUNCTION("IFERROR(GOOGLEFINANCE(A720,""NAME""),)"),"JITF Infralogistics Ltd")</f>
        <v>JITF Infralogistics Ltd</v>
      </c>
      <c r="C720" s="60">
        <f>IFERROR(__xludf.DUMMYFUNCTION("IFERROR(GOOGLEFINANCE(A720,""CHANGE""),)"),14.95)</f>
        <v>14.95</v>
      </c>
      <c r="D720" s="60">
        <f>IFERROR(__xludf.DUMMYFUNCTION("IFERROR(GOOGLEFINANCE(A720,""CHANGEPCT""),)"),4.39)</f>
        <v>4.39</v>
      </c>
      <c r="E720" s="60" t="str">
        <f t="shared" si="1"/>
        <v>4.39%</v>
      </c>
      <c r="F720" s="60">
        <f t="shared" si="2"/>
        <v>4.39</v>
      </c>
      <c r="G720" s="60" t="str">
        <f t="shared" si="3"/>
        <v/>
      </c>
      <c r="H720" s="60">
        <f>IFERROR(__xludf.DUMMYFUNCTION("IFERROR(GOOGLEFINANCE(A720,""PRICE""),)"),355.8)</f>
        <v>355.8</v>
      </c>
      <c r="I720" s="61">
        <f>IFERROR(__xludf.DUMMYFUNCTION("IFERROR(GOOGLEFINANCE(A720,""VOLUME""),)"),47953.0)</f>
        <v>47953</v>
      </c>
      <c r="J720" s="60" t="str">
        <f>IFERROR(__xludf.DUMMYFUNCTION("IFERROR(INDEX(SPLIT(A720,"":""),1,2),)"),"JITFINFRA")</f>
        <v>JITFINFRA</v>
      </c>
      <c r="K720" s="60">
        <f t="shared" si="4"/>
        <v>117</v>
      </c>
      <c r="L720" s="60" t="str">
        <f t="shared" si="5"/>
        <v/>
      </c>
      <c r="M720" s="60">
        <f t="shared" si="6"/>
        <v>945</v>
      </c>
      <c r="N720" s="62">
        <f>IFERROR(__xludf.DUMMYFUNCTION("IFERROR(GOOGLEFINANCE(A720,""TRADETIME""),)"),46086.64583333333)</f>
        <v>46086.64583</v>
      </c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68" t="s">
        <v>767</v>
      </c>
      <c r="B721" s="64" t="str">
        <f>IFERROR(__xludf.DUMMYFUNCTION("IFERROR(GOOGLEFINANCE(A721,""NAME""),)"),"J K Cement Ltd")</f>
        <v>J K Cement Ltd</v>
      </c>
      <c r="C721" s="64">
        <f>IFERROR(__xludf.DUMMYFUNCTION("IFERROR(GOOGLEFINANCE(A721,""CHANGE""),)"),-16.5)</f>
        <v>-16.5</v>
      </c>
      <c r="D721" s="64">
        <f>IFERROR(__xludf.DUMMYFUNCTION("IFERROR(GOOGLEFINANCE(A721,""CHANGEPCT""),)"),-0.3)</f>
        <v>-0.3</v>
      </c>
      <c r="E721" s="64" t="str">
        <f t="shared" si="1"/>
        <v>-0.3%</v>
      </c>
      <c r="F721" s="64" t="str">
        <f t="shared" si="2"/>
        <v/>
      </c>
      <c r="G721" s="64">
        <f t="shared" si="3"/>
        <v>-0.3</v>
      </c>
      <c r="H721" s="64">
        <f>IFERROR(__xludf.DUMMYFUNCTION("IFERROR(GOOGLEFINANCE(A721,""PRICE""),)"),5510.5)</f>
        <v>5510.5</v>
      </c>
      <c r="I721" s="65">
        <f>IFERROR(__xludf.DUMMYFUNCTION("IFERROR(GOOGLEFINANCE(A721,""VOLUME""),)"),63870.0)</f>
        <v>63870</v>
      </c>
      <c r="J721" s="64" t="str">
        <f>IFERROR(__xludf.DUMMYFUNCTION("IFERROR(INDEX(SPLIT(A721,"":""),1,2),)"),"JKCEMENT")</f>
        <v>JKCEMENT</v>
      </c>
      <c r="K721" s="64" t="str">
        <f t="shared" si="4"/>
        <v/>
      </c>
      <c r="L721" s="64">
        <f t="shared" si="5"/>
        <v>78</v>
      </c>
      <c r="M721" s="64">
        <f t="shared" si="6"/>
        <v>864</v>
      </c>
      <c r="N721" s="66">
        <f>IFERROR(__xludf.DUMMYFUNCTION("IFERROR(GOOGLEFINANCE(A721,""TRADETIME""),)"),46086.64583333333)</f>
        <v>46086.64583</v>
      </c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67" t="s">
        <v>768</v>
      </c>
      <c r="B722" s="60" t="str">
        <f>IFERROR(__xludf.DUMMYFUNCTION("IFERROR(GOOGLEFINANCE(A722,""NAME""),)"),"J Kumar Infraprojects Ltd")</f>
        <v>J Kumar Infraprojects Ltd</v>
      </c>
      <c r="C722" s="60">
        <f>IFERROR(__xludf.DUMMYFUNCTION("IFERROR(GOOGLEFINANCE(A722,""CHANGE""),)"),-2.7)</f>
        <v>-2.7</v>
      </c>
      <c r="D722" s="60">
        <f>IFERROR(__xludf.DUMMYFUNCTION("IFERROR(GOOGLEFINANCE(A722,""CHANGEPCT""),)"),-0.84)</f>
        <v>-0.84</v>
      </c>
      <c r="E722" s="60" t="str">
        <f t="shared" si="1"/>
        <v>-0.84%</v>
      </c>
      <c r="F722" s="60" t="str">
        <f t="shared" si="2"/>
        <v/>
      </c>
      <c r="G722" s="60">
        <f t="shared" si="3"/>
        <v>-0.84</v>
      </c>
      <c r="H722" s="60">
        <f>IFERROR(__xludf.DUMMYFUNCTION("IFERROR(GOOGLEFINANCE(A722,""PRICE""),)"),479.0)</f>
        <v>479</v>
      </c>
      <c r="I722" s="61">
        <f>IFERROR(__xludf.DUMMYFUNCTION("IFERROR(GOOGLEFINANCE(A722,""VOLUME""),)"),139623.0)</f>
        <v>139623</v>
      </c>
      <c r="J722" s="60" t="str">
        <f>IFERROR(__xludf.DUMMYFUNCTION("IFERROR(INDEX(SPLIT(A722,"":""),1,2),)"),"JKIL")</f>
        <v>JKIL</v>
      </c>
      <c r="K722" s="60" t="str">
        <f t="shared" si="4"/>
        <v/>
      </c>
      <c r="L722" s="60">
        <f t="shared" si="5"/>
        <v>189</v>
      </c>
      <c r="M722" s="60">
        <f t="shared" si="6"/>
        <v>686</v>
      </c>
      <c r="N722" s="62">
        <f>IFERROR(__xludf.DUMMYFUNCTION("IFERROR(GOOGLEFINANCE(A722,""TRADETIME""),)"),46086.63952546296)</f>
        <v>46086.63953</v>
      </c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68" t="s">
        <v>769</v>
      </c>
      <c r="B723" s="64" t="str">
        <f>IFERROR(__xludf.DUMMYFUNCTION("IFERROR(GOOGLEFINANCE(A723,""NAME""),)"),"JK Lakshmi Cement Ltd")</f>
        <v>JK Lakshmi Cement Ltd</v>
      </c>
      <c r="C723" s="64">
        <f>IFERROR(__xludf.DUMMYFUNCTION("IFERROR(GOOGLEFINANCE(A723,""CHANGE""),)"),-4.05)</f>
        <v>-4.05</v>
      </c>
      <c r="D723" s="64">
        <f>IFERROR(__xludf.DUMMYFUNCTION("IFERROR(GOOGLEFINANCE(A723,""CHANGEPCT""),)"),-0.62)</f>
        <v>-0.62</v>
      </c>
      <c r="E723" s="64" t="str">
        <f t="shared" si="1"/>
        <v>-0.62%</v>
      </c>
      <c r="F723" s="64" t="str">
        <f t="shared" si="2"/>
        <v/>
      </c>
      <c r="G723" s="64">
        <f t="shared" si="3"/>
        <v>-0.62</v>
      </c>
      <c r="H723" s="64">
        <f>IFERROR(__xludf.DUMMYFUNCTION("IFERROR(GOOGLEFINANCE(A723,""PRICE""),)"),650.0)</f>
        <v>650</v>
      </c>
      <c r="I723" s="65">
        <f>IFERROR(__xludf.DUMMYFUNCTION("IFERROR(GOOGLEFINANCE(A723,""VOLUME""),)"),108745.0)</f>
        <v>108745</v>
      </c>
      <c r="J723" s="64" t="str">
        <f>IFERROR(__xludf.DUMMYFUNCTION("IFERROR(INDEX(SPLIT(A723,"":""),1,2),)"),"JKLAKSHMI")</f>
        <v>JKLAKSHMI</v>
      </c>
      <c r="K723" s="64" t="str">
        <f t="shared" si="4"/>
        <v/>
      </c>
      <c r="L723" s="64">
        <f t="shared" si="5"/>
        <v>149</v>
      </c>
      <c r="M723" s="64">
        <f t="shared" si="6"/>
        <v>743</v>
      </c>
      <c r="N723" s="66">
        <f>IFERROR(__xludf.DUMMYFUNCTION("IFERROR(GOOGLEFINANCE(A723,""TRADETIME""),)"),46086.64584490741)</f>
        <v>46086.64584</v>
      </c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67" t="s">
        <v>770</v>
      </c>
      <c r="B724" s="60" t="str">
        <f>IFERROR(__xludf.DUMMYFUNCTION("IFERROR(GOOGLEFINANCE(A724,""NAME""),)"),"JK Paper Ltd")</f>
        <v>JK Paper Ltd</v>
      </c>
      <c r="C724" s="60">
        <f>IFERROR(__xludf.DUMMYFUNCTION("IFERROR(GOOGLEFINANCE(A724,""CHANGE""),)"),0.25)</f>
        <v>0.25</v>
      </c>
      <c r="D724" s="60">
        <f>IFERROR(__xludf.DUMMYFUNCTION("IFERROR(GOOGLEFINANCE(A724,""CHANGEPCT""),)"),0.07)</f>
        <v>0.07</v>
      </c>
      <c r="E724" s="60" t="str">
        <f t="shared" si="1"/>
        <v>0.07%</v>
      </c>
      <c r="F724" s="60">
        <f t="shared" si="2"/>
        <v>0.07</v>
      </c>
      <c r="G724" s="60" t="str">
        <f t="shared" si="3"/>
        <v/>
      </c>
      <c r="H724" s="60">
        <f>IFERROR(__xludf.DUMMYFUNCTION("IFERROR(GOOGLEFINANCE(A724,""PRICE""),)"),337.0)</f>
        <v>337</v>
      </c>
      <c r="I724" s="61">
        <f>IFERROR(__xludf.DUMMYFUNCTION("IFERROR(GOOGLEFINANCE(A724,""VOLUME""),)"),194205.0)</f>
        <v>194205</v>
      </c>
      <c r="J724" s="60" t="str">
        <f>IFERROR(__xludf.DUMMYFUNCTION("IFERROR(INDEX(SPLIT(A724,"":""),1,2),)"),"JKPAPER")</f>
        <v>JKPAPER</v>
      </c>
      <c r="K724" s="60">
        <f t="shared" si="4"/>
        <v>983</v>
      </c>
      <c r="L724" s="60" t="str">
        <f t="shared" si="5"/>
        <v/>
      </c>
      <c r="M724" s="60">
        <f t="shared" si="6"/>
        <v>616</v>
      </c>
      <c r="N724" s="62">
        <f>IFERROR(__xludf.DUMMYFUNCTION("IFERROR(GOOGLEFINANCE(A724,""TRADETIME""),)"),46086.64585648148)</f>
        <v>46086.64586</v>
      </c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68" t="s">
        <v>771</v>
      </c>
      <c r="B725" s="64" t="str">
        <f>IFERROR(__xludf.DUMMYFUNCTION("IFERROR(GOOGLEFINANCE(A725,""NAME""),)"),"JK Tyre &amp; Industries Ltd")</f>
        <v>JK Tyre &amp; Industries Ltd</v>
      </c>
      <c r="C725" s="64">
        <f>IFERROR(__xludf.DUMMYFUNCTION("IFERROR(GOOGLEFINANCE(A725,""CHANGE""),)"),1.3)</f>
        <v>1.3</v>
      </c>
      <c r="D725" s="64">
        <f>IFERROR(__xludf.DUMMYFUNCTION("IFERROR(GOOGLEFINANCE(A725,""CHANGEPCT""),)"),0.3)</f>
        <v>0.3</v>
      </c>
      <c r="E725" s="64" t="str">
        <f t="shared" si="1"/>
        <v>0.3%</v>
      </c>
      <c r="F725" s="64">
        <f t="shared" si="2"/>
        <v>0.3</v>
      </c>
      <c r="G725" s="64" t="str">
        <f t="shared" si="3"/>
        <v/>
      </c>
      <c r="H725" s="64">
        <f>IFERROR(__xludf.DUMMYFUNCTION("IFERROR(GOOGLEFINANCE(A725,""PRICE""),)"),441.0)</f>
        <v>441</v>
      </c>
      <c r="I725" s="65">
        <f>IFERROR(__xludf.DUMMYFUNCTION("IFERROR(GOOGLEFINANCE(A725,""VOLUME""),)"),2355398.0)</f>
        <v>2355398</v>
      </c>
      <c r="J725" s="64" t="str">
        <f>IFERROR(__xludf.DUMMYFUNCTION("IFERROR(INDEX(SPLIT(A725,"":""),1,2),)"),"JKTYRE")</f>
        <v>JKTYRE</v>
      </c>
      <c r="K725" s="64">
        <f t="shared" si="4"/>
        <v>930</v>
      </c>
      <c r="L725" s="64" t="str">
        <f t="shared" si="5"/>
        <v/>
      </c>
      <c r="M725" s="64">
        <f t="shared" si="6"/>
        <v>178</v>
      </c>
      <c r="N725" s="66">
        <f>IFERROR(__xludf.DUMMYFUNCTION("IFERROR(GOOGLEFINANCE(A725,""TRADETIME""),)"),46086.64584490741)</f>
        <v>46086.64584</v>
      </c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9" t="s">
        <v>772</v>
      </c>
      <c r="B726" s="60" t="str">
        <f>IFERROR(__xludf.DUMMYFUNCTION("IFERROR(GOOGLEFINANCE(A726,""NAME""),)"),"Jullundur Motor Agency (Delhi) Ltd")</f>
        <v>Jullundur Motor Agency (Delhi) Ltd</v>
      </c>
      <c r="C726" s="60">
        <f>IFERROR(__xludf.DUMMYFUNCTION("IFERROR(GOOGLEFINANCE(A726,""CHANGE""),)"),0.04)</f>
        <v>0.04</v>
      </c>
      <c r="D726" s="60">
        <f>IFERROR(__xludf.DUMMYFUNCTION("IFERROR(GOOGLEFINANCE(A726,""CHANGEPCT""),)"),0.05)</f>
        <v>0.05</v>
      </c>
      <c r="E726" s="60" t="str">
        <f t="shared" si="1"/>
        <v>0.05%</v>
      </c>
      <c r="F726" s="60">
        <f t="shared" si="2"/>
        <v>0.05</v>
      </c>
      <c r="G726" s="60" t="str">
        <f t="shared" si="3"/>
        <v/>
      </c>
      <c r="H726" s="60">
        <f>IFERROR(__xludf.DUMMYFUNCTION("IFERROR(GOOGLEFINANCE(A726,""PRICE""),)"),85.9)</f>
        <v>85.9</v>
      </c>
      <c r="I726" s="61">
        <f>IFERROR(__xludf.DUMMYFUNCTION("IFERROR(GOOGLEFINANCE(A726,""VOLUME""),)"),6005.0)</f>
        <v>6005</v>
      </c>
      <c r="J726" s="60" t="str">
        <f>IFERROR(__xludf.DUMMYFUNCTION("IFERROR(INDEX(SPLIT(A726,"":""),1,2),)"),"JMA")</f>
        <v>JMA</v>
      </c>
      <c r="K726" s="60">
        <f t="shared" si="4"/>
        <v>988</v>
      </c>
      <c r="L726" s="60" t="str">
        <f t="shared" si="5"/>
        <v/>
      </c>
      <c r="M726" s="60">
        <f t="shared" si="6"/>
        <v>1325</v>
      </c>
      <c r="N726" s="62">
        <f>IFERROR(__xludf.DUMMYFUNCTION("IFERROR(GOOGLEFINANCE(A726,""TRADETIME""),)"),46086.64583333333)</f>
        <v>46086.64583</v>
      </c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63" t="s">
        <v>773</v>
      </c>
      <c r="B727" s="64" t="str">
        <f>IFERROR(__xludf.DUMMYFUNCTION("IFERROR(GOOGLEFINANCE(A727,""NAME""),)"),"Kernex Microsystems (India) Limited")</f>
        <v>Kernex Microsystems (India) Limited</v>
      </c>
      <c r="C727" s="64">
        <f>IFERROR(__xludf.DUMMYFUNCTION("IFERROR(GOOGLEFINANCE(A727,""CHANGE""),)"),15.0)</f>
        <v>15</v>
      </c>
      <c r="D727" s="64">
        <f>IFERROR(__xludf.DUMMYFUNCTION("IFERROR(GOOGLEFINANCE(A727,""CHANGEPCT""),)"),1.47)</f>
        <v>1.47</v>
      </c>
      <c r="E727" s="64" t="str">
        <f t="shared" si="1"/>
        <v>1.47%</v>
      </c>
      <c r="F727" s="64">
        <f t="shared" si="2"/>
        <v>1.47</v>
      </c>
      <c r="G727" s="64" t="str">
        <f t="shared" si="3"/>
        <v/>
      </c>
      <c r="H727" s="64">
        <f>IFERROR(__xludf.DUMMYFUNCTION("IFERROR(GOOGLEFINANCE(A727,""PRICE""),)"),1037.0)</f>
        <v>1037</v>
      </c>
      <c r="I727" s="65">
        <f>IFERROR(__xludf.DUMMYFUNCTION("IFERROR(GOOGLEFINANCE(A727,""VOLUME""),)"),90445.0)</f>
        <v>90445</v>
      </c>
      <c r="J727" s="64" t="str">
        <f>IFERROR(__xludf.DUMMYFUNCTION("IFERROR(INDEX(SPLIT(A727,"":""),1,2),)"),"KERNEX")</f>
        <v>KERNEX</v>
      </c>
      <c r="K727" s="64">
        <f t="shared" si="4"/>
        <v>581</v>
      </c>
      <c r="L727" s="64" t="str">
        <f t="shared" si="5"/>
        <v/>
      </c>
      <c r="M727" s="64">
        <f t="shared" si="6"/>
        <v>780</v>
      </c>
      <c r="N727" s="66">
        <f>IFERROR(__xludf.DUMMYFUNCTION("IFERROR(GOOGLEFINANCE(A727,""TRADETIME""),)"),46086.640451388885)</f>
        <v>46086.64045</v>
      </c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67" t="s">
        <v>774</v>
      </c>
      <c r="B728" s="60" t="str">
        <f>IFERROR(__xludf.DUMMYFUNCTION("IFERROR(GOOGLEFINANCE(A728,""NAME""),)"),"JM Financial Ltd")</f>
        <v>JM Financial Ltd</v>
      </c>
      <c r="C728" s="60">
        <f>IFERROR(__xludf.DUMMYFUNCTION("IFERROR(GOOGLEFINANCE(A728,""CHANGE""),)"),2.46)</f>
        <v>2.46</v>
      </c>
      <c r="D728" s="60">
        <f>IFERROR(__xludf.DUMMYFUNCTION("IFERROR(GOOGLEFINANCE(A728,""CHANGEPCT""),)"),2.01)</f>
        <v>2.01</v>
      </c>
      <c r="E728" s="60" t="str">
        <f t="shared" si="1"/>
        <v>2.01%</v>
      </c>
      <c r="F728" s="60">
        <f t="shared" si="2"/>
        <v>2.01</v>
      </c>
      <c r="G728" s="60" t="str">
        <f t="shared" si="3"/>
        <v/>
      </c>
      <c r="H728" s="60">
        <f>IFERROR(__xludf.DUMMYFUNCTION("IFERROR(GOOGLEFINANCE(A728,""PRICE""),)"),124.56)</f>
        <v>124.56</v>
      </c>
      <c r="I728" s="61">
        <f>IFERROR(__xludf.DUMMYFUNCTION("IFERROR(GOOGLEFINANCE(A728,""VOLUME""),)"),2510776.0)</f>
        <v>2510776</v>
      </c>
      <c r="J728" s="60" t="str">
        <f>IFERROR(__xludf.DUMMYFUNCTION("IFERROR(INDEX(SPLIT(A728,"":""),1,2),)"),"JMFINANCIL")</f>
        <v>JMFINANCIL</v>
      </c>
      <c r="K728" s="60">
        <f t="shared" si="4"/>
        <v>440</v>
      </c>
      <c r="L728" s="60" t="str">
        <f t="shared" si="5"/>
        <v/>
      </c>
      <c r="M728" s="60">
        <f t="shared" si="6"/>
        <v>173</v>
      </c>
      <c r="N728" s="62">
        <f>IFERROR(__xludf.DUMMYFUNCTION("IFERROR(GOOGLEFINANCE(A728,""TRADETIME""),)"),46086.64583333333)</f>
        <v>46086.64583</v>
      </c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68" t="s">
        <v>775</v>
      </c>
      <c r="B729" s="64" t="str">
        <f>IFERROR(__xludf.DUMMYFUNCTION("IFERROR(GOOGLEFINANCE(A729,""NAME""),)"),"Jocil Ltd")</f>
        <v>Jocil Ltd</v>
      </c>
      <c r="C729" s="64">
        <f>IFERROR(__xludf.DUMMYFUNCTION("IFERROR(GOOGLEFINANCE(A729,""CHANGE""),)"),2.83)</f>
        <v>2.83</v>
      </c>
      <c r="D729" s="64">
        <f>IFERROR(__xludf.DUMMYFUNCTION("IFERROR(GOOGLEFINANCE(A729,""CHANGEPCT""),)"),-0.11)</f>
        <v>-0.11</v>
      </c>
      <c r="E729" s="64" t="str">
        <f t="shared" si="1"/>
        <v>-0.11%</v>
      </c>
      <c r="F729" s="64" t="str">
        <f t="shared" si="2"/>
        <v/>
      </c>
      <c r="G729" s="64">
        <f t="shared" si="3"/>
        <v>-0.11</v>
      </c>
      <c r="H729" s="64">
        <f>IFERROR(__xludf.DUMMYFUNCTION("IFERROR(GOOGLEFINANCE(A729,""PRICE""),)"),127.0)</f>
        <v>127</v>
      </c>
      <c r="I729" s="65">
        <f>IFERROR(__xludf.DUMMYFUNCTION("IFERROR(GOOGLEFINANCE(A729,""VOLUME""),)"),1344.0)</f>
        <v>1344</v>
      </c>
      <c r="J729" s="64" t="str">
        <f>IFERROR(__xludf.DUMMYFUNCTION("IFERROR(INDEX(SPLIT(A729,"":""),1,2),)"),"JOCIL")</f>
        <v>JOCIL</v>
      </c>
      <c r="K729" s="64" t="str">
        <f t="shared" si="4"/>
        <v/>
      </c>
      <c r="L729" s="64">
        <f t="shared" si="5"/>
        <v>31</v>
      </c>
      <c r="M729" s="64">
        <f t="shared" si="6"/>
        <v>1426</v>
      </c>
      <c r="N729" s="66">
        <f>IFERROR(__xludf.DUMMYFUNCTION("IFERROR(GOOGLEFINANCE(A729,""TRADETIME""),)"),46086.636099537034)</f>
        <v>46086.6361</v>
      </c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67" t="s">
        <v>776</v>
      </c>
      <c r="B730" s="60" t="str">
        <f>IFERROR(__xludf.DUMMYFUNCTION("IFERROR(GOOGLEFINANCE(A730,""NAME""),)"),"Jaiprakash Associates Limited")</f>
        <v>Jaiprakash Associates Limited</v>
      </c>
      <c r="C730" s="60">
        <f>IFERROR(__xludf.DUMMYFUNCTION("IFERROR(GOOGLEFINANCE(A730,""CHANGE""),)"),-0.07)</f>
        <v>-0.07</v>
      </c>
      <c r="D730" s="60">
        <f>IFERROR(__xludf.DUMMYFUNCTION("IFERROR(GOOGLEFINANCE(A730,""CHANGEPCT""),)"),-2.69)</f>
        <v>-2.69</v>
      </c>
      <c r="E730" s="60" t="str">
        <f t="shared" si="1"/>
        <v>-2.69%</v>
      </c>
      <c r="F730" s="60" t="str">
        <f t="shared" si="2"/>
        <v/>
      </c>
      <c r="G730" s="60">
        <f t="shared" si="3"/>
        <v>-2.69</v>
      </c>
      <c r="H730" s="60">
        <f>IFERROR(__xludf.DUMMYFUNCTION("IFERROR(GOOGLEFINANCE(A730,""PRICE""),)"),2.53)</f>
        <v>2.53</v>
      </c>
      <c r="I730" s="61">
        <f>IFERROR(__xludf.DUMMYFUNCTION("IFERROR(GOOGLEFINANCE(A730,""VOLUME""),)"),8196647.0)</f>
        <v>8196647</v>
      </c>
      <c r="J730" s="60" t="str">
        <f>IFERROR(__xludf.DUMMYFUNCTION("IFERROR(INDEX(SPLIT(A730,"":""),1,2),)"),"JPASSOCIAT")</f>
        <v>JPASSOCIAT</v>
      </c>
      <c r="K730" s="60" t="str">
        <f t="shared" si="4"/>
        <v/>
      </c>
      <c r="L730" s="60">
        <f t="shared" si="5"/>
        <v>395</v>
      </c>
      <c r="M730" s="60">
        <f t="shared" si="6"/>
        <v>73</v>
      </c>
      <c r="N730" s="62">
        <f>IFERROR(__xludf.DUMMYFUNCTION("IFERROR(GOOGLEFINANCE(A730,""TRADETIME""),)"),46086.64585648148)</f>
        <v>46086.64586</v>
      </c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68" t="s">
        <v>777</v>
      </c>
      <c r="B731" s="64" t="str">
        <f>IFERROR(__xludf.DUMMYFUNCTION("IFERROR(GOOGLEFINANCE(A731,""NAME""),)"),"")</f>
        <v/>
      </c>
      <c r="C731" s="64" t="str">
        <f>IFERROR(__xludf.DUMMYFUNCTION("IFERROR(GOOGLEFINANCE(A731,""CHANGE""),)"),"")</f>
        <v/>
      </c>
      <c r="D731" s="64" t="str">
        <f>IFERROR(__xludf.DUMMYFUNCTION("IFERROR(GOOGLEFINANCE(A731,""CHANGEPCT""),)"),"")</f>
        <v/>
      </c>
      <c r="E731" s="64" t="str">
        <f t="shared" si="1"/>
        <v>%</v>
      </c>
      <c r="F731" s="64" t="str">
        <f t="shared" si="2"/>
        <v/>
      </c>
      <c r="G731" s="64" t="str">
        <f t="shared" si="3"/>
        <v/>
      </c>
      <c r="H731" s="64" t="str">
        <f>IFERROR(__xludf.DUMMYFUNCTION("IFERROR(GOOGLEFINANCE(A731,""PRICE""),)"),"")</f>
        <v/>
      </c>
      <c r="I731" s="65" t="str">
        <f>IFERROR(__xludf.DUMMYFUNCTION("IFERROR(GOOGLEFINANCE(A731,""VOLUME""),)"),"")</f>
        <v/>
      </c>
      <c r="J731" s="64" t="str">
        <f>IFERROR(__xludf.DUMMYFUNCTION("IFERROR(INDEX(SPLIT(A731,"":""),1,2),)"),"JPINFRATEC")</f>
        <v>JPINFRATEC</v>
      </c>
      <c r="K731" s="64" t="str">
        <f t="shared" si="4"/>
        <v/>
      </c>
      <c r="L731" s="64" t="str">
        <f t="shared" si="5"/>
        <v/>
      </c>
      <c r="M731" s="64" t="str">
        <f t="shared" si="6"/>
        <v/>
      </c>
      <c r="N731" s="66" t="str">
        <f>IFERROR(__xludf.DUMMYFUNCTION("IFERROR(GOOGLEFINANCE(A731,""TRADETIME""),)"),"")</f>
        <v/>
      </c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67" t="s">
        <v>778</v>
      </c>
      <c r="B732" s="60" t="str">
        <f>IFERROR(__xludf.DUMMYFUNCTION("IFERROR(GOOGLEFINANCE(A732,""NAME""),)"),"Jaiprakash Power Ventures Ltd")</f>
        <v>Jaiprakash Power Ventures Ltd</v>
      </c>
      <c r="C732" s="60">
        <f>IFERROR(__xludf.DUMMYFUNCTION("IFERROR(GOOGLEFINANCE(A732,""CHANGE""),)"),0.01)</f>
        <v>0.01</v>
      </c>
      <c r="D732" s="60">
        <f>IFERROR(__xludf.DUMMYFUNCTION("IFERROR(GOOGLEFINANCE(A732,""CHANGEPCT""),)"),0.07)</f>
        <v>0.07</v>
      </c>
      <c r="E732" s="60" t="str">
        <f t="shared" si="1"/>
        <v>0.07%</v>
      </c>
      <c r="F732" s="60">
        <f t="shared" si="2"/>
        <v>0.07</v>
      </c>
      <c r="G732" s="60" t="str">
        <f t="shared" si="3"/>
        <v/>
      </c>
      <c r="H732" s="60">
        <f>IFERROR(__xludf.DUMMYFUNCTION("IFERROR(GOOGLEFINANCE(A732,""PRICE""),)"),13.96)</f>
        <v>13.96</v>
      </c>
      <c r="I732" s="61">
        <f>IFERROR(__xludf.DUMMYFUNCTION("IFERROR(GOOGLEFINANCE(A732,""VOLUME""),)"),2.6823453E7)</f>
        <v>26823453</v>
      </c>
      <c r="J732" s="60" t="str">
        <f>IFERROR(__xludf.DUMMYFUNCTION("IFERROR(INDEX(SPLIT(A732,"":""),1,2),)"),"JPPOWER")</f>
        <v>JPPOWER</v>
      </c>
      <c r="K732" s="60">
        <f t="shared" si="4"/>
        <v>984</v>
      </c>
      <c r="L732" s="60" t="str">
        <f t="shared" si="5"/>
        <v/>
      </c>
      <c r="M732" s="60">
        <f t="shared" si="6"/>
        <v>16</v>
      </c>
      <c r="N732" s="62">
        <f>IFERROR(__xludf.DUMMYFUNCTION("IFERROR(GOOGLEFINANCE(A732,""TRADETIME""),)"),46086.64583333333)</f>
        <v>46086.64583</v>
      </c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68" t="s">
        <v>779</v>
      </c>
      <c r="B733" s="64" t="str">
        <f>IFERROR(__xludf.DUMMYFUNCTION("IFERROR(GOOGLEFINANCE(A733,""NAME""),)"),"Jindal Stainless Ltd")</f>
        <v>Jindal Stainless Ltd</v>
      </c>
      <c r="C733" s="64">
        <f>IFERROR(__xludf.DUMMYFUNCTION("IFERROR(GOOGLEFINANCE(A733,""CHANGE""),)"),12.95)</f>
        <v>12.95</v>
      </c>
      <c r="D733" s="64">
        <f>IFERROR(__xludf.DUMMYFUNCTION("IFERROR(GOOGLEFINANCE(A733,""CHANGEPCT""),)"),1.74)</f>
        <v>1.74</v>
      </c>
      <c r="E733" s="64" t="str">
        <f t="shared" si="1"/>
        <v>1.74%</v>
      </c>
      <c r="F733" s="64">
        <f t="shared" si="2"/>
        <v>1.74</v>
      </c>
      <c r="G733" s="64" t="str">
        <f t="shared" si="3"/>
        <v/>
      </c>
      <c r="H733" s="64">
        <f>IFERROR(__xludf.DUMMYFUNCTION("IFERROR(GOOGLEFINANCE(A733,""PRICE""),)"),767.9)</f>
        <v>767.9</v>
      </c>
      <c r="I733" s="65">
        <f>IFERROR(__xludf.DUMMYFUNCTION("IFERROR(GOOGLEFINANCE(A733,""VOLUME""),)"),1134033.0)</f>
        <v>1134033</v>
      </c>
      <c r="J733" s="64" t="str">
        <f>IFERROR(__xludf.DUMMYFUNCTION("IFERROR(INDEX(SPLIT(A733,"":""),1,2),)"),"JSL")</f>
        <v>JSL</v>
      </c>
      <c r="K733" s="64">
        <f t="shared" si="4"/>
        <v>511</v>
      </c>
      <c r="L733" s="64" t="str">
        <f t="shared" si="5"/>
        <v/>
      </c>
      <c r="M733" s="64">
        <f t="shared" si="6"/>
        <v>269</v>
      </c>
      <c r="N733" s="66">
        <f>IFERROR(__xludf.DUMMYFUNCTION("IFERROR(GOOGLEFINANCE(A733,""TRADETIME""),)"),46086.64584490741)</f>
        <v>46086.64584</v>
      </c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9" t="s">
        <v>780</v>
      </c>
      <c r="B734" s="60" t="str">
        <f>IFERROR(__xludf.DUMMYFUNCTION("IFERROR(GOOGLEFINANCE(A734,""NAME""),)"),"")</f>
        <v/>
      </c>
      <c r="C734" s="60" t="str">
        <f>IFERROR(__xludf.DUMMYFUNCTION("IFERROR(GOOGLEFINANCE(A734,""CHANGE""),)"),"")</f>
        <v/>
      </c>
      <c r="D734" s="60" t="str">
        <f>IFERROR(__xludf.DUMMYFUNCTION("IFERROR(GOOGLEFINANCE(A734,""CHANGEPCT""),)"),"")</f>
        <v/>
      </c>
      <c r="E734" s="60" t="str">
        <f t="shared" si="1"/>
        <v>%</v>
      </c>
      <c r="F734" s="60" t="str">
        <f t="shared" si="2"/>
        <v/>
      </c>
      <c r="G734" s="60" t="str">
        <f t="shared" si="3"/>
        <v/>
      </c>
      <c r="H734" s="60" t="str">
        <f>IFERROR(__xludf.DUMMYFUNCTION("IFERROR(GOOGLEFINANCE(A734,""PRICE""),)"),"")</f>
        <v/>
      </c>
      <c r="I734" s="61" t="str">
        <f>IFERROR(__xludf.DUMMYFUNCTION("IFERROR(GOOGLEFINANCE(A734,""VOLUME""),)"),"")</f>
        <v/>
      </c>
      <c r="J734" s="60" t="str">
        <f>IFERROR(__xludf.DUMMYFUNCTION("IFERROR(INDEX(SPLIT(A734,"":""),1,2),)"),"JSLHISAR")</f>
        <v>JSLHISAR</v>
      </c>
      <c r="K734" s="60" t="str">
        <f t="shared" si="4"/>
        <v/>
      </c>
      <c r="L734" s="60" t="str">
        <f t="shared" si="5"/>
        <v/>
      </c>
      <c r="M734" s="60" t="str">
        <f t="shared" si="6"/>
        <v/>
      </c>
      <c r="N734" s="62" t="str">
        <f>IFERROR(__xludf.DUMMYFUNCTION("IFERROR(GOOGLEFINANCE(A734,""TRADETIME""),)"),"")</f>
        <v/>
      </c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68" t="s">
        <v>781</v>
      </c>
      <c r="B735" s="64" t="str">
        <f>IFERROR(__xludf.DUMMYFUNCTION("IFERROR(GOOGLEFINANCE(A735,""NAME""),)"),"JSW Energy Ltd")</f>
        <v>JSW Energy Ltd</v>
      </c>
      <c r="C735" s="64">
        <f>IFERROR(__xludf.DUMMYFUNCTION("IFERROR(GOOGLEFINANCE(A735,""CHANGE""),)"),13.85)</f>
        <v>13.85</v>
      </c>
      <c r="D735" s="64">
        <f>IFERROR(__xludf.DUMMYFUNCTION("IFERROR(GOOGLEFINANCE(A735,""CHANGEPCT""),)"),2.96)</f>
        <v>2.96</v>
      </c>
      <c r="E735" s="64" t="str">
        <f t="shared" si="1"/>
        <v>2.96%</v>
      </c>
      <c r="F735" s="64">
        <f t="shared" si="2"/>
        <v>2.96</v>
      </c>
      <c r="G735" s="64" t="str">
        <f t="shared" si="3"/>
        <v/>
      </c>
      <c r="H735" s="64">
        <f>IFERROR(__xludf.DUMMYFUNCTION("IFERROR(GOOGLEFINANCE(A735,""PRICE""),)"),481.9)</f>
        <v>481.9</v>
      </c>
      <c r="I735" s="65">
        <f>IFERROR(__xludf.DUMMYFUNCTION("IFERROR(GOOGLEFINANCE(A735,""VOLUME""),)"),1464662.0)</f>
        <v>1464662</v>
      </c>
      <c r="J735" s="64" t="str">
        <f>IFERROR(__xludf.DUMMYFUNCTION("IFERROR(INDEX(SPLIT(A735,"":""),1,2),)"),"JSWENERGY")</f>
        <v>JSWENERGY</v>
      </c>
      <c r="K735" s="64">
        <f t="shared" si="4"/>
        <v>263</v>
      </c>
      <c r="L735" s="64" t="str">
        <f t="shared" si="5"/>
        <v/>
      </c>
      <c r="M735" s="64">
        <f t="shared" si="6"/>
        <v>242</v>
      </c>
      <c r="N735" s="66">
        <f>IFERROR(__xludf.DUMMYFUNCTION("IFERROR(GOOGLEFINANCE(A735,""TRADETIME""),)"),46086.64585648148)</f>
        <v>46086.64586</v>
      </c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67" t="s">
        <v>782</v>
      </c>
      <c r="B736" s="60" t="str">
        <f>IFERROR(__xludf.DUMMYFUNCTION("IFERROR(GOOGLEFINANCE(A736,""NAME""),)"),"JSW Holdings Ltd")</f>
        <v>JSW Holdings Ltd</v>
      </c>
      <c r="C736" s="60">
        <f>IFERROR(__xludf.DUMMYFUNCTION("IFERROR(GOOGLEFINANCE(A736,""CHANGE""),)"),41.0)</f>
        <v>41</v>
      </c>
      <c r="D736" s="60">
        <f>IFERROR(__xludf.DUMMYFUNCTION("IFERROR(GOOGLEFINANCE(A736,""CHANGEPCT""),)"),0.25)</f>
        <v>0.25</v>
      </c>
      <c r="E736" s="60" t="str">
        <f t="shared" si="1"/>
        <v>0.25%</v>
      </c>
      <c r="F736" s="60">
        <f t="shared" si="2"/>
        <v>0.25</v>
      </c>
      <c r="G736" s="60" t="str">
        <f t="shared" si="3"/>
        <v/>
      </c>
      <c r="H736" s="60">
        <f>IFERROR(__xludf.DUMMYFUNCTION("IFERROR(GOOGLEFINANCE(A736,""PRICE""),)"),16177.0)</f>
        <v>16177</v>
      </c>
      <c r="I736" s="61">
        <f>IFERROR(__xludf.DUMMYFUNCTION("IFERROR(GOOGLEFINANCE(A736,""VOLUME""),)"),1151.0)</f>
        <v>1151</v>
      </c>
      <c r="J736" s="60" t="str">
        <f>IFERROR(__xludf.DUMMYFUNCTION("IFERROR(INDEX(SPLIT(A736,"":""),1,2),)"),"JSWHL")</f>
        <v>JSWHL</v>
      </c>
      <c r="K736" s="60">
        <f t="shared" si="4"/>
        <v>938</v>
      </c>
      <c r="L736" s="60" t="str">
        <f t="shared" si="5"/>
        <v/>
      </c>
      <c r="M736" s="60">
        <f t="shared" si="6"/>
        <v>1429</v>
      </c>
      <c r="N736" s="62">
        <f>IFERROR(__xludf.DUMMYFUNCTION("IFERROR(GOOGLEFINANCE(A736,""TRADETIME""),)"),46086.64583333333)</f>
        <v>46086.64583</v>
      </c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68" t="s">
        <v>783</v>
      </c>
      <c r="B737" s="64" t="str">
        <f>IFERROR(__xludf.DUMMYFUNCTION("IFERROR(GOOGLEFINANCE(A737,""NAME""),)"),"")</f>
        <v/>
      </c>
      <c r="C737" s="64" t="str">
        <f>IFERROR(__xludf.DUMMYFUNCTION("IFERROR(GOOGLEFINANCE(A737,""CHANGE""),)"),"")</f>
        <v/>
      </c>
      <c r="D737" s="64" t="str">
        <f>IFERROR(__xludf.DUMMYFUNCTION("IFERROR(GOOGLEFINANCE(A737,""CHANGEPCT""),)"),"")</f>
        <v/>
      </c>
      <c r="E737" s="64" t="str">
        <f t="shared" si="1"/>
        <v>%</v>
      </c>
      <c r="F737" s="64" t="str">
        <f t="shared" si="2"/>
        <v/>
      </c>
      <c r="G737" s="64" t="str">
        <f t="shared" si="3"/>
        <v/>
      </c>
      <c r="H737" s="64" t="str">
        <f>IFERROR(__xludf.DUMMYFUNCTION("IFERROR(GOOGLEFINANCE(A737,""PRICE""),)"),"")</f>
        <v/>
      </c>
      <c r="I737" s="65" t="str">
        <f>IFERROR(__xludf.DUMMYFUNCTION("IFERROR(GOOGLEFINANCE(A737,""VOLUME""),)"),"")</f>
        <v/>
      </c>
      <c r="J737" s="64" t="str">
        <f>IFERROR(__xludf.DUMMYFUNCTION("IFERROR(INDEX(SPLIT(A737,"":""),1,2),)"),"JSWISPL")</f>
        <v>JSWISPL</v>
      </c>
      <c r="K737" s="64" t="str">
        <f t="shared" si="4"/>
        <v/>
      </c>
      <c r="L737" s="64" t="str">
        <f t="shared" si="5"/>
        <v/>
      </c>
      <c r="M737" s="64" t="str">
        <f t="shared" si="6"/>
        <v/>
      </c>
      <c r="N737" s="66" t="str">
        <f>IFERROR(__xludf.DUMMYFUNCTION("IFERROR(GOOGLEFINANCE(A737,""TRADETIME""),)"),"")</f>
        <v/>
      </c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67" t="s">
        <v>784</v>
      </c>
      <c r="B738" s="60" t="str">
        <f>IFERROR(__xludf.DUMMYFUNCTION("IFERROR(GOOGLEFINANCE(A738,""NAME""),)"),"JSW Steel Ltd")</f>
        <v>JSW Steel Ltd</v>
      </c>
      <c r="C738" s="60">
        <f>IFERROR(__xludf.DUMMYFUNCTION("IFERROR(GOOGLEFINANCE(A738,""CHANGE""),)"),36.0)</f>
        <v>36</v>
      </c>
      <c r="D738" s="60">
        <f>IFERROR(__xludf.DUMMYFUNCTION("IFERROR(GOOGLEFINANCE(A738,""CHANGEPCT""),)"),2.92)</f>
        <v>2.92</v>
      </c>
      <c r="E738" s="60" t="str">
        <f t="shared" si="1"/>
        <v>2.92%</v>
      </c>
      <c r="F738" s="60">
        <f t="shared" si="2"/>
        <v>2.92</v>
      </c>
      <c r="G738" s="60" t="str">
        <f t="shared" si="3"/>
        <v/>
      </c>
      <c r="H738" s="60">
        <f>IFERROR(__xludf.DUMMYFUNCTION("IFERROR(GOOGLEFINANCE(A738,""PRICE""),)"),1248.0)</f>
        <v>1248</v>
      </c>
      <c r="I738" s="61">
        <f>IFERROR(__xludf.DUMMYFUNCTION("IFERROR(GOOGLEFINANCE(A738,""VOLUME""),)"),1696036.0)</f>
        <v>1696036</v>
      </c>
      <c r="J738" s="60" t="str">
        <f>IFERROR(__xludf.DUMMYFUNCTION("IFERROR(INDEX(SPLIT(A738,"":""),1,2),)"),"JSWSTEEL")</f>
        <v>JSWSTEEL</v>
      </c>
      <c r="K738" s="60">
        <f t="shared" si="4"/>
        <v>270</v>
      </c>
      <c r="L738" s="60" t="str">
        <f t="shared" si="5"/>
        <v/>
      </c>
      <c r="M738" s="60">
        <f t="shared" si="6"/>
        <v>227</v>
      </c>
      <c r="N738" s="62">
        <f>IFERROR(__xludf.DUMMYFUNCTION("IFERROR(GOOGLEFINANCE(A738,""TRADETIME""),)"),46086.64583333333)</f>
        <v>46086.64583</v>
      </c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68" t="s">
        <v>785</v>
      </c>
      <c r="B739" s="64" t="str">
        <f>IFERROR(__xludf.DUMMYFUNCTION("IFERROR(GOOGLEFINANCE(A739,""NAME""),)"),"JTEKT India Ltd")</f>
        <v>JTEKT India Ltd</v>
      </c>
      <c r="C739" s="64">
        <f>IFERROR(__xludf.DUMMYFUNCTION("IFERROR(GOOGLEFINANCE(A739,""CHANGE""),)"),1.76)</f>
        <v>1.76</v>
      </c>
      <c r="D739" s="64">
        <f>IFERROR(__xludf.DUMMYFUNCTION("IFERROR(GOOGLEFINANCE(A739,""CHANGEPCT""),)"),1.36)</f>
        <v>1.36</v>
      </c>
      <c r="E739" s="64" t="str">
        <f t="shared" si="1"/>
        <v>1.36%</v>
      </c>
      <c r="F739" s="64">
        <f t="shared" si="2"/>
        <v>1.36</v>
      </c>
      <c r="G739" s="64" t="str">
        <f t="shared" si="3"/>
        <v/>
      </c>
      <c r="H739" s="64">
        <f>IFERROR(__xludf.DUMMYFUNCTION("IFERROR(GOOGLEFINANCE(A739,""PRICE""),)"),132.5)</f>
        <v>132.5</v>
      </c>
      <c r="I739" s="65">
        <f>IFERROR(__xludf.DUMMYFUNCTION("IFERROR(GOOGLEFINANCE(A739,""VOLUME""),)"),82856.0)</f>
        <v>82856</v>
      </c>
      <c r="J739" s="64" t="str">
        <f>IFERROR(__xludf.DUMMYFUNCTION("IFERROR(INDEX(SPLIT(A739,"":""),1,2),)"),"JTEKTINDIA")</f>
        <v>JTEKTINDIA</v>
      </c>
      <c r="K739" s="64">
        <f t="shared" si="4"/>
        <v>613</v>
      </c>
      <c r="L739" s="64" t="str">
        <f t="shared" si="5"/>
        <v/>
      </c>
      <c r="M739" s="64">
        <f t="shared" si="6"/>
        <v>804</v>
      </c>
      <c r="N739" s="66">
        <f>IFERROR(__xludf.DUMMYFUNCTION("IFERROR(GOOGLEFINANCE(A739,""TRADETIME""),)"),46086.64583333333)</f>
        <v>46086.64583</v>
      </c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67" t="s">
        <v>786</v>
      </c>
      <c r="B740" s="60" t="str">
        <f>IFERROR(__xludf.DUMMYFUNCTION("IFERROR(GOOGLEFINANCE(A740,""NAME""),)"),"Jubilant FoodWorks Ltd")</f>
        <v>Jubilant FoodWorks Ltd</v>
      </c>
      <c r="C740" s="60">
        <f>IFERROR(__xludf.DUMMYFUNCTION("IFERROR(GOOGLEFINANCE(A740,""CHANGE""),)"),2.0)</f>
        <v>2</v>
      </c>
      <c r="D740" s="60">
        <f>IFERROR(__xludf.DUMMYFUNCTION("IFERROR(GOOGLEFINANCE(A740,""CHANGEPCT""),)"),0.4)</f>
        <v>0.4</v>
      </c>
      <c r="E740" s="60" t="str">
        <f t="shared" si="1"/>
        <v>0.4%</v>
      </c>
      <c r="F740" s="60">
        <f t="shared" si="2"/>
        <v>0.4</v>
      </c>
      <c r="G740" s="60" t="str">
        <f t="shared" si="3"/>
        <v/>
      </c>
      <c r="H740" s="60">
        <f>IFERROR(__xludf.DUMMYFUNCTION("IFERROR(GOOGLEFINANCE(A740,""PRICE""),)"),501.5)</f>
        <v>501.5</v>
      </c>
      <c r="I740" s="61">
        <f>IFERROR(__xludf.DUMMYFUNCTION("IFERROR(GOOGLEFINANCE(A740,""VOLUME""),)"),1708256.0)</f>
        <v>1708256</v>
      </c>
      <c r="J740" s="60" t="str">
        <f>IFERROR(__xludf.DUMMYFUNCTION("IFERROR(INDEX(SPLIT(A740,"":""),1,2),)"),"JUBLFOOD")</f>
        <v>JUBLFOOD</v>
      </c>
      <c r="K740" s="60">
        <f t="shared" si="4"/>
        <v>904</v>
      </c>
      <c r="L740" s="60" t="str">
        <f t="shared" si="5"/>
        <v/>
      </c>
      <c r="M740" s="60">
        <f t="shared" si="6"/>
        <v>225</v>
      </c>
      <c r="N740" s="62">
        <f>IFERROR(__xludf.DUMMYFUNCTION("IFERROR(GOOGLEFINANCE(A740,""TRADETIME""),)"),46086.64583333333)</f>
        <v>46086.64583</v>
      </c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68" t="s">
        <v>787</v>
      </c>
      <c r="B741" s="64" t="str">
        <f>IFERROR(__xludf.DUMMYFUNCTION("IFERROR(GOOGLEFINANCE(A741,""NAME""),)"),"")</f>
        <v/>
      </c>
      <c r="C741" s="64" t="str">
        <f>IFERROR(__xludf.DUMMYFUNCTION("IFERROR(GOOGLEFINANCE(A741,""CHANGE""),)"),"")</f>
        <v/>
      </c>
      <c r="D741" s="64" t="str">
        <f>IFERROR(__xludf.DUMMYFUNCTION("IFERROR(GOOGLEFINANCE(A741,""CHANGEPCT""),)"),"")</f>
        <v/>
      </c>
      <c r="E741" s="64" t="str">
        <f t="shared" si="1"/>
        <v>%</v>
      </c>
      <c r="F741" s="64" t="str">
        <f t="shared" si="2"/>
        <v/>
      </c>
      <c r="G741" s="64" t="str">
        <f t="shared" si="3"/>
        <v/>
      </c>
      <c r="H741" s="64" t="str">
        <f>IFERROR(__xludf.DUMMYFUNCTION("IFERROR(GOOGLEFINANCE(A741,""PRICE""),)"),"")</f>
        <v/>
      </c>
      <c r="I741" s="65" t="str">
        <f>IFERROR(__xludf.DUMMYFUNCTION("IFERROR(GOOGLEFINANCE(A741,""VOLUME""),)"),"")</f>
        <v/>
      </c>
      <c r="J741" s="64" t="str">
        <f>IFERROR(__xludf.DUMMYFUNCTION("IFERROR(INDEX(SPLIT(A741,"":""),1,2),)"),"JUBLINDS")</f>
        <v>JUBLINDS</v>
      </c>
      <c r="K741" s="64" t="str">
        <f t="shared" si="4"/>
        <v/>
      </c>
      <c r="L741" s="64" t="str">
        <f t="shared" si="5"/>
        <v/>
      </c>
      <c r="M741" s="64" t="str">
        <f t="shared" si="6"/>
        <v/>
      </c>
      <c r="N741" s="66" t="str">
        <f>IFERROR(__xludf.DUMMYFUNCTION("IFERROR(GOOGLEFINANCE(A741,""TRADETIME""),)"),"")</f>
        <v/>
      </c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67" t="s">
        <v>788</v>
      </c>
      <c r="B742" s="60" t="str">
        <f>IFERROR(__xludf.DUMMYFUNCTION("IFERROR(GOOGLEFINANCE(A742,""NAME""),)"),"")</f>
        <v/>
      </c>
      <c r="C742" s="60" t="str">
        <f>IFERROR(__xludf.DUMMYFUNCTION("IFERROR(GOOGLEFINANCE(A742,""CHANGE""),)"),"")</f>
        <v/>
      </c>
      <c r="D742" s="60" t="str">
        <f>IFERROR(__xludf.DUMMYFUNCTION("IFERROR(GOOGLEFINANCE(A742,""CHANGEPCT""),)"),"")</f>
        <v/>
      </c>
      <c r="E742" s="60" t="str">
        <f t="shared" si="1"/>
        <v>%</v>
      </c>
      <c r="F742" s="60" t="str">
        <f t="shared" si="2"/>
        <v/>
      </c>
      <c r="G742" s="60" t="str">
        <f t="shared" si="3"/>
        <v/>
      </c>
      <c r="H742" s="60" t="str">
        <f>IFERROR(__xludf.DUMMYFUNCTION("IFERROR(GOOGLEFINANCE(A742,""PRICE""),)"),"")</f>
        <v/>
      </c>
      <c r="I742" s="61" t="str">
        <f>IFERROR(__xludf.DUMMYFUNCTION("IFERROR(GOOGLEFINANCE(A742,""VOLUME""),)"),"")</f>
        <v/>
      </c>
      <c r="J742" s="60" t="str">
        <f>IFERROR(__xludf.DUMMYFUNCTION("IFERROR(INDEX(SPLIT(A742,"":""),1,2),)"),"WINPRO")</f>
        <v>WINPRO</v>
      </c>
      <c r="K742" s="60" t="str">
        <f t="shared" si="4"/>
        <v/>
      </c>
      <c r="L742" s="60" t="str">
        <f t="shared" si="5"/>
        <v/>
      </c>
      <c r="M742" s="60" t="str">
        <f t="shared" si="6"/>
        <v/>
      </c>
      <c r="N742" s="62" t="str">
        <f>IFERROR(__xludf.DUMMYFUNCTION("IFERROR(GOOGLEFINANCE(A742,""TRADETIME""),)"),"")</f>
        <v/>
      </c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68" t="s">
        <v>789</v>
      </c>
      <c r="B743" s="64" t="str">
        <f>IFERROR(__xludf.DUMMYFUNCTION("IFERROR(GOOGLEFINANCE(A743,""NAME""),)"),"Just Dial Ltd")</f>
        <v>Just Dial Ltd</v>
      </c>
      <c r="C743" s="64">
        <f>IFERROR(__xludf.DUMMYFUNCTION("IFERROR(GOOGLEFINANCE(A743,""CHANGE""),)"),16.4)</f>
        <v>16.4</v>
      </c>
      <c r="D743" s="64">
        <f>IFERROR(__xludf.DUMMYFUNCTION("IFERROR(GOOGLEFINANCE(A743,""CHANGEPCT""),)"),3.13)</f>
        <v>3.13</v>
      </c>
      <c r="E743" s="64" t="str">
        <f t="shared" si="1"/>
        <v>3.13%</v>
      </c>
      <c r="F743" s="64">
        <f t="shared" si="2"/>
        <v>3.13</v>
      </c>
      <c r="G743" s="64" t="str">
        <f t="shared" si="3"/>
        <v/>
      </c>
      <c r="H743" s="64">
        <f>IFERROR(__xludf.DUMMYFUNCTION("IFERROR(GOOGLEFINANCE(A743,""PRICE""),)"),539.95)</f>
        <v>539.95</v>
      </c>
      <c r="I743" s="65">
        <f>IFERROR(__xludf.DUMMYFUNCTION("IFERROR(GOOGLEFINANCE(A743,""VOLUME""),)"),296909.0)</f>
        <v>296909</v>
      </c>
      <c r="J743" s="64" t="str">
        <f>IFERROR(__xludf.DUMMYFUNCTION("IFERROR(INDEX(SPLIT(A743,"":""),1,2),)"),"JUSTDIAL")</f>
        <v>JUSTDIAL</v>
      </c>
      <c r="K743" s="64">
        <f t="shared" si="4"/>
        <v>233</v>
      </c>
      <c r="L743" s="64" t="str">
        <f t="shared" si="5"/>
        <v/>
      </c>
      <c r="M743" s="64">
        <f t="shared" si="6"/>
        <v>510</v>
      </c>
      <c r="N743" s="66">
        <f>IFERROR(__xludf.DUMMYFUNCTION("IFERROR(GOOGLEFINANCE(A743,""TRADETIME""),)"),46086.64583333333)</f>
        <v>46086.64583</v>
      </c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67" t="s">
        <v>790</v>
      </c>
      <c r="B744" s="60" t="str">
        <f>IFERROR(__xludf.DUMMYFUNCTION("IFERROR(GOOGLEFINANCE(A744,""NAME""),)"),"Jyothy Labs Ltd")</f>
        <v>Jyothy Labs Ltd</v>
      </c>
      <c r="C744" s="60">
        <f>IFERROR(__xludf.DUMMYFUNCTION("IFERROR(GOOGLEFINANCE(A744,""CHANGE""),)"),1.7)</f>
        <v>1.7</v>
      </c>
      <c r="D744" s="60">
        <f>IFERROR(__xludf.DUMMYFUNCTION("IFERROR(GOOGLEFINANCE(A744,""CHANGEPCT""),)"),0.68)</f>
        <v>0.68</v>
      </c>
      <c r="E744" s="60" t="str">
        <f t="shared" si="1"/>
        <v>0.68%</v>
      </c>
      <c r="F744" s="60">
        <f t="shared" si="2"/>
        <v>0.68</v>
      </c>
      <c r="G744" s="60" t="str">
        <f t="shared" si="3"/>
        <v/>
      </c>
      <c r="H744" s="60">
        <f>IFERROR(__xludf.DUMMYFUNCTION("IFERROR(GOOGLEFINANCE(A744,""PRICE""),)"),250.0)</f>
        <v>250</v>
      </c>
      <c r="I744" s="61">
        <f>IFERROR(__xludf.DUMMYFUNCTION("IFERROR(GOOGLEFINANCE(A744,""VOLUME""),)"),229269.0)</f>
        <v>229269</v>
      </c>
      <c r="J744" s="60" t="str">
        <f>IFERROR(__xludf.DUMMYFUNCTION("IFERROR(INDEX(SPLIT(A744,"":""),1,2),)"),"JYOTHYLAB")</f>
        <v>JYOTHYLAB</v>
      </c>
      <c r="K744" s="60">
        <f t="shared" si="4"/>
        <v>824</v>
      </c>
      <c r="L744" s="60" t="str">
        <f t="shared" si="5"/>
        <v/>
      </c>
      <c r="M744" s="60">
        <f t="shared" si="6"/>
        <v>573</v>
      </c>
      <c r="N744" s="62">
        <f>IFERROR(__xludf.DUMMYFUNCTION("IFERROR(GOOGLEFINANCE(A744,""TRADETIME""),)"),46086.64583333333)</f>
        <v>46086.64583</v>
      </c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68" t="s">
        <v>791</v>
      </c>
      <c r="B745" s="64" t="str">
        <f>IFERROR(__xludf.DUMMYFUNCTION("IFERROR(GOOGLEFINANCE(A745,""NAME""),)"),"Kabra Extrusion Technik Ltd")</f>
        <v>Kabra Extrusion Technik Ltd</v>
      </c>
      <c r="C745" s="64">
        <f>IFERROR(__xludf.DUMMYFUNCTION("IFERROR(GOOGLEFINANCE(A745,""CHANGE""),)"),11.05)</f>
        <v>11.05</v>
      </c>
      <c r="D745" s="64">
        <f>IFERROR(__xludf.DUMMYFUNCTION("IFERROR(GOOGLEFINANCE(A745,""CHANGEPCT""),)"),4.61)</f>
        <v>4.61</v>
      </c>
      <c r="E745" s="64" t="str">
        <f t="shared" si="1"/>
        <v>4.61%</v>
      </c>
      <c r="F745" s="64">
        <f t="shared" si="2"/>
        <v>4.61</v>
      </c>
      <c r="G745" s="64" t="str">
        <f t="shared" si="3"/>
        <v/>
      </c>
      <c r="H745" s="64">
        <f>IFERROR(__xludf.DUMMYFUNCTION("IFERROR(GOOGLEFINANCE(A745,""PRICE""),)"),250.6)</f>
        <v>250.6</v>
      </c>
      <c r="I745" s="65">
        <f>IFERROR(__xludf.DUMMYFUNCTION("IFERROR(GOOGLEFINANCE(A745,""VOLUME""),)"),30024.0)</f>
        <v>30024</v>
      </c>
      <c r="J745" s="64" t="str">
        <f>IFERROR(__xludf.DUMMYFUNCTION("IFERROR(INDEX(SPLIT(A745,"":""),1,2),)"),"KABRAEXTRU")</f>
        <v>KABRAEXTRU</v>
      </c>
      <c r="K745" s="64">
        <f t="shared" si="4"/>
        <v>107</v>
      </c>
      <c r="L745" s="64" t="str">
        <f t="shared" si="5"/>
        <v/>
      </c>
      <c r="M745" s="64">
        <f t="shared" si="6"/>
        <v>1057</v>
      </c>
      <c r="N745" s="66">
        <f>IFERROR(__xludf.DUMMYFUNCTION("IFERROR(GOOGLEFINANCE(A745,""TRADETIME""),)"),46086.64583333333)</f>
        <v>46086.64583</v>
      </c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67" t="s">
        <v>792</v>
      </c>
      <c r="B746" s="60" t="str">
        <f>IFERROR(__xludf.DUMMYFUNCTION("IFERROR(GOOGLEFINANCE(A746,""NAME""),)"),"Kajaria Ceramics Ltd")</f>
        <v>Kajaria Ceramics Ltd</v>
      </c>
      <c r="C746" s="60">
        <f>IFERROR(__xludf.DUMMYFUNCTION("IFERROR(GOOGLEFINANCE(A746,""CHANGE""),)"),6.1)</f>
        <v>6.1</v>
      </c>
      <c r="D746" s="60">
        <f>IFERROR(__xludf.DUMMYFUNCTION("IFERROR(GOOGLEFINANCE(A746,""CHANGEPCT""),)"),0.65)</f>
        <v>0.65</v>
      </c>
      <c r="E746" s="60" t="str">
        <f t="shared" si="1"/>
        <v>0.65%</v>
      </c>
      <c r="F746" s="60">
        <f t="shared" si="2"/>
        <v>0.65</v>
      </c>
      <c r="G746" s="60" t="str">
        <f t="shared" si="3"/>
        <v/>
      </c>
      <c r="H746" s="60">
        <f>IFERROR(__xludf.DUMMYFUNCTION("IFERROR(GOOGLEFINANCE(A746,""PRICE""),)"),944.0)</f>
        <v>944</v>
      </c>
      <c r="I746" s="61">
        <f>IFERROR(__xludf.DUMMYFUNCTION("IFERROR(GOOGLEFINANCE(A746,""VOLUME""),)"),186798.0)</f>
        <v>186798</v>
      </c>
      <c r="J746" s="60" t="str">
        <f>IFERROR(__xludf.DUMMYFUNCTION("IFERROR(INDEX(SPLIT(A746,"":""),1,2),)"),"KAJARIACER")</f>
        <v>KAJARIACER</v>
      </c>
      <c r="K746" s="60">
        <f t="shared" si="4"/>
        <v>834</v>
      </c>
      <c r="L746" s="60" t="str">
        <f t="shared" si="5"/>
        <v/>
      </c>
      <c r="M746" s="60">
        <f t="shared" si="6"/>
        <v>624</v>
      </c>
      <c r="N746" s="62">
        <f>IFERROR(__xludf.DUMMYFUNCTION("IFERROR(GOOGLEFINANCE(A746,""TRADETIME""),)"),46086.64583333333)</f>
        <v>46086.64583</v>
      </c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68" t="s">
        <v>793</v>
      </c>
      <c r="B747" s="64" t="str">
        <f>IFERROR(__xludf.DUMMYFUNCTION("IFERROR(GOOGLEFINANCE(A747,""NAME""),)"),"Kakatiya Cement Sugar And Industries Ltd")</f>
        <v>Kakatiya Cement Sugar And Industries Ltd</v>
      </c>
      <c r="C747" s="64">
        <f>IFERROR(__xludf.DUMMYFUNCTION("IFERROR(GOOGLEFINANCE(A747,""CHANGE""),)"),-0.42)</f>
        <v>-0.42</v>
      </c>
      <c r="D747" s="64">
        <f>IFERROR(__xludf.DUMMYFUNCTION("IFERROR(GOOGLEFINANCE(A747,""CHANGEPCT""),)"),-0.39)</f>
        <v>-0.39</v>
      </c>
      <c r="E747" s="64" t="str">
        <f t="shared" si="1"/>
        <v>-0.39%</v>
      </c>
      <c r="F747" s="64" t="str">
        <f t="shared" si="2"/>
        <v/>
      </c>
      <c r="G747" s="64">
        <f t="shared" si="3"/>
        <v>-0.39</v>
      </c>
      <c r="H747" s="64">
        <f>IFERROR(__xludf.DUMMYFUNCTION("IFERROR(GOOGLEFINANCE(A747,""PRICE""),)"),107.15)</f>
        <v>107.15</v>
      </c>
      <c r="I747" s="65">
        <f>IFERROR(__xludf.DUMMYFUNCTION("IFERROR(GOOGLEFINANCE(A747,""VOLUME""),)"),2415.0)</f>
        <v>2415</v>
      </c>
      <c r="J747" s="64" t="str">
        <f>IFERROR(__xludf.DUMMYFUNCTION("IFERROR(INDEX(SPLIT(A747,"":""),1,2),)"),"KAKATCEM")</f>
        <v>KAKATCEM</v>
      </c>
      <c r="K747" s="64" t="str">
        <f t="shared" si="4"/>
        <v/>
      </c>
      <c r="L747" s="64">
        <f t="shared" si="5"/>
        <v>93</v>
      </c>
      <c r="M747" s="64">
        <f t="shared" si="6"/>
        <v>1395</v>
      </c>
      <c r="N747" s="66">
        <f>IFERROR(__xludf.DUMMYFUNCTION("IFERROR(GOOGLEFINANCE(A747,""TRADETIME""),)"),46086.64583333333)</f>
        <v>46086.64583</v>
      </c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67" t="s">
        <v>794</v>
      </c>
      <c r="B748" s="60" t="str">
        <f>IFERROR(__xludf.DUMMYFUNCTION("IFERROR(GOOGLEFINANCE(A748,""NAME""),)"),"")</f>
        <v/>
      </c>
      <c r="C748" s="60" t="str">
        <f>IFERROR(__xludf.DUMMYFUNCTION("IFERROR(GOOGLEFINANCE(A748,""CHANGE""),)"),"")</f>
        <v/>
      </c>
      <c r="D748" s="60" t="str">
        <f>IFERROR(__xludf.DUMMYFUNCTION("IFERROR(GOOGLEFINANCE(A748,""CHANGEPCT""),)"),"")</f>
        <v/>
      </c>
      <c r="E748" s="60" t="str">
        <f t="shared" si="1"/>
        <v>%</v>
      </c>
      <c r="F748" s="60" t="str">
        <f t="shared" si="2"/>
        <v/>
      </c>
      <c r="G748" s="60" t="str">
        <f t="shared" si="3"/>
        <v/>
      </c>
      <c r="H748" s="60" t="str">
        <f>IFERROR(__xludf.DUMMYFUNCTION("IFERROR(GOOGLEFINANCE(A748,""PRICE""),)"),"")</f>
        <v/>
      </c>
      <c r="I748" s="61" t="str">
        <f>IFERROR(__xludf.DUMMYFUNCTION("IFERROR(GOOGLEFINANCE(A748,""VOLUME""),)"),"")</f>
        <v/>
      </c>
      <c r="J748" s="60" t="str">
        <f>IFERROR(__xludf.DUMMYFUNCTION("IFERROR(INDEX(SPLIT(A748,"":""),1,2),)"),"KALPATPOWR")</f>
        <v>KALPATPOWR</v>
      </c>
      <c r="K748" s="60" t="str">
        <f t="shared" si="4"/>
        <v/>
      </c>
      <c r="L748" s="60" t="str">
        <f t="shared" si="5"/>
        <v/>
      </c>
      <c r="M748" s="60" t="str">
        <f t="shared" si="6"/>
        <v/>
      </c>
      <c r="N748" s="62" t="str">
        <f>IFERROR(__xludf.DUMMYFUNCTION("IFERROR(GOOGLEFINANCE(A748,""TRADETIME""),)"),"")</f>
        <v/>
      </c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68" t="s">
        <v>795</v>
      </c>
      <c r="B749" s="64" t="str">
        <f>IFERROR(__xludf.DUMMYFUNCTION("IFERROR(GOOGLEFINANCE(A749,""NAME""),)"),"Kalyani Forge Ltd")</f>
        <v>Kalyani Forge Ltd</v>
      </c>
      <c r="C749" s="64">
        <f>IFERROR(__xludf.DUMMYFUNCTION("IFERROR(GOOGLEFINANCE(A749,""CHANGE""),)"),12.8)</f>
        <v>12.8</v>
      </c>
      <c r="D749" s="64">
        <f>IFERROR(__xludf.DUMMYFUNCTION("IFERROR(GOOGLEFINANCE(A749,""CHANGEPCT""),)"),2.13)</f>
        <v>2.13</v>
      </c>
      <c r="E749" s="64" t="str">
        <f t="shared" si="1"/>
        <v>2.13%</v>
      </c>
      <c r="F749" s="64">
        <f t="shared" si="2"/>
        <v>2.13</v>
      </c>
      <c r="G749" s="64" t="str">
        <f t="shared" si="3"/>
        <v/>
      </c>
      <c r="H749" s="64">
        <f>IFERROR(__xludf.DUMMYFUNCTION("IFERROR(GOOGLEFINANCE(A749,""PRICE""),)"),613.95)</f>
        <v>613.95</v>
      </c>
      <c r="I749" s="65">
        <f>IFERROR(__xludf.DUMMYFUNCTION("IFERROR(GOOGLEFINANCE(A749,""VOLUME""),)"),955.0)</f>
        <v>955</v>
      </c>
      <c r="J749" s="64" t="str">
        <f>IFERROR(__xludf.DUMMYFUNCTION("IFERROR(INDEX(SPLIT(A749,"":""),1,2),)"),"KALYANIFRG")</f>
        <v>KALYANIFRG</v>
      </c>
      <c r="K749" s="64">
        <f t="shared" si="4"/>
        <v>412</v>
      </c>
      <c r="L749" s="64" t="str">
        <f t="shared" si="5"/>
        <v/>
      </c>
      <c r="M749" s="64">
        <f t="shared" si="6"/>
        <v>1432</v>
      </c>
      <c r="N749" s="66">
        <f>IFERROR(__xludf.DUMMYFUNCTION("IFERROR(GOOGLEFINANCE(A749,""TRADETIME""),)"),46086.64583333333)</f>
        <v>46086.64583</v>
      </c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9" t="s">
        <v>796</v>
      </c>
      <c r="B750" s="60" t="str">
        <f>IFERROR(__xludf.DUMMYFUNCTION("IFERROR(GOOGLEFINANCE(A750,""NAME""),)"),"Kilitch Drugs (India) Ltd")</f>
        <v>Kilitch Drugs (India) Ltd</v>
      </c>
      <c r="C750" s="60">
        <f>IFERROR(__xludf.DUMMYFUNCTION("IFERROR(GOOGLEFINANCE(A750,""CHANGE""),)"),6.2)</f>
        <v>6.2</v>
      </c>
      <c r="D750" s="60">
        <f>IFERROR(__xludf.DUMMYFUNCTION("IFERROR(GOOGLEFINANCE(A750,""CHANGEPCT""),)"),1.98)</f>
        <v>1.98</v>
      </c>
      <c r="E750" s="60" t="str">
        <f t="shared" si="1"/>
        <v>1.98%</v>
      </c>
      <c r="F750" s="60">
        <f t="shared" si="2"/>
        <v>1.98</v>
      </c>
      <c r="G750" s="60" t="str">
        <f t="shared" si="3"/>
        <v/>
      </c>
      <c r="H750" s="60">
        <f>IFERROR(__xludf.DUMMYFUNCTION("IFERROR(GOOGLEFINANCE(A750,""PRICE""),)"),318.75)</f>
        <v>318.75</v>
      </c>
      <c r="I750" s="61">
        <f>IFERROR(__xludf.DUMMYFUNCTION("IFERROR(GOOGLEFINANCE(A750,""VOLUME""),)"),4024.0)</f>
        <v>4024</v>
      </c>
      <c r="J750" s="60" t="str">
        <f>IFERROR(__xludf.DUMMYFUNCTION("IFERROR(INDEX(SPLIT(A750,"":""),1,2),)"),"KILITCH")</f>
        <v>KILITCH</v>
      </c>
      <c r="K750" s="60">
        <f t="shared" si="4"/>
        <v>445</v>
      </c>
      <c r="L750" s="60" t="str">
        <f t="shared" si="5"/>
        <v/>
      </c>
      <c r="M750" s="60">
        <f t="shared" si="6"/>
        <v>1368</v>
      </c>
      <c r="N750" s="62">
        <f>IFERROR(__xludf.DUMMYFUNCTION("IFERROR(GOOGLEFINANCE(A750,""TRADETIME""),)"),46086.64583333333)</f>
        <v>46086.64583</v>
      </c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68" t="s">
        <v>797</v>
      </c>
      <c r="B751" s="64" t="str">
        <f>IFERROR(__xludf.DUMMYFUNCTION("IFERROR(GOOGLEFINANCE(A751,""NAME""),)"),"Kamdhenu Ltd")</f>
        <v>Kamdhenu Ltd</v>
      </c>
      <c r="C751" s="64">
        <f>IFERROR(__xludf.DUMMYFUNCTION("IFERROR(GOOGLEFINANCE(A751,""CHANGE""),)"),0.24)</f>
        <v>0.24</v>
      </c>
      <c r="D751" s="64">
        <f>IFERROR(__xludf.DUMMYFUNCTION("IFERROR(GOOGLEFINANCE(A751,""CHANGEPCT""),)"),1.1)</f>
        <v>1.1</v>
      </c>
      <c r="E751" s="64" t="str">
        <f t="shared" si="1"/>
        <v>1.1%</v>
      </c>
      <c r="F751" s="64">
        <f t="shared" si="2"/>
        <v>1.1</v>
      </c>
      <c r="G751" s="64" t="str">
        <f t="shared" si="3"/>
        <v/>
      </c>
      <c r="H751" s="64">
        <f>IFERROR(__xludf.DUMMYFUNCTION("IFERROR(GOOGLEFINANCE(A751,""PRICE""),)"),22.1)</f>
        <v>22.1</v>
      </c>
      <c r="I751" s="65">
        <f>IFERROR(__xludf.DUMMYFUNCTION("IFERROR(GOOGLEFINANCE(A751,""VOLUME""),)"),1059175.0)</f>
        <v>1059175</v>
      </c>
      <c r="J751" s="64" t="str">
        <f>IFERROR(__xludf.DUMMYFUNCTION("IFERROR(INDEX(SPLIT(A751,"":""),1,2),)"),"KAMDHENU")</f>
        <v>KAMDHENU</v>
      </c>
      <c r="K751" s="64">
        <f t="shared" si="4"/>
        <v>689</v>
      </c>
      <c r="L751" s="64" t="str">
        <f t="shared" si="5"/>
        <v/>
      </c>
      <c r="M751" s="64">
        <f t="shared" si="6"/>
        <v>277</v>
      </c>
      <c r="N751" s="66">
        <f>IFERROR(__xludf.DUMMYFUNCTION("IFERROR(GOOGLEFINANCE(A751,""TRADETIME""),)"),46086.64583333333)</f>
        <v>46086.64583</v>
      </c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67" t="s">
        <v>798</v>
      </c>
      <c r="B752" s="60" t="str">
        <f>IFERROR(__xludf.DUMMYFUNCTION("IFERROR(GOOGLEFINANCE(A752,""NAME""),)"),"Kanani Industries Ltd")</f>
        <v>Kanani Industries Ltd</v>
      </c>
      <c r="C752" s="60">
        <f>IFERROR(__xludf.DUMMYFUNCTION("IFERROR(GOOGLEFINANCE(A752,""CHANGE""),)"),-0.04)</f>
        <v>-0.04</v>
      </c>
      <c r="D752" s="60">
        <f>IFERROR(__xludf.DUMMYFUNCTION("IFERROR(GOOGLEFINANCE(A752,""CHANGEPCT""),)"),-2.84)</f>
        <v>-2.84</v>
      </c>
      <c r="E752" s="60" t="str">
        <f t="shared" si="1"/>
        <v>-2.84%</v>
      </c>
      <c r="F752" s="60" t="str">
        <f t="shared" si="2"/>
        <v/>
      </c>
      <c r="G752" s="60">
        <f t="shared" si="3"/>
        <v>-2.84</v>
      </c>
      <c r="H752" s="60">
        <f>IFERROR(__xludf.DUMMYFUNCTION("IFERROR(GOOGLEFINANCE(A752,""PRICE""),)"),1.37)</f>
        <v>1.37</v>
      </c>
      <c r="I752" s="61">
        <f>IFERROR(__xludf.DUMMYFUNCTION("IFERROR(GOOGLEFINANCE(A752,""VOLUME""),)"),367897.0)</f>
        <v>367897</v>
      </c>
      <c r="J752" s="60" t="str">
        <f>IFERROR(__xludf.DUMMYFUNCTION("IFERROR(INDEX(SPLIT(A752,"":""),1,2),)"),"KANANIIND")</f>
        <v>KANANIIND</v>
      </c>
      <c r="K752" s="60" t="str">
        <f t="shared" si="4"/>
        <v/>
      </c>
      <c r="L752" s="60">
        <f t="shared" si="5"/>
        <v>403</v>
      </c>
      <c r="M752" s="60">
        <f t="shared" si="6"/>
        <v>465</v>
      </c>
      <c r="N752" s="62">
        <f>IFERROR(__xludf.DUMMYFUNCTION("IFERROR(GOOGLEFINANCE(A752,""TRADETIME""),)"),46086.64583333333)</f>
        <v>46086.64583</v>
      </c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68" t="s">
        <v>799</v>
      </c>
      <c r="B753" s="64" t="str">
        <f>IFERROR(__xludf.DUMMYFUNCTION("IFERROR(GOOGLEFINANCE(A753,""NAME""),)"),"Kanoria Chemicals and Industries Ltd")</f>
        <v>Kanoria Chemicals and Industries Ltd</v>
      </c>
      <c r="C753" s="64">
        <f>IFERROR(__xludf.DUMMYFUNCTION("IFERROR(GOOGLEFINANCE(A753,""CHANGE""),)"),0.43)</f>
        <v>0.43</v>
      </c>
      <c r="D753" s="64">
        <f>IFERROR(__xludf.DUMMYFUNCTION("IFERROR(GOOGLEFINANCE(A753,""CHANGEPCT""),)"),0.66)</f>
        <v>0.66</v>
      </c>
      <c r="E753" s="64" t="str">
        <f t="shared" si="1"/>
        <v>0.66%</v>
      </c>
      <c r="F753" s="64">
        <f t="shared" si="2"/>
        <v>0.66</v>
      </c>
      <c r="G753" s="64" t="str">
        <f t="shared" si="3"/>
        <v/>
      </c>
      <c r="H753" s="64">
        <f>IFERROR(__xludf.DUMMYFUNCTION("IFERROR(GOOGLEFINANCE(A753,""PRICE""),)"),65.9)</f>
        <v>65.9</v>
      </c>
      <c r="I753" s="65">
        <f>IFERROR(__xludf.DUMMYFUNCTION("IFERROR(GOOGLEFINANCE(A753,""VOLUME""),)"),5276.0)</f>
        <v>5276</v>
      </c>
      <c r="J753" s="64" t="str">
        <f>IFERROR(__xludf.DUMMYFUNCTION("IFERROR(INDEX(SPLIT(A753,"":""),1,2),)"),"KANORICHEM")</f>
        <v>KANORICHEM</v>
      </c>
      <c r="K753" s="64">
        <f t="shared" si="4"/>
        <v>830</v>
      </c>
      <c r="L753" s="64" t="str">
        <f t="shared" si="5"/>
        <v/>
      </c>
      <c r="M753" s="64">
        <f t="shared" si="6"/>
        <v>1337</v>
      </c>
      <c r="N753" s="66">
        <f>IFERROR(__xludf.DUMMYFUNCTION("IFERROR(GOOGLEFINANCE(A753,""TRADETIME""),)"),46086.64583333333)</f>
        <v>46086.64583</v>
      </c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67" t="s">
        <v>800</v>
      </c>
      <c r="B754" s="60" t="str">
        <f>IFERROR(__xludf.DUMMYFUNCTION("IFERROR(GOOGLEFINANCE(A754,""NAME""),)"),"Kanpur Plastipack Limited")</f>
        <v>Kanpur Plastipack Limited</v>
      </c>
      <c r="C754" s="60">
        <f>IFERROR(__xludf.DUMMYFUNCTION("IFERROR(GOOGLEFINANCE(A754,""CHANGE""),)"),6.91)</f>
        <v>6.91</v>
      </c>
      <c r="D754" s="60">
        <f>IFERROR(__xludf.DUMMYFUNCTION("IFERROR(GOOGLEFINANCE(A754,""CHANGEPCT""),)"),4.09)</f>
        <v>4.09</v>
      </c>
      <c r="E754" s="60" t="str">
        <f t="shared" si="1"/>
        <v>4.09%</v>
      </c>
      <c r="F754" s="60">
        <f t="shared" si="2"/>
        <v>4.09</v>
      </c>
      <c r="G754" s="60" t="str">
        <f t="shared" si="3"/>
        <v/>
      </c>
      <c r="H754" s="60">
        <f>IFERROR(__xludf.DUMMYFUNCTION("IFERROR(GOOGLEFINANCE(A754,""PRICE""),)"),176.0)</f>
        <v>176</v>
      </c>
      <c r="I754" s="61">
        <f>IFERROR(__xludf.DUMMYFUNCTION("IFERROR(GOOGLEFINANCE(A754,""VOLUME""),)"),6286.0)</f>
        <v>6286</v>
      </c>
      <c r="J754" s="60" t="str">
        <f>IFERROR(__xludf.DUMMYFUNCTION("IFERROR(INDEX(SPLIT(A754,"":""),1,2),)"),"KANPRPLA")</f>
        <v>KANPRPLA</v>
      </c>
      <c r="K754" s="60">
        <f t="shared" si="4"/>
        <v>134</v>
      </c>
      <c r="L754" s="60" t="str">
        <f t="shared" si="5"/>
        <v/>
      </c>
      <c r="M754" s="60">
        <f t="shared" si="6"/>
        <v>1319</v>
      </c>
      <c r="N754" s="62">
        <f>IFERROR(__xludf.DUMMYFUNCTION("IFERROR(GOOGLEFINANCE(A754,""TRADETIME""),)"),46086.64583333333)</f>
        <v>46086.64583</v>
      </c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68" t="s">
        <v>801</v>
      </c>
      <c r="B755" s="64" t="str">
        <f>IFERROR(__xludf.DUMMYFUNCTION("IFERROR(GOOGLEFINANCE(A755,""NAME""),)"),"Kansai Nerolac Paints Ltd")</f>
        <v>Kansai Nerolac Paints Ltd</v>
      </c>
      <c r="C755" s="64">
        <f>IFERROR(__xludf.DUMMYFUNCTION("IFERROR(GOOGLEFINANCE(A755,""CHANGE""),)"),-0.93)</f>
        <v>-0.93</v>
      </c>
      <c r="D755" s="64">
        <f>IFERROR(__xludf.DUMMYFUNCTION("IFERROR(GOOGLEFINANCE(A755,""CHANGEPCT""),)"),-0.48)</f>
        <v>-0.48</v>
      </c>
      <c r="E755" s="64" t="str">
        <f t="shared" si="1"/>
        <v>-0.48%</v>
      </c>
      <c r="F755" s="64" t="str">
        <f t="shared" si="2"/>
        <v/>
      </c>
      <c r="G755" s="64">
        <f t="shared" si="3"/>
        <v>-0.48</v>
      </c>
      <c r="H755" s="64">
        <f>IFERROR(__xludf.DUMMYFUNCTION("IFERROR(GOOGLEFINANCE(A755,""PRICE""),)"),194.0)</f>
        <v>194</v>
      </c>
      <c r="I755" s="65">
        <f>IFERROR(__xludf.DUMMYFUNCTION("IFERROR(GOOGLEFINANCE(A755,""VOLUME""),)"),261037.0)</f>
        <v>261037</v>
      </c>
      <c r="J755" s="64" t="str">
        <f>IFERROR(__xludf.DUMMYFUNCTION("IFERROR(INDEX(SPLIT(A755,"":""),1,2),)"),"KANSAINER")</f>
        <v>KANSAINER</v>
      </c>
      <c r="K755" s="64" t="str">
        <f t="shared" si="4"/>
        <v/>
      </c>
      <c r="L755" s="64">
        <f t="shared" si="5"/>
        <v>113</v>
      </c>
      <c r="M755" s="64">
        <f t="shared" si="6"/>
        <v>542</v>
      </c>
      <c r="N755" s="66">
        <f>IFERROR(__xludf.DUMMYFUNCTION("IFERROR(GOOGLEFINANCE(A755,""TRADETIME""),)"),46086.64583333333)</f>
        <v>46086.64583</v>
      </c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67" t="s">
        <v>802</v>
      </c>
      <c r="B756" s="60" t="str">
        <f>IFERROR(__xludf.DUMMYFUNCTION("IFERROR(GOOGLEFINANCE(A756,""NAME""),)"),"Kapston Services Ltd")</f>
        <v>Kapston Services Ltd</v>
      </c>
      <c r="C756" s="60">
        <f>IFERROR(__xludf.DUMMYFUNCTION("IFERROR(GOOGLEFINANCE(A756,""CHANGE""),)"),8.5)</f>
        <v>8.5</v>
      </c>
      <c r="D756" s="60">
        <f>IFERROR(__xludf.DUMMYFUNCTION("IFERROR(GOOGLEFINANCE(A756,""CHANGEPCT""),)"),1.14)</f>
        <v>1.14</v>
      </c>
      <c r="E756" s="60" t="str">
        <f t="shared" si="1"/>
        <v>1.14%</v>
      </c>
      <c r="F756" s="60">
        <f t="shared" si="2"/>
        <v>1.14</v>
      </c>
      <c r="G756" s="60" t="str">
        <f t="shared" si="3"/>
        <v/>
      </c>
      <c r="H756" s="60">
        <f>IFERROR(__xludf.DUMMYFUNCTION("IFERROR(GOOGLEFINANCE(A756,""PRICE""),)"),398.0)</f>
        <v>398</v>
      </c>
      <c r="I756" s="61">
        <f>IFERROR(__xludf.DUMMYFUNCTION("IFERROR(GOOGLEFINANCE(A756,""VOLUME""),)"),17310.0)</f>
        <v>17310</v>
      </c>
      <c r="J756" s="60" t="str">
        <f>IFERROR(__xludf.DUMMYFUNCTION("IFERROR(INDEX(SPLIT(A756,"":""),1,2),)"),"KAPSTON")</f>
        <v>KAPSTON</v>
      </c>
      <c r="K756" s="60">
        <f t="shared" si="4"/>
        <v>679</v>
      </c>
      <c r="L756" s="60" t="str">
        <f t="shared" si="5"/>
        <v/>
      </c>
      <c r="M756" s="60">
        <f t="shared" si="6"/>
        <v>1173</v>
      </c>
      <c r="N756" s="62">
        <f>IFERROR(__xludf.DUMMYFUNCTION("IFERROR(GOOGLEFINANCE(A756,""TRADETIME""),)"),46086.64583333333)</f>
        <v>46086.64583</v>
      </c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68" t="s">
        <v>803</v>
      </c>
      <c r="B757" s="64" t="str">
        <f>IFERROR(__xludf.DUMMYFUNCTION("IFERROR(GOOGLEFINANCE(A757,""NAME""),)"),"")</f>
        <v/>
      </c>
      <c r="C757" s="64" t="str">
        <f>IFERROR(__xludf.DUMMYFUNCTION("IFERROR(GOOGLEFINANCE(A757,""CHANGE""),)"),"")</f>
        <v/>
      </c>
      <c r="D757" s="64" t="str">
        <f>IFERROR(__xludf.DUMMYFUNCTION("IFERROR(GOOGLEFINANCE(A757,""CHANGEPCT""),)"),"")</f>
        <v/>
      </c>
      <c r="E757" s="64" t="str">
        <f t="shared" si="1"/>
        <v>%</v>
      </c>
      <c r="F757" s="64" t="str">
        <f t="shared" si="2"/>
        <v/>
      </c>
      <c r="G757" s="64" t="str">
        <f t="shared" si="3"/>
        <v/>
      </c>
      <c r="H757" s="64" t="str">
        <f>IFERROR(__xludf.DUMMYFUNCTION("IFERROR(GOOGLEFINANCE(A757,""PRICE""),)"),"")</f>
        <v/>
      </c>
      <c r="I757" s="65" t="str">
        <f>IFERROR(__xludf.DUMMYFUNCTION("IFERROR(GOOGLEFINANCE(A757,""VOLUME""),)"),"")</f>
        <v/>
      </c>
      <c r="J757" s="64" t="str">
        <f>IFERROR(__xludf.DUMMYFUNCTION("IFERROR(INDEX(SPLIT(A757,"":""),1,2),)"),"KBCGLOBAL")</f>
        <v>KBCGLOBAL</v>
      </c>
      <c r="K757" s="64" t="str">
        <f t="shared" si="4"/>
        <v/>
      </c>
      <c r="L757" s="64" t="str">
        <f t="shared" si="5"/>
        <v/>
      </c>
      <c r="M757" s="64" t="str">
        <f t="shared" si="6"/>
        <v/>
      </c>
      <c r="N757" s="66" t="str">
        <f>IFERROR(__xludf.DUMMYFUNCTION("IFERROR(GOOGLEFINANCE(A757,""TRADETIME""),)"),"")</f>
        <v/>
      </c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67" t="s">
        <v>804</v>
      </c>
      <c r="B758" s="60" t="str">
        <f>IFERROR(__xludf.DUMMYFUNCTION("IFERROR(GOOGLEFINANCE(A758,""NAME""),)"),"Karma Energy Ltd")</f>
        <v>Karma Energy Ltd</v>
      </c>
      <c r="C758" s="60">
        <f>IFERROR(__xludf.DUMMYFUNCTION("IFERROR(GOOGLEFINANCE(A758,""CHANGE""),)"),0.44)</f>
        <v>0.44</v>
      </c>
      <c r="D758" s="60">
        <f>IFERROR(__xludf.DUMMYFUNCTION("IFERROR(GOOGLEFINANCE(A758,""CHANGEPCT""),)"),1.07)</f>
        <v>1.07</v>
      </c>
      <c r="E758" s="60" t="str">
        <f t="shared" si="1"/>
        <v>1.07%</v>
      </c>
      <c r="F758" s="60">
        <f t="shared" si="2"/>
        <v>1.07</v>
      </c>
      <c r="G758" s="60" t="str">
        <f t="shared" si="3"/>
        <v/>
      </c>
      <c r="H758" s="60">
        <f>IFERROR(__xludf.DUMMYFUNCTION("IFERROR(GOOGLEFINANCE(A758,""PRICE""),)"),40.5)</f>
        <v>40.5</v>
      </c>
      <c r="I758" s="61">
        <f>IFERROR(__xludf.DUMMYFUNCTION("IFERROR(GOOGLEFINANCE(A758,""VOLUME""),)"),575.0)</f>
        <v>575</v>
      </c>
      <c r="J758" s="60" t="str">
        <f>IFERROR(__xludf.DUMMYFUNCTION("IFERROR(INDEX(SPLIT(A758,"":""),1,2),)"),"KARMAENG")</f>
        <v>KARMAENG</v>
      </c>
      <c r="K758" s="60">
        <f t="shared" si="4"/>
        <v>700</v>
      </c>
      <c r="L758" s="60" t="str">
        <f t="shared" si="5"/>
        <v/>
      </c>
      <c r="M758" s="60">
        <f t="shared" si="6"/>
        <v>1440</v>
      </c>
      <c r="N758" s="62">
        <f>IFERROR(__xludf.DUMMYFUNCTION("IFERROR(GOOGLEFINANCE(A758,""TRADETIME""),)"),46086.64583333333)</f>
        <v>46086.64583</v>
      </c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68" t="s">
        <v>805</v>
      </c>
      <c r="B759" s="64" t="str">
        <f>IFERROR(__xludf.DUMMYFUNCTION("IFERROR(GOOGLEFINANCE(A759,""NAME""),)"),"Karur Vysya Bank Ltd")</f>
        <v>Karur Vysya Bank Ltd</v>
      </c>
      <c r="C759" s="64">
        <f>IFERROR(__xludf.DUMMYFUNCTION("IFERROR(GOOGLEFINANCE(A759,""CHANGE""),)"),7.0)</f>
        <v>7</v>
      </c>
      <c r="D759" s="64">
        <f>IFERROR(__xludf.DUMMYFUNCTION("IFERROR(GOOGLEFINANCE(A759,""CHANGEPCT""),)"),2.16)</f>
        <v>2.16</v>
      </c>
      <c r="E759" s="64" t="str">
        <f t="shared" si="1"/>
        <v>2.16%</v>
      </c>
      <c r="F759" s="64">
        <f t="shared" si="2"/>
        <v>2.16</v>
      </c>
      <c r="G759" s="64" t="str">
        <f t="shared" si="3"/>
        <v/>
      </c>
      <c r="H759" s="64">
        <f>IFERROR(__xludf.DUMMYFUNCTION("IFERROR(GOOGLEFINANCE(A759,""PRICE""),)"),317.0)</f>
        <v>317</v>
      </c>
      <c r="I759" s="65">
        <f>IFERROR(__xludf.DUMMYFUNCTION("IFERROR(GOOGLEFINANCE(A759,""VOLUME""),)"),2223344.0)</f>
        <v>2223344</v>
      </c>
      <c r="J759" s="64" t="str">
        <f>IFERROR(__xludf.DUMMYFUNCTION("IFERROR(INDEX(SPLIT(A759,"":""),1,2),)"),"KARURVYSYA")</f>
        <v>KARURVYSYA</v>
      </c>
      <c r="K759" s="64">
        <f t="shared" si="4"/>
        <v>405</v>
      </c>
      <c r="L759" s="64" t="str">
        <f t="shared" si="5"/>
        <v/>
      </c>
      <c r="M759" s="64">
        <f t="shared" si="6"/>
        <v>183</v>
      </c>
      <c r="N759" s="66">
        <f>IFERROR(__xludf.DUMMYFUNCTION("IFERROR(GOOGLEFINANCE(A759,""TRADETIME""),)"),46086.64585648148)</f>
        <v>46086.64586</v>
      </c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67" t="s">
        <v>806</v>
      </c>
      <c r="B760" s="60" t="str">
        <f>IFERROR(__xludf.DUMMYFUNCTION("IFERROR(GOOGLEFINANCE(A760,""NAME""),)"),"Kaushalya Infrastructure Dev Corp Ltd")</f>
        <v>Kaushalya Infrastructure Dev Corp Ltd</v>
      </c>
      <c r="C760" s="60">
        <f>IFERROR(__xludf.DUMMYFUNCTION("IFERROR(GOOGLEFINANCE(A760,""CHANGE""),)"),15.65)</f>
        <v>15.65</v>
      </c>
      <c r="D760" s="60">
        <f>IFERROR(__xludf.DUMMYFUNCTION("IFERROR(GOOGLEFINANCE(A760,""CHANGEPCT""),)"),1.85)</f>
        <v>1.85</v>
      </c>
      <c r="E760" s="60" t="str">
        <f t="shared" si="1"/>
        <v>1.85%</v>
      </c>
      <c r="F760" s="60">
        <f t="shared" si="2"/>
        <v>1.85</v>
      </c>
      <c r="G760" s="60" t="str">
        <f t="shared" si="3"/>
        <v/>
      </c>
      <c r="H760" s="60">
        <f>IFERROR(__xludf.DUMMYFUNCTION("IFERROR(GOOGLEFINANCE(A760,""PRICE""),)"),863.7)</f>
        <v>863.7</v>
      </c>
      <c r="I760" s="61">
        <f>IFERROR(__xludf.DUMMYFUNCTION("IFERROR(GOOGLEFINANCE(A760,""VOLUME""),)"),383.0)</f>
        <v>383</v>
      </c>
      <c r="J760" s="60" t="str">
        <f>IFERROR(__xludf.DUMMYFUNCTION("IFERROR(INDEX(SPLIT(A760,"":""),1,2),)"),"KAUSHALYA")</f>
        <v>KAUSHALYA</v>
      </c>
      <c r="K760" s="60">
        <f t="shared" si="4"/>
        <v>481</v>
      </c>
      <c r="L760" s="60" t="str">
        <f t="shared" si="5"/>
        <v/>
      </c>
      <c r="M760" s="60">
        <f t="shared" si="6"/>
        <v>1448</v>
      </c>
      <c r="N760" s="62">
        <f>IFERROR(__xludf.DUMMYFUNCTION("IFERROR(GOOGLEFINANCE(A760,""TRADETIME""),)"),46086.64583333333)</f>
        <v>46086.64583</v>
      </c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68" t="s">
        <v>807</v>
      </c>
      <c r="B761" s="64" t="str">
        <f>IFERROR(__xludf.DUMMYFUNCTION("IFERROR(GOOGLEFINANCE(A761,""NAME""),)"),"Kaya Ltd")</f>
        <v>Kaya Ltd</v>
      </c>
      <c r="C761" s="64">
        <f>IFERROR(__xludf.DUMMYFUNCTION("IFERROR(GOOGLEFINANCE(A761,""CHANGE""),)"),11.3)</f>
        <v>11.3</v>
      </c>
      <c r="D761" s="64">
        <f>IFERROR(__xludf.DUMMYFUNCTION("IFERROR(GOOGLEFINANCE(A761,""CHANGEPCT""),)"),3.6)</f>
        <v>3.6</v>
      </c>
      <c r="E761" s="64" t="str">
        <f t="shared" si="1"/>
        <v>3.6%</v>
      </c>
      <c r="F761" s="64">
        <f t="shared" si="2"/>
        <v>3.6</v>
      </c>
      <c r="G761" s="64" t="str">
        <f t="shared" si="3"/>
        <v/>
      </c>
      <c r="H761" s="64">
        <f>IFERROR(__xludf.DUMMYFUNCTION("IFERROR(GOOGLEFINANCE(A761,""PRICE""),)"),320.75)</f>
        <v>320.75</v>
      </c>
      <c r="I761" s="65">
        <f>IFERROR(__xludf.DUMMYFUNCTION("IFERROR(GOOGLEFINANCE(A761,""VOLUME""),)"),11190.0)</f>
        <v>11190</v>
      </c>
      <c r="J761" s="64" t="str">
        <f>IFERROR(__xludf.DUMMYFUNCTION("IFERROR(INDEX(SPLIT(A761,"":""),1,2),)"),"KAYA")</f>
        <v>KAYA</v>
      </c>
      <c r="K761" s="64">
        <f t="shared" si="4"/>
        <v>184</v>
      </c>
      <c r="L761" s="64" t="str">
        <f t="shared" si="5"/>
        <v/>
      </c>
      <c r="M761" s="64">
        <f t="shared" si="6"/>
        <v>1245</v>
      </c>
      <c r="N761" s="66">
        <f>IFERROR(__xludf.DUMMYFUNCTION("IFERROR(GOOGLEFINANCE(A761,""TRADETIME""),)"),46086.64583333333)</f>
        <v>46086.64583</v>
      </c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67" t="s">
        <v>808</v>
      </c>
      <c r="B762" s="60" t="str">
        <f>IFERROR(__xludf.DUMMYFUNCTION("IFERROR(GOOGLEFINANCE(A762,""NAME""),)"),"KCP Ltd")</f>
        <v>KCP Ltd</v>
      </c>
      <c r="C762" s="60">
        <f>IFERROR(__xludf.DUMMYFUNCTION("IFERROR(GOOGLEFINANCE(A762,""CHANGE""),)"),0.33)</f>
        <v>0.33</v>
      </c>
      <c r="D762" s="60">
        <f>IFERROR(__xludf.DUMMYFUNCTION("IFERROR(GOOGLEFINANCE(A762,""CHANGEPCT""),)"),1.7)</f>
        <v>1.7</v>
      </c>
      <c r="E762" s="60" t="str">
        <f t="shared" si="1"/>
        <v>1.7%</v>
      </c>
      <c r="F762" s="60">
        <f t="shared" si="2"/>
        <v>1.7</v>
      </c>
      <c r="G762" s="60" t="str">
        <f t="shared" si="3"/>
        <v/>
      </c>
      <c r="H762" s="60">
        <f>IFERROR(__xludf.DUMMYFUNCTION("IFERROR(GOOGLEFINANCE(A762,""PRICE""),)"),156.1)</f>
        <v>156.1</v>
      </c>
      <c r="I762" s="61">
        <f>IFERROR(__xludf.DUMMYFUNCTION("IFERROR(GOOGLEFINANCE(A762,""VOLUME""),)"),162547.0)</f>
        <v>162547</v>
      </c>
      <c r="J762" s="60" t="str">
        <f>IFERROR(__xludf.DUMMYFUNCTION("IFERROR(INDEX(SPLIT(A762,"":""),1,2),)"),"KCP")</f>
        <v>KCP</v>
      </c>
      <c r="K762" s="60">
        <f t="shared" si="4"/>
        <v>518</v>
      </c>
      <c r="L762" s="60" t="str">
        <f t="shared" si="5"/>
        <v/>
      </c>
      <c r="M762" s="60">
        <f t="shared" si="6"/>
        <v>652</v>
      </c>
      <c r="N762" s="62">
        <f>IFERROR(__xludf.DUMMYFUNCTION("IFERROR(GOOGLEFINANCE(A762,""TRADETIME""),)"),46086.64583333333)</f>
        <v>46086.64583</v>
      </c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68" t="s">
        <v>809</v>
      </c>
      <c r="B763" s="64" t="str">
        <f>IFERROR(__xludf.DUMMYFUNCTION("IFERROR(GOOGLEFINANCE(A763,""NAME""),)"),"KCP Sugar and Industries Corp Ltd")</f>
        <v>KCP Sugar and Industries Corp Ltd</v>
      </c>
      <c r="C763" s="64">
        <f>IFERROR(__xludf.DUMMYFUNCTION("IFERROR(GOOGLEFINANCE(A763,""CHANGE""),)"),-0.35)</f>
        <v>-0.35</v>
      </c>
      <c r="D763" s="64">
        <f>IFERROR(__xludf.DUMMYFUNCTION("IFERROR(GOOGLEFINANCE(A763,""CHANGEPCT""),)"),-1.51)</f>
        <v>-1.51</v>
      </c>
      <c r="E763" s="64" t="str">
        <f t="shared" si="1"/>
        <v>-1.51%</v>
      </c>
      <c r="F763" s="64" t="str">
        <f t="shared" si="2"/>
        <v/>
      </c>
      <c r="G763" s="64">
        <f t="shared" si="3"/>
        <v>-1.51</v>
      </c>
      <c r="H763" s="64">
        <f>IFERROR(__xludf.DUMMYFUNCTION("IFERROR(GOOGLEFINANCE(A763,""PRICE""),)"),22.82)</f>
        <v>22.82</v>
      </c>
      <c r="I763" s="65">
        <f>IFERROR(__xludf.DUMMYFUNCTION("IFERROR(GOOGLEFINANCE(A763,""VOLUME""),)"),221034.0)</f>
        <v>221034</v>
      </c>
      <c r="J763" s="64" t="str">
        <f>IFERROR(__xludf.DUMMYFUNCTION("IFERROR(INDEX(SPLIT(A763,"":""),1,2),)"),"KCPSUGIND")</f>
        <v>KCPSUGIND</v>
      </c>
      <c r="K763" s="64" t="str">
        <f t="shared" si="4"/>
        <v/>
      </c>
      <c r="L763" s="64">
        <f t="shared" si="5"/>
        <v>290</v>
      </c>
      <c r="M763" s="64">
        <f t="shared" si="6"/>
        <v>581</v>
      </c>
      <c r="N763" s="66">
        <f>IFERROR(__xludf.DUMMYFUNCTION("IFERROR(GOOGLEFINANCE(A763,""TRADETIME""),)"),46086.64583333333)</f>
        <v>46086.64583</v>
      </c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67" t="s">
        <v>810</v>
      </c>
      <c r="B764" s="60" t="str">
        <f>IFERROR(__xludf.DUMMYFUNCTION("IFERROR(GOOGLEFINANCE(A764,""NAME""),)"),"KDDL Ltd")</f>
        <v>KDDL Ltd</v>
      </c>
      <c r="C764" s="60">
        <f>IFERROR(__xludf.DUMMYFUNCTION("IFERROR(GOOGLEFINANCE(A764,""CHANGE""),)"),-51.2)</f>
        <v>-51.2</v>
      </c>
      <c r="D764" s="60">
        <f>IFERROR(__xludf.DUMMYFUNCTION("IFERROR(GOOGLEFINANCE(A764,""CHANGEPCT""),)"),-2.09)</f>
        <v>-2.09</v>
      </c>
      <c r="E764" s="60" t="str">
        <f t="shared" si="1"/>
        <v>-2.09%</v>
      </c>
      <c r="F764" s="60" t="str">
        <f t="shared" si="2"/>
        <v/>
      </c>
      <c r="G764" s="60">
        <f t="shared" si="3"/>
        <v>-2.09</v>
      </c>
      <c r="H764" s="60">
        <f>IFERROR(__xludf.DUMMYFUNCTION("IFERROR(GOOGLEFINANCE(A764,""PRICE""),)"),2401.0)</f>
        <v>2401</v>
      </c>
      <c r="I764" s="61">
        <f>IFERROR(__xludf.DUMMYFUNCTION("IFERROR(GOOGLEFINANCE(A764,""VOLUME""),)"),17239.0)</f>
        <v>17239</v>
      </c>
      <c r="J764" s="60" t="str">
        <f>IFERROR(__xludf.DUMMYFUNCTION("IFERROR(INDEX(SPLIT(A764,"":""),1,2),)"),"KDDL")</f>
        <v>KDDL</v>
      </c>
      <c r="K764" s="60" t="str">
        <f t="shared" si="4"/>
        <v/>
      </c>
      <c r="L764" s="60">
        <f t="shared" si="5"/>
        <v>363</v>
      </c>
      <c r="M764" s="60">
        <f t="shared" si="6"/>
        <v>1175</v>
      </c>
      <c r="N764" s="62">
        <f>IFERROR(__xludf.DUMMYFUNCTION("IFERROR(GOOGLEFINANCE(A764,""TRADETIME""),)"),46086.64583333333)</f>
        <v>46086.64583</v>
      </c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68" t="s">
        <v>811</v>
      </c>
      <c r="B765" s="64" t="str">
        <f>IFERROR(__xludf.DUMMYFUNCTION("IFERROR(GOOGLEFINANCE(A765,""NAME""),)"),"KEC International Ltd")</f>
        <v>KEC International Ltd</v>
      </c>
      <c r="C765" s="64">
        <f>IFERROR(__xludf.DUMMYFUNCTION("IFERROR(GOOGLEFINANCE(A765,""CHANGE""),)"),8.3)</f>
        <v>8.3</v>
      </c>
      <c r="D765" s="64">
        <f>IFERROR(__xludf.DUMMYFUNCTION("IFERROR(GOOGLEFINANCE(A765,""CHANGEPCT""),)"),1.53)</f>
        <v>1.53</v>
      </c>
      <c r="E765" s="64" t="str">
        <f t="shared" si="1"/>
        <v>1.53%</v>
      </c>
      <c r="F765" s="64">
        <f t="shared" si="2"/>
        <v>1.53</v>
      </c>
      <c r="G765" s="64" t="str">
        <f t="shared" si="3"/>
        <v/>
      </c>
      <c r="H765" s="64">
        <f>IFERROR(__xludf.DUMMYFUNCTION("IFERROR(GOOGLEFINANCE(A765,""PRICE""),)"),551.05)</f>
        <v>551.05</v>
      </c>
      <c r="I765" s="65">
        <f>IFERROR(__xludf.DUMMYFUNCTION("IFERROR(GOOGLEFINANCE(A765,""VOLUME""),)"),861540.0)</f>
        <v>861540</v>
      </c>
      <c r="J765" s="64" t="str">
        <f>IFERROR(__xludf.DUMMYFUNCTION("IFERROR(INDEX(SPLIT(A765,"":""),1,2),)"),"KEC")</f>
        <v>KEC</v>
      </c>
      <c r="K765" s="64">
        <f t="shared" si="4"/>
        <v>559</v>
      </c>
      <c r="L765" s="64" t="str">
        <f t="shared" si="5"/>
        <v/>
      </c>
      <c r="M765" s="64">
        <f t="shared" si="6"/>
        <v>307</v>
      </c>
      <c r="N765" s="66">
        <f>IFERROR(__xludf.DUMMYFUNCTION("IFERROR(GOOGLEFINANCE(A765,""TRADETIME""),)"),46086.64053240741)</f>
        <v>46086.64053</v>
      </c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67" t="s">
        <v>812</v>
      </c>
      <c r="B766" s="60" t="str">
        <f>IFERROR(__xludf.DUMMYFUNCTION("IFERROR(GOOGLEFINANCE(A766,""NAME""),)"),"Kirloskar Electric Company Ltd")</f>
        <v>Kirloskar Electric Company Ltd</v>
      </c>
      <c r="C766" s="60">
        <f>IFERROR(__xludf.DUMMYFUNCTION("IFERROR(GOOGLEFINANCE(A766,""CHANGE""),)"),-1.0)</f>
        <v>-1</v>
      </c>
      <c r="D766" s="60">
        <f>IFERROR(__xludf.DUMMYFUNCTION("IFERROR(GOOGLEFINANCE(A766,""CHANGEPCT""),)"),-1.22)</f>
        <v>-1.22</v>
      </c>
      <c r="E766" s="60" t="str">
        <f t="shared" si="1"/>
        <v>-1.22%</v>
      </c>
      <c r="F766" s="60" t="str">
        <f t="shared" si="2"/>
        <v/>
      </c>
      <c r="G766" s="60">
        <f t="shared" si="3"/>
        <v>-1.22</v>
      </c>
      <c r="H766" s="60">
        <f>IFERROR(__xludf.DUMMYFUNCTION("IFERROR(GOOGLEFINANCE(A766,""PRICE""),)"),81.01)</f>
        <v>81.01</v>
      </c>
      <c r="I766" s="61">
        <f>IFERROR(__xludf.DUMMYFUNCTION("IFERROR(GOOGLEFINANCE(A766,""VOLUME""),)"),209304.0)</f>
        <v>209304</v>
      </c>
      <c r="J766" s="60" t="str">
        <f>IFERROR(__xludf.DUMMYFUNCTION("IFERROR(INDEX(SPLIT(A766,"":""),1,2),)"),"KECL")</f>
        <v>KECL</v>
      </c>
      <c r="K766" s="60" t="str">
        <f t="shared" si="4"/>
        <v/>
      </c>
      <c r="L766" s="60">
        <f t="shared" si="5"/>
        <v>254</v>
      </c>
      <c r="M766" s="60">
        <f t="shared" si="6"/>
        <v>592</v>
      </c>
      <c r="N766" s="62">
        <f>IFERROR(__xludf.DUMMYFUNCTION("IFERROR(GOOGLEFINANCE(A766,""TRADETIME""),)"),46086.641793981486)</f>
        <v>46086.64179</v>
      </c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68" t="s">
        <v>813</v>
      </c>
      <c r="B767" s="64" t="str">
        <f>IFERROR(__xludf.DUMMYFUNCTION("IFERROR(GOOGLEFINANCE(A767,""NAME""),)"),"")</f>
        <v/>
      </c>
      <c r="C767" s="64" t="str">
        <f>IFERROR(__xludf.DUMMYFUNCTION("IFERROR(GOOGLEFINANCE(A767,""CHANGE""),)"),"")</f>
        <v/>
      </c>
      <c r="D767" s="64" t="str">
        <f>IFERROR(__xludf.DUMMYFUNCTION("IFERROR(GOOGLEFINANCE(A767,""CHANGEPCT""),)"),"")</f>
        <v/>
      </c>
      <c r="E767" s="64" t="str">
        <f t="shared" si="1"/>
        <v>%</v>
      </c>
      <c r="F767" s="64" t="str">
        <f t="shared" si="2"/>
        <v/>
      </c>
      <c r="G767" s="64" t="str">
        <f t="shared" si="3"/>
        <v/>
      </c>
      <c r="H767" s="64" t="str">
        <f>IFERROR(__xludf.DUMMYFUNCTION("IFERROR(GOOGLEFINANCE(A767,""PRICE""),)"),"")</f>
        <v/>
      </c>
      <c r="I767" s="65" t="str">
        <f>IFERROR(__xludf.DUMMYFUNCTION("IFERROR(GOOGLEFINANCE(A767,""VOLUME""),)"),"")</f>
        <v/>
      </c>
      <c r="J767" s="64" t="str">
        <f>IFERROR(__xludf.DUMMYFUNCTION("IFERROR(INDEX(SPLIT(A767,"":""),1,2),)"),"KEERTI")</f>
        <v>KEERTI</v>
      </c>
      <c r="K767" s="64" t="str">
        <f t="shared" si="4"/>
        <v/>
      </c>
      <c r="L767" s="64" t="str">
        <f t="shared" si="5"/>
        <v/>
      </c>
      <c r="M767" s="64" t="str">
        <f t="shared" si="6"/>
        <v/>
      </c>
      <c r="N767" s="66" t="str">
        <f>IFERROR(__xludf.DUMMYFUNCTION("IFERROR(GOOGLEFINANCE(A767,""TRADETIME""),)"),"")</f>
        <v/>
      </c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67" t="s">
        <v>814</v>
      </c>
      <c r="B768" s="60" t="str">
        <f>IFERROR(__xludf.DUMMYFUNCTION("IFERROR(GOOGLEFINANCE(A768,""NAME""),)"),"KEI Industries Ltd")</f>
        <v>KEI Industries Ltd</v>
      </c>
      <c r="C768" s="60">
        <f>IFERROR(__xludf.DUMMYFUNCTION("IFERROR(GOOGLEFINANCE(A768,""CHANGE""),)"),-41.0)</f>
        <v>-41</v>
      </c>
      <c r="D768" s="60">
        <f>IFERROR(__xludf.DUMMYFUNCTION("IFERROR(GOOGLEFINANCE(A768,""CHANGEPCT""),)"),-0.82)</f>
        <v>-0.82</v>
      </c>
      <c r="E768" s="60" t="str">
        <f t="shared" si="1"/>
        <v>-0.82%</v>
      </c>
      <c r="F768" s="60" t="str">
        <f t="shared" si="2"/>
        <v/>
      </c>
      <c r="G768" s="60">
        <f t="shared" si="3"/>
        <v>-0.82</v>
      </c>
      <c r="H768" s="60">
        <f>IFERROR(__xludf.DUMMYFUNCTION("IFERROR(GOOGLEFINANCE(A768,""PRICE""),)"),4938.0)</f>
        <v>4938</v>
      </c>
      <c r="I768" s="61">
        <f>IFERROR(__xludf.DUMMYFUNCTION("IFERROR(GOOGLEFINANCE(A768,""VOLUME""),)"),581341.0)</f>
        <v>581341</v>
      </c>
      <c r="J768" s="60" t="str">
        <f>IFERROR(__xludf.DUMMYFUNCTION("IFERROR(INDEX(SPLIT(A768,"":""),1,2),)"),"KEI")</f>
        <v>KEI</v>
      </c>
      <c r="K768" s="60" t="str">
        <f t="shared" si="4"/>
        <v/>
      </c>
      <c r="L768" s="60">
        <f t="shared" si="5"/>
        <v>185</v>
      </c>
      <c r="M768" s="60">
        <f t="shared" si="6"/>
        <v>376</v>
      </c>
      <c r="N768" s="62">
        <f>IFERROR(__xludf.DUMMYFUNCTION("IFERROR(GOOGLEFINANCE(A768,""TRADETIME""),)"),46086.64188657407)</f>
        <v>46086.64189</v>
      </c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68" t="s">
        <v>815</v>
      </c>
      <c r="B769" s="64" t="str">
        <f>IFERROR(__xludf.DUMMYFUNCTION("IFERROR(GOOGLEFINANCE(A769,""NAME""),)"),"Kellton Tech Solutions Ltd")</f>
        <v>Kellton Tech Solutions Ltd</v>
      </c>
      <c r="C769" s="64">
        <f>IFERROR(__xludf.DUMMYFUNCTION("IFERROR(GOOGLEFINANCE(A769,""CHANGE""),)"),-0.07)</f>
        <v>-0.07</v>
      </c>
      <c r="D769" s="64">
        <f>IFERROR(__xludf.DUMMYFUNCTION("IFERROR(GOOGLEFINANCE(A769,""CHANGEPCT""),)"),-0.4)</f>
        <v>-0.4</v>
      </c>
      <c r="E769" s="64" t="str">
        <f t="shared" si="1"/>
        <v>-0.4%</v>
      </c>
      <c r="F769" s="64" t="str">
        <f t="shared" si="2"/>
        <v/>
      </c>
      <c r="G769" s="64">
        <f t="shared" si="3"/>
        <v>-0.4</v>
      </c>
      <c r="H769" s="64">
        <f>IFERROR(__xludf.DUMMYFUNCTION("IFERROR(GOOGLEFINANCE(A769,""PRICE""),)"),17.4)</f>
        <v>17.4</v>
      </c>
      <c r="I769" s="65">
        <f>IFERROR(__xludf.DUMMYFUNCTION("IFERROR(GOOGLEFINANCE(A769,""VOLUME""),)"),1828436.0)</f>
        <v>1828436</v>
      </c>
      <c r="J769" s="64" t="str">
        <f>IFERROR(__xludf.DUMMYFUNCTION("IFERROR(INDEX(SPLIT(A769,"":""),1,2),)"),"KELLTONTEC")</f>
        <v>KELLTONTEC</v>
      </c>
      <c r="K769" s="64" t="str">
        <f t="shared" si="4"/>
        <v/>
      </c>
      <c r="L769" s="64">
        <f t="shared" si="5"/>
        <v>95</v>
      </c>
      <c r="M769" s="64">
        <f t="shared" si="6"/>
        <v>220</v>
      </c>
      <c r="N769" s="66">
        <f>IFERROR(__xludf.DUMMYFUNCTION("IFERROR(GOOGLEFINANCE(A769,""TRADETIME""),)"),46086.64583333333)</f>
        <v>46086.64583</v>
      </c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67" t="s">
        <v>816</v>
      </c>
      <c r="B770" s="60" t="str">
        <f>IFERROR(__xludf.DUMMYFUNCTION("IFERROR(GOOGLEFINANCE(A770,""NAME""),)"),"")</f>
        <v/>
      </c>
      <c r="C770" s="60" t="str">
        <f>IFERROR(__xludf.DUMMYFUNCTION("IFERROR(GOOGLEFINANCE(A770,""CHANGE""),)"),"")</f>
        <v/>
      </c>
      <c r="D770" s="60" t="str">
        <f>IFERROR(__xludf.DUMMYFUNCTION("IFERROR(GOOGLEFINANCE(A770,""CHANGEPCT""),)"),"")</f>
        <v/>
      </c>
      <c r="E770" s="60" t="str">
        <f t="shared" si="1"/>
        <v>%</v>
      </c>
      <c r="F770" s="60" t="str">
        <f t="shared" si="2"/>
        <v/>
      </c>
      <c r="G770" s="60" t="str">
        <f t="shared" si="3"/>
        <v/>
      </c>
      <c r="H770" s="60" t="str">
        <f>IFERROR(__xludf.DUMMYFUNCTION("IFERROR(GOOGLEFINANCE(A770,""PRICE""),)"),"")</f>
        <v/>
      </c>
      <c r="I770" s="61" t="str">
        <f>IFERROR(__xludf.DUMMYFUNCTION("IFERROR(GOOGLEFINANCE(A770,""VOLUME""),)"),"")</f>
        <v/>
      </c>
      <c r="J770" s="60" t="str">
        <f>IFERROR(__xludf.DUMMYFUNCTION("IFERROR(INDEX(SPLIT(A770,"":""),1,2),)"),"KENNAMET")</f>
        <v>KENNAMET</v>
      </c>
      <c r="K770" s="60" t="str">
        <f t="shared" si="4"/>
        <v/>
      </c>
      <c r="L770" s="60" t="str">
        <f t="shared" si="5"/>
        <v/>
      </c>
      <c r="M770" s="60" t="str">
        <f t="shared" si="6"/>
        <v/>
      </c>
      <c r="N770" s="62" t="str">
        <f>IFERROR(__xludf.DUMMYFUNCTION("IFERROR(GOOGLEFINANCE(A770,""TRADETIME""),)"),"")</f>
        <v/>
      </c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63" t="s">
        <v>817</v>
      </c>
      <c r="B771" s="64" t="str">
        <f>IFERROR(__xludf.DUMMYFUNCTION("IFERROR(GOOGLEFINANCE(A771,""NAME""),)"),"Kingfa Science and Technolgy (India) Ltd")</f>
        <v>Kingfa Science and Technolgy (India) Ltd</v>
      </c>
      <c r="C771" s="64">
        <f>IFERROR(__xludf.DUMMYFUNCTION("IFERROR(GOOGLEFINANCE(A771,""CHANGE""),)"),67.7)</f>
        <v>67.7</v>
      </c>
      <c r="D771" s="64">
        <f>IFERROR(__xludf.DUMMYFUNCTION("IFERROR(GOOGLEFINANCE(A771,""CHANGEPCT""),)"),1.64)</f>
        <v>1.64</v>
      </c>
      <c r="E771" s="64" t="str">
        <f t="shared" si="1"/>
        <v>1.64%</v>
      </c>
      <c r="F771" s="64">
        <f t="shared" si="2"/>
        <v>1.64</v>
      </c>
      <c r="G771" s="64" t="str">
        <f t="shared" si="3"/>
        <v/>
      </c>
      <c r="H771" s="64">
        <f>IFERROR(__xludf.DUMMYFUNCTION("IFERROR(GOOGLEFINANCE(A771,""PRICE""),)"),4200.0)</f>
        <v>4200</v>
      </c>
      <c r="I771" s="65">
        <f>IFERROR(__xludf.DUMMYFUNCTION("IFERROR(GOOGLEFINANCE(A771,""VOLUME""),)"),3565.0)</f>
        <v>3565</v>
      </c>
      <c r="J771" s="64" t="str">
        <f>IFERROR(__xludf.DUMMYFUNCTION("IFERROR(INDEX(SPLIT(A771,"":""),1,2),)"),"KINGFA")</f>
        <v>KINGFA</v>
      </c>
      <c r="K771" s="64">
        <f t="shared" si="4"/>
        <v>530</v>
      </c>
      <c r="L771" s="64" t="str">
        <f t="shared" si="5"/>
        <v/>
      </c>
      <c r="M771" s="64">
        <f t="shared" si="6"/>
        <v>1374</v>
      </c>
      <c r="N771" s="66">
        <f>IFERROR(__xludf.DUMMYFUNCTION("IFERROR(GOOGLEFINANCE(A771,""TRADETIME""),)"),46086.64583333333)</f>
        <v>46086.64583</v>
      </c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67" t="s">
        <v>818</v>
      </c>
      <c r="B772" s="60" t="str">
        <f>IFERROR(__xludf.DUMMYFUNCTION("IFERROR(GOOGLEFINANCE(A772,""NAME""),)"),"Kesoram Industries Ltd")</f>
        <v>Kesoram Industries Ltd</v>
      </c>
      <c r="C772" s="60">
        <f>IFERROR(__xludf.DUMMYFUNCTION("IFERROR(GOOGLEFINANCE(A772,""CHANGE""),)"),0.14)</f>
        <v>0.14</v>
      </c>
      <c r="D772" s="60">
        <f>IFERROR(__xludf.DUMMYFUNCTION("IFERROR(GOOGLEFINANCE(A772,""CHANGEPCT""),)"),-0.57)</f>
        <v>-0.57</v>
      </c>
      <c r="E772" s="60" t="str">
        <f t="shared" si="1"/>
        <v>-0.57%</v>
      </c>
      <c r="F772" s="60" t="str">
        <f t="shared" si="2"/>
        <v/>
      </c>
      <c r="G772" s="60">
        <f t="shared" si="3"/>
        <v>-0.57</v>
      </c>
      <c r="H772" s="60">
        <f>IFERROR(__xludf.DUMMYFUNCTION("IFERROR(GOOGLEFINANCE(A772,""PRICE""),)"),8.89)</f>
        <v>8.89</v>
      </c>
      <c r="I772" s="61">
        <f>IFERROR(__xludf.DUMMYFUNCTION("IFERROR(GOOGLEFINANCE(A772,""VOLUME""),)"),414850.0)</f>
        <v>414850</v>
      </c>
      <c r="J772" s="60" t="str">
        <f>IFERROR(__xludf.DUMMYFUNCTION("IFERROR(INDEX(SPLIT(A772,"":""),1,2),)"),"KESORAMIND")</f>
        <v>KESORAMIND</v>
      </c>
      <c r="K772" s="60" t="str">
        <f t="shared" si="4"/>
        <v/>
      </c>
      <c r="L772" s="60">
        <f t="shared" si="5"/>
        <v>137</v>
      </c>
      <c r="M772" s="60">
        <f t="shared" si="6"/>
        <v>436</v>
      </c>
      <c r="N772" s="62">
        <f>IFERROR(__xludf.DUMMYFUNCTION("IFERROR(GOOGLEFINANCE(A772,""TRADETIME""),)"),46086.64585648148)</f>
        <v>46086.64586</v>
      </c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68" t="s">
        <v>819</v>
      </c>
      <c r="B773" s="64" t="str">
        <f>IFERROR(__xludf.DUMMYFUNCTION("IFERROR(GOOGLEFINANCE(A773,""NAME""),)"),"Keynote Financial Services Ltd")</f>
        <v>Keynote Financial Services Ltd</v>
      </c>
      <c r="C773" s="64">
        <f>IFERROR(__xludf.DUMMYFUNCTION("IFERROR(GOOGLEFINANCE(A773,""CHANGE""),)"),0.15)</f>
        <v>0.15</v>
      </c>
      <c r="D773" s="64">
        <f>IFERROR(__xludf.DUMMYFUNCTION("IFERROR(GOOGLEFINANCE(A773,""CHANGEPCT""),)"),-1.01)</f>
        <v>-1.01</v>
      </c>
      <c r="E773" s="64" t="str">
        <f t="shared" si="1"/>
        <v>-1.01%</v>
      </c>
      <c r="F773" s="64" t="str">
        <f t="shared" si="2"/>
        <v/>
      </c>
      <c r="G773" s="64">
        <f t="shared" si="3"/>
        <v>-1.01</v>
      </c>
      <c r="H773" s="64">
        <f>IFERROR(__xludf.DUMMYFUNCTION("IFERROR(GOOGLEFINANCE(A773,""PRICE""),)"),266.0)</f>
        <v>266</v>
      </c>
      <c r="I773" s="65">
        <f>IFERROR(__xludf.DUMMYFUNCTION("IFERROR(GOOGLEFINANCE(A773,""VOLUME""),)"),1357.0)</f>
        <v>1357</v>
      </c>
      <c r="J773" s="64" t="str">
        <f>IFERROR(__xludf.DUMMYFUNCTION("IFERROR(INDEX(SPLIT(A773,"":""),1,2),)"),"KEYFINSERV")</f>
        <v>KEYFINSERV</v>
      </c>
      <c r="K773" s="64" t="str">
        <f t="shared" si="4"/>
        <v/>
      </c>
      <c r="L773" s="64">
        <f t="shared" si="5"/>
        <v>219</v>
      </c>
      <c r="M773" s="64">
        <f t="shared" si="6"/>
        <v>1425</v>
      </c>
      <c r="N773" s="66">
        <f>IFERROR(__xludf.DUMMYFUNCTION("IFERROR(GOOGLEFINANCE(A773,""TRADETIME""),)"),46086.64583333333)</f>
        <v>46086.64583</v>
      </c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67" t="s">
        <v>820</v>
      </c>
      <c r="B774" s="60" t="str">
        <f>IFERROR(__xludf.DUMMYFUNCTION("IFERROR(GOOGLEFINANCE(A774,""NAME""),)"),"Khadim India Limited")</f>
        <v>Khadim India Limited</v>
      </c>
      <c r="C774" s="60">
        <f>IFERROR(__xludf.DUMMYFUNCTION("IFERROR(GOOGLEFINANCE(A774,""CHANGE""),)"),-3.16)</f>
        <v>-3.16</v>
      </c>
      <c r="D774" s="60">
        <f>IFERROR(__xludf.DUMMYFUNCTION("IFERROR(GOOGLEFINANCE(A774,""CHANGEPCT""),)"),-2.77)</f>
        <v>-2.77</v>
      </c>
      <c r="E774" s="60" t="str">
        <f t="shared" si="1"/>
        <v>-2.77%</v>
      </c>
      <c r="F774" s="60" t="str">
        <f t="shared" si="2"/>
        <v/>
      </c>
      <c r="G774" s="60">
        <f t="shared" si="3"/>
        <v>-2.77</v>
      </c>
      <c r="H774" s="60">
        <f>IFERROR(__xludf.DUMMYFUNCTION("IFERROR(GOOGLEFINANCE(A774,""PRICE""),)"),111.0)</f>
        <v>111</v>
      </c>
      <c r="I774" s="61">
        <f>IFERROR(__xludf.DUMMYFUNCTION("IFERROR(GOOGLEFINANCE(A774,""VOLUME""),)"),130298.0)</f>
        <v>130298</v>
      </c>
      <c r="J774" s="60" t="str">
        <f>IFERROR(__xludf.DUMMYFUNCTION("IFERROR(INDEX(SPLIT(A774,"":""),1,2),)"),"KHADIM")</f>
        <v>KHADIM</v>
      </c>
      <c r="K774" s="60" t="str">
        <f t="shared" si="4"/>
        <v/>
      </c>
      <c r="L774" s="60">
        <f t="shared" si="5"/>
        <v>398</v>
      </c>
      <c r="M774" s="60">
        <f t="shared" si="6"/>
        <v>701</v>
      </c>
      <c r="N774" s="62">
        <f>IFERROR(__xludf.DUMMYFUNCTION("IFERROR(GOOGLEFINANCE(A774,""TRADETIME""),)"),46086.64583333333)</f>
        <v>46086.64583</v>
      </c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68" t="s">
        <v>821</v>
      </c>
      <c r="B775" s="64" t="str">
        <f>IFERROR(__xludf.DUMMYFUNCTION("IFERROR(GOOGLEFINANCE(A775,""NAME""),)"),"Khaitan Chemicals And Fertilizers Ltd")</f>
        <v>Khaitan Chemicals And Fertilizers Ltd</v>
      </c>
      <c r="C775" s="64">
        <f>IFERROR(__xludf.DUMMYFUNCTION("IFERROR(GOOGLEFINANCE(A775,""CHANGE""),)"),-0.66)</f>
        <v>-0.66</v>
      </c>
      <c r="D775" s="64">
        <f>IFERROR(__xludf.DUMMYFUNCTION("IFERROR(GOOGLEFINANCE(A775,""CHANGEPCT""),)"),-1.2)</f>
        <v>-1.2</v>
      </c>
      <c r="E775" s="64" t="str">
        <f t="shared" si="1"/>
        <v>-1.2%</v>
      </c>
      <c r="F775" s="64" t="str">
        <f t="shared" si="2"/>
        <v/>
      </c>
      <c r="G775" s="64">
        <f t="shared" si="3"/>
        <v>-1.2</v>
      </c>
      <c r="H775" s="64">
        <f>IFERROR(__xludf.DUMMYFUNCTION("IFERROR(GOOGLEFINANCE(A775,""PRICE""),)"),54.25)</f>
        <v>54.25</v>
      </c>
      <c r="I775" s="65">
        <f>IFERROR(__xludf.DUMMYFUNCTION("IFERROR(GOOGLEFINANCE(A775,""VOLUME""),)"),118590.0)</f>
        <v>118590</v>
      </c>
      <c r="J775" s="64" t="str">
        <f>IFERROR(__xludf.DUMMYFUNCTION("IFERROR(INDEX(SPLIT(A775,"":""),1,2),)"),"KHAICHEM")</f>
        <v>KHAICHEM</v>
      </c>
      <c r="K775" s="64" t="str">
        <f t="shared" si="4"/>
        <v/>
      </c>
      <c r="L775" s="64">
        <f t="shared" si="5"/>
        <v>248</v>
      </c>
      <c r="M775" s="64">
        <f t="shared" si="6"/>
        <v>727</v>
      </c>
      <c r="N775" s="66">
        <f>IFERROR(__xludf.DUMMYFUNCTION("IFERROR(GOOGLEFINANCE(A775,""TRADETIME""),)"),46086.64583333333)</f>
        <v>46086.64583</v>
      </c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67" t="s">
        <v>822</v>
      </c>
      <c r="B776" s="60" t="str">
        <f>IFERROR(__xludf.DUMMYFUNCTION("IFERROR(GOOGLEFINANCE(A776,""NAME""),)"),"Khandwala Securities Ltd")</f>
        <v>Khandwala Securities Ltd</v>
      </c>
      <c r="C776" s="60">
        <f>IFERROR(__xludf.DUMMYFUNCTION("IFERROR(GOOGLEFINANCE(A776,""CHANGE""),)"),0.61)</f>
        <v>0.61</v>
      </c>
      <c r="D776" s="60">
        <f>IFERROR(__xludf.DUMMYFUNCTION("IFERROR(GOOGLEFINANCE(A776,""CHANGEPCT""),)"),3.61)</f>
        <v>3.61</v>
      </c>
      <c r="E776" s="60" t="str">
        <f t="shared" si="1"/>
        <v>3.61%</v>
      </c>
      <c r="F776" s="60">
        <f t="shared" si="2"/>
        <v>3.61</v>
      </c>
      <c r="G776" s="60" t="str">
        <f t="shared" si="3"/>
        <v/>
      </c>
      <c r="H776" s="60">
        <f>IFERROR(__xludf.DUMMYFUNCTION("IFERROR(GOOGLEFINANCE(A776,""PRICE""),)"),17.5)</f>
        <v>17.5</v>
      </c>
      <c r="I776" s="61">
        <f>IFERROR(__xludf.DUMMYFUNCTION("IFERROR(GOOGLEFINANCE(A776,""VOLUME""),)"),1450.0)</f>
        <v>1450</v>
      </c>
      <c r="J776" s="60" t="str">
        <f>IFERROR(__xludf.DUMMYFUNCTION("IFERROR(INDEX(SPLIT(A776,"":""),1,2),)"),"KHANDSE")</f>
        <v>KHANDSE</v>
      </c>
      <c r="K776" s="60">
        <f t="shared" si="4"/>
        <v>183</v>
      </c>
      <c r="L776" s="60" t="str">
        <f t="shared" si="5"/>
        <v/>
      </c>
      <c r="M776" s="60">
        <f t="shared" si="6"/>
        <v>1424</v>
      </c>
      <c r="N776" s="62">
        <f>IFERROR(__xludf.DUMMYFUNCTION("IFERROR(GOOGLEFINANCE(A776,""TRADETIME""),)"),46086.64583333333)</f>
        <v>46086.64583</v>
      </c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68" t="s">
        <v>823</v>
      </c>
      <c r="B777" s="64" t="str">
        <f>IFERROR(__xludf.DUMMYFUNCTION("IFERROR(GOOGLEFINANCE(A777,""NAME""),)"),"Kalyani Investment Company Ltd")</f>
        <v>Kalyani Investment Company Ltd</v>
      </c>
      <c r="C777" s="64">
        <f>IFERROR(__xludf.DUMMYFUNCTION("IFERROR(GOOGLEFINANCE(A777,""CHANGE""),)"),89.0)</f>
        <v>89</v>
      </c>
      <c r="D777" s="64">
        <f>IFERROR(__xludf.DUMMYFUNCTION("IFERROR(GOOGLEFINANCE(A777,""CHANGEPCT""),)"),1.86)</f>
        <v>1.86</v>
      </c>
      <c r="E777" s="64" t="str">
        <f t="shared" si="1"/>
        <v>1.86%</v>
      </c>
      <c r="F777" s="64">
        <f t="shared" si="2"/>
        <v>1.86</v>
      </c>
      <c r="G777" s="64" t="str">
        <f t="shared" si="3"/>
        <v/>
      </c>
      <c r="H777" s="64">
        <f>IFERROR(__xludf.DUMMYFUNCTION("IFERROR(GOOGLEFINANCE(A777,""PRICE""),)"),4859.0)</f>
        <v>4859</v>
      </c>
      <c r="I777" s="65">
        <f>IFERROR(__xludf.DUMMYFUNCTION("IFERROR(GOOGLEFINANCE(A777,""VOLUME""),)"),2622.0)</f>
        <v>2622</v>
      </c>
      <c r="J777" s="64" t="str">
        <f>IFERROR(__xludf.DUMMYFUNCTION("IFERROR(INDEX(SPLIT(A777,"":""),1,2),)"),"KICL")</f>
        <v>KICL</v>
      </c>
      <c r="K777" s="64">
        <f t="shared" si="4"/>
        <v>475</v>
      </c>
      <c r="L777" s="64" t="str">
        <f t="shared" si="5"/>
        <v/>
      </c>
      <c r="M777" s="64">
        <f t="shared" si="6"/>
        <v>1388</v>
      </c>
      <c r="N777" s="66">
        <f>IFERROR(__xludf.DUMMYFUNCTION("IFERROR(GOOGLEFINANCE(A777,""TRADETIME""),)"),46086.64524305555)</f>
        <v>46086.64524</v>
      </c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9" t="s">
        <v>824</v>
      </c>
      <c r="B778" s="60" t="str">
        <f>IFERROR(__xludf.DUMMYFUNCTION("IFERROR(GOOGLEFINANCE(A778,""NAME""),)"),"Man Industries (India) Ltd")</f>
        <v>Man Industries (India) Ltd</v>
      </c>
      <c r="C778" s="60">
        <f>IFERROR(__xludf.DUMMYFUNCTION("IFERROR(GOOGLEFINANCE(A778,""CHANGE""),)"),-3.85)</f>
        <v>-3.85</v>
      </c>
      <c r="D778" s="60">
        <f>IFERROR(__xludf.DUMMYFUNCTION("IFERROR(GOOGLEFINANCE(A778,""CHANGEPCT""),)"),-1.11)</f>
        <v>-1.11</v>
      </c>
      <c r="E778" s="60" t="str">
        <f t="shared" si="1"/>
        <v>-1.11%</v>
      </c>
      <c r="F778" s="60" t="str">
        <f t="shared" si="2"/>
        <v/>
      </c>
      <c r="G778" s="60">
        <f t="shared" si="3"/>
        <v>-1.11</v>
      </c>
      <c r="H778" s="60">
        <f>IFERROR(__xludf.DUMMYFUNCTION("IFERROR(GOOGLEFINANCE(A778,""PRICE""),)"),400.95)</f>
        <v>400.95</v>
      </c>
      <c r="I778" s="61">
        <f>IFERROR(__xludf.DUMMYFUNCTION("IFERROR(GOOGLEFINANCE(A778,""VOLUME""),)"),1415895.0)</f>
        <v>1415895</v>
      </c>
      <c r="J778" s="60" t="str">
        <f>IFERROR(__xludf.DUMMYFUNCTION("IFERROR(INDEX(SPLIT(A778,"":""),1,2),)"),"MANINDS")</f>
        <v>MANINDS</v>
      </c>
      <c r="K778" s="60" t="str">
        <f t="shared" si="4"/>
        <v/>
      </c>
      <c r="L778" s="60">
        <f t="shared" si="5"/>
        <v>228</v>
      </c>
      <c r="M778" s="60">
        <f t="shared" si="6"/>
        <v>245</v>
      </c>
      <c r="N778" s="62">
        <f>IFERROR(__xludf.DUMMYFUNCTION("IFERROR(GOOGLEFINANCE(A778,""TRADETIME""),)"),46086.64583333333)</f>
        <v>46086.64583</v>
      </c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63" t="s">
        <v>825</v>
      </c>
      <c r="B779" s="64" t="str">
        <f>IFERROR(__xludf.DUMMYFUNCTION("IFERROR(GOOGLEFINANCE(A779,""NAME""),)"),"Marine Electricals (India) Ltd")</f>
        <v>Marine Electricals (India) Ltd</v>
      </c>
      <c r="C779" s="64">
        <f>IFERROR(__xludf.DUMMYFUNCTION("IFERROR(GOOGLEFINANCE(A779,""CHANGE""),)"),8.01)</f>
        <v>8.01</v>
      </c>
      <c r="D779" s="64">
        <f>IFERROR(__xludf.DUMMYFUNCTION("IFERROR(GOOGLEFINANCE(A779,""CHANGEPCT""),)"),4.46)</f>
        <v>4.46</v>
      </c>
      <c r="E779" s="64" t="str">
        <f t="shared" si="1"/>
        <v>4.46%</v>
      </c>
      <c r="F779" s="64">
        <f t="shared" si="2"/>
        <v>4.46</v>
      </c>
      <c r="G779" s="64" t="str">
        <f t="shared" si="3"/>
        <v/>
      </c>
      <c r="H779" s="64">
        <f>IFERROR(__xludf.DUMMYFUNCTION("IFERROR(GOOGLEFINANCE(A779,""PRICE""),)"),187.8)</f>
        <v>187.8</v>
      </c>
      <c r="I779" s="65">
        <f>IFERROR(__xludf.DUMMYFUNCTION("IFERROR(GOOGLEFINANCE(A779,""VOLUME""),)"),368213.0)</f>
        <v>368213</v>
      </c>
      <c r="J779" s="64" t="str">
        <f>IFERROR(__xludf.DUMMYFUNCTION("IFERROR(INDEX(SPLIT(A779,"":""),1,2),)"),"MARINE")</f>
        <v>MARINE</v>
      </c>
      <c r="K779" s="64">
        <f t="shared" si="4"/>
        <v>112</v>
      </c>
      <c r="L779" s="64" t="str">
        <f t="shared" si="5"/>
        <v/>
      </c>
      <c r="M779" s="64">
        <f t="shared" si="6"/>
        <v>464</v>
      </c>
      <c r="N779" s="66">
        <f>IFERROR(__xludf.DUMMYFUNCTION("IFERROR(GOOGLEFINANCE(A779,""TRADETIME""),)"),46086.64585648148)</f>
        <v>46086.64586</v>
      </c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67" t="s">
        <v>826</v>
      </c>
      <c r="B780" s="60" t="str">
        <f>IFERROR(__xludf.DUMMYFUNCTION("IFERROR(GOOGLEFINANCE(A780,""NAME""),)"),"KIOCL Ltd")</f>
        <v>KIOCL Ltd</v>
      </c>
      <c r="C780" s="60">
        <f>IFERROR(__xludf.DUMMYFUNCTION("IFERROR(GOOGLEFINANCE(A780,""CHANGE""),)"),9.3)</f>
        <v>9.3</v>
      </c>
      <c r="D780" s="60">
        <f>IFERROR(__xludf.DUMMYFUNCTION("IFERROR(GOOGLEFINANCE(A780,""CHANGEPCT""),)"),3.0)</f>
        <v>3</v>
      </c>
      <c r="E780" s="60" t="str">
        <f t="shared" si="1"/>
        <v>3%</v>
      </c>
      <c r="F780" s="60">
        <f t="shared" si="2"/>
        <v>3</v>
      </c>
      <c r="G780" s="60" t="str">
        <f t="shared" si="3"/>
        <v/>
      </c>
      <c r="H780" s="60">
        <f>IFERROR(__xludf.DUMMYFUNCTION("IFERROR(GOOGLEFINANCE(A780,""PRICE""),)"),318.8)</f>
        <v>318.8</v>
      </c>
      <c r="I780" s="61">
        <f>IFERROR(__xludf.DUMMYFUNCTION("IFERROR(GOOGLEFINANCE(A780,""VOLUME""),)"),128410.0)</f>
        <v>128410</v>
      </c>
      <c r="J780" s="60" t="str">
        <f>IFERROR(__xludf.DUMMYFUNCTION("IFERROR(INDEX(SPLIT(A780,"":""),1,2),)"),"KIOCL")</f>
        <v>KIOCL</v>
      </c>
      <c r="K780" s="60">
        <f t="shared" si="4"/>
        <v>257</v>
      </c>
      <c r="L780" s="60" t="str">
        <f t="shared" si="5"/>
        <v/>
      </c>
      <c r="M780" s="60">
        <f t="shared" si="6"/>
        <v>703</v>
      </c>
      <c r="N780" s="62">
        <f>IFERROR(__xludf.DUMMYFUNCTION("IFERROR(GOOGLEFINANCE(A780,""TRADETIME""),)"),46086.64583333333)</f>
        <v>46086.64583</v>
      </c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68" t="s">
        <v>827</v>
      </c>
      <c r="B781" s="64" t="str">
        <f>IFERROR(__xludf.DUMMYFUNCTION("IFERROR(GOOGLEFINANCE(A781,""NAME""),)"),"Kiri Industries Ltd")</f>
        <v>Kiri Industries Ltd</v>
      </c>
      <c r="C781" s="64">
        <f>IFERROR(__xludf.DUMMYFUNCTION("IFERROR(GOOGLEFINANCE(A781,""CHANGE""),)"),-5.1)</f>
        <v>-5.1</v>
      </c>
      <c r="D781" s="64">
        <f>IFERROR(__xludf.DUMMYFUNCTION("IFERROR(GOOGLEFINANCE(A781,""CHANGEPCT""),)"),-1.2)</f>
        <v>-1.2</v>
      </c>
      <c r="E781" s="64" t="str">
        <f t="shared" si="1"/>
        <v>-1.2%</v>
      </c>
      <c r="F781" s="64" t="str">
        <f t="shared" si="2"/>
        <v/>
      </c>
      <c r="G781" s="64">
        <f t="shared" si="3"/>
        <v>-1.2</v>
      </c>
      <c r="H781" s="64">
        <f>IFERROR(__xludf.DUMMYFUNCTION("IFERROR(GOOGLEFINANCE(A781,""PRICE""),)"),421.0)</f>
        <v>421</v>
      </c>
      <c r="I781" s="65">
        <f>IFERROR(__xludf.DUMMYFUNCTION("IFERROR(GOOGLEFINANCE(A781,""VOLUME""),)"),382102.0)</f>
        <v>382102</v>
      </c>
      <c r="J781" s="64" t="str">
        <f>IFERROR(__xludf.DUMMYFUNCTION("IFERROR(INDEX(SPLIT(A781,"":""),1,2),)"),"KIRIINDUS")</f>
        <v>KIRIINDUS</v>
      </c>
      <c r="K781" s="64" t="str">
        <f t="shared" si="4"/>
        <v/>
      </c>
      <c r="L781" s="64">
        <f t="shared" si="5"/>
        <v>249</v>
      </c>
      <c r="M781" s="64">
        <f t="shared" si="6"/>
        <v>450</v>
      </c>
      <c r="N781" s="66">
        <f>IFERROR(__xludf.DUMMYFUNCTION("IFERROR(GOOGLEFINANCE(A781,""TRADETIME""),)"),46086.64583333333)</f>
        <v>46086.64583</v>
      </c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67" t="s">
        <v>828</v>
      </c>
      <c r="B782" s="60" t="str">
        <f>IFERROR(__xludf.DUMMYFUNCTION("IFERROR(GOOGLEFINANCE(A782,""NAME""),)"),"")</f>
        <v/>
      </c>
      <c r="C782" s="60" t="str">
        <f>IFERROR(__xludf.DUMMYFUNCTION("IFERROR(GOOGLEFINANCE(A782,""CHANGE""),)"),"")</f>
        <v/>
      </c>
      <c r="D782" s="60" t="str">
        <f>IFERROR(__xludf.DUMMYFUNCTION("IFERROR(GOOGLEFINANCE(A782,""CHANGEPCT""),)"),"")</f>
        <v/>
      </c>
      <c r="E782" s="60" t="str">
        <f t="shared" si="1"/>
        <v>%</v>
      </c>
      <c r="F782" s="60" t="str">
        <f t="shared" si="2"/>
        <v/>
      </c>
      <c r="G782" s="60" t="str">
        <f t="shared" si="3"/>
        <v/>
      </c>
      <c r="H782" s="60" t="str">
        <f>IFERROR(__xludf.DUMMYFUNCTION("IFERROR(GOOGLEFINANCE(A782,""PRICE""),)"),"")</f>
        <v/>
      </c>
      <c r="I782" s="61" t="str">
        <f>IFERROR(__xludf.DUMMYFUNCTION("IFERROR(GOOGLEFINANCE(A782,""VOLUME""),)"),"")</f>
        <v/>
      </c>
      <c r="J782" s="60" t="str">
        <f>IFERROR(__xludf.DUMMYFUNCTION("IFERROR(INDEX(SPLIT(A782,"":""),1,2),)"),"KIRLFER")</f>
        <v>KIRLFER</v>
      </c>
      <c r="K782" s="60" t="str">
        <f t="shared" si="4"/>
        <v/>
      </c>
      <c r="L782" s="60" t="str">
        <f t="shared" si="5"/>
        <v/>
      </c>
      <c r="M782" s="60" t="str">
        <f t="shared" si="6"/>
        <v/>
      </c>
      <c r="N782" s="62" t="str">
        <f>IFERROR(__xludf.DUMMYFUNCTION("IFERROR(GOOGLEFINANCE(A782,""TRADETIME""),)"),"")</f>
        <v/>
      </c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68" t="s">
        <v>829</v>
      </c>
      <c r="B783" s="64" t="str">
        <f>IFERROR(__xludf.DUMMYFUNCTION("IFERROR(GOOGLEFINANCE(A783,""NAME""),)"),"Kirloskar Brothers Ltd")</f>
        <v>Kirloskar Brothers Ltd</v>
      </c>
      <c r="C783" s="64">
        <f>IFERROR(__xludf.DUMMYFUNCTION("IFERROR(GOOGLEFINANCE(A783,""CHANGE""),)"),7.9)</f>
        <v>7.9</v>
      </c>
      <c r="D783" s="64">
        <f>IFERROR(__xludf.DUMMYFUNCTION("IFERROR(GOOGLEFINANCE(A783,""CHANGEPCT""),)"),0.53)</f>
        <v>0.53</v>
      </c>
      <c r="E783" s="64" t="str">
        <f t="shared" si="1"/>
        <v>0.53%</v>
      </c>
      <c r="F783" s="64">
        <f t="shared" si="2"/>
        <v>0.53</v>
      </c>
      <c r="G783" s="64" t="str">
        <f t="shared" si="3"/>
        <v/>
      </c>
      <c r="H783" s="64">
        <f>IFERROR(__xludf.DUMMYFUNCTION("IFERROR(GOOGLEFINANCE(A783,""PRICE""),)"),1500.0)</f>
        <v>1500</v>
      </c>
      <c r="I783" s="65">
        <f>IFERROR(__xludf.DUMMYFUNCTION("IFERROR(GOOGLEFINANCE(A783,""VOLUME""),)"),32686.0)</f>
        <v>32686</v>
      </c>
      <c r="J783" s="64" t="str">
        <f>IFERROR(__xludf.DUMMYFUNCTION("IFERROR(INDEX(SPLIT(A783,"":""),1,2),)"),"KIRLOSBROS")</f>
        <v>KIRLOSBROS</v>
      </c>
      <c r="K783" s="64">
        <f t="shared" si="4"/>
        <v>872</v>
      </c>
      <c r="L783" s="64" t="str">
        <f t="shared" si="5"/>
        <v/>
      </c>
      <c r="M783" s="64">
        <f t="shared" si="6"/>
        <v>1036</v>
      </c>
      <c r="N783" s="66">
        <f>IFERROR(__xludf.DUMMYFUNCTION("IFERROR(GOOGLEFINANCE(A783,""TRADETIME""),)"),46086.64586805555)</f>
        <v>46086.64587</v>
      </c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67" t="s">
        <v>830</v>
      </c>
      <c r="B784" s="60" t="str">
        <f>IFERROR(__xludf.DUMMYFUNCTION("IFERROR(GOOGLEFINANCE(A784,""NAME""),)"),"Kirloskar Oil Engines Ltd")</f>
        <v>Kirloskar Oil Engines Ltd</v>
      </c>
      <c r="C784" s="60">
        <f>IFERROR(__xludf.DUMMYFUNCTION("IFERROR(GOOGLEFINANCE(A784,""CHANGE""),)"),56.9)</f>
        <v>56.9</v>
      </c>
      <c r="D784" s="60">
        <f>IFERROR(__xludf.DUMMYFUNCTION("IFERROR(GOOGLEFINANCE(A784,""CHANGEPCT""),)"),3.99)</f>
        <v>3.99</v>
      </c>
      <c r="E784" s="60" t="str">
        <f t="shared" si="1"/>
        <v>3.99%</v>
      </c>
      <c r="F784" s="60">
        <f t="shared" si="2"/>
        <v>3.99</v>
      </c>
      <c r="G784" s="60" t="str">
        <f t="shared" si="3"/>
        <v/>
      </c>
      <c r="H784" s="60">
        <f>IFERROR(__xludf.DUMMYFUNCTION("IFERROR(GOOGLEFINANCE(A784,""PRICE""),)"),1473.0)</f>
        <v>1473</v>
      </c>
      <c r="I784" s="61">
        <f>IFERROR(__xludf.DUMMYFUNCTION("IFERROR(GOOGLEFINANCE(A784,""VOLUME""),)"),722310.0)</f>
        <v>722310</v>
      </c>
      <c r="J784" s="60" t="str">
        <f>IFERROR(__xludf.DUMMYFUNCTION("IFERROR(INDEX(SPLIT(A784,"":""),1,2),)"),"KIRLOSENG")</f>
        <v>KIRLOSENG</v>
      </c>
      <c r="K784" s="60">
        <f t="shared" si="4"/>
        <v>144</v>
      </c>
      <c r="L784" s="60" t="str">
        <f t="shared" si="5"/>
        <v/>
      </c>
      <c r="M784" s="60">
        <f t="shared" si="6"/>
        <v>334</v>
      </c>
      <c r="N784" s="62">
        <f>IFERROR(__xludf.DUMMYFUNCTION("IFERROR(GOOGLEFINANCE(A784,""TRADETIME""),)"),46086.64586805555)</f>
        <v>46086.64587</v>
      </c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68" t="s">
        <v>831</v>
      </c>
      <c r="B785" s="64" t="str">
        <f>IFERROR(__xludf.DUMMYFUNCTION("IFERROR(GOOGLEFINANCE(A785,""NAME""),)"),"Kirloskar Industries Ltd")</f>
        <v>Kirloskar Industries Ltd</v>
      </c>
      <c r="C785" s="64">
        <f>IFERROR(__xludf.DUMMYFUNCTION("IFERROR(GOOGLEFINANCE(A785,""CHANGE""),)"),91.1)</f>
        <v>91.1</v>
      </c>
      <c r="D785" s="64">
        <f>IFERROR(__xludf.DUMMYFUNCTION("IFERROR(GOOGLEFINANCE(A785,""CHANGEPCT""),)"),3.27)</f>
        <v>3.27</v>
      </c>
      <c r="E785" s="64" t="str">
        <f t="shared" si="1"/>
        <v>3.27%</v>
      </c>
      <c r="F785" s="64">
        <f t="shared" si="2"/>
        <v>3.27</v>
      </c>
      <c r="G785" s="64" t="str">
        <f t="shared" si="3"/>
        <v/>
      </c>
      <c r="H785" s="64">
        <f>IFERROR(__xludf.DUMMYFUNCTION("IFERROR(GOOGLEFINANCE(A785,""PRICE""),)"),2873.6)</f>
        <v>2873.6</v>
      </c>
      <c r="I785" s="65">
        <f>IFERROR(__xludf.DUMMYFUNCTION("IFERROR(GOOGLEFINANCE(A785,""VOLUME""),)"),4609.0)</f>
        <v>4609</v>
      </c>
      <c r="J785" s="64" t="str">
        <f>IFERROR(__xludf.DUMMYFUNCTION("IFERROR(INDEX(SPLIT(A785,"":""),1,2),)"),"KIRLOSIND")</f>
        <v>KIRLOSIND</v>
      </c>
      <c r="K785" s="64">
        <f t="shared" si="4"/>
        <v>216</v>
      </c>
      <c r="L785" s="64" t="str">
        <f t="shared" si="5"/>
        <v/>
      </c>
      <c r="M785" s="64">
        <f t="shared" si="6"/>
        <v>1356</v>
      </c>
      <c r="N785" s="66">
        <f>IFERROR(__xludf.DUMMYFUNCTION("IFERROR(GOOGLEFINANCE(A785,""TRADETIME""),)"),46086.64583333333)</f>
        <v>46086.64583</v>
      </c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67" t="s">
        <v>832</v>
      </c>
      <c r="B786" s="60" t="str">
        <f>IFERROR(__xludf.DUMMYFUNCTION("IFERROR(GOOGLEFINANCE(A786,""NAME""),)"),"Kitex Garments Ltd")</f>
        <v>Kitex Garments Ltd</v>
      </c>
      <c r="C786" s="60">
        <f>IFERROR(__xludf.DUMMYFUNCTION("IFERROR(GOOGLEFINANCE(A786,""CHANGE""),)"),8.13)</f>
        <v>8.13</v>
      </c>
      <c r="D786" s="60">
        <f>IFERROR(__xludf.DUMMYFUNCTION("IFERROR(GOOGLEFINANCE(A786,""CHANGEPCT""),)"),5.02)</f>
        <v>5.02</v>
      </c>
      <c r="E786" s="60" t="str">
        <f t="shared" si="1"/>
        <v>5.02%</v>
      </c>
      <c r="F786" s="60">
        <f t="shared" si="2"/>
        <v>5.02</v>
      </c>
      <c r="G786" s="60" t="str">
        <f t="shared" si="3"/>
        <v/>
      </c>
      <c r="H786" s="60">
        <f>IFERROR(__xludf.DUMMYFUNCTION("IFERROR(GOOGLEFINANCE(A786,""PRICE""),)"),170.0)</f>
        <v>170</v>
      </c>
      <c r="I786" s="61">
        <f>IFERROR(__xludf.DUMMYFUNCTION("IFERROR(GOOGLEFINANCE(A786,""VOLUME""),)"),1358878.0)</f>
        <v>1358878</v>
      </c>
      <c r="J786" s="60" t="str">
        <f>IFERROR(__xludf.DUMMYFUNCTION("IFERROR(INDEX(SPLIT(A786,"":""),1,2),)"),"KITEX")</f>
        <v>KITEX</v>
      </c>
      <c r="K786" s="60">
        <f t="shared" si="4"/>
        <v>66</v>
      </c>
      <c r="L786" s="60" t="str">
        <f t="shared" si="5"/>
        <v/>
      </c>
      <c r="M786" s="60">
        <f t="shared" si="6"/>
        <v>251</v>
      </c>
      <c r="N786" s="62">
        <f>IFERROR(__xludf.DUMMYFUNCTION("IFERROR(GOOGLEFINANCE(A786,""TRADETIME""),)"),46086.64583333333)</f>
        <v>46086.64583</v>
      </c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68" t="s">
        <v>833</v>
      </c>
      <c r="B787" s="64" t="str">
        <f>IFERROR(__xludf.DUMMYFUNCTION("IFERROR(GOOGLEFINANCE(A787,""NAME""),)"),"Kewal Kiran Clothing Limited")</f>
        <v>Kewal Kiran Clothing Limited</v>
      </c>
      <c r="C787" s="64">
        <f>IFERROR(__xludf.DUMMYFUNCTION("IFERROR(GOOGLEFINANCE(A787,""CHANGE""),)"),6.2)</f>
        <v>6.2</v>
      </c>
      <c r="D787" s="64">
        <f>IFERROR(__xludf.DUMMYFUNCTION("IFERROR(GOOGLEFINANCE(A787,""CHANGEPCT""),)"),1.32)</f>
        <v>1.32</v>
      </c>
      <c r="E787" s="64" t="str">
        <f t="shared" si="1"/>
        <v>1.32%</v>
      </c>
      <c r="F787" s="64">
        <f t="shared" si="2"/>
        <v>1.32</v>
      </c>
      <c r="G787" s="64" t="str">
        <f t="shared" si="3"/>
        <v/>
      </c>
      <c r="H787" s="64">
        <f>IFERROR(__xludf.DUMMYFUNCTION("IFERROR(GOOGLEFINANCE(A787,""PRICE""),)"),476.0)</f>
        <v>476</v>
      </c>
      <c r="I787" s="65">
        <f>IFERROR(__xludf.DUMMYFUNCTION("IFERROR(GOOGLEFINANCE(A787,""VOLUME""),)"),18841.0)</f>
        <v>18841</v>
      </c>
      <c r="J787" s="64" t="str">
        <f>IFERROR(__xludf.DUMMYFUNCTION("IFERROR(INDEX(SPLIT(A787,"":""),1,2),)"),"KKCL")</f>
        <v>KKCL</v>
      </c>
      <c r="K787" s="64">
        <f t="shared" si="4"/>
        <v>632</v>
      </c>
      <c r="L787" s="64" t="str">
        <f t="shared" si="5"/>
        <v/>
      </c>
      <c r="M787" s="64">
        <f t="shared" si="6"/>
        <v>1155</v>
      </c>
      <c r="N787" s="66">
        <f>IFERROR(__xludf.DUMMYFUNCTION("IFERROR(GOOGLEFINANCE(A787,""TRADETIME""),)"),46086.64583333333)</f>
        <v>46086.64583</v>
      </c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67" t="s">
        <v>834</v>
      </c>
      <c r="B788" s="60" t="str">
        <f>IFERROR(__xludf.DUMMYFUNCTION("IFERROR(GOOGLEFINANCE(A788,""NAME""),)"),"K M Sugar Mills Ltd")</f>
        <v>K M Sugar Mills Ltd</v>
      </c>
      <c r="C788" s="60">
        <f>IFERROR(__xludf.DUMMYFUNCTION("IFERROR(GOOGLEFINANCE(A788,""CHANGE""),)"),-1.09)</f>
        <v>-1.09</v>
      </c>
      <c r="D788" s="60">
        <f>IFERROR(__xludf.DUMMYFUNCTION("IFERROR(GOOGLEFINANCE(A788,""CHANGEPCT""),)"),-4.06)</f>
        <v>-4.06</v>
      </c>
      <c r="E788" s="60" t="str">
        <f t="shared" si="1"/>
        <v>-4.06%</v>
      </c>
      <c r="F788" s="60" t="str">
        <f t="shared" si="2"/>
        <v/>
      </c>
      <c r="G788" s="60">
        <f t="shared" si="3"/>
        <v>-4.06</v>
      </c>
      <c r="H788" s="60">
        <f>IFERROR(__xludf.DUMMYFUNCTION("IFERROR(GOOGLEFINANCE(A788,""PRICE""),)"),25.74)</f>
        <v>25.74</v>
      </c>
      <c r="I788" s="61">
        <f>IFERROR(__xludf.DUMMYFUNCTION("IFERROR(GOOGLEFINANCE(A788,""VOLUME""),)"),114550.0)</f>
        <v>114550</v>
      </c>
      <c r="J788" s="60" t="str">
        <f>IFERROR(__xludf.DUMMYFUNCTION("IFERROR(INDEX(SPLIT(A788,"":""),1,2),)"),"KMSUGAR")</f>
        <v>KMSUGAR</v>
      </c>
      <c r="K788" s="60" t="str">
        <f t="shared" si="4"/>
        <v/>
      </c>
      <c r="L788" s="60">
        <f t="shared" si="5"/>
        <v>426</v>
      </c>
      <c r="M788" s="60">
        <f t="shared" si="6"/>
        <v>731</v>
      </c>
      <c r="N788" s="62">
        <f>IFERROR(__xludf.DUMMYFUNCTION("IFERROR(GOOGLEFINANCE(A788,""TRADETIME""),)"),46086.640439814815)</f>
        <v>46086.64044</v>
      </c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68" t="s">
        <v>835</v>
      </c>
      <c r="B789" s="64" t="str">
        <f>IFERROR(__xludf.DUMMYFUNCTION("IFERROR(GOOGLEFINANCE(A789,""NAME""),)"),"KNR Constructions Ltd")</f>
        <v>KNR Constructions Ltd</v>
      </c>
      <c r="C789" s="64">
        <f>IFERROR(__xludf.DUMMYFUNCTION("IFERROR(GOOGLEFINANCE(A789,""CHANGE""),)"),-1.46)</f>
        <v>-1.46</v>
      </c>
      <c r="D789" s="64">
        <f>IFERROR(__xludf.DUMMYFUNCTION("IFERROR(GOOGLEFINANCE(A789,""CHANGEPCT""),)"),-1.16)</f>
        <v>-1.16</v>
      </c>
      <c r="E789" s="64" t="str">
        <f t="shared" si="1"/>
        <v>-1.16%</v>
      </c>
      <c r="F789" s="64" t="str">
        <f t="shared" si="2"/>
        <v/>
      </c>
      <c r="G789" s="64">
        <f t="shared" si="3"/>
        <v>-1.16</v>
      </c>
      <c r="H789" s="64">
        <f>IFERROR(__xludf.DUMMYFUNCTION("IFERROR(GOOGLEFINANCE(A789,""PRICE""),)"),124.2)</f>
        <v>124.2</v>
      </c>
      <c r="I789" s="65">
        <f>IFERROR(__xludf.DUMMYFUNCTION("IFERROR(GOOGLEFINANCE(A789,""VOLUME""),)"),1146310.0)</f>
        <v>1146310</v>
      </c>
      <c r="J789" s="64" t="str">
        <f>IFERROR(__xludf.DUMMYFUNCTION("IFERROR(INDEX(SPLIT(A789,"":""),1,2),)"),"KNRCON")</f>
        <v>KNRCON</v>
      </c>
      <c r="K789" s="64" t="str">
        <f t="shared" si="4"/>
        <v/>
      </c>
      <c r="L789" s="64">
        <f t="shared" si="5"/>
        <v>237</v>
      </c>
      <c r="M789" s="64">
        <f t="shared" si="6"/>
        <v>268</v>
      </c>
      <c r="N789" s="66">
        <f>IFERROR(__xludf.DUMMYFUNCTION("IFERROR(GOOGLEFINANCE(A789,""TRADETIME""),)"),46086.63986111111)</f>
        <v>46086.63986</v>
      </c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67" t="s">
        <v>836</v>
      </c>
      <c r="B790" s="60" t="str">
        <f>IFERROR(__xludf.DUMMYFUNCTION("IFERROR(GOOGLEFINANCE(A790,""NAME""),)"),"Kokuyo Camlin Ltd")</f>
        <v>Kokuyo Camlin Ltd</v>
      </c>
      <c r="C790" s="60">
        <f>IFERROR(__xludf.DUMMYFUNCTION("IFERROR(GOOGLEFINANCE(A790,""CHANGE""),)"),0.3)</f>
        <v>0.3</v>
      </c>
      <c r="D790" s="60">
        <f>IFERROR(__xludf.DUMMYFUNCTION("IFERROR(GOOGLEFINANCE(A790,""CHANGEPCT""),)"),0.38)</f>
        <v>0.38</v>
      </c>
      <c r="E790" s="60" t="str">
        <f t="shared" si="1"/>
        <v>0.38%</v>
      </c>
      <c r="F790" s="60">
        <f t="shared" si="2"/>
        <v>0.38</v>
      </c>
      <c r="G790" s="60" t="str">
        <f t="shared" si="3"/>
        <v/>
      </c>
      <c r="H790" s="60">
        <f>IFERROR(__xludf.DUMMYFUNCTION("IFERROR(GOOGLEFINANCE(A790,""PRICE""),)"),78.3)</f>
        <v>78.3</v>
      </c>
      <c r="I790" s="61">
        <f>IFERROR(__xludf.DUMMYFUNCTION("IFERROR(GOOGLEFINANCE(A790,""VOLUME""),)"),55641.0)</f>
        <v>55641</v>
      </c>
      <c r="J790" s="60" t="str">
        <f>IFERROR(__xludf.DUMMYFUNCTION("IFERROR(INDEX(SPLIT(A790,"":""),1,2),)"),"KOKUYOCMLN")</f>
        <v>KOKUYOCMLN</v>
      </c>
      <c r="K790" s="60">
        <f t="shared" si="4"/>
        <v>911</v>
      </c>
      <c r="L790" s="60" t="str">
        <f t="shared" si="5"/>
        <v/>
      </c>
      <c r="M790" s="60">
        <f t="shared" si="6"/>
        <v>902</v>
      </c>
      <c r="N790" s="62">
        <f>IFERROR(__xludf.DUMMYFUNCTION("IFERROR(GOOGLEFINANCE(A790,""TRADETIME""),)"),46086.64583333333)</f>
        <v>46086.64583</v>
      </c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68" t="s">
        <v>837</v>
      </c>
      <c r="B791" s="64" t="str">
        <f>IFERROR(__xludf.DUMMYFUNCTION("IFERROR(GOOGLEFINANCE(A791,""NAME""),)"),"Kolte-Patil Developers Ltd")</f>
        <v>Kolte-Patil Developers Ltd</v>
      </c>
      <c r="C791" s="64">
        <f>IFERROR(__xludf.DUMMYFUNCTION("IFERROR(GOOGLEFINANCE(A791,""CHANGE""),)"),6.2)</f>
        <v>6.2</v>
      </c>
      <c r="D791" s="64">
        <f>IFERROR(__xludf.DUMMYFUNCTION("IFERROR(GOOGLEFINANCE(A791,""CHANGEPCT""),)"),1.85)</f>
        <v>1.85</v>
      </c>
      <c r="E791" s="64" t="str">
        <f t="shared" si="1"/>
        <v>1.85%</v>
      </c>
      <c r="F791" s="64">
        <f t="shared" si="2"/>
        <v>1.85</v>
      </c>
      <c r="G791" s="64" t="str">
        <f t="shared" si="3"/>
        <v/>
      </c>
      <c r="H791" s="64">
        <f>IFERROR(__xludf.DUMMYFUNCTION("IFERROR(GOOGLEFINANCE(A791,""PRICE""),)"),342.0)</f>
        <v>342</v>
      </c>
      <c r="I791" s="65">
        <f>IFERROR(__xludf.DUMMYFUNCTION("IFERROR(GOOGLEFINANCE(A791,""VOLUME""),)"),122998.0)</f>
        <v>122998</v>
      </c>
      <c r="J791" s="64" t="str">
        <f>IFERROR(__xludf.DUMMYFUNCTION("IFERROR(INDEX(SPLIT(A791,"":""),1,2),)"),"KOLTEPATIL")</f>
        <v>KOLTEPATIL</v>
      </c>
      <c r="K791" s="64">
        <f t="shared" si="4"/>
        <v>482</v>
      </c>
      <c r="L791" s="64" t="str">
        <f t="shared" si="5"/>
        <v/>
      </c>
      <c r="M791" s="64">
        <f t="shared" si="6"/>
        <v>716</v>
      </c>
      <c r="N791" s="66">
        <f>IFERROR(__xludf.DUMMYFUNCTION("IFERROR(GOOGLEFINANCE(A791,""TRADETIME""),)"),46086.64583333333)</f>
        <v>46086.64583</v>
      </c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67" t="s">
        <v>838</v>
      </c>
      <c r="B792" s="60" t="str">
        <f>IFERROR(__xludf.DUMMYFUNCTION("IFERROR(GOOGLEFINANCE(A792,""NAME""),)"),"Kopran Ltd")</f>
        <v>Kopran Ltd</v>
      </c>
      <c r="C792" s="60">
        <f>IFERROR(__xludf.DUMMYFUNCTION("IFERROR(GOOGLEFINANCE(A792,""CHANGE""),)"),1.35)</f>
        <v>1.35</v>
      </c>
      <c r="D792" s="60">
        <f>IFERROR(__xludf.DUMMYFUNCTION("IFERROR(GOOGLEFINANCE(A792,""CHANGEPCT""),)"),1.1)</f>
        <v>1.1</v>
      </c>
      <c r="E792" s="60" t="str">
        <f t="shared" si="1"/>
        <v>1.1%</v>
      </c>
      <c r="F792" s="60">
        <f t="shared" si="2"/>
        <v>1.1</v>
      </c>
      <c r="G792" s="60" t="str">
        <f t="shared" si="3"/>
        <v/>
      </c>
      <c r="H792" s="60">
        <f>IFERROR(__xludf.DUMMYFUNCTION("IFERROR(GOOGLEFINANCE(A792,""PRICE""),)"),123.61)</f>
        <v>123.61</v>
      </c>
      <c r="I792" s="61">
        <f>IFERROR(__xludf.DUMMYFUNCTION("IFERROR(GOOGLEFINANCE(A792,""VOLUME""),)"),196914.0)</f>
        <v>196914</v>
      </c>
      <c r="J792" s="60" t="str">
        <f>IFERROR(__xludf.DUMMYFUNCTION("IFERROR(INDEX(SPLIT(A792,"":""),1,2),)"),"KOPRAN")</f>
        <v>KOPRAN</v>
      </c>
      <c r="K792" s="60">
        <f t="shared" si="4"/>
        <v>690</v>
      </c>
      <c r="L792" s="60" t="str">
        <f t="shared" si="5"/>
        <v/>
      </c>
      <c r="M792" s="60">
        <f t="shared" si="6"/>
        <v>610</v>
      </c>
      <c r="N792" s="62">
        <f>IFERROR(__xludf.DUMMYFUNCTION("IFERROR(GOOGLEFINANCE(A792,""TRADETIME""),)"),46086.64586805555)</f>
        <v>46086.64587</v>
      </c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68" t="s">
        <v>839</v>
      </c>
      <c r="B793" s="64" t="str">
        <f>IFERROR(__xludf.DUMMYFUNCTION("IFERROR(GOOGLEFINANCE(A793,""NAME""),)"),"Kotak Mahindra Bank Ltd Fully Paid Ord. Shrs")</f>
        <v>Kotak Mahindra Bank Ltd Fully Paid Ord. Shrs</v>
      </c>
      <c r="C793" s="64">
        <f>IFERROR(__xludf.DUMMYFUNCTION("IFERROR(GOOGLEFINANCE(A793,""CHANGE""),)"),3.0)</f>
        <v>3</v>
      </c>
      <c r="D793" s="64">
        <f>IFERROR(__xludf.DUMMYFUNCTION("IFERROR(GOOGLEFINANCE(A793,""CHANGEPCT""),)"),0.77)</f>
        <v>0.77</v>
      </c>
      <c r="E793" s="64" t="str">
        <f t="shared" si="1"/>
        <v>0.77%</v>
      </c>
      <c r="F793" s="64">
        <f t="shared" si="2"/>
        <v>0.77</v>
      </c>
      <c r="G793" s="64" t="str">
        <f t="shared" si="3"/>
        <v/>
      </c>
      <c r="H793" s="64">
        <f>IFERROR(__xludf.DUMMYFUNCTION("IFERROR(GOOGLEFINANCE(A793,""PRICE""),)"),406.35)</f>
        <v>406.35</v>
      </c>
      <c r="I793" s="65">
        <f>IFERROR(__xludf.DUMMYFUNCTION("IFERROR(GOOGLEFINANCE(A793,""VOLUME""),)"),1.4962337E7)</f>
        <v>14962337</v>
      </c>
      <c r="J793" s="64" t="str">
        <f>IFERROR(__xludf.DUMMYFUNCTION("IFERROR(INDEX(SPLIT(A793,"":""),1,2),)"),"KOTAKBANK")</f>
        <v>KOTAKBANK</v>
      </c>
      <c r="K793" s="64">
        <f t="shared" si="4"/>
        <v>796</v>
      </c>
      <c r="L793" s="64" t="str">
        <f t="shared" si="5"/>
        <v/>
      </c>
      <c r="M793" s="64">
        <f t="shared" si="6"/>
        <v>46</v>
      </c>
      <c r="N793" s="66">
        <f>IFERROR(__xludf.DUMMYFUNCTION("IFERROR(GOOGLEFINANCE(A793,""TRADETIME""),)"),46086.64583333333)</f>
        <v>46086.64583</v>
      </c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67" t="s">
        <v>840</v>
      </c>
      <c r="B794" s="60" t="str">
        <f>IFERROR(__xludf.DUMMYFUNCTION("IFERROR(GOOGLEFINANCE(A794,""NAME""),)"),"Kothari Sugars and Chemicals Ltd")</f>
        <v>Kothari Sugars and Chemicals Ltd</v>
      </c>
      <c r="C794" s="60">
        <f>IFERROR(__xludf.DUMMYFUNCTION("IFERROR(GOOGLEFINANCE(A794,""CHANGE""),)"),0.09)</f>
        <v>0.09</v>
      </c>
      <c r="D794" s="60">
        <f>IFERROR(__xludf.DUMMYFUNCTION("IFERROR(GOOGLEFINANCE(A794,""CHANGEPCT""),)"),0.36)</f>
        <v>0.36</v>
      </c>
      <c r="E794" s="60" t="str">
        <f t="shared" si="1"/>
        <v>0.36%</v>
      </c>
      <c r="F794" s="60">
        <f t="shared" si="2"/>
        <v>0.36</v>
      </c>
      <c r="G794" s="60" t="str">
        <f t="shared" si="3"/>
        <v/>
      </c>
      <c r="H794" s="60">
        <f>IFERROR(__xludf.DUMMYFUNCTION("IFERROR(GOOGLEFINANCE(A794,""PRICE""),)"),25.37)</f>
        <v>25.37</v>
      </c>
      <c r="I794" s="61">
        <f>IFERROR(__xludf.DUMMYFUNCTION("IFERROR(GOOGLEFINANCE(A794,""VOLUME""),)"),64061.0)</f>
        <v>64061</v>
      </c>
      <c r="J794" s="60" t="str">
        <f>IFERROR(__xludf.DUMMYFUNCTION("IFERROR(INDEX(SPLIT(A794,"":""),1,2),)"),"KOTARISUG")</f>
        <v>KOTARISUG</v>
      </c>
      <c r="K794" s="60">
        <f t="shared" si="4"/>
        <v>916</v>
      </c>
      <c r="L794" s="60" t="str">
        <f t="shared" si="5"/>
        <v/>
      </c>
      <c r="M794" s="60">
        <f t="shared" si="6"/>
        <v>863</v>
      </c>
      <c r="N794" s="62">
        <f>IFERROR(__xludf.DUMMYFUNCTION("IFERROR(GOOGLEFINANCE(A794,""TRADETIME""),)"),46086.64524305555)</f>
        <v>46086.64524</v>
      </c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68" t="s">
        <v>841</v>
      </c>
      <c r="B795" s="64" t="str">
        <f>IFERROR(__xludf.DUMMYFUNCTION("IFERROR(GOOGLEFINANCE(A795,""NAME""),)"),"Kothari Petrochemicals Ltd")</f>
        <v>Kothari Petrochemicals Ltd</v>
      </c>
      <c r="C795" s="64">
        <f>IFERROR(__xludf.DUMMYFUNCTION("IFERROR(GOOGLEFINANCE(A795,""CHANGE""),)"),1.15)</f>
        <v>1.15</v>
      </c>
      <c r="D795" s="64">
        <f>IFERROR(__xludf.DUMMYFUNCTION("IFERROR(GOOGLEFINANCE(A795,""CHANGEPCT""),)"),1.09)</f>
        <v>1.09</v>
      </c>
      <c r="E795" s="64" t="str">
        <f t="shared" si="1"/>
        <v>1.09%</v>
      </c>
      <c r="F795" s="64">
        <f t="shared" si="2"/>
        <v>1.09</v>
      </c>
      <c r="G795" s="64" t="str">
        <f t="shared" si="3"/>
        <v/>
      </c>
      <c r="H795" s="64">
        <f>IFERROR(__xludf.DUMMYFUNCTION("IFERROR(GOOGLEFINANCE(A795,""PRICE""),)"),106.99)</f>
        <v>106.99</v>
      </c>
      <c r="I795" s="65">
        <f>IFERROR(__xludf.DUMMYFUNCTION("IFERROR(GOOGLEFINANCE(A795,""VOLUME""),)"),28270.0)</f>
        <v>28270</v>
      </c>
      <c r="J795" s="64" t="str">
        <f>IFERROR(__xludf.DUMMYFUNCTION("IFERROR(INDEX(SPLIT(A795,"":""),1,2),)"),"KOTHARIPET")</f>
        <v>KOTHARIPET</v>
      </c>
      <c r="K795" s="64">
        <f t="shared" si="4"/>
        <v>695</v>
      </c>
      <c r="L795" s="64" t="str">
        <f t="shared" si="5"/>
        <v/>
      </c>
      <c r="M795" s="64">
        <f t="shared" si="6"/>
        <v>1068</v>
      </c>
      <c r="N795" s="66">
        <f>IFERROR(__xludf.DUMMYFUNCTION("IFERROR(GOOGLEFINANCE(A795,""TRADETIME""),)"),46086.64583333333)</f>
        <v>46086.64583</v>
      </c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67" t="s">
        <v>842</v>
      </c>
      <c r="B796" s="60" t="str">
        <f>IFERROR(__xludf.DUMMYFUNCTION("IFERROR(GOOGLEFINANCE(A796,""NAME""),)"),"Kothari Products Ltd")</f>
        <v>Kothari Products Ltd</v>
      </c>
      <c r="C796" s="60">
        <f>IFERROR(__xludf.DUMMYFUNCTION("IFERROR(GOOGLEFINANCE(A796,""CHANGE""),)"),0.24)</f>
        <v>0.24</v>
      </c>
      <c r="D796" s="60">
        <f>IFERROR(__xludf.DUMMYFUNCTION("IFERROR(GOOGLEFINANCE(A796,""CHANGEPCT""),)"),0.37)</f>
        <v>0.37</v>
      </c>
      <c r="E796" s="60" t="str">
        <f t="shared" si="1"/>
        <v>0.37%</v>
      </c>
      <c r="F796" s="60">
        <f t="shared" si="2"/>
        <v>0.37</v>
      </c>
      <c r="G796" s="60" t="str">
        <f t="shared" si="3"/>
        <v/>
      </c>
      <c r="H796" s="60">
        <f>IFERROR(__xludf.DUMMYFUNCTION("IFERROR(GOOGLEFINANCE(A796,""PRICE""),)"),64.3)</f>
        <v>64.3</v>
      </c>
      <c r="I796" s="61">
        <f>IFERROR(__xludf.DUMMYFUNCTION("IFERROR(GOOGLEFINANCE(A796,""VOLUME""),)"),15008.0)</f>
        <v>15008</v>
      </c>
      <c r="J796" s="60" t="str">
        <f>IFERROR(__xludf.DUMMYFUNCTION("IFERROR(INDEX(SPLIT(A796,"":""),1,2),)"),"KOTHARIPRO")</f>
        <v>KOTHARIPRO</v>
      </c>
      <c r="K796" s="60">
        <f t="shared" si="4"/>
        <v>914</v>
      </c>
      <c r="L796" s="60" t="str">
        <f t="shared" si="5"/>
        <v/>
      </c>
      <c r="M796" s="60">
        <f t="shared" si="6"/>
        <v>1195</v>
      </c>
      <c r="N796" s="62">
        <f>IFERROR(__xludf.DUMMYFUNCTION("IFERROR(GOOGLEFINANCE(A796,""TRADETIME""),)"),46086.638703703706)</f>
        <v>46086.6387</v>
      </c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68" t="s">
        <v>843</v>
      </c>
      <c r="B797" s="64" t="str">
        <f>IFERROR(__xludf.DUMMYFUNCTION("IFERROR(GOOGLEFINANCE(A797,""NAME""),)"),"KPIT Technologies Ltd")</f>
        <v>KPIT Technologies Ltd</v>
      </c>
      <c r="C797" s="64">
        <f>IFERROR(__xludf.DUMMYFUNCTION("IFERROR(GOOGLEFINANCE(A797,""CHANGE""),)"),-17.35)</f>
        <v>-17.35</v>
      </c>
      <c r="D797" s="64">
        <f>IFERROR(__xludf.DUMMYFUNCTION("IFERROR(GOOGLEFINANCE(A797,""CHANGEPCT""),)"),-2.36)</f>
        <v>-2.36</v>
      </c>
      <c r="E797" s="64" t="str">
        <f t="shared" si="1"/>
        <v>-2.36%</v>
      </c>
      <c r="F797" s="64" t="str">
        <f t="shared" si="2"/>
        <v/>
      </c>
      <c r="G797" s="64">
        <f t="shared" si="3"/>
        <v>-2.36</v>
      </c>
      <c r="H797" s="64">
        <f>IFERROR(__xludf.DUMMYFUNCTION("IFERROR(GOOGLEFINANCE(A797,""PRICE""),)"),718.8)</f>
        <v>718.8</v>
      </c>
      <c r="I797" s="65">
        <f>IFERROR(__xludf.DUMMYFUNCTION("IFERROR(GOOGLEFINANCE(A797,""VOLUME""),)"),2329970.0)</f>
        <v>2329970</v>
      </c>
      <c r="J797" s="64" t="str">
        <f>IFERROR(__xludf.DUMMYFUNCTION("IFERROR(INDEX(SPLIT(A797,"":""),1,2),)"),"KPITTECH")</f>
        <v>KPITTECH</v>
      </c>
      <c r="K797" s="64" t="str">
        <f t="shared" si="4"/>
        <v/>
      </c>
      <c r="L797" s="64">
        <f t="shared" si="5"/>
        <v>378</v>
      </c>
      <c r="M797" s="64">
        <f t="shared" si="6"/>
        <v>180</v>
      </c>
      <c r="N797" s="66">
        <f>IFERROR(__xludf.DUMMYFUNCTION("IFERROR(GOOGLEFINANCE(A797,""TRADETIME""),)"),46086.64584490741)</f>
        <v>46086.64584</v>
      </c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67" t="s">
        <v>844</v>
      </c>
      <c r="B798" s="60" t="str">
        <f>IFERROR(__xludf.DUMMYFUNCTION("IFERROR(GOOGLEFINANCE(A798,""NAME""),)"),"KPR Mill Ltd")</f>
        <v>KPR Mill Ltd</v>
      </c>
      <c r="C798" s="60">
        <f>IFERROR(__xludf.DUMMYFUNCTION("IFERROR(GOOGLEFINANCE(A798,""CHANGE""),)"),-16.05)</f>
        <v>-16.05</v>
      </c>
      <c r="D798" s="60">
        <f>IFERROR(__xludf.DUMMYFUNCTION("IFERROR(GOOGLEFINANCE(A798,""CHANGEPCT""),)"),-1.88)</f>
        <v>-1.88</v>
      </c>
      <c r="E798" s="60" t="str">
        <f t="shared" si="1"/>
        <v>-1.88%</v>
      </c>
      <c r="F798" s="60" t="str">
        <f t="shared" si="2"/>
        <v/>
      </c>
      <c r="G798" s="60">
        <f t="shared" si="3"/>
        <v>-1.88</v>
      </c>
      <c r="H798" s="60">
        <f>IFERROR(__xludf.DUMMYFUNCTION("IFERROR(GOOGLEFINANCE(A798,""PRICE""),)"),837.6)</f>
        <v>837.6</v>
      </c>
      <c r="I798" s="61">
        <f>IFERROR(__xludf.DUMMYFUNCTION("IFERROR(GOOGLEFINANCE(A798,""VOLUME""),)"),223992.0)</f>
        <v>223992</v>
      </c>
      <c r="J798" s="60" t="str">
        <f>IFERROR(__xludf.DUMMYFUNCTION("IFERROR(INDEX(SPLIT(A798,"":""),1,2),)"),"KPRMILL")</f>
        <v>KPRMILL</v>
      </c>
      <c r="K798" s="60" t="str">
        <f t="shared" si="4"/>
        <v/>
      </c>
      <c r="L798" s="60">
        <f t="shared" si="5"/>
        <v>333</v>
      </c>
      <c r="M798" s="60">
        <f t="shared" si="6"/>
        <v>577</v>
      </c>
      <c r="N798" s="62">
        <f>IFERROR(__xludf.DUMMYFUNCTION("IFERROR(GOOGLEFINANCE(A798,""TRADETIME""),)"),46086.64584490741)</f>
        <v>46086.64584</v>
      </c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68" t="s">
        <v>845</v>
      </c>
      <c r="B799" s="64" t="str">
        <f>IFERROR(__xludf.DUMMYFUNCTION("IFERROR(GOOGLEFINANCE(A799,""NAME""),)"),"KRBL Ltd")</f>
        <v>KRBL Ltd</v>
      </c>
      <c r="C799" s="64">
        <f>IFERROR(__xludf.DUMMYFUNCTION("IFERROR(GOOGLEFINANCE(A799,""CHANGE""),)"),13.5)</f>
        <v>13.5</v>
      </c>
      <c r="D799" s="64">
        <f>IFERROR(__xludf.DUMMYFUNCTION("IFERROR(GOOGLEFINANCE(A799,""CHANGEPCT""),)"),4.21)</f>
        <v>4.21</v>
      </c>
      <c r="E799" s="64" t="str">
        <f t="shared" si="1"/>
        <v>4.21%</v>
      </c>
      <c r="F799" s="64">
        <f t="shared" si="2"/>
        <v>4.21</v>
      </c>
      <c r="G799" s="64" t="str">
        <f t="shared" si="3"/>
        <v/>
      </c>
      <c r="H799" s="64">
        <f>IFERROR(__xludf.DUMMYFUNCTION("IFERROR(GOOGLEFINANCE(A799,""PRICE""),)"),334.0)</f>
        <v>334</v>
      </c>
      <c r="I799" s="65">
        <f>IFERROR(__xludf.DUMMYFUNCTION("IFERROR(GOOGLEFINANCE(A799,""VOLUME""),)"),675686.0)</f>
        <v>675686</v>
      </c>
      <c r="J799" s="64" t="str">
        <f>IFERROR(__xludf.DUMMYFUNCTION("IFERROR(INDEX(SPLIT(A799,"":""),1,2),)"),"KRBL")</f>
        <v>KRBL</v>
      </c>
      <c r="K799" s="64">
        <f t="shared" si="4"/>
        <v>131</v>
      </c>
      <c r="L799" s="64" t="str">
        <f t="shared" si="5"/>
        <v/>
      </c>
      <c r="M799" s="64">
        <f t="shared" si="6"/>
        <v>344</v>
      </c>
      <c r="N799" s="66">
        <f>IFERROR(__xludf.DUMMYFUNCTION("IFERROR(GOOGLEFINANCE(A799,""TRADETIME""),)"),46086.64196759259)</f>
        <v>46086.64197</v>
      </c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67" t="s">
        <v>846</v>
      </c>
      <c r="B800" s="60" t="str">
        <f>IFERROR(__xludf.DUMMYFUNCTION("IFERROR(GOOGLEFINANCE(A800,""NAME""),)"),"Krebs Biochemicals And Industries Ltd")</f>
        <v>Krebs Biochemicals And Industries Ltd</v>
      </c>
      <c r="C800" s="60">
        <f>IFERROR(__xludf.DUMMYFUNCTION("IFERROR(GOOGLEFINANCE(A800,""CHANGE""),)"),2.45)</f>
        <v>2.45</v>
      </c>
      <c r="D800" s="60">
        <f>IFERROR(__xludf.DUMMYFUNCTION("IFERROR(GOOGLEFINANCE(A800,""CHANGEPCT""),)"),4.67)</f>
        <v>4.67</v>
      </c>
      <c r="E800" s="60" t="str">
        <f t="shared" si="1"/>
        <v>4.67%</v>
      </c>
      <c r="F800" s="60">
        <f t="shared" si="2"/>
        <v>4.67</v>
      </c>
      <c r="G800" s="60" t="str">
        <f t="shared" si="3"/>
        <v/>
      </c>
      <c r="H800" s="60">
        <f>IFERROR(__xludf.DUMMYFUNCTION("IFERROR(GOOGLEFINANCE(A800,""PRICE""),)"),54.96)</f>
        <v>54.96</v>
      </c>
      <c r="I800" s="61">
        <f>IFERROR(__xludf.DUMMYFUNCTION("IFERROR(GOOGLEFINANCE(A800,""VOLUME""),)"),3146.0)</f>
        <v>3146</v>
      </c>
      <c r="J800" s="60" t="str">
        <f>IFERROR(__xludf.DUMMYFUNCTION("IFERROR(INDEX(SPLIT(A800,"":""),1,2),)"),"KREBSBIO")</f>
        <v>KREBSBIO</v>
      </c>
      <c r="K800" s="60">
        <f t="shared" si="4"/>
        <v>100</v>
      </c>
      <c r="L800" s="60" t="str">
        <f t="shared" si="5"/>
        <v/>
      </c>
      <c r="M800" s="60">
        <f t="shared" si="6"/>
        <v>1383</v>
      </c>
      <c r="N800" s="62">
        <f>IFERROR(__xludf.DUMMYFUNCTION("IFERROR(GOOGLEFINANCE(A800,""TRADETIME""),)"),46086.64583333333)</f>
        <v>46086.64583</v>
      </c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68" t="s">
        <v>847</v>
      </c>
      <c r="B801" s="64" t="str">
        <f>IFERROR(__xludf.DUMMYFUNCTION("IFERROR(GOOGLEFINANCE(A801,""NAME""),)"),"Kridhan Infra Ltd")</f>
        <v>Kridhan Infra Ltd</v>
      </c>
      <c r="C801" s="64">
        <f>IFERROR(__xludf.DUMMYFUNCTION("IFERROR(GOOGLEFINANCE(A801,""CHANGE""),)"),0.23)</f>
        <v>0.23</v>
      </c>
      <c r="D801" s="64">
        <f>IFERROR(__xludf.DUMMYFUNCTION("IFERROR(GOOGLEFINANCE(A801,""CHANGEPCT""),)"),9.62)</f>
        <v>9.62</v>
      </c>
      <c r="E801" s="64" t="str">
        <f t="shared" si="1"/>
        <v>9.62%</v>
      </c>
      <c r="F801" s="64">
        <f t="shared" si="2"/>
        <v>9.62</v>
      </c>
      <c r="G801" s="64" t="str">
        <f t="shared" si="3"/>
        <v/>
      </c>
      <c r="H801" s="64">
        <f>IFERROR(__xludf.DUMMYFUNCTION("IFERROR(GOOGLEFINANCE(A801,""PRICE""),)"),2.62)</f>
        <v>2.62</v>
      </c>
      <c r="I801" s="65">
        <f>IFERROR(__xludf.DUMMYFUNCTION("IFERROR(GOOGLEFINANCE(A801,""VOLUME""),)"),382766.0)</f>
        <v>382766</v>
      </c>
      <c r="J801" s="64" t="str">
        <f>IFERROR(__xludf.DUMMYFUNCTION("IFERROR(INDEX(SPLIT(A801,"":""),1,2),)"),"KRIDHANINF")</f>
        <v>KRIDHANINF</v>
      </c>
      <c r="K801" s="64">
        <f t="shared" si="4"/>
        <v>13</v>
      </c>
      <c r="L801" s="64" t="str">
        <f t="shared" si="5"/>
        <v/>
      </c>
      <c r="M801" s="64">
        <f t="shared" si="6"/>
        <v>449</v>
      </c>
      <c r="N801" s="66">
        <f>IFERROR(__xludf.DUMMYFUNCTION("IFERROR(GOOGLEFINANCE(A801,""TRADETIME""),)"),46086.64583333333)</f>
        <v>46086.64583</v>
      </c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67" t="s">
        <v>848</v>
      </c>
      <c r="B802" s="60" t="str">
        <f>IFERROR(__xludf.DUMMYFUNCTION("IFERROR(GOOGLEFINANCE(A802,""NAME""),)"),"Krishana Phoschem Ltd")</f>
        <v>Krishana Phoschem Ltd</v>
      </c>
      <c r="C802" s="60">
        <f>IFERROR(__xludf.DUMMYFUNCTION("IFERROR(GOOGLEFINANCE(A802,""CHANGE""),)"),11.25)</f>
        <v>11.25</v>
      </c>
      <c r="D802" s="60">
        <f>IFERROR(__xludf.DUMMYFUNCTION("IFERROR(GOOGLEFINANCE(A802,""CHANGEPCT""),)"),2.42)</f>
        <v>2.42</v>
      </c>
      <c r="E802" s="60" t="str">
        <f t="shared" si="1"/>
        <v>2.42%</v>
      </c>
      <c r="F802" s="60">
        <f t="shared" si="2"/>
        <v>2.42</v>
      </c>
      <c r="G802" s="60" t="str">
        <f t="shared" si="3"/>
        <v/>
      </c>
      <c r="H802" s="60">
        <f>IFERROR(__xludf.DUMMYFUNCTION("IFERROR(GOOGLEFINANCE(A802,""PRICE""),)"),476.3)</f>
        <v>476.3</v>
      </c>
      <c r="I802" s="61">
        <f>IFERROR(__xludf.DUMMYFUNCTION("IFERROR(GOOGLEFINANCE(A802,""VOLUME""),)"),36362.0)</f>
        <v>36362</v>
      </c>
      <c r="J802" s="60" t="str">
        <f>IFERROR(__xludf.DUMMYFUNCTION("IFERROR(INDEX(SPLIT(A802,"":""),1,2),)"),"KRISHANA")</f>
        <v>KRISHANA</v>
      </c>
      <c r="K802" s="60">
        <f t="shared" si="4"/>
        <v>352</v>
      </c>
      <c r="L802" s="60" t="str">
        <f t="shared" si="5"/>
        <v/>
      </c>
      <c r="M802" s="60">
        <f t="shared" si="6"/>
        <v>1008</v>
      </c>
      <c r="N802" s="62">
        <f>IFERROR(__xludf.DUMMYFUNCTION("IFERROR(GOOGLEFINANCE(A802,""TRADETIME""),)"),46086.64583333333)</f>
        <v>46086.64583</v>
      </c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68" t="s">
        <v>849</v>
      </c>
      <c r="B803" s="64" t="str">
        <f>IFERROR(__xludf.DUMMYFUNCTION("IFERROR(GOOGLEFINANCE(A803,""NAME""),)"),"KSB Ltd")</f>
        <v>KSB Ltd</v>
      </c>
      <c r="C803" s="64">
        <f>IFERROR(__xludf.DUMMYFUNCTION("IFERROR(GOOGLEFINANCE(A803,""CHANGE""),)"),12.1)</f>
        <v>12.1</v>
      </c>
      <c r="D803" s="64">
        <f>IFERROR(__xludf.DUMMYFUNCTION("IFERROR(GOOGLEFINANCE(A803,""CHANGEPCT""),)"),1.56)</f>
        <v>1.56</v>
      </c>
      <c r="E803" s="64" t="str">
        <f t="shared" si="1"/>
        <v>1.56%</v>
      </c>
      <c r="F803" s="64">
        <f t="shared" si="2"/>
        <v>1.56</v>
      </c>
      <c r="G803" s="64" t="str">
        <f t="shared" si="3"/>
        <v/>
      </c>
      <c r="H803" s="64">
        <f>IFERROR(__xludf.DUMMYFUNCTION("IFERROR(GOOGLEFINANCE(A803,""PRICE""),)"),751.0)</f>
        <v>751</v>
      </c>
      <c r="I803" s="65">
        <f>IFERROR(__xludf.DUMMYFUNCTION("IFERROR(GOOGLEFINANCE(A803,""VOLUME""),)"),205228.0)</f>
        <v>205228</v>
      </c>
      <c r="J803" s="64" t="str">
        <f>IFERROR(__xludf.DUMMYFUNCTION("IFERROR(INDEX(SPLIT(A803,"":""),1,2),)"),"KSB")</f>
        <v>KSB</v>
      </c>
      <c r="K803" s="64">
        <f t="shared" si="4"/>
        <v>549</v>
      </c>
      <c r="L803" s="64" t="str">
        <f t="shared" si="5"/>
        <v/>
      </c>
      <c r="M803" s="64">
        <f t="shared" si="6"/>
        <v>599</v>
      </c>
      <c r="N803" s="66">
        <f>IFERROR(__xludf.DUMMYFUNCTION("IFERROR(GOOGLEFINANCE(A803,""TRADETIME""),)"),46086.64584490741)</f>
        <v>46086.64584</v>
      </c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67" t="s">
        <v>850</v>
      </c>
      <c r="B804" s="60" t="str">
        <f>IFERROR(__xludf.DUMMYFUNCTION("IFERROR(GOOGLEFINANCE(A804,""NAME""),)"),"Kaveri Seed Company Ltd")</f>
        <v>Kaveri Seed Company Ltd</v>
      </c>
      <c r="C804" s="60">
        <f>IFERROR(__xludf.DUMMYFUNCTION("IFERROR(GOOGLEFINANCE(A804,""CHANGE""),)"),13.4)</f>
        <v>13.4</v>
      </c>
      <c r="D804" s="60">
        <f>IFERROR(__xludf.DUMMYFUNCTION("IFERROR(GOOGLEFINANCE(A804,""CHANGEPCT""),)"),1.88)</f>
        <v>1.88</v>
      </c>
      <c r="E804" s="60" t="str">
        <f t="shared" si="1"/>
        <v>1.88%</v>
      </c>
      <c r="F804" s="60">
        <f t="shared" si="2"/>
        <v>1.88</v>
      </c>
      <c r="G804" s="60" t="str">
        <f t="shared" si="3"/>
        <v/>
      </c>
      <c r="H804" s="60">
        <f>IFERROR(__xludf.DUMMYFUNCTION("IFERROR(GOOGLEFINANCE(A804,""PRICE""),)"),728.0)</f>
        <v>728</v>
      </c>
      <c r="I804" s="61">
        <f>IFERROR(__xludf.DUMMYFUNCTION("IFERROR(GOOGLEFINANCE(A804,""VOLUME""),)"),164133.0)</f>
        <v>164133</v>
      </c>
      <c r="J804" s="60" t="str">
        <f>IFERROR(__xludf.DUMMYFUNCTION("IFERROR(INDEX(SPLIT(A804,"":""),1,2),)"),"KSCL")</f>
        <v>KSCL</v>
      </c>
      <c r="K804" s="60">
        <f t="shared" si="4"/>
        <v>466</v>
      </c>
      <c r="L804" s="60" t="str">
        <f t="shared" si="5"/>
        <v/>
      </c>
      <c r="M804" s="60">
        <f t="shared" si="6"/>
        <v>650</v>
      </c>
      <c r="N804" s="62">
        <f>IFERROR(__xludf.DUMMYFUNCTION("IFERROR(GOOGLEFINANCE(A804,""TRADETIME""),)"),46086.64583333333)</f>
        <v>46086.64583</v>
      </c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68" t="s">
        <v>851</v>
      </c>
      <c r="B805" s="64" t="str">
        <f>IFERROR(__xludf.DUMMYFUNCTION("IFERROR(GOOGLEFINANCE(A805,""NAME""),)"),"Kalyani Steels Ltd")</f>
        <v>Kalyani Steels Ltd</v>
      </c>
      <c r="C805" s="64">
        <f>IFERROR(__xludf.DUMMYFUNCTION("IFERROR(GOOGLEFINANCE(A805,""CHANGE""),)"),14.85)</f>
        <v>14.85</v>
      </c>
      <c r="D805" s="64">
        <f>IFERROR(__xludf.DUMMYFUNCTION("IFERROR(GOOGLEFINANCE(A805,""CHANGEPCT""),)"),2.1)</f>
        <v>2.1</v>
      </c>
      <c r="E805" s="64" t="str">
        <f t="shared" si="1"/>
        <v>2.1%</v>
      </c>
      <c r="F805" s="64">
        <f t="shared" si="2"/>
        <v>2.1</v>
      </c>
      <c r="G805" s="64" t="str">
        <f t="shared" si="3"/>
        <v/>
      </c>
      <c r="H805" s="64">
        <f>IFERROR(__xludf.DUMMYFUNCTION("IFERROR(GOOGLEFINANCE(A805,""PRICE""),)"),721.0)</f>
        <v>721</v>
      </c>
      <c r="I805" s="65">
        <f>IFERROR(__xludf.DUMMYFUNCTION("IFERROR(GOOGLEFINANCE(A805,""VOLUME""),)"),36153.0)</f>
        <v>36153</v>
      </c>
      <c r="J805" s="64" t="str">
        <f>IFERROR(__xludf.DUMMYFUNCTION("IFERROR(INDEX(SPLIT(A805,"":""),1,2),)"),"KSL")</f>
        <v>KSL</v>
      </c>
      <c r="K805" s="64">
        <f t="shared" si="4"/>
        <v>417</v>
      </c>
      <c r="L805" s="64" t="str">
        <f t="shared" si="5"/>
        <v/>
      </c>
      <c r="M805" s="64">
        <f t="shared" si="6"/>
        <v>1010</v>
      </c>
      <c r="N805" s="66">
        <f>IFERROR(__xludf.DUMMYFUNCTION("IFERROR(GOOGLEFINANCE(A805,""TRADETIME""),)"),46086.644004629634)</f>
        <v>46086.644</v>
      </c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67" t="s">
        <v>852</v>
      </c>
      <c r="B806" s="60" t="str">
        <f>IFERROR(__xludf.DUMMYFUNCTION("IFERROR(GOOGLEFINANCE(A806,""NAME""),)"),"Karnataka Bank Ltd")</f>
        <v>Karnataka Bank Ltd</v>
      </c>
      <c r="C806" s="60">
        <f>IFERROR(__xludf.DUMMYFUNCTION("IFERROR(GOOGLEFINANCE(A806,""CHANGE""),)"),11.74)</f>
        <v>11.74</v>
      </c>
      <c r="D806" s="60">
        <f>IFERROR(__xludf.DUMMYFUNCTION("IFERROR(GOOGLEFINANCE(A806,""CHANGEPCT""),)"),5.84)</f>
        <v>5.84</v>
      </c>
      <c r="E806" s="60" t="str">
        <f t="shared" si="1"/>
        <v>5.84%</v>
      </c>
      <c r="F806" s="60">
        <f t="shared" si="2"/>
        <v>5.84</v>
      </c>
      <c r="G806" s="60" t="str">
        <f t="shared" si="3"/>
        <v/>
      </c>
      <c r="H806" s="60">
        <f>IFERROR(__xludf.DUMMYFUNCTION("IFERROR(GOOGLEFINANCE(A806,""PRICE""),)"),212.62)</f>
        <v>212.62</v>
      </c>
      <c r="I806" s="61">
        <f>IFERROR(__xludf.DUMMYFUNCTION("IFERROR(GOOGLEFINANCE(A806,""VOLUME""),)"),9853773.0)</f>
        <v>9853773</v>
      </c>
      <c r="J806" s="60" t="str">
        <f>IFERROR(__xludf.DUMMYFUNCTION("IFERROR(INDEX(SPLIT(A806,"":""),1,2),)"),"KTKBANK")</f>
        <v>KTKBANK</v>
      </c>
      <c r="K806" s="60">
        <f t="shared" si="4"/>
        <v>45</v>
      </c>
      <c r="L806" s="60" t="str">
        <f t="shared" si="5"/>
        <v/>
      </c>
      <c r="M806" s="60">
        <f t="shared" si="6"/>
        <v>66</v>
      </c>
      <c r="N806" s="62">
        <f>IFERROR(__xludf.DUMMYFUNCTION("IFERROR(GOOGLEFINANCE(A806,""TRADETIME""),)"),46086.64584490741)</f>
        <v>46086.64584</v>
      </c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68" t="s">
        <v>853</v>
      </c>
      <c r="B807" s="64" t="str">
        <f>IFERROR(__xludf.DUMMYFUNCTION("IFERROR(GOOGLEFINANCE(A807,""NAME""),)"),"Kuantum Papers Ltd")</f>
        <v>Kuantum Papers Ltd</v>
      </c>
      <c r="C807" s="64">
        <f>IFERROR(__xludf.DUMMYFUNCTION("IFERROR(GOOGLEFINANCE(A807,""CHANGE""),)"),-0.17)</f>
        <v>-0.17</v>
      </c>
      <c r="D807" s="64">
        <f>IFERROR(__xludf.DUMMYFUNCTION("IFERROR(GOOGLEFINANCE(A807,""CHANGEPCT""),)"),-0.2)</f>
        <v>-0.2</v>
      </c>
      <c r="E807" s="64" t="str">
        <f t="shared" si="1"/>
        <v>-0.2%</v>
      </c>
      <c r="F807" s="64" t="str">
        <f t="shared" si="2"/>
        <v/>
      </c>
      <c r="G807" s="64">
        <f t="shared" si="3"/>
        <v>-0.2</v>
      </c>
      <c r="H807" s="64">
        <f>IFERROR(__xludf.DUMMYFUNCTION("IFERROR(GOOGLEFINANCE(A807,""PRICE""),)"),84.75)</f>
        <v>84.75</v>
      </c>
      <c r="I807" s="65">
        <f>IFERROR(__xludf.DUMMYFUNCTION("IFERROR(GOOGLEFINANCE(A807,""VOLUME""),)"),40651.0)</f>
        <v>40651</v>
      </c>
      <c r="J807" s="64" t="str">
        <f>IFERROR(__xludf.DUMMYFUNCTION("IFERROR(INDEX(SPLIT(A807,"":""),1,2),)"),"KUANTUM")</f>
        <v>KUANTUM</v>
      </c>
      <c r="K807" s="64" t="str">
        <f t="shared" si="4"/>
        <v/>
      </c>
      <c r="L807" s="64">
        <f t="shared" si="5"/>
        <v>52</v>
      </c>
      <c r="M807" s="64">
        <f t="shared" si="6"/>
        <v>989</v>
      </c>
      <c r="N807" s="66">
        <f>IFERROR(__xludf.DUMMYFUNCTION("IFERROR(GOOGLEFINANCE(A807,""TRADETIME""),)"),46086.6390625)</f>
        <v>46086.63906</v>
      </c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67" t="s">
        <v>854</v>
      </c>
      <c r="B808" s="60" t="str">
        <f>IFERROR(__xludf.DUMMYFUNCTION("IFERROR(GOOGLEFINANCE(A808,""NAME""),)"),"")</f>
        <v/>
      </c>
      <c r="C808" s="60" t="str">
        <f>IFERROR(__xludf.DUMMYFUNCTION("IFERROR(GOOGLEFINANCE(A808,""CHANGE""),)"),"")</f>
        <v/>
      </c>
      <c r="D808" s="60" t="str">
        <f>IFERROR(__xludf.DUMMYFUNCTION("IFERROR(GOOGLEFINANCE(A808,""CHANGEPCT""),)"),"")</f>
        <v/>
      </c>
      <c r="E808" s="60" t="str">
        <f t="shared" si="1"/>
        <v>%</v>
      </c>
      <c r="F808" s="60" t="str">
        <f t="shared" si="2"/>
        <v/>
      </c>
      <c r="G808" s="60" t="str">
        <f t="shared" si="3"/>
        <v/>
      </c>
      <c r="H808" s="60" t="str">
        <f>IFERROR(__xludf.DUMMYFUNCTION("IFERROR(GOOGLEFINANCE(A808,""PRICE""),)"),"")</f>
        <v/>
      </c>
      <c r="I808" s="61" t="str">
        <f>IFERROR(__xludf.DUMMYFUNCTION("IFERROR(GOOGLEFINANCE(A808,""VOLUME""),)"),"")</f>
        <v/>
      </c>
      <c r="J808" s="60" t="str">
        <f>IFERROR(__xludf.DUMMYFUNCTION("IFERROR(INDEX(SPLIT(A808,"":""),1,2),)"),"L&amp;TFH")</f>
        <v>L&amp;TFH</v>
      </c>
      <c r="K808" s="60" t="str">
        <f t="shared" si="4"/>
        <v/>
      </c>
      <c r="L808" s="60" t="str">
        <f t="shared" si="5"/>
        <v/>
      </c>
      <c r="M808" s="60" t="str">
        <f t="shared" si="6"/>
        <v/>
      </c>
      <c r="N808" s="62" t="str">
        <f>IFERROR(__xludf.DUMMYFUNCTION("IFERROR(GOOGLEFINANCE(A808,""TRADETIME""),)"),"")</f>
        <v/>
      </c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68" t="s">
        <v>855</v>
      </c>
      <c r="B809" s="64" t="str">
        <f>IFERROR(__xludf.DUMMYFUNCTION("IFERROR(GOOGLEFINANCE(A809,""NAME""),)"),"Lakshmi Precision Screws Ltd")</f>
        <v>Lakshmi Precision Screws Ltd</v>
      </c>
      <c r="C809" s="64">
        <f>IFERROR(__xludf.DUMMYFUNCTION("IFERROR(GOOGLEFINANCE(A809,""CHANGE""),)"),0.0)</f>
        <v>0</v>
      </c>
      <c r="D809" s="64">
        <f>IFERROR(__xludf.DUMMYFUNCTION("IFERROR(GOOGLEFINANCE(A809,""CHANGEPCT""),)"),0.0)</f>
        <v>0</v>
      </c>
      <c r="E809" s="64" t="str">
        <f t="shared" si="1"/>
        <v>0%</v>
      </c>
      <c r="F809" s="64" t="str">
        <f t="shared" si="2"/>
        <v/>
      </c>
      <c r="G809" s="64" t="str">
        <f t="shared" si="3"/>
        <v/>
      </c>
      <c r="H809" s="64">
        <f>IFERROR(__xludf.DUMMYFUNCTION("IFERROR(GOOGLEFINANCE(A809,""PRICE""),)"),5.09)</f>
        <v>5.09</v>
      </c>
      <c r="I809" s="65">
        <f>IFERROR(__xludf.DUMMYFUNCTION("IFERROR(GOOGLEFINANCE(A809,""VOLUME""),)"),106.0)</f>
        <v>106</v>
      </c>
      <c r="J809" s="64" t="str">
        <f>IFERROR(__xludf.DUMMYFUNCTION("IFERROR(INDEX(SPLIT(A809,"":""),1,2),)"),"LAKPRE")</f>
        <v>LAKPRE</v>
      </c>
      <c r="K809" s="64" t="str">
        <f t="shared" si="4"/>
        <v/>
      </c>
      <c r="L809" s="64" t="str">
        <f t="shared" si="5"/>
        <v/>
      </c>
      <c r="M809" s="64">
        <f t="shared" si="6"/>
        <v>1460</v>
      </c>
      <c r="N809" s="66">
        <f>IFERROR(__xludf.DUMMYFUNCTION("IFERROR(GOOGLEFINANCE(A809,""TRADETIME""),)"),46086.64583333333)</f>
        <v>46086.64583</v>
      </c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67" t="s">
        <v>856</v>
      </c>
      <c r="B810" s="60" t="str">
        <f>IFERROR(__xludf.DUMMYFUNCTION("IFERROR(GOOGLEFINANCE(A810,""NAME""),)"),"Dr. Lal PathLabs Ltd")</f>
        <v>Dr. Lal PathLabs Ltd</v>
      </c>
      <c r="C810" s="60">
        <f>IFERROR(__xludf.DUMMYFUNCTION("IFERROR(GOOGLEFINANCE(A810,""CHANGE""),)"),-20.6)</f>
        <v>-20.6</v>
      </c>
      <c r="D810" s="60">
        <f>IFERROR(__xludf.DUMMYFUNCTION("IFERROR(GOOGLEFINANCE(A810,""CHANGEPCT""),)"),-1.52)</f>
        <v>-1.52</v>
      </c>
      <c r="E810" s="60" t="str">
        <f t="shared" si="1"/>
        <v>-1.52%</v>
      </c>
      <c r="F810" s="60" t="str">
        <f t="shared" si="2"/>
        <v/>
      </c>
      <c r="G810" s="60">
        <f t="shared" si="3"/>
        <v>-1.52</v>
      </c>
      <c r="H810" s="60">
        <f>IFERROR(__xludf.DUMMYFUNCTION("IFERROR(GOOGLEFINANCE(A810,""PRICE""),)"),1338.9)</f>
        <v>1338.9</v>
      </c>
      <c r="I810" s="61">
        <f>IFERROR(__xludf.DUMMYFUNCTION("IFERROR(GOOGLEFINANCE(A810,""VOLUME""),)"),345287.0)</f>
        <v>345287</v>
      </c>
      <c r="J810" s="60" t="str">
        <f>IFERROR(__xludf.DUMMYFUNCTION("IFERROR(INDEX(SPLIT(A810,"":""),1,2),)"),"LALPATHLAB")</f>
        <v>LALPATHLAB</v>
      </c>
      <c r="K810" s="60" t="str">
        <f t="shared" si="4"/>
        <v/>
      </c>
      <c r="L810" s="60">
        <f t="shared" si="5"/>
        <v>291</v>
      </c>
      <c r="M810" s="60">
        <f t="shared" si="6"/>
        <v>481</v>
      </c>
      <c r="N810" s="62">
        <f>IFERROR(__xludf.DUMMYFUNCTION("IFERROR(GOOGLEFINANCE(A810,""TRADETIME""),)"),46086.64585648148)</f>
        <v>46086.64586</v>
      </c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68" t="s">
        <v>857</v>
      </c>
      <c r="B811" s="64" t="str">
        <f>IFERROR(__xludf.DUMMYFUNCTION("IFERROR(GOOGLEFINANCE(A811,""NAME""),)"),"Lambodhara Textiles Ltd")</f>
        <v>Lambodhara Textiles Ltd</v>
      </c>
      <c r="C811" s="64">
        <f>IFERROR(__xludf.DUMMYFUNCTION("IFERROR(GOOGLEFINANCE(A811,""CHANGE""),)"),0.29)</f>
        <v>0.29</v>
      </c>
      <c r="D811" s="64">
        <f>IFERROR(__xludf.DUMMYFUNCTION("IFERROR(GOOGLEFINANCE(A811,""CHANGEPCT""),)"),0.29)</f>
        <v>0.29</v>
      </c>
      <c r="E811" s="64" t="str">
        <f t="shared" si="1"/>
        <v>0.29%</v>
      </c>
      <c r="F811" s="64">
        <f t="shared" si="2"/>
        <v>0.29</v>
      </c>
      <c r="G811" s="64" t="str">
        <f t="shared" si="3"/>
        <v/>
      </c>
      <c r="H811" s="64">
        <f>IFERROR(__xludf.DUMMYFUNCTION("IFERROR(GOOGLEFINANCE(A811,""PRICE""),)"),99.11)</f>
        <v>99.11</v>
      </c>
      <c r="I811" s="65">
        <f>IFERROR(__xludf.DUMMYFUNCTION("IFERROR(GOOGLEFINANCE(A811,""VOLUME""),)"),8302.0)</f>
        <v>8302</v>
      </c>
      <c r="J811" s="64" t="str">
        <f>IFERROR(__xludf.DUMMYFUNCTION("IFERROR(INDEX(SPLIT(A811,"":""),1,2),)"),"LAMBODHARA")</f>
        <v>LAMBODHARA</v>
      </c>
      <c r="K811" s="64">
        <f t="shared" si="4"/>
        <v>933</v>
      </c>
      <c r="L811" s="64" t="str">
        <f t="shared" si="5"/>
        <v/>
      </c>
      <c r="M811" s="64">
        <f t="shared" si="6"/>
        <v>1292</v>
      </c>
      <c r="N811" s="66">
        <f>IFERROR(__xludf.DUMMYFUNCTION("IFERROR(GOOGLEFINANCE(A811,""TRADETIME""),)"),46086.64583333333)</f>
        <v>46086.64583</v>
      </c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67" t="s">
        <v>858</v>
      </c>
      <c r="B812" s="60" t="str">
        <f>IFERROR(__xludf.DUMMYFUNCTION("IFERROR(GOOGLEFINANCE(A812,""NAME""),)"),"La Opala R G Ltd")</f>
        <v>La Opala R G Ltd</v>
      </c>
      <c r="C812" s="60">
        <f>IFERROR(__xludf.DUMMYFUNCTION("IFERROR(GOOGLEFINANCE(A812,""CHANGE""),)"),1.43)</f>
        <v>1.43</v>
      </c>
      <c r="D812" s="60">
        <f>IFERROR(__xludf.DUMMYFUNCTION("IFERROR(GOOGLEFINANCE(A812,""CHANGEPCT""),)"),0.74)</f>
        <v>0.74</v>
      </c>
      <c r="E812" s="60" t="str">
        <f t="shared" si="1"/>
        <v>0.74%</v>
      </c>
      <c r="F812" s="60">
        <f t="shared" si="2"/>
        <v>0.74</v>
      </c>
      <c r="G812" s="60" t="str">
        <f t="shared" si="3"/>
        <v/>
      </c>
      <c r="H812" s="60">
        <f>IFERROR(__xludf.DUMMYFUNCTION("IFERROR(GOOGLEFINANCE(A812,""PRICE""),)"),193.5)</f>
        <v>193.5</v>
      </c>
      <c r="I812" s="61">
        <f>IFERROR(__xludf.DUMMYFUNCTION("IFERROR(GOOGLEFINANCE(A812,""VOLUME""),)"),44096.0)</f>
        <v>44096</v>
      </c>
      <c r="J812" s="60" t="str">
        <f>IFERROR(__xludf.DUMMYFUNCTION("IFERROR(INDEX(SPLIT(A812,"":""),1,2),)"),"LAOPALA")</f>
        <v>LAOPALA</v>
      </c>
      <c r="K812" s="60">
        <f t="shared" si="4"/>
        <v>808</v>
      </c>
      <c r="L812" s="60" t="str">
        <f t="shared" si="5"/>
        <v/>
      </c>
      <c r="M812" s="60">
        <f t="shared" si="6"/>
        <v>971</v>
      </c>
      <c r="N812" s="62">
        <f>IFERROR(__xludf.DUMMYFUNCTION("IFERROR(GOOGLEFINANCE(A812,""TRADETIME""),)"),46086.64583333333)</f>
        <v>46086.64583</v>
      </c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68" t="s">
        <v>859</v>
      </c>
      <c r="B813" s="64" t="str">
        <f>IFERROR(__xludf.DUMMYFUNCTION("IFERROR(GOOGLEFINANCE(A813,""NAME""),)"),"Lasa Supergenerics Ltd")</f>
        <v>Lasa Supergenerics Ltd</v>
      </c>
      <c r="C813" s="64">
        <f>IFERROR(__xludf.DUMMYFUNCTION("IFERROR(GOOGLEFINANCE(A813,""CHANGE""),)"),-0.08)</f>
        <v>-0.08</v>
      </c>
      <c r="D813" s="64">
        <f>IFERROR(__xludf.DUMMYFUNCTION("IFERROR(GOOGLEFINANCE(A813,""CHANGEPCT""),)"),0.4)</f>
        <v>0.4</v>
      </c>
      <c r="E813" s="64" t="str">
        <f t="shared" si="1"/>
        <v>0.4%</v>
      </c>
      <c r="F813" s="64">
        <f t="shared" si="2"/>
        <v>0.4</v>
      </c>
      <c r="G813" s="64" t="str">
        <f t="shared" si="3"/>
        <v/>
      </c>
      <c r="H813" s="64">
        <f>IFERROR(__xludf.DUMMYFUNCTION("IFERROR(GOOGLEFINANCE(A813,""PRICE""),)"),7.5)</f>
        <v>7.5</v>
      </c>
      <c r="I813" s="65">
        <f>IFERROR(__xludf.DUMMYFUNCTION("IFERROR(GOOGLEFINANCE(A813,""VOLUME""),)"),19270.0)</f>
        <v>19270</v>
      </c>
      <c r="J813" s="64" t="str">
        <f>IFERROR(__xludf.DUMMYFUNCTION("IFERROR(INDEX(SPLIT(A813,"":""),1,2),)"),"LASA")</f>
        <v>LASA</v>
      </c>
      <c r="K813" s="64">
        <f t="shared" si="4"/>
        <v>905</v>
      </c>
      <c r="L813" s="64" t="str">
        <f t="shared" si="5"/>
        <v/>
      </c>
      <c r="M813" s="64">
        <f t="shared" si="6"/>
        <v>1149</v>
      </c>
      <c r="N813" s="66">
        <f>IFERROR(__xludf.DUMMYFUNCTION("IFERROR(GOOGLEFINANCE(A813,""TRADETIME""),)"),46086.63902777778)</f>
        <v>46086.63903</v>
      </c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67" t="s">
        <v>860</v>
      </c>
      <c r="B814" s="60" t="str">
        <f>IFERROR(__xludf.DUMMYFUNCTION("IFERROR(GOOGLEFINANCE(A814,""NAME""),)"),"Laurus Labs Ltd")</f>
        <v>Laurus Labs Ltd</v>
      </c>
      <c r="C814" s="60">
        <f>IFERROR(__xludf.DUMMYFUNCTION("IFERROR(GOOGLEFINANCE(A814,""CHANGE""),)"),16.4)</f>
        <v>16.4</v>
      </c>
      <c r="D814" s="60">
        <f>IFERROR(__xludf.DUMMYFUNCTION("IFERROR(GOOGLEFINANCE(A814,""CHANGEPCT""),)"),1.59)</f>
        <v>1.59</v>
      </c>
      <c r="E814" s="60" t="str">
        <f t="shared" si="1"/>
        <v>1.59%</v>
      </c>
      <c r="F814" s="60">
        <f t="shared" si="2"/>
        <v>1.59</v>
      </c>
      <c r="G814" s="60" t="str">
        <f t="shared" si="3"/>
        <v/>
      </c>
      <c r="H814" s="60">
        <f>IFERROR(__xludf.DUMMYFUNCTION("IFERROR(GOOGLEFINANCE(A814,""PRICE""),)"),1046.1)</f>
        <v>1046.1</v>
      </c>
      <c r="I814" s="61">
        <f>IFERROR(__xludf.DUMMYFUNCTION("IFERROR(GOOGLEFINANCE(A814,""VOLUME""),)"),937639.0)</f>
        <v>937639</v>
      </c>
      <c r="J814" s="60" t="str">
        <f>IFERROR(__xludf.DUMMYFUNCTION("IFERROR(INDEX(SPLIT(A814,"":""),1,2),)"),"LAURUSLABS")</f>
        <v>LAURUSLABS</v>
      </c>
      <c r="K814" s="60">
        <f t="shared" si="4"/>
        <v>539</v>
      </c>
      <c r="L814" s="60" t="str">
        <f t="shared" si="5"/>
        <v/>
      </c>
      <c r="M814" s="60">
        <f t="shared" si="6"/>
        <v>294</v>
      </c>
      <c r="N814" s="62">
        <f>IFERROR(__xludf.DUMMYFUNCTION("IFERROR(GOOGLEFINANCE(A814,""TRADETIME""),)"),46086.64583333333)</f>
        <v>46086.64583</v>
      </c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68" t="s">
        <v>861</v>
      </c>
      <c r="B815" s="64" t="str">
        <f>IFERROR(__xludf.DUMMYFUNCTION("IFERROR(GOOGLEFINANCE(A815,""NAME""),)"),"")</f>
        <v/>
      </c>
      <c r="C815" s="64" t="str">
        <f>IFERROR(__xludf.DUMMYFUNCTION("IFERROR(GOOGLEFINANCE(A815,""CHANGE""),)"),"")</f>
        <v/>
      </c>
      <c r="D815" s="64" t="str">
        <f>IFERROR(__xludf.DUMMYFUNCTION("IFERROR(GOOGLEFINANCE(A815,""CHANGEPCT""),)"),"")</f>
        <v/>
      </c>
      <c r="E815" s="64" t="str">
        <f t="shared" si="1"/>
        <v>%</v>
      </c>
      <c r="F815" s="64" t="str">
        <f t="shared" si="2"/>
        <v/>
      </c>
      <c r="G815" s="64" t="str">
        <f t="shared" si="3"/>
        <v/>
      </c>
      <c r="H815" s="64" t="str">
        <f>IFERROR(__xludf.DUMMYFUNCTION("IFERROR(GOOGLEFINANCE(A815,""PRICE""),)"),"")</f>
        <v/>
      </c>
      <c r="I815" s="65" t="str">
        <f>IFERROR(__xludf.DUMMYFUNCTION("IFERROR(GOOGLEFINANCE(A815,""VOLUME""),)"),"")</f>
        <v/>
      </c>
      <c r="J815" s="64" t="str">
        <f>IFERROR(__xludf.DUMMYFUNCTION("IFERROR(INDEX(SPLIT(A815,"":""),1,2),)"),"LAXMIMACH")</f>
        <v>LAXMIMACH</v>
      </c>
      <c r="K815" s="64" t="str">
        <f t="shared" si="4"/>
        <v/>
      </c>
      <c r="L815" s="64" t="str">
        <f t="shared" si="5"/>
        <v/>
      </c>
      <c r="M815" s="64" t="str">
        <f t="shared" si="6"/>
        <v/>
      </c>
      <c r="N815" s="66" t="str">
        <f>IFERROR(__xludf.DUMMYFUNCTION("IFERROR(GOOGLEFINANCE(A815,""TRADETIME""),)"),"")</f>
        <v/>
      </c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67" t="s">
        <v>862</v>
      </c>
      <c r="B816" s="60" t="str">
        <f>IFERROR(__xludf.DUMMYFUNCTION("IFERROR(GOOGLEFINANCE(A816,""NAME""),)"),"Lemon Tree Hotels Ltd")</f>
        <v>Lemon Tree Hotels Ltd</v>
      </c>
      <c r="C816" s="60">
        <f>IFERROR(__xludf.DUMMYFUNCTION("IFERROR(GOOGLEFINANCE(A816,""CHANGE""),)"),0.52)</f>
        <v>0.52</v>
      </c>
      <c r="D816" s="60">
        <f>IFERROR(__xludf.DUMMYFUNCTION("IFERROR(GOOGLEFINANCE(A816,""CHANGEPCT""),)"),0.47)</f>
        <v>0.47</v>
      </c>
      <c r="E816" s="60" t="str">
        <f t="shared" si="1"/>
        <v>0.47%</v>
      </c>
      <c r="F816" s="60">
        <f t="shared" si="2"/>
        <v>0.47</v>
      </c>
      <c r="G816" s="60" t="str">
        <f t="shared" si="3"/>
        <v/>
      </c>
      <c r="H816" s="60">
        <f>IFERROR(__xludf.DUMMYFUNCTION("IFERROR(GOOGLEFINANCE(A816,""PRICE""),)"),112.0)</f>
        <v>112</v>
      </c>
      <c r="I816" s="61">
        <f>IFERROR(__xludf.DUMMYFUNCTION("IFERROR(GOOGLEFINANCE(A816,""VOLUME""),)"),2689015.0)</f>
        <v>2689015</v>
      </c>
      <c r="J816" s="60" t="str">
        <f>IFERROR(__xludf.DUMMYFUNCTION("IFERROR(INDEX(SPLIT(A816,"":""),1,2),)"),"LEMONTREE")</f>
        <v>LEMONTREE</v>
      </c>
      <c r="K816" s="60">
        <f t="shared" si="4"/>
        <v>886</v>
      </c>
      <c r="L816" s="60" t="str">
        <f t="shared" si="5"/>
        <v/>
      </c>
      <c r="M816" s="60">
        <f t="shared" si="6"/>
        <v>163</v>
      </c>
      <c r="N816" s="62">
        <f>IFERROR(__xludf.DUMMYFUNCTION("IFERROR(GOOGLEFINANCE(A816,""TRADETIME""),)"),46086.64584490741)</f>
        <v>46086.64584</v>
      </c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68" t="s">
        <v>863</v>
      </c>
      <c r="B817" s="64" t="str">
        <f>IFERROR(__xludf.DUMMYFUNCTION("IFERROR(GOOGLEFINANCE(A817,""NAME""),)"),"Lakshmi Finance and Industrial Corp Ltd")</f>
        <v>Lakshmi Finance and Industrial Corp Ltd</v>
      </c>
      <c r="C817" s="64">
        <f>IFERROR(__xludf.DUMMYFUNCTION("IFERROR(GOOGLEFINANCE(A817,""CHANGE""),)"),4.08)</f>
        <v>4.08</v>
      </c>
      <c r="D817" s="64">
        <f>IFERROR(__xludf.DUMMYFUNCTION("IFERROR(GOOGLEFINANCE(A817,""CHANGEPCT""),)"),3.22)</f>
        <v>3.22</v>
      </c>
      <c r="E817" s="64" t="str">
        <f t="shared" si="1"/>
        <v>3.22%</v>
      </c>
      <c r="F817" s="64">
        <f t="shared" si="2"/>
        <v>3.22</v>
      </c>
      <c r="G817" s="64" t="str">
        <f t="shared" si="3"/>
        <v/>
      </c>
      <c r="H817" s="64">
        <f>IFERROR(__xludf.DUMMYFUNCTION("IFERROR(GOOGLEFINANCE(A817,""PRICE""),)"),130.95)</f>
        <v>130.95</v>
      </c>
      <c r="I817" s="65">
        <f>IFERROR(__xludf.DUMMYFUNCTION("IFERROR(GOOGLEFINANCE(A817,""VOLUME""),)"),411.0)</f>
        <v>411</v>
      </c>
      <c r="J817" s="64" t="str">
        <f>IFERROR(__xludf.DUMMYFUNCTION("IFERROR(INDEX(SPLIT(A817,"":""),1,2),)"),"LFIC")</f>
        <v>LFIC</v>
      </c>
      <c r="K817" s="64">
        <f t="shared" si="4"/>
        <v>221</v>
      </c>
      <c r="L817" s="64" t="str">
        <f t="shared" si="5"/>
        <v/>
      </c>
      <c r="M817" s="64">
        <f t="shared" si="6"/>
        <v>1446</v>
      </c>
      <c r="N817" s="66">
        <f>IFERROR(__xludf.DUMMYFUNCTION("IFERROR(GOOGLEFINANCE(A817,""TRADETIME""),)"),46086.64583333333)</f>
        <v>46086.64583</v>
      </c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67" t="s">
        <v>864</v>
      </c>
      <c r="B818" s="60" t="str">
        <f>IFERROR(__xludf.DUMMYFUNCTION("IFERROR(GOOGLEFINANCE(A818,""NAME""),)"),"LG Balakrishnan &amp; Bros Ltd")</f>
        <v>LG Balakrishnan &amp; Bros Ltd</v>
      </c>
      <c r="C818" s="60">
        <f>IFERROR(__xludf.DUMMYFUNCTION("IFERROR(GOOGLEFINANCE(A818,""CHANGE""),)"),40.3)</f>
        <v>40.3</v>
      </c>
      <c r="D818" s="60">
        <f>IFERROR(__xludf.DUMMYFUNCTION("IFERROR(GOOGLEFINANCE(A818,""CHANGEPCT""),)"),2.21)</f>
        <v>2.21</v>
      </c>
      <c r="E818" s="60" t="str">
        <f t="shared" si="1"/>
        <v>2.21%</v>
      </c>
      <c r="F818" s="60">
        <f t="shared" si="2"/>
        <v>2.21</v>
      </c>
      <c r="G818" s="60" t="str">
        <f t="shared" si="3"/>
        <v/>
      </c>
      <c r="H818" s="60">
        <f>IFERROR(__xludf.DUMMYFUNCTION("IFERROR(GOOGLEFINANCE(A818,""PRICE""),)"),1861.4)</f>
        <v>1861.4</v>
      </c>
      <c r="I818" s="61">
        <f>IFERROR(__xludf.DUMMYFUNCTION("IFERROR(GOOGLEFINANCE(A818,""VOLUME""),)"),30768.0)</f>
        <v>30768</v>
      </c>
      <c r="J818" s="60" t="str">
        <f>IFERROR(__xludf.DUMMYFUNCTION("IFERROR(INDEX(SPLIT(A818,"":""),1,2),)"),"LGBBROSLTD")</f>
        <v>LGBBROSLTD</v>
      </c>
      <c r="K818" s="60">
        <f t="shared" si="4"/>
        <v>397</v>
      </c>
      <c r="L818" s="60" t="str">
        <f t="shared" si="5"/>
        <v/>
      </c>
      <c r="M818" s="60">
        <f t="shared" si="6"/>
        <v>1053</v>
      </c>
      <c r="N818" s="62">
        <f>IFERROR(__xludf.DUMMYFUNCTION("IFERROR(GOOGLEFINANCE(A818,""TRADETIME""),)"),46086.64586805555)</f>
        <v>46086.64587</v>
      </c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68" t="s">
        <v>865</v>
      </c>
      <c r="B819" s="64" t="str">
        <f>IFERROR(__xludf.DUMMYFUNCTION("IFERROR(GOOGLEFINANCE(A819,""NAME""),)"),"")</f>
        <v/>
      </c>
      <c r="C819" s="64" t="str">
        <f>IFERROR(__xludf.DUMMYFUNCTION("IFERROR(GOOGLEFINANCE(A819,""CHANGE""),)"),"")</f>
        <v/>
      </c>
      <c r="D819" s="64" t="str">
        <f>IFERROR(__xludf.DUMMYFUNCTION("IFERROR(GOOGLEFINANCE(A819,""CHANGEPCT""),)"),"")</f>
        <v/>
      </c>
      <c r="E819" s="64" t="str">
        <f t="shared" si="1"/>
        <v>%</v>
      </c>
      <c r="F819" s="64" t="str">
        <f t="shared" si="2"/>
        <v/>
      </c>
      <c r="G819" s="64" t="str">
        <f t="shared" si="3"/>
        <v/>
      </c>
      <c r="H819" s="64" t="str">
        <f>IFERROR(__xludf.DUMMYFUNCTION("IFERROR(GOOGLEFINANCE(A819,""PRICE""),)"),"")</f>
        <v/>
      </c>
      <c r="I819" s="65" t="str">
        <f>IFERROR(__xludf.DUMMYFUNCTION("IFERROR(GOOGLEFINANCE(A819,""VOLUME""),)"),"")</f>
        <v/>
      </c>
      <c r="J819" s="64" t="str">
        <f>IFERROR(__xludf.DUMMYFUNCTION("IFERROR(INDEX(SPLIT(A819,"":""),1,2),)"),"LGBFORGE")</f>
        <v>LGBFORGE</v>
      </c>
      <c r="K819" s="64" t="str">
        <f t="shared" si="4"/>
        <v/>
      </c>
      <c r="L819" s="64" t="str">
        <f t="shared" si="5"/>
        <v/>
      </c>
      <c r="M819" s="64" t="str">
        <f t="shared" si="6"/>
        <v/>
      </c>
      <c r="N819" s="66" t="str">
        <f>IFERROR(__xludf.DUMMYFUNCTION("IFERROR(GOOGLEFINANCE(A819,""TRADETIME""),)"),"")</f>
        <v/>
      </c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67" t="s">
        <v>866</v>
      </c>
      <c r="B820" s="60" t="str">
        <f>IFERROR(__xludf.DUMMYFUNCTION("IFERROR(GOOGLEFINANCE(A820,""NAME""),)"),"Libas Consumer Products Ltd")</f>
        <v>Libas Consumer Products Ltd</v>
      </c>
      <c r="C820" s="60">
        <f>IFERROR(__xludf.DUMMYFUNCTION("IFERROR(GOOGLEFINANCE(A820,""CHANGE""),)"),0.11)</f>
        <v>0.11</v>
      </c>
      <c r="D820" s="60">
        <f>IFERROR(__xludf.DUMMYFUNCTION("IFERROR(GOOGLEFINANCE(A820,""CHANGEPCT""),)"),1.1)</f>
        <v>1.1</v>
      </c>
      <c r="E820" s="60" t="str">
        <f t="shared" si="1"/>
        <v>1.1%</v>
      </c>
      <c r="F820" s="60">
        <f t="shared" si="2"/>
        <v>1.1</v>
      </c>
      <c r="G820" s="60" t="str">
        <f t="shared" si="3"/>
        <v/>
      </c>
      <c r="H820" s="60">
        <f>IFERROR(__xludf.DUMMYFUNCTION("IFERROR(GOOGLEFINANCE(A820,""PRICE""),)"),10.1)</f>
        <v>10.1</v>
      </c>
      <c r="I820" s="61">
        <f>IFERROR(__xludf.DUMMYFUNCTION("IFERROR(GOOGLEFINANCE(A820,""VOLUME""),)"),23195.0)</f>
        <v>23195</v>
      </c>
      <c r="J820" s="60" t="str">
        <f>IFERROR(__xludf.DUMMYFUNCTION("IFERROR(INDEX(SPLIT(A820,"":""),1,2),)"),"LIBAS")</f>
        <v>LIBAS</v>
      </c>
      <c r="K820" s="60">
        <f t="shared" si="4"/>
        <v>691</v>
      </c>
      <c r="L820" s="60" t="str">
        <f t="shared" si="5"/>
        <v/>
      </c>
      <c r="M820" s="60">
        <f t="shared" si="6"/>
        <v>1114</v>
      </c>
      <c r="N820" s="62">
        <f>IFERROR(__xludf.DUMMYFUNCTION("IFERROR(GOOGLEFINANCE(A820,""TRADETIME""),)"),46086.64583333333)</f>
        <v>46086.64583</v>
      </c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68" t="s">
        <v>867</v>
      </c>
      <c r="B821" s="64" t="str">
        <f>IFERROR(__xludf.DUMMYFUNCTION("IFERROR(GOOGLEFINANCE(A821,""NAME""),)"),"Liberty Shoes Ltd")</f>
        <v>Liberty Shoes Ltd</v>
      </c>
      <c r="C821" s="64">
        <f>IFERROR(__xludf.DUMMYFUNCTION("IFERROR(GOOGLEFINANCE(A821,""CHANGE""),)"),-1.45)</f>
        <v>-1.45</v>
      </c>
      <c r="D821" s="64">
        <f>IFERROR(__xludf.DUMMYFUNCTION("IFERROR(GOOGLEFINANCE(A821,""CHANGEPCT""),)"),-0.64)</f>
        <v>-0.64</v>
      </c>
      <c r="E821" s="64" t="str">
        <f t="shared" si="1"/>
        <v>-0.64%</v>
      </c>
      <c r="F821" s="64" t="str">
        <f t="shared" si="2"/>
        <v/>
      </c>
      <c r="G821" s="64">
        <f t="shared" si="3"/>
        <v>-0.64</v>
      </c>
      <c r="H821" s="64">
        <f>IFERROR(__xludf.DUMMYFUNCTION("IFERROR(GOOGLEFINANCE(A821,""PRICE""),)"),223.44)</f>
        <v>223.44</v>
      </c>
      <c r="I821" s="65">
        <f>IFERROR(__xludf.DUMMYFUNCTION("IFERROR(GOOGLEFINANCE(A821,""VOLUME""),)"),20782.0)</f>
        <v>20782</v>
      </c>
      <c r="J821" s="64" t="str">
        <f>IFERROR(__xludf.DUMMYFUNCTION("IFERROR(INDEX(SPLIT(A821,"":""),1,2),)"),"LIBERTSHOE")</f>
        <v>LIBERTSHOE</v>
      </c>
      <c r="K821" s="64" t="str">
        <f t="shared" si="4"/>
        <v/>
      </c>
      <c r="L821" s="64">
        <f t="shared" si="5"/>
        <v>155</v>
      </c>
      <c r="M821" s="64">
        <f t="shared" si="6"/>
        <v>1135</v>
      </c>
      <c r="N821" s="66">
        <f>IFERROR(__xludf.DUMMYFUNCTION("IFERROR(GOOGLEFINANCE(A821,""TRADETIME""),)"),46086.64087962963)</f>
        <v>46086.64088</v>
      </c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67" t="s">
        <v>868</v>
      </c>
      <c r="B822" s="60" t="str">
        <f>IFERROR(__xludf.DUMMYFUNCTION("IFERROR(GOOGLEFINANCE(A822,""NAME""),)"),"LIC Housing Finance Ltd")</f>
        <v>LIC Housing Finance Ltd</v>
      </c>
      <c r="C822" s="60">
        <f>IFERROR(__xludf.DUMMYFUNCTION("IFERROR(GOOGLEFINANCE(A822,""CHANGE""),)"),2.1)</f>
        <v>2.1</v>
      </c>
      <c r="D822" s="60">
        <f>IFERROR(__xludf.DUMMYFUNCTION("IFERROR(GOOGLEFINANCE(A822,""CHANGEPCT""),)"),0.41)</f>
        <v>0.41</v>
      </c>
      <c r="E822" s="60" t="str">
        <f t="shared" si="1"/>
        <v>0.41%</v>
      </c>
      <c r="F822" s="60">
        <f t="shared" si="2"/>
        <v>0.41</v>
      </c>
      <c r="G822" s="60" t="str">
        <f t="shared" si="3"/>
        <v/>
      </c>
      <c r="H822" s="60">
        <f>IFERROR(__xludf.DUMMYFUNCTION("IFERROR(GOOGLEFINANCE(A822,""PRICE""),)"),520.1)</f>
        <v>520.1</v>
      </c>
      <c r="I822" s="61">
        <f>IFERROR(__xludf.DUMMYFUNCTION("IFERROR(GOOGLEFINANCE(A822,""VOLUME""),)"),743799.0)</f>
        <v>743799</v>
      </c>
      <c r="J822" s="60" t="str">
        <f>IFERROR(__xludf.DUMMYFUNCTION("IFERROR(INDEX(SPLIT(A822,"":""),1,2),)"),"LICHSGFIN")</f>
        <v>LICHSGFIN</v>
      </c>
      <c r="K822" s="60">
        <f t="shared" si="4"/>
        <v>902</v>
      </c>
      <c r="L822" s="60" t="str">
        <f t="shared" si="5"/>
        <v/>
      </c>
      <c r="M822" s="60">
        <f t="shared" si="6"/>
        <v>327</v>
      </c>
      <c r="N822" s="62">
        <f>IFERROR(__xludf.DUMMYFUNCTION("IFERROR(GOOGLEFINANCE(A822,""TRADETIME""),)"),46086.64585648148)</f>
        <v>46086.64586</v>
      </c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68" t="s">
        <v>869</v>
      </c>
      <c r="B823" s="64" t="str">
        <f>IFERROR(__xludf.DUMMYFUNCTION("IFERROR(GOOGLEFINANCE(A823,""NAME""),)"),"Likhitha Infrastructure Ltd")</f>
        <v>Likhitha Infrastructure Ltd</v>
      </c>
      <c r="C823" s="64">
        <f>IFERROR(__xludf.DUMMYFUNCTION("IFERROR(GOOGLEFINANCE(A823,""CHANGE""),)"),-0.74)</f>
        <v>-0.74</v>
      </c>
      <c r="D823" s="64">
        <f>IFERROR(__xludf.DUMMYFUNCTION("IFERROR(GOOGLEFINANCE(A823,""CHANGEPCT""),)"),-0.5)</f>
        <v>-0.5</v>
      </c>
      <c r="E823" s="64" t="str">
        <f t="shared" si="1"/>
        <v>-0.5%</v>
      </c>
      <c r="F823" s="64" t="str">
        <f t="shared" si="2"/>
        <v/>
      </c>
      <c r="G823" s="64">
        <f t="shared" si="3"/>
        <v>-0.5</v>
      </c>
      <c r="H823" s="64">
        <f>IFERROR(__xludf.DUMMYFUNCTION("IFERROR(GOOGLEFINANCE(A823,""PRICE""),)"),148.0)</f>
        <v>148</v>
      </c>
      <c r="I823" s="65">
        <f>IFERROR(__xludf.DUMMYFUNCTION("IFERROR(GOOGLEFINANCE(A823,""VOLUME""),)"),40388.0)</f>
        <v>40388</v>
      </c>
      <c r="J823" s="64" t="str">
        <f>IFERROR(__xludf.DUMMYFUNCTION("IFERROR(INDEX(SPLIT(A823,"":""),1,2),)"),"LIKHITHA")</f>
        <v>LIKHITHA</v>
      </c>
      <c r="K823" s="64" t="str">
        <f t="shared" si="4"/>
        <v/>
      </c>
      <c r="L823" s="64">
        <f t="shared" si="5"/>
        <v>119</v>
      </c>
      <c r="M823" s="64">
        <f t="shared" si="6"/>
        <v>992</v>
      </c>
      <c r="N823" s="66">
        <f>IFERROR(__xludf.DUMMYFUNCTION("IFERROR(GOOGLEFINANCE(A823,""TRADETIME""),)"),46086.6403587963)</f>
        <v>46086.64036</v>
      </c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67" t="s">
        <v>870</v>
      </c>
      <c r="B824" s="60" t="str">
        <f>IFERROR(__xludf.DUMMYFUNCTION("IFERROR(GOOGLEFINANCE(A824,""NAME""),)"),"Lincoln Pharmaceuticals Ltd")</f>
        <v>Lincoln Pharmaceuticals Ltd</v>
      </c>
      <c r="C824" s="60">
        <f>IFERROR(__xludf.DUMMYFUNCTION("IFERROR(GOOGLEFINANCE(A824,""CHANGE""),)"),4.5)</f>
        <v>4.5</v>
      </c>
      <c r="D824" s="60">
        <f>IFERROR(__xludf.DUMMYFUNCTION("IFERROR(GOOGLEFINANCE(A824,""CHANGEPCT""),)"),0.73)</f>
        <v>0.73</v>
      </c>
      <c r="E824" s="60" t="str">
        <f t="shared" si="1"/>
        <v>0.73%</v>
      </c>
      <c r="F824" s="60">
        <f t="shared" si="2"/>
        <v>0.73</v>
      </c>
      <c r="G824" s="60" t="str">
        <f t="shared" si="3"/>
        <v/>
      </c>
      <c r="H824" s="60">
        <f>IFERROR(__xludf.DUMMYFUNCTION("IFERROR(GOOGLEFINANCE(A824,""PRICE""),)"),623.0)</f>
        <v>623</v>
      </c>
      <c r="I824" s="61">
        <f>IFERROR(__xludf.DUMMYFUNCTION("IFERROR(GOOGLEFINANCE(A824,""VOLUME""),)"),13588.0)</f>
        <v>13588</v>
      </c>
      <c r="J824" s="60" t="str">
        <f>IFERROR(__xludf.DUMMYFUNCTION("IFERROR(INDEX(SPLIT(A824,"":""),1,2),)"),"LINCOLN")</f>
        <v>LINCOLN</v>
      </c>
      <c r="K824" s="60">
        <f t="shared" si="4"/>
        <v>814</v>
      </c>
      <c r="L824" s="60" t="str">
        <f t="shared" si="5"/>
        <v/>
      </c>
      <c r="M824" s="60">
        <f t="shared" si="6"/>
        <v>1206</v>
      </c>
      <c r="N824" s="62">
        <f>IFERROR(__xludf.DUMMYFUNCTION("IFERROR(GOOGLEFINANCE(A824,""TRADETIME""),)"),46086.64583333333)</f>
        <v>46086.64583</v>
      </c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68" t="s">
        <v>871</v>
      </c>
      <c r="B825" s="64" t="str">
        <f>IFERROR(__xludf.DUMMYFUNCTION("IFERROR(GOOGLEFINANCE(A825,""NAME""),)"),"Linc Ltd")</f>
        <v>Linc Ltd</v>
      </c>
      <c r="C825" s="64">
        <f>IFERROR(__xludf.DUMMYFUNCTION("IFERROR(GOOGLEFINANCE(A825,""CHANGE""),)"),3.91)</f>
        <v>3.91</v>
      </c>
      <c r="D825" s="64">
        <f>IFERROR(__xludf.DUMMYFUNCTION("IFERROR(GOOGLEFINANCE(A825,""CHANGEPCT""),)"),2.16)</f>
        <v>2.16</v>
      </c>
      <c r="E825" s="64" t="str">
        <f t="shared" si="1"/>
        <v>2.16%</v>
      </c>
      <c r="F825" s="64">
        <f t="shared" si="2"/>
        <v>2.16</v>
      </c>
      <c r="G825" s="64" t="str">
        <f t="shared" si="3"/>
        <v/>
      </c>
      <c r="H825" s="64">
        <f>IFERROR(__xludf.DUMMYFUNCTION("IFERROR(GOOGLEFINANCE(A825,""PRICE""),)"),106.85)</f>
        <v>106.85</v>
      </c>
      <c r="I825" s="65">
        <f>IFERROR(__xludf.DUMMYFUNCTION("IFERROR(GOOGLEFINANCE(A825,""VOLUME""),)"),11552.0)</f>
        <v>11552</v>
      </c>
      <c r="J825" s="64" t="str">
        <f>IFERROR(__xludf.DUMMYFUNCTION("IFERROR(INDEX(SPLIT(A825,"":""),1,2),)"),"LINC")</f>
        <v>LINC</v>
      </c>
      <c r="K825" s="64">
        <f t="shared" si="4"/>
        <v>406</v>
      </c>
      <c r="L825" s="64" t="str">
        <f t="shared" si="5"/>
        <v/>
      </c>
      <c r="M825" s="64">
        <f t="shared" si="6"/>
        <v>1237</v>
      </c>
      <c r="N825" s="66">
        <f>IFERROR(__xludf.DUMMYFUNCTION("IFERROR(GOOGLEFINANCE(A825,""TRADETIME""),)"),46086.64583333333)</f>
        <v>46086.64583</v>
      </c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67" t="s">
        <v>872</v>
      </c>
      <c r="B826" s="60" t="str">
        <f>IFERROR(__xludf.DUMMYFUNCTION("IFERROR(GOOGLEFINANCE(A826,""NAME""),)"),"Linde India Ltd")</f>
        <v>Linde India Ltd</v>
      </c>
      <c r="C826" s="60">
        <f>IFERROR(__xludf.DUMMYFUNCTION("IFERROR(GOOGLEFINANCE(A826,""CHANGE""),)"),33.5)</f>
        <v>33.5</v>
      </c>
      <c r="D826" s="60">
        <f>IFERROR(__xludf.DUMMYFUNCTION("IFERROR(GOOGLEFINANCE(A826,""CHANGEPCT""),)"),0.5)</f>
        <v>0.5</v>
      </c>
      <c r="E826" s="60" t="str">
        <f t="shared" si="1"/>
        <v>0.5%</v>
      </c>
      <c r="F826" s="60">
        <f t="shared" si="2"/>
        <v>0.5</v>
      </c>
      <c r="G826" s="60" t="str">
        <f t="shared" si="3"/>
        <v/>
      </c>
      <c r="H826" s="60">
        <f>IFERROR(__xludf.DUMMYFUNCTION("IFERROR(GOOGLEFINANCE(A826,""PRICE""),)"),6695.0)</f>
        <v>6695</v>
      </c>
      <c r="I826" s="61">
        <f>IFERROR(__xludf.DUMMYFUNCTION("IFERROR(GOOGLEFINANCE(A826,""VOLUME""),)"),24647.0)</f>
        <v>24647</v>
      </c>
      <c r="J826" s="60" t="str">
        <f>IFERROR(__xludf.DUMMYFUNCTION("IFERROR(INDEX(SPLIT(A826,"":""),1,2),)"),"LINDEINDIA")</f>
        <v>LINDEINDIA</v>
      </c>
      <c r="K826" s="60">
        <f t="shared" si="4"/>
        <v>879</v>
      </c>
      <c r="L826" s="60" t="str">
        <f t="shared" si="5"/>
        <v/>
      </c>
      <c r="M826" s="60">
        <f t="shared" si="6"/>
        <v>1099</v>
      </c>
      <c r="N826" s="62">
        <f>IFERROR(__xludf.DUMMYFUNCTION("IFERROR(GOOGLEFINANCE(A826,""TRADETIME""),)"),46086.64583333333)</f>
        <v>46086.64583</v>
      </c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68" t="s">
        <v>873</v>
      </c>
      <c r="B827" s="64" t="str">
        <f>IFERROR(__xludf.DUMMYFUNCTION("IFERROR(GOOGLEFINANCE(A827,""NAME""),)"),"Lokesh Machines Ltd")</f>
        <v>Lokesh Machines Ltd</v>
      </c>
      <c r="C827" s="64">
        <f>IFERROR(__xludf.DUMMYFUNCTION("IFERROR(GOOGLEFINANCE(A827,""CHANGE""),)"),9.63)</f>
        <v>9.63</v>
      </c>
      <c r="D827" s="64">
        <f>IFERROR(__xludf.DUMMYFUNCTION("IFERROR(GOOGLEFINANCE(A827,""CHANGEPCT""),)"),5.72)</f>
        <v>5.72</v>
      </c>
      <c r="E827" s="64" t="str">
        <f t="shared" si="1"/>
        <v>5.72%</v>
      </c>
      <c r="F827" s="64">
        <f t="shared" si="2"/>
        <v>5.72</v>
      </c>
      <c r="G827" s="64" t="str">
        <f t="shared" si="3"/>
        <v/>
      </c>
      <c r="H827" s="64">
        <f>IFERROR(__xludf.DUMMYFUNCTION("IFERROR(GOOGLEFINANCE(A827,""PRICE""),)"),197.5)</f>
        <v>197.5</v>
      </c>
      <c r="I827" s="65">
        <f>IFERROR(__xludf.DUMMYFUNCTION("IFERROR(GOOGLEFINANCE(A827,""VOLUME""),)"),110646.0)</f>
        <v>110646</v>
      </c>
      <c r="J827" s="64" t="str">
        <f>IFERROR(__xludf.DUMMYFUNCTION("IFERROR(INDEX(SPLIT(A827,"":""),1,2),)"),"LOKESHMACH")</f>
        <v>LOKESHMACH</v>
      </c>
      <c r="K827" s="64">
        <f t="shared" si="4"/>
        <v>49</v>
      </c>
      <c r="L827" s="64" t="str">
        <f t="shared" si="5"/>
        <v/>
      </c>
      <c r="M827" s="64">
        <f t="shared" si="6"/>
        <v>738</v>
      </c>
      <c r="N827" s="66">
        <f>IFERROR(__xludf.DUMMYFUNCTION("IFERROR(GOOGLEFINANCE(A827,""TRADETIME""),)"),46086.640451388885)</f>
        <v>46086.64045</v>
      </c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67" t="s">
        <v>874</v>
      </c>
      <c r="B828" s="60" t="str">
        <f>IFERROR(__xludf.DUMMYFUNCTION("IFERROR(GOOGLEFINANCE(A828,""NAME""),)"),"Lotus Eye Hospital and Institute Ltd")</f>
        <v>Lotus Eye Hospital and Institute Ltd</v>
      </c>
      <c r="C828" s="60">
        <f>IFERROR(__xludf.DUMMYFUNCTION("IFERROR(GOOGLEFINANCE(A828,""CHANGE""),)"),2.59)</f>
        <v>2.59</v>
      </c>
      <c r="D828" s="60">
        <f>IFERROR(__xludf.DUMMYFUNCTION("IFERROR(GOOGLEFINANCE(A828,""CHANGEPCT""),)"),2.38)</f>
        <v>2.38</v>
      </c>
      <c r="E828" s="60" t="str">
        <f t="shared" si="1"/>
        <v>2.38%</v>
      </c>
      <c r="F828" s="60">
        <f t="shared" si="2"/>
        <v>2.38</v>
      </c>
      <c r="G828" s="60" t="str">
        <f t="shared" si="3"/>
        <v/>
      </c>
      <c r="H828" s="60">
        <f>IFERROR(__xludf.DUMMYFUNCTION("IFERROR(GOOGLEFINANCE(A828,""PRICE""),)"),111.45)</f>
        <v>111.45</v>
      </c>
      <c r="I828" s="61">
        <f>IFERROR(__xludf.DUMMYFUNCTION("IFERROR(GOOGLEFINANCE(A828,""VOLUME""),)"),10820.0)</f>
        <v>10820</v>
      </c>
      <c r="J828" s="60" t="str">
        <f>IFERROR(__xludf.DUMMYFUNCTION("IFERROR(INDEX(SPLIT(A828,"":""),1,2),)"),"LOTUSEYE")</f>
        <v>LOTUSEYE</v>
      </c>
      <c r="K828" s="60">
        <f t="shared" si="4"/>
        <v>359</v>
      </c>
      <c r="L828" s="60" t="str">
        <f t="shared" si="5"/>
        <v/>
      </c>
      <c r="M828" s="60">
        <f t="shared" si="6"/>
        <v>1251</v>
      </c>
      <c r="N828" s="62">
        <f>IFERROR(__xludf.DUMMYFUNCTION("IFERROR(GOOGLEFINANCE(A828,""TRADETIME""),)"),46086.64583333333)</f>
        <v>46086.64583</v>
      </c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68" t="s">
        <v>875</v>
      </c>
      <c r="B829" s="64" t="str">
        <f>IFERROR(__xludf.DUMMYFUNCTION("IFERROR(GOOGLEFINANCE(A829,""NAME""),)"),"Lovable Lingerie Ltd")</f>
        <v>Lovable Lingerie Ltd</v>
      </c>
      <c r="C829" s="64">
        <f>IFERROR(__xludf.DUMMYFUNCTION("IFERROR(GOOGLEFINANCE(A829,""CHANGE""),)"),0.16)</f>
        <v>0.16</v>
      </c>
      <c r="D829" s="64">
        <f>IFERROR(__xludf.DUMMYFUNCTION("IFERROR(GOOGLEFINANCE(A829,""CHANGEPCT""),)"),0.23)</f>
        <v>0.23</v>
      </c>
      <c r="E829" s="64" t="str">
        <f t="shared" si="1"/>
        <v>0.23%</v>
      </c>
      <c r="F829" s="64">
        <f t="shared" si="2"/>
        <v>0.23</v>
      </c>
      <c r="G829" s="64" t="str">
        <f t="shared" si="3"/>
        <v/>
      </c>
      <c r="H829" s="64">
        <f>IFERROR(__xludf.DUMMYFUNCTION("IFERROR(GOOGLEFINANCE(A829,""PRICE""),)"),71.25)</f>
        <v>71.25</v>
      </c>
      <c r="I829" s="65">
        <f>IFERROR(__xludf.DUMMYFUNCTION("IFERROR(GOOGLEFINANCE(A829,""VOLUME""),)"),9471.0)</f>
        <v>9471</v>
      </c>
      <c r="J829" s="64" t="str">
        <f>IFERROR(__xludf.DUMMYFUNCTION("IFERROR(INDEX(SPLIT(A829,"":""),1,2),)"),"LOVABLE")</f>
        <v>LOVABLE</v>
      </c>
      <c r="K829" s="64">
        <f t="shared" si="4"/>
        <v>944</v>
      </c>
      <c r="L829" s="64" t="str">
        <f t="shared" si="5"/>
        <v/>
      </c>
      <c r="M829" s="64">
        <f t="shared" si="6"/>
        <v>1273</v>
      </c>
      <c r="N829" s="66">
        <f>IFERROR(__xludf.DUMMYFUNCTION("IFERROR(GOOGLEFINANCE(A829,""TRADETIME""),)"),46086.64583333333)</f>
        <v>46086.64583</v>
      </c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67" t="s">
        <v>876</v>
      </c>
      <c r="B830" s="60" t="str">
        <f>IFERROR(__xludf.DUMMYFUNCTION("IFERROR(GOOGLEFINANCE(A830,""NAME""),)"),"Landmark Property Development Co Ltd")</f>
        <v>Landmark Property Development Co Ltd</v>
      </c>
      <c r="C830" s="60">
        <f>IFERROR(__xludf.DUMMYFUNCTION("IFERROR(GOOGLEFINANCE(A830,""CHANGE""),)"),0.29)</f>
        <v>0.29</v>
      </c>
      <c r="D830" s="60">
        <f>IFERROR(__xludf.DUMMYFUNCTION("IFERROR(GOOGLEFINANCE(A830,""CHANGEPCT""),)"),5.12)</f>
        <v>5.12</v>
      </c>
      <c r="E830" s="60" t="str">
        <f t="shared" si="1"/>
        <v>5.12%</v>
      </c>
      <c r="F830" s="60">
        <f t="shared" si="2"/>
        <v>5.12</v>
      </c>
      <c r="G830" s="60" t="str">
        <f t="shared" si="3"/>
        <v/>
      </c>
      <c r="H830" s="60">
        <f>IFERROR(__xludf.DUMMYFUNCTION("IFERROR(GOOGLEFINANCE(A830,""PRICE""),)"),5.95)</f>
        <v>5.95</v>
      </c>
      <c r="I830" s="61">
        <f>IFERROR(__xludf.DUMMYFUNCTION("IFERROR(GOOGLEFINANCE(A830,""VOLUME""),)"),26912.0)</f>
        <v>26912</v>
      </c>
      <c r="J830" s="60" t="str">
        <f>IFERROR(__xludf.DUMMYFUNCTION("IFERROR(INDEX(SPLIT(A830,"":""),1,2),)"),"LPDC")</f>
        <v>LPDC</v>
      </c>
      <c r="K830" s="60">
        <f t="shared" si="4"/>
        <v>63</v>
      </c>
      <c r="L830" s="60" t="str">
        <f t="shared" si="5"/>
        <v/>
      </c>
      <c r="M830" s="60">
        <f t="shared" si="6"/>
        <v>1079</v>
      </c>
      <c r="N830" s="62">
        <f>IFERROR(__xludf.DUMMYFUNCTION("IFERROR(GOOGLEFINANCE(A830,""TRADETIME""),)"),46086.64583333333)</f>
        <v>46086.64583</v>
      </c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68" t="s">
        <v>877</v>
      </c>
      <c r="B831" s="64" t="str">
        <f>IFERROR(__xludf.DUMMYFUNCTION("IFERROR(GOOGLEFINANCE(A831,""NAME""),)"),"")</f>
        <v/>
      </c>
      <c r="C831" s="64" t="str">
        <f>IFERROR(__xludf.DUMMYFUNCTION("IFERROR(GOOGLEFINANCE(A831,""CHANGE""),)"),"")</f>
        <v/>
      </c>
      <c r="D831" s="64" t="str">
        <f>IFERROR(__xludf.DUMMYFUNCTION("IFERROR(GOOGLEFINANCE(A831,""CHANGEPCT""),)"),"")</f>
        <v/>
      </c>
      <c r="E831" s="64" t="str">
        <f t="shared" si="1"/>
        <v>%</v>
      </c>
      <c r="F831" s="64" t="str">
        <f t="shared" si="2"/>
        <v/>
      </c>
      <c r="G831" s="64" t="str">
        <f t="shared" si="3"/>
        <v/>
      </c>
      <c r="H831" s="64" t="str">
        <f>IFERROR(__xludf.DUMMYFUNCTION("IFERROR(GOOGLEFINANCE(A831,""PRICE""),)"),"")</f>
        <v/>
      </c>
      <c r="I831" s="65" t="str">
        <f>IFERROR(__xludf.DUMMYFUNCTION("IFERROR(GOOGLEFINANCE(A831,""VOLUME""),)"),"")</f>
        <v/>
      </c>
      <c r="J831" s="64" t="str">
        <f>IFERROR(__xludf.DUMMYFUNCTION("IFERROR(INDEX(SPLIT(A831,"":""),1,2),)"),"LSIL")</f>
        <v>LSIL</v>
      </c>
      <c r="K831" s="64" t="str">
        <f t="shared" si="4"/>
        <v/>
      </c>
      <c r="L831" s="64" t="str">
        <f t="shared" si="5"/>
        <v/>
      </c>
      <c r="M831" s="64" t="str">
        <f t="shared" si="6"/>
        <v/>
      </c>
      <c r="N831" s="66" t="str">
        <f>IFERROR(__xludf.DUMMYFUNCTION("IFERROR(GOOGLEFINANCE(A831,""TRADETIME""),)"),"")</f>
        <v/>
      </c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67" t="s">
        <v>878</v>
      </c>
      <c r="B832" s="60" t="str">
        <f>IFERROR(__xludf.DUMMYFUNCTION("IFERROR(GOOGLEFINANCE(A832,""NAME""),)"),"Larsen and Toubro Ltd")</f>
        <v>Larsen and Toubro Ltd</v>
      </c>
      <c r="C832" s="60">
        <f>IFERROR(__xludf.DUMMYFUNCTION("IFERROR(GOOGLEFINANCE(A832,""CHANGE""),)"),138.2)</f>
        <v>138.2</v>
      </c>
      <c r="D832" s="60">
        <f>IFERROR(__xludf.DUMMYFUNCTION("IFERROR(GOOGLEFINANCE(A832,""CHANGEPCT""),)"),3.72)</f>
        <v>3.72</v>
      </c>
      <c r="E832" s="60" t="str">
        <f t="shared" si="1"/>
        <v>3.72%</v>
      </c>
      <c r="F832" s="60">
        <f t="shared" si="2"/>
        <v>3.72</v>
      </c>
      <c r="G832" s="60" t="str">
        <f t="shared" si="3"/>
        <v/>
      </c>
      <c r="H832" s="60">
        <f>IFERROR(__xludf.DUMMYFUNCTION("IFERROR(GOOGLEFINANCE(A832,""PRICE""),)"),4027.0)</f>
        <v>4027</v>
      </c>
      <c r="I832" s="61">
        <f>IFERROR(__xludf.DUMMYFUNCTION("IFERROR(GOOGLEFINANCE(A832,""VOLUME""),)"),4995811.0)</f>
        <v>4995811</v>
      </c>
      <c r="J832" s="60" t="str">
        <f>IFERROR(__xludf.DUMMYFUNCTION("IFERROR(INDEX(SPLIT(A832,"":""),1,2),)"),"LT")</f>
        <v>LT</v>
      </c>
      <c r="K832" s="60">
        <f t="shared" si="4"/>
        <v>169</v>
      </c>
      <c r="L832" s="60" t="str">
        <f t="shared" si="5"/>
        <v/>
      </c>
      <c r="M832" s="60">
        <f t="shared" si="6"/>
        <v>109</v>
      </c>
      <c r="N832" s="62">
        <f>IFERROR(__xludf.DUMMYFUNCTION("IFERROR(GOOGLEFINANCE(A832,""TRADETIME""),)"),46086.64583333333)</f>
        <v>46086.64583</v>
      </c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68" t="s">
        <v>879</v>
      </c>
      <c r="B833" s="64" t="str">
        <f>IFERROR(__xludf.DUMMYFUNCTION("IFERROR(GOOGLEFINANCE(A833,""NAME""),)"),"")</f>
        <v/>
      </c>
      <c r="C833" s="64" t="str">
        <f>IFERROR(__xludf.DUMMYFUNCTION("IFERROR(GOOGLEFINANCE(A833,""CHANGE""),)"),"")</f>
        <v/>
      </c>
      <c r="D833" s="64" t="str">
        <f>IFERROR(__xludf.DUMMYFUNCTION("IFERROR(GOOGLEFINANCE(A833,""CHANGEPCT""),)"),"")</f>
        <v/>
      </c>
      <c r="E833" s="64" t="str">
        <f t="shared" si="1"/>
        <v>%</v>
      </c>
      <c r="F833" s="64" t="str">
        <f t="shared" si="2"/>
        <v/>
      </c>
      <c r="G833" s="64" t="str">
        <f t="shared" si="3"/>
        <v/>
      </c>
      <c r="H833" s="64" t="str">
        <f>IFERROR(__xludf.DUMMYFUNCTION("IFERROR(GOOGLEFINANCE(A833,""PRICE""),)"),"")</f>
        <v/>
      </c>
      <c r="I833" s="65" t="str">
        <f>IFERROR(__xludf.DUMMYFUNCTION("IFERROR(GOOGLEFINANCE(A833,""VOLUME""),)"),"")</f>
        <v/>
      </c>
      <c r="J833" s="64" t="str">
        <f>IFERROR(__xludf.DUMMYFUNCTION("IFERROR(INDEX(SPLIT(A833,"":""),1,2),)"),"LTIM")</f>
        <v>LTIM</v>
      </c>
      <c r="K833" s="64" t="str">
        <f t="shared" si="4"/>
        <v/>
      </c>
      <c r="L833" s="64" t="str">
        <f t="shared" si="5"/>
        <v/>
      </c>
      <c r="M833" s="64" t="str">
        <f t="shared" si="6"/>
        <v/>
      </c>
      <c r="N833" s="66" t="str">
        <f>IFERROR(__xludf.DUMMYFUNCTION("IFERROR(GOOGLEFINANCE(A833,""TRADETIME""),)"),"")</f>
        <v/>
      </c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67" t="s">
        <v>880</v>
      </c>
      <c r="B834" s="60" t="str">
        <f>IFERROR(__xludf.DUMMYFUNCTION("IFERROR(GOOGLEFINANCE(A834,""NAME""),)"),"L&amp;T Technology Services Ltd")</f>
        <v>L&amp;T Technology Services Ltd</v>
      </c>
      <c r="C834" s="60">
        <f>IFERROR(__xludf.DUMMYFUNCTION("IFERROR(GOOGLEFINANCE(A834,""CHANGE""),)"),-4.4)</f>
        <v>-4.4</v>
      </c>
      <c r="D834" s="60">
        <f>IFERROR(__xludf.DUMMYFUNCTION("IFERROR(GOOGLEFINANCE(A834,""CHANGEPCT""),)"),-0.13)</f>
        <v>-0.13</v>
      </c>
      <c r="E834" s="60" t="str">
        <f t="shared" si="1"/>
        <v>-0.13%</v>
      </c>
      <c r="F834" s="60" t="str">
        <f t="shared" si="2"/>
        <v/>
      </c>
      <c r="G834" s="60">
        <f t="shared" si="3"/>
        <v>-0.13</v>
      </c>
      <c r="H834" s="60">
        <f>IFERROR(__xludf.DUMMYFUNCTION("IFERROR(GOOGLEFINANCE(A834,""PRICE""),)"),3312.8)</f>
        <v>3312.8</v>
      </c>
      <c r="I834" s="61">
        <f>IFERROR(__xludf.DUMMYFUNCTION("IFERROR(GOOGLEFINANCE(A834,""VOLUME""),)"),64084.0)</f>
        <v>64084</v>
      </c>
      <c r="J834" s="60" t="str">
        <f>IFERROR(__xludf.DUMMYFUNCTION("IFERROR(INDEX(SPLIT(A834,"":""),1,2),)"),"LTTS")</f>
        <v>LTTS</v>
      </c>
      <c r="K834" s="60" t="str">
        <f t="shared" si="4"/>
        <v/>
      </c>
      <c r="L834" s="60">
        <f t="shared" si="5"/>
        <v>36</v>
      </c>
      <c r="M834" s="60">
        <f t="shared" si="6"/>
        <v>862</v>
      </c>
      <c r="N834" s="62">
        <f>IFERROR(__xludf.DUMMYFUNCTION("IFERROR(GOOGLEFINANCE(A834,""TRADETIME""),)"),46086.64585648148)</f>
        <v>46086.64586</v>
      </c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68" t="s">
        <v>881</v>
      </c>
      <c r="B835" s="64" t="str">
        <f>IFERROR(__xludf.DUMMYFUNCTION("IFERROR(GOOGLEFINANCE(A835,""NAME""),)"),"Lumax Industries Ltd")</f>
        <v>Lumax Industries Ltd</v>
      </c>
      <c r="C835" s="64">
        <f>IFERROR(__xludf.DUMMYFUNCTION("IFERROR(GOOGLEFINANCE(A835,""CHANGE""),)"),84.5)</f>
        <v>84.5</v>
      </c>
      <c r="D835" s="64">
        <f>IFERROR(__xludf.DUMMYFUNCTION("IFERROR(GOOGLEFINANCE(A835,""CHANGEPCT""),)"),1.5)</f>
        <v>1.5</v>
      </c>
      <c r="E835" s="64" t="str">
        <f t="shared" si="1"/>
        <v>1.5%</v>
      </c>
      <c r="F835" s="64">
        <f t="shared" si="2"/>
        <v>1.5</v>
      </c>
      <c r="G835" s="64" t="str">
        <f t="shared" si="3"/>
        <v/>
      </c>
      <c r="H835" s="64">
        <f>IFERROR(__xludf.DUMMYFUNCTION("IFERROR(GOOGLEFINANCE(A835,""PRICE""),)"),5698.5)</f>
        <v>5698.5</v>
      </c>
      <c r="I835" s="65">
        <f>IFERROR(__xludf.DUMMYFUNCTION("IFERROR(GOOGLEFINANCE(A835,""VOLUME""),)"),13020.0)</f>
        <v>13020</v>
      </c>
      <c r="J835" s="64" t="str">
        <f>IFERROR(__xludf.DUMMYFUNCTION("IFERROR(INDEX(SPLIT(A835,"":""),1,2),)"),"LUMAXIND")</f>
        <v>LUMAXIND</v>
      </c>
      <c r="K835" s="64">
        <f t="shared" si="4"/>
        <v>571</v>
      </c>
      <c r="L835" s="64" t="str">
        <f t="shared" si="5"/>
        <v/>
      </c>
      <c r="M835" s="64">
        <f t="shared" si="6"/>
        <v>1214</v>
      </c>
      <c r="N835" s="66">
        <f>IFERROR(__xludf.DUMMYFUNCTION("IFERROR(GOOGLEFINANCE(A835,""TRADETIME""),)"),46086.64398148148)</f>
        <v>46086.64398</v>
      </c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67" t="s">
        <v>882</v>
      </c>
      <c r="B836" s="60" t="str">
        <f>IFERROR(__xludf.DUMMYFUNCTION("IFERROR(GOOGLEFINANCE(A836,""NAME""),)"),"Lumax AutoTechnologies Ltd")</f>
        <v>Lumax AutoTechnologies Ltd</v>
      </c>
      <c r="C836" s="60">
        <f>IFERROR(__xludf.DUMMYFUNCTION("IFERROR(GOOGLEFINANCE(A836,""CHANGE""),)"),-13.7)</f>
        <v>-13.7</v>
      </c>
      <c r="D836" s="60">
        <f>IFERROR(__xludf.DUMMYFUNCTION("IFERROR(GOOGLEFINANCE(A836,""CHANGEPCT""),)"),-0.89)</f>
        <v>-0.89</v>
      </c>
      <c r="E836" s="60" t="str">
        <f t="shared" si="1"/>
        <v>-0.89%</v>
      </c>
      <c r="F836" s="60" t="str">
        <f t="shared" si="2"/>
        <v/>
      </c>
      <c r="G836" s="60">
        <f t="shared" si="3"/>
        <v>-0.89</v>
      </c>
      <c r="H836" s="60">
        <f>IFERROR(__xludf.DUMMYFUNCTION("IFERROR(GOOGLEFINANCE(A836,""PRICE""),)"),1520.0)</f>
        <v>1520</v>
      </c>
      <c r="I836" s="61">
        <f>IFERROR(__xludf.DUMMYFUNCTION("IFERROR(GOOGLEFINANCE(A836,""VOLUME""),)"),383459.0)</f>
        <v>383459</v>
      </c>
      <c r="J836" s="60" t="str">
        <f>IFERROR(__xludf.DUMMYFUNCTION("IFERROR(INDEX(SPLIT(A836,"":""),1,2),)"),"LUMAXTECH")</f>
        <v>LUMAXTECH</v>
      </c>
      <c r="K836" s="60" t="str">
        <f t="shared" si="4"/>
        <v/>
      </c>
      <c r="L836" s="60">
        <f t="shared" si="5"/>
        <v>198</v>
      </c>
      <c r="M836" s="60">
        <f t="shared" si="6"/>
        <v>447</v>
      </c>
      <c r="N836" s="62">
        <f>IFERROR(__xludf.DUMMYFUNCTION("IFERROR(GOOGLEFINANCE(A836,""TRADETIME""),)"),46086.64584490741)</f>
        <v>46086.64584</v>
      </c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68" t="s">
        <v>883</v>
      </c>
      <c r="B837" s="64" t="str">
        <f>IFERROR(__xludf.DUMMYFUNCTION("IFERROR(GOOGLEFINANCE(A837,""NAME""),)"),"Lupin Ltd")</f>
        <v>Lupin Ltd</v>
      </c>
      <c r="C837" s="64">
        <f>IFERROR(__xludf.DUMMYFUNCTION("IFERROR(GOOGLEFINANCE(A837,""CHANGE""),)"),28.0)</f>
        <v>28</v>
      </c>
      <c r="D837" s="64">
        <f>IFERROR(__xludf.DUMMYFUNCTION("IFERROR(GOOGLEFINANCE(A837,""CHANGEPCT""),)"),1.42)</f>
        <v>1.42</v>
      </c>
      <c r="E837" s="64" t="str">
        <f t="shared" si="1"/>
        <v>1.42%</v>
      </c>
      <c r="F837" s="64">
        <f t="shared" si="2"/>
        <v>1.42</v>
      </c>
      <c r="G837" s="64" t="str">
        <f t="shared" si="3"/>
        <v/>
      </c>
      <c r="H837" s="64">
        <f>IFERROR(__xludf.DUMMYFUNCTION("IFERROR(GOOGLEFINANCE(A837,""PRICE""),)"),2337.6)</f>
        <v>2337.6</v>
      </c>
      <c r="I837" s="65">
        <f>IFERROR(__xludf.DUMMYFUNCTION("IFERROR(GOOGLEFINANCE(A837,""VOLUME""),)"),1683084.0)</f>
        <v>1683084</v>
      </c>
      <c r="J837" s="64" t="str">
        <f>IFERROR(__xludf.DUMMYFUNCTION("IFERROR(INDEX(SPLIT(A837,"":""),1,2),)"),"LUPIN")</f>
        <v>LUPIN</v>
      </c>
      <c r="K837" s="64">
        <f t="shared" si="4"/>
        <v>604</v>
      </c>
      <c r="L837" s="64" t="str">
        <f t="shared" si="5"/>
        <v/>
      </c>
      <c r="M837" s="64">
        <f t="shared" si="6"/>
        <v>228</v>
      </c>
      <c r="N837" s="66">
        <f>IFERROR(__xludf.DUMMYFUNCTION("IFERROR(GOOGLEFINANCE(A837,""TRADETIME""),)"),46086.64583333333)</f>
        <v>46086.64583</v>
      </c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67" t="s">
        <v>884</v>
      </c>
      <c r="B838" s="60" t="str">
        <f>IFERROR(__xludf.DUMMYFUNCTION("IFERROR(GOOGLEFINANCE(A838,""NAME""),)"),"Lux Industries Ltd")</f>
        <v>Lux Industries Ltd</v>
      </c>
      <c r="C838" s="60">
        <f>IFERROR(__xludf.DUMMYFUNCTION("IFERROR(GOOGLEFINANCE(A838,""CHANGE""),)"),28.25)</f>
        <v>28.25</v>
      </c>
      <c r="D838" s="60">
        <f>IFERROR(__xludf.DUMMYFUNCTION("IFERROR(GOOGLEFINANCE(A838,""CHANGEPCT""),)"),3.26)</f>
        <v>3.26</v>
      </c>
      <c r="E838" s="60" t="str">
        <f t="shared" si="1"/>
        <v>3.26%</v>
      </c>
      <c r="F838" s="60">
        <f t="shared" si="2"/>
        <v>3.26</v>
      </c>
      <c r="G838" s="60" t="str">
        <f t="shared" si="3"/>
        <v/>
      </c>
      <c r="H838" s="60">
        <f>IFERROR(__xludf.DUMMYFUNCTION("IFERROR(GOOGLEFINANCE(A838,""PRICE""),)"),894.95)</f>
        <v>894.95</v>
      </c>
      <c r="I838" s="61">
        <f>IFERROR(__xludf.DUMMYFUNCTION("IFERROR(GOOGLEFINANCE(A838,""VOLUME""),)"),78076.0)</f>
        <v>78076</v>
      </c>
      <c r="J838" s="60" t="str">
        <f>IFERROR(__xludf.DUMMYFUNCTION("IFERROR(INDEX(SPLIT(A838,"":""),1,2),)"),"LUXIND")</f>
        <v>LUXIND</v>
      </c>
      <c r="K838" s="60">
        <f t="shared" si="4"/>
        <v>218</v>
      </c>
      <c r="L838" s="60" t="str">
        <f t="shared" si="5"/>
        <v/>
      </c>
      <c r="M838" s="60">
        <f t="shared" si="6"/>
        <v>820</v>
      </c>
      <c r="N838" s="62">
        <f>IFERROR(__xludf.DUMMYFUNCTION("IFERROR(GOOGLEFINANCE(A838,""TRADETIME""),)"),46086.64583333333)</f>
        <v>46086.64583</v>
      </c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68" t="s">
        <v>885</v>
      </c>
      <c r="B839" s="64" t="str">
        <f>IFERROR(__xludf.DUMMYFUNCTION("IFERROR(GOOGLEFINANCE(A839,""NAME""),)"),"Lyka Labs Ltd")</f>
        <v>Lyka Labs Ltd</v>
      </c>
      <c r="C839" s="64">
        <f>IFERROR(__xludf.DUMMYFUNCTION("IFERROR(GOOGLEFINANCE(A839,""CHANGE""),)"),0.63)</f>
        <v>0.63</v>
      </c>
      <c r="D839" s="64">
        <f>IFERROR(__xludf.DUMMYFUNCTION("IFERROR(GOOGLEFINANCE(A839,""CHANGEPCT""),)"),1.04)</f>
        <v>1.04</v>
      </c>
      <c r="E839" s="64" t="str">
        <f t="shared" si="1"/>
        <v>1.04%</v>
      </c>
      <c r="F839" s="64">
        <f t="shared" si="2"/>
        <v>1.04</v>
      </c>
      <c r="G839" s="64" t="str">
        <f t="shared" si="3"/>
        <v/>
      </c>
      <c r="H839" s="64">
        <f>IFERROR(__xludf.DUMMYFUNCTION("IFERROR(GOOGLEFINANCE(A839,""PRICE""),)"),61.4)</f>
        <v>61.4</v>
      </c>
      <c r="I839" s="65">
        <f>IFERROR(__xludf.DUMMYFUNCTION("IFERROR(GOOGLEFINANCE(A839,""VOLUME""),)"),42360.0)</f>
        <v>42360</v>
      </c>
      <c r="J839" s="64" t="str">
        <f>IFERROR(__xludf.DUMMYFUNCTION("IFERROR(INDEX(SPLIT(A839,"":""),1,2),)"),"LYKALABS")</f>
        <v>LYKALABS</v>
      </c>
      <c r="K839" s="64">
        <f t="shared" si="4"/>
        <v>712</v>
      </c>
      <c r="L839" s="64" t="str">
        <f t="shared" si="5"/>
        <v/>
      </c>
      <c r="M839" s="64">
        <f t="shared" si="6"/>
        <v>981</v>
      </c>
      <c r="N839" s="66">
        <f>IFERROR(__xludf.DUMMYFUNCTION("IFERROR(GOOGLEFINANCE(A839,""TRADETIME""),)"),46086.64583333333)</f>
        <v>46086.64583</v>
      </c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67" t="s">
        <v>886</v>
      </c>
      <c r="B840" s="60" t="str">
        <f>IFERROR(__xludf.DUMMYFUNCTION("IFERROR(GOOGLEFINANCE(A840,""NAME""),)"),"Lypsa Gems &amp; Jewellery Ltd")</f>
        <v>Lypsa Gems &amp; Jewellery Ltd</v>
      </c>
      <c r="C840" s="60">
        <f>IFERROR(__xludf.DUMMYFUNCTION("IFERROR(GOOGLEFINANCE(A840,""CHANGE""),)"),0.1)</f>
        <v>0.1</v>
      </c>
      <c r="D840" s="60">
        <f>IFERROR(__xludf.DUMMYFUNCTION("IFERROR(GOOGLEFINANCE(A840,""CHANGEPCT""),)"),2.03)</f>
        <v>2.03</v>
      </c>
      <c r="E840" s="60" t="str">
        <f t="shared" si="1"/>
        <v>2.03%</v>
      </c>
      <c r="F840" s="60">
        <f t="shared" si="2"/>
        <v>2.03</v>
      </c>
      <c r="G840" s="60" t="str">
        <f t="shared" si="3"/>
        <v/>
      </c>
      <c r="H840" s="60">
        <f>IFERROR(__xludf.DUMMYFUNCTION("IFERROR(GOOGLEFINANCE(A840,""PRICE""),)"),5.03)</f>
        <v>5.03</v>
      </c>
      <c r="I840" s="61">
        <f>IFERROR(__xludf.DUMMYFUNCTION("IFERROR(GOOGLEFINANCE(A840,""VOLUME""),)"),25467.0)</f>
        <v>25467</v>
      </c>
      <c r="J840" s="60" t="str">
        <f>IFERROR(__xludf.DUMMYFUNCTION("IFERROR(INDEX(SPLIT(A840,"":""),1,2),)"),"LYPSAGEMS")</f>
        <v>LYPSAGEMS</v>
      </c>
      <c r="K840" s="60">
        <f t="shared" si="4"/>
        <v>433</v>
      </c>
      <c r="L840" s="60" t="str">
        <f t="shared" si="5"/>
        <v/>
      </c>
      <c r="M840" s="60">
        <f t="shared" si="6"/>
        <v>1091</v>
      </c>
      <c r="N840" s="62">
        <f>IFERROR(__xludf.DUMMYFUNCTION("IFERROR(GOOGLEFINANCE(A840,""TRADETIME""),)"),46086.63959490741)</f>
        <v>46086.63959</v>
      </c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68" t="s">
        <v>887</v>
      </c>
      <c r="B841" s="64" t="str">
        <f>IFERROR(__xludf.DUMMYFUNCTION("IFERROR(GOOGLEFINANCE(A841,""NAME""),)"),"Mahindra And Mahindra Ltd")</f>
        <v>Mahindra And Mahindra Ltd</v>
      </c>
      <c r="C841" s="64">
        <f>IFERROR(__xludf.DUMMYFUNCTION("IFERROR(GOOGLEFINANCE(A841,""CHANGE""),)"),85.7)</f>
        <v>85.7</v>
      </c>
      <c r="D841" s="64">
        <f>IFERROR(__xludf.DUMMYFUNCTION("IFERROR(GOOGLEFINANCE(A841,""CHANGEPCT""),)"),2.63)</f>
        <v>2.63</v>
      </c>
      <c r="E841" s="64" t="str">
        <f t="shared" si="1"/>
        <v>2.63%</v>
      </c>
      <c r="F841" s="64">
        <f t="shared" si="2"/>
        <v>2.63</v>
      </c>
      <c r="G841" s="64" t="str">
        <f t="shared" si="3"/>
        <v/>
      </c>
      <c r="H841" s="64">
        <f>IFERROR(__xludf.DUMMYFUNCTION("IFERROR(GOOGLEFINANCE(A841,""PRICE""),)"),3347.8)</f>
        <v>3347.8</v>
      </c>
      <c r="I841" s="65">
        <f>IFERROR(__xludf.DUMMYFUNCTION("IFERROR(GOOGLEFINANCE(A841,""VOLUME""),)"),2304657.0)</f>
        <v>2304657</v>
      </c>
      <c r="J841" s="64" t="str">
        <f>IFERROR(__xludf.DUMMYFUNCTION("IFERROR(INDEX(SPLIT(A841,"":""),1,2),)"),"M&amp;M")</f>
        <v>M&amp;M</v>
      </c>
      <c r="K841" s="64">
        <f t="shared" si="4"/>
        <v>320</v>
      </c>
      <c r="L841" s="64" t="str">
        <f t="shared" si="5"/>
        <v/>
      </c>
      <c r="M841" s="64">
        <f t="shared" si="6"/>
        <v>181</v>
      </c>
      <c r="N841" s="66">
        <f>IFERROR(__xludf.DUMMYFUNCTION("IFERROR(GOOGLEFINANCE(A841,""TRADETIME""),)"),46086.64583333333)</f>
        <v>46086.64583</v>
      </c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67" t="s">
        <v>888</v>
      </c>
      <c r="B842" s="60" t="str">
        <f>IFERROR(__xludf.DUMMYFUNCTION("IFERROR(GOOGLEFINANCE(A842,""NAME""),)"),"Mahindra and Mahindra Financial Svcs Ltd")</f>
        <v>Mahindra and Mahindra Financial Svcs Ltd</v>
      </c>
      <c r="C842" s="60">
        <f>IFERROR(__xludf.DUMMYFUNCTION("IFERROR(GOOGLEFINANCE(A842,""CHANGE""),)"),2.8)</f>
        <v>2.8</v>
      </c>
      <c r="D842" s="60">
        <f>IFERROR(__xludf.DUMMYFUNCTION("IFERROR(GOOGLEFINANCE(A842,""CHANGEPCT""),)"),0.77)</f>
        <v>0.77</v>
      </c>
      <c r="E842" s="60" t="str">
        <f t="shared" si="1"/>
        <v>0.77%</v>
      </c>
      <c r="F842" s="60">
        <f t="shared" si="2"/>
        <v>0.77</v>
      </c>
      <c r="G842" s="60" t="str">
        <f t="shared" si="3"/>
        <v/>
      </c>
      <c r="H842" s="60">
        <f>IFERROR(__xludf.DUMMYFUNCTION("IFERROR(GOOGLEFINANCE(A842,""PRICE""),)"),365.0)</f>
        <v>365</v>
      </c>
      <c r="I842" s="61">
        <f>IFERROR(__xludf.DUMMYFUNCTION("IFERROR(GOOGLEFINANCE(A842,""VOLUME""),)"),886191.0)</f>
        <v>886191</v>
      </c>
      <c r="J842" s="60" t="str">
        <f>IFERROR(__xludf.DUMMYFUNCTION("IFERROR(INDEX(SPLIT(A842,"":""),1,2),)"),"M&amp;MFIN")</f>
        <v>M&amp;MFIN</v>
      </c>
      <c r="K842" s="60">
        <f t="shared" si="4"/>
        <v>797</v>
      </c>
      <c r="L842" s="60" t="str">
        <f t="shared" si="5"/>
        <v/>
      </c>
      <c r="M842" s="60">
        <f t="shared" si="6"/>
        <v>304</v>
      </c>
      <c r="N842" s="62">
        <f>IFERROR(__xludf.DUMMYFUNCTION("IFERROR(GOOGLEFINANCE(A842,""TRADETIME""),)"),46086.64583333333)</f>
        <v>46086.64583</v>
      </c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68" t="s">
        <v>889</v>
      </c>
      <c r="B843" s="64" t="str">
        <f>IFERROR(__xludf.DUMMYFUNCTION("IFERROR(GOOGLEFINANCE(A843,""NAME""),)"),"Maan Aluminium Ltd")</f>
        <v>Maan Aluminium Ltd</v>
      </c>
      <c r="C843" s="64">
        <f>IFERROR(__xludf.DUMMYFUNCTION("IFERROR(GOOGLEFINANCE(A843,""CHANGE""),)"),-0.68)</f>
        <v>-0.68</v>
      </c>
      <c r="D843" s="64">
        <f>IFERROR(__xludf.DUMMYFUNCTION("IFERROR(GOOGLEFINANCE(A843,""CHANGEPCT""),)"),-0.52)</f>
        <v>-0.52</v>
      </c>
      <c r="E843" s="64" t="str">
        <f t="shared" si="1"/>
        <v>-0.52%</v>
      </c>
      <c r="F843" s="64" t="str">
        <f t="shared" si="2"/>
        <v/>
      </c>
      <c r="G843" s="64">
        <f t="shared" si="3"/>
        <v>-0.52</v>
      </c>
      <c r="H843" s="64">
        <f>IFERROR(__xludf.DUMMYFUNCTION("IFERROR(GOOGLEFINANCE(A843,""PRICE""),)"),130.62)</f>
        <v>130.62</v>
      </c>
      <c r="I843" s="65">
        <f>IFERROR(__xludf.DUMMYFUNCTION("IFERROR(GOOGLEFINANCE(A843,""VOLUME""),)"),52072.0)</f>
        <v>52072</v>
      </c>
      <c r="J843" s="64" t="str">
        <f>IFERROR(__xludf.DUMMYFUNCTION("IFERROR(INDEX(SPLIT(A843,"":""),1,2),)"),"MAANALU")</f>
        <v>MAANALU</v>
      </c>
      <c r="K843" s="64" t="str">
        <f t="shared" si="4"/>
        <v/>
      </c>
      <c r="L843" s="64">
        <f t="shared" si="5"/>
        <v>125</v>
      </c>
      <c r="M843" s="64">
        <f t="shared" si="6"/>
        <v>921</v>
      </c>
      <c r="N843" s="66">
        <f>IFERROR(__xludf.DUMMYFUNCTION("IFERROR(GOOGLEFINANCE(A843,""TRADETIME""),)"),46086.63787037037)</f>
        <v>46086.63787</v>
      </c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67" t="s">
        <v>890</v>
      </c>
      <c r="B844" s="60" t="str">
        <f>IFERROR(__xludf.DUMMYFUNCTION("IFERROR(GOOGLEFINANCE(A844,""NAME""),)"),"Macpower CNC Machines Ltd")</f>
        <v>Macpower CNC Machines Ltd</v>
      </c>
      <c r="C844" s="60">
        <f>IFERROR(__xludf.DUMMYFUNCTION("IFERROR(GOOGLEFINANCE(A844,""CHANGE""),)"),-11.45)</f>
        <v>-11.45</v>
      </c>
      <c r="D844" s="60">
        <f>IFERROR(__xludf.DUMMYFUNCTION("IFERROR(GOOGLEFINANCE(A844,""CHANGEPCT""),)"),-1.89)</f>
        <v>-1.89</v>
      </c>
      <c r="E844" s="60" t="str">
        <f t="shared" si="1"/>
        <v>-1.89%</v>
      </c>
      <c r="F844" s="60" t="str">
        <f t="shared" si="2"/>
        <v/>
      </c>
      <c r="G844" s="60">
        <f t="shared" si="3"/>
        <v>-1.89</v>
      </c>
      <c r="H844" s="60">
        <f>IFERROR(__xludf.DUMMYFUNCTION("IFERROR(GOOGLEFINANCE(A844,""PRICE""),)"),938.5)</f>
        <v>938.5</v>
      </c>
      <c r="I844" s="61">
        <f>IFERROR(__xludf.DUMMYFUNCTION("IFERROR(GOOGLEFINANCE(A844,""VOLUME""),)"),30966.0)</f>
        <v>30966</v>
      </c>
      <c r="J844" s="60" t="str">
        <f>IFERROR(__xludf.DUMMYFUNCTION("IFERROR(INDEX(SPLIT(A844,"":""),1,2),)"),"MACPOWER")</f>
        <v>MACPOWER</v>
      </c>
      <c r="K844" s="60" t="str">
        <f t="shared" si="4"/>
        <v/>
      </c>
      <c r="L844" s="60">
        <f t="shared" si="5"/>
        <v>334</v>
      </c>
      <c r="M844" s="60">
        <f t="shared" si="6"/>
        <v>1051</v>
      </c>
      <c r="N844" s="62">
        <f>IFERROR(__xludf.DUMMYFUNCTION("IFERROR(GOOGLEFINANCE(A844,""TRADETIME""),)"),46086.64583333333)</f>
        <v>46086.64583</v>
      </c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68" t="s">
        <v>891</v>
      </c>
      <c r="B845" s="64" t="str">
        <f>IFERROR(__xludf.DUMMYFUNCTION("IFERROR(GOOGLEFINANCE(A845,""NAME""),)"),"Madhav Marbles and Granites Ltd")</f>
        <v>Madhav Marbles and Granites Ltd</v>
      </c>
      <c r="C845" s="64">
        <f>IFERROR(__xludf.DUMMYFUNCTION("IFERROR(GOOGLEFINANCE(A845,""CHANGE""),)"),2.73)</f>
        <v>2.73</v>
      </c>
      <c r="D845" s="64">
        <f>IFERROR(__xludf.DUMMYFUNCTION("IFERROR(GOOGLEFINANCE(A845,""CHANGEPCT""),)"),8.21)</f>
        <v>8.21</v>
      </c>
      <c r="E845" s="64" t="str">
        <f t="shared" si="1"/>
        <v>8.21%</v>
      </c>
      <c r="F845" s="64">
        <f t="shared" si="2"/>
        <v>8.21</v>
      </c>
      <c r="G845" s="64" t="str">
        <f t="shared" si="3"/>
        <v/>
      </c>
      <c r="H845" s="64">
        <f>IFERROR(__xludf.DUMMYFUNCTION("IFERROR(GOOGLEFINANCE(A845,""PRICE""),)"),36.0)</f>
        <v>36</v>
      </c>
      <c r="I845" s="65">
        <f>IFERROR(__xludf.DUMMYFUNCTION("IFERROR(GOOGLEFINANCE(A845,""VOLUME""),)"),12500.0)</f>
        <v>12500</v>
      </c>
      <c r="J845" s="64" t="str">
        <f>IFERROR(__xludf.DUMMYFUNCTION("IFERROR(INDEX(SPLIT(A845,"":""),1,2),)"),"MADHAV")</f>
        <v>MADHAV</v>
      </c>
      <c r="K845" s="64">
        <f t="shared" si="4"/>
        <v>20</v>
      </c>
      <c r="L845" s="64" t="str">
        <f t="shared" si="5"/>
        <v/>
      </c>
      <c r="M845" s="64">
        <f t="shared" si="6"/>
        <v>1222</v>
      </c>
      <c r="N845" s="66">
        <f>IFERROR(__xludf.DUMMYFUNCTION("IFERROR(GOOGLEFINANCE(A845,""TRADETIME""),)"),46086.64583333333)</f>
        <v>46086.64583</v>
      </c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67" t="s">
        <v>892</v>
      </c>
      <c r="B846" s="60" t="str">
        <f>IFERROR(__xludf.DUMMYFUNCTION("IFERROR(GOOGLEFINANCE(A846,""NAME""),)"),"Madhucon Projects Ltd")</f>
        <v>Madhucon Projects Ltd</v>
      </c>
      <c r="C846" s="60">
        <f>IFERROR(__xludf.DUMMYFUNCTION("IFERROR(GOOGLEFINANCE(A846,""CHANGE""),)"),0.04)</f>
        <v>0.04</v>
      </c>
      <c r="D846" s="60">
        <f>IFERROR(__xludf.DUMMYFUNCTION("IFERROR(GOOGLEFINANCE(A846,""CHANGEPCT""),)"),0.91)</f>
        <v>0.91</v>
      </c>
      <c r="E846" s="60" t="str">
        <f t="shared" si="1"/>
        <v>0.91%</v>
      </c>
      <c r="F846" s="60">
        <f t="shared" si="2"/>
        <v>0.91</v>
      </c>
      <c r="G846" s="60" t="str">
        <f t="shared" si="3"/>
        <v/>
      </c>
      <c r="H846" s="60">
        <f>IFERROR(__xludf.DUMMYFUNCTION("IFERROR(GOOGLEFINANCE(A846,""PRICE""),)"),4.45)</f>
        <v>4.45</v>
      </c>
      <c r="I846" s="61">
        <f>IFERROR(__xludf.DUMMYFUNCTION("IFERROR(GOOGLEFINANCE(A846,""VOLUME""),)"),34023.0)</f>
        <v>34023</v>
      </c>
      <c r="J846" s="60" t="str">
        <f>IFERROR(__xludf.DUMMYFUNCTION("IFERROR(INDEX(SPLIT(A846,"":""),1,2),)"),"MADHUCON")</f>
        <v>MADHUCON</v>
      </c>
      <c r="K846" s="60">
        <f t="shared" si="4"/>
        <v>748</v>
      </c>
      <c r="L846" s="60" t="str">
        <f t="shared" si="5"/>
        <v/>
      </c>
      <c r="M846" s="60">
        <f t="shared" si="6"/>
        <v>1026</v>
      </c>
      <c r="N846" s="62">
        <f>IFERROR(__xludf.DUMMYFUNCTION("IFERROR(GOOGLEFINANCE(A846,""TRADETIME""),)"),46086.64583333333)</f>
        <v>46086.64583</v>
      </c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68" t="s">
        <v>893</v>
      </c>
      <c r="B847" s="64" t="str">
        <f>IFERROR(__xludf.DUMMYFUNCTION("IFERROR(GOOGLEFINANCE(A847,""NAME""),)"),"Madras Fertilizers Ltd")</f>
        <v>Madras Fertilizers Ltd</v>
      </c>
      <c r="C847" s="64">
        <f>IFERROR(__xludf.DUMMYFUNCTION("IFERROR(GOOGLEFINANCE(A847,""CHANGE""),)"),-0.06)</f>
        <v>-0.06</v>
      </c>
      <c r="D847" s="64">
        <f>IFERROR(__xludf.DUMMYFUNCTION("IFERROR(GOOGLEFINANCE(A847,""CHANGEPCT""),)"),-0.26)</f>
        <v>-0.26</v>
      </c>
      <c r="E847" s="64" t="str">
        <f t="shared" si="1"/>
        <v>-0.26%</v>
      </c>
      <c r="F847" s="64" t="str">
        <f t="shared" si="2"/>
        <v/>
      </c>
      <c r="G847" s="64">
        <f t="shared" si="3"/>
        <v>-0.26</v>
      </c>
      <c r="H847" s="64">
        <f>IFERROR(__xludf.DUMMYFUNCTION("IFERROR(GOOGLEFINANCE(A847,""PRICE""),)"),61.41)</f>
        <v>61.41</v>
      </c>
      <c r="I847" s="65">
        <f>IFERROR(__xludf.DUMMYFUNCTION("IFERROR(GOOGLEFINANCE(A847,""VOLUME""),)"),50704.0)</f>
        <v>50704</v>
      </c>
      <c r="J847" s="64" t="str">
        <f>IFERROR(__xludf.DUMMYFUNCTION("IFERROR(INDEX(SPLIT(A847,"":""),1,2),)"),"MADRASFERT")</f>
        <v>MADRASFERT</v>
      </c>
      <c r="K847" s="64" t="str">
        <f t="shared" si="4"/>
        <v/>
      </c>
      <c r="L847" s="64">
        <f t="shared" si="5"/>
        <v>68</v>
      </c>
      <c r="M847" s="64">
        <f t="shared" si="6"/>
        <v>933</v>
      </c>
      <c r="N847" s="66">
        <f>IFERROR(__xludf.DUMMYFUNCTION("IFERROR(GOOGLEFINANCE(A847,""TRADETIME""),)"),46086.64583333333)</f>
        <v>46086.64583</v>
      </c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67" t="s">
        <v>894</v>
      </c>
      <c r="B848" s="60" t="str">
        <f>IFERROR(__xludf.DUMMYFUNCTION("IFERROR(GOOGLEFINANCE(A848,""NAME""),)"),"Magadh Sugar &amp; Energy Ltd")</f>
        <v>Magadh Sugar &amp; Energy Ltd</v>
      </c>
      <c r="C848" s="60">
        <f>IFERROR(__xludf.DUMMYFUNCTION("IFERROR(GOOGLEFINANCE(A848,""CHANGE""),)"),-6.5)</f>
        <v>-6.5</v>
      </c>
      <c r="D848" s="60">
        <f>IFERROR(__xludf.DUMMYFUNCTION("IFERROR(GOOGLEFINANCE(A848,""CHANGEPCT""),)"),-1.38)</f>
        <v>-1.38</v>
      </c>
      <c r="E848" s="60" t="str">
        <f t="shared" si="1"/>
        <v>-1.38%</v>
      </c>
      <c r="F848" s="60" t="str">
        <f t="shared" si="2"/>
        <v/>
      </c>
      <c r="G848" s="60">
        <f t="shared" si="3"/>
        <v>-1.38</v>
      </c>
      <c r="H848" s="60">
        <f>IFERROR(__xludf.DUMMYFUNCTION("IFERROR(GOOGLEFINANCE(A848,""PRICE""),)"),464.25)</f>
        <v>464.25</v>
      </c>
      <c r="I848" s="61">
        <f>IFERROR(__xludf.DUMMYFUNCTION("IFERROR(GOOGLEFINANCE(A848,""VOLUME""),)"),15843.0)</f>
        <v>15843</v>
      </c>
      <c r="J848" s="60" t="str">
        <f>IFERROR(__xludf.DUMMYFUNCTION("IFERROR(INDEX(SPLIT(A848,"":""),1,2),)"),"MAGADSUGAR")</f>
        <v>MAGADSUGAR</v>
      </c>
      <c r="K848" s="60" t="str">
        <f t="shared" si="4"/>
        <v/>
      </c>
      <c r="L848" s="60">
        <f t="shared" si="5"/>
        <v>278</v>
      </c>
      <c r="M848" s="60">
        <f t="shared" si="6"/>
        <v>1188</v>
      </c>
      <c r="N848" s="62">
        <f>IFERROR(__xludf.DUMMYFUNCTION("IFERROR(GOOGLEFINANCE(A848,""TRADETIME""),)"),46086.64583333333)</f>
        <v>46086.64583</v>
      </c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68" t="s">
        <v>895</v>
      </c>
      <c r="B849" s="64" t="str">
        <f>IFERROR(__xludf.DUMMYFUNCTION("IFERROR(GOOGLEFINANCE(A849,""NAME""),)"),"Poonawalla Fincorp Ltd")</f>
        <v>Poonawalla Fincorp Ltd</v>
      </c>
      <c r="C849" s="64">
        <f>IFERROR(__xludf.DUMMYFUNCTION("IFERROR(GOOGLEFINANCE(A849,""CHANGE""),)"),7.9)</f>
        <v>7.9</v>
      </c>
      <c r="D849" s="64">
        <f>IFERROR(__xludf.DUMMYFUNCTION("IFERROR(GOOGLEFINANCE(A849,""CHANGEPCT""),)"),1.86)</f>
        <v>1.86</v>
      </c>
      <c r="E849" s="64" t="str">
        <f t="shared" si="1"/>
        <v>1.86%</v>
      </c>
      <c r="F849" s="64">
        <f t="shared" si="2"/>
        <v>1.86</v>
      </c>
      <c r="G849" s="64" t="str">
        <f t="shared" si="3"/>
        <v/>
      </c>
      <c r="H849" s="64">
        <f>IFERROR(__xludf.DUMMYFUNCTION("IFERROR(GOOGLEFINANCE(A849,""PRICE""),)"),433.75)</f>
        <v>433.75</v>
      </c>
      <c r="I849" s="65">
        <f>IFERROR(__xludf.DUMMYFUNCTION("IFERROR(GOOGLEFINANCE(A849,""VOLUME""),)"),533253.0)</f>
        <v>533253</v>
      </c>
      <c r="J849" s="64" t="str">
        <f>IFERROR(__xludf.DUMMYFUNCTION("IFERROR(INDEX(SPLIT(A849,"":""),1,2),)"),"POONAWALLA")</f>
        <v>POONAWALLA</v>
      </c>
      <c r="K849" s="64">
        <f t="shared" si="4"/>
        <v>476</v>
      </c>
      <c r="L849" s="64" t="str">
        <f t="shared" si="5"/>
        <v/>
      </c>
      <c r="M849" s="64">
        <f t="shared" si="6"/>
        <v>388</v>
      </c>
      <c r="N849" s="66">
        <f>IFERROR(__xludf.DUMMYFUNCTION("IFERROR(GOOGLEFINANCE(A849,""TRADETIME""),)"),46086.64583333333)</f>
        <v>46086.64583</v>
      </c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67" t="s">
        <v>896</v>
      </c>
      <c r="B850" s="60" t="str">
        <f>IFERROR(__xludf.DUMMYFUNCTION("IFERROR(GOOGLEFINANCE(A850,""NAME""),)"),"Magnum Ventures Ltd")</f>
        <v>Magnum Ventures Ltd</v>
      </c>
      <c r="C850" s="60">
        <f>IFERROR(__xludf.DUMMYFUNCTION("IFERROR(GOOGLEFINANCE(A850,""CHANGE""),)"),0.23)</f>
        <v>0.23</v>
      </c>
      <c r="D850" s="60">
        <f>IFERROR(__xludf.DUMMYFUNCTION("IFERROR(GOOGLEFINANCE(A850,""CHANGEPCT""),)"),-1.75)</f>
        <v>-1.75</v>
      </c>
      <c r="E850" s="60" t="str">
        <f t="shared" si="1"/>
        <v>-1.75%</v>
      </c>
      <c r="F850" s="60" t="str">
        <f t="shared" si="2"/>
        <v/>
      </c>
      <c r="G850" s="60">
        <f t="shared" si="3"/>
        <v>-1.75</v>
      </c>
      <c r="H850" s="60">
        <f>IFERROR(__xludf.DUMMYFUNCTION("IFERROR(GOOGLEFINANCE(A850,""PRICE""),)"),20.16)</f>
        <v>20.16</v>
      </c>
      <c r="I850" s="61">
        <f>IFERROR(__xludf.DUMMYFUNCTION("IFERROR(GOOGLEFINANCE(A850,""VOLUME""),)"),27916.0)</f>
        <v>27916</v>
      </c>
      <c r="J850" s="60" t="str">
        <f>IFERROR(__xludf.DUMMYFUNCTION("IFERROR(INDEX(SPLIT(A850,"":""),1,2),)"),"MAGNUM")</f>
        <v>MAGNUM</v>
      </c>
      <c r="K850" s="60" t="str">
        <f t="shared" si="4"/>
        <v/>
      </c>
      <c r="L850" s="60">
        <f t="shared" si="5"/>
        <v>316</v>
      </c>
      <c r="M850" s="60">
        <f t="shared" si="6"/>
        <v>1069</v>
      </c>
      <c r="N850" s="62">
        <f>IFERROR(__xludf.DUMMYFUNCTION("IFERROR(GOOGLEFINANCE(A850,""TRADETIME""),)"),46086.64583333333)</f>
        <v>46086.64583</v>
      </c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68" t="s">
        <v>897</v>
      </c>
      <c r="B851" s="64" t="str">
        <f>IFERROR(__xludf.DUMMYFUNCTION("IFERROR(GOOGLEFINANCE(A851,""NAME""),)"),"Bank of Maharashtra Ltd")</f>
        <v>Bank of Maharashtra Ltd</v>
      </c>
      <c r="C851" s="64">
        <f>IFERROR(__xludf.DUMMYFUNCTION("IFERROR(GOOGLEFINANCE(A851,""CHANGE""),)"),2.94)</f>
        <v>2.94</v>
      </c>
      <c r="D851" s="64">
        <f>IFERROR(__xludf.DUMMYFUNCTION("IFERROR(GOOGLEFINANCE(A851,""CHANGEPCT""),)"),4.3)</f>
        <v>4.3</v>
      </c>
      <c r="E851" s="64" t="str">
        <f t="shared" si="1"/>
        <v>4.3%</v>
      </c>
      <c r="F851" s="64">
        <f t="shared" si="2"/>
        <v>4.3</v>
      </c>
      <c r="G851" s="64" t="str">
        <f t="shared" si="3"/>
        <v/>
      </c>
      <c r="H851" s="64">
        <f>IFERROR(__xludf.DUMMYFUNCTION("IFERROR(GOOGLEFINANCE(A851,""PRICE""),)"),71.36)</f>
        <v>71.36</v>
      </c>
      <c r="I851" s="65">
        <f>IFERROR(__xludf.DUMMYFUNCTION("IFERROR(GOOGLEFINANCE(A851,""VOLUME""),)"),2.5083895E7)</f>
        <v>25083895</v>
      </c>
      <c r="J851" s="64" t="str">
        <f>IFERROR(__xludf.DUMMYFUNCTION("IFERROR(INDEX(SPLIT(A851,"":""),1,2),)"),"MAHABANK")</f>
        <v>MAHABANK</v>
      </c>
      <c r="K851" s="64">
        <f t="shared" si="4"/>
        <v>122</v>
      </c>
      <c r="L851" s="64" t="str">
        <f t="shared" si="5"/>
        <v/>
      </c>
      <c r="M851" s="64">
        <f t="shared" si="6"/>
        <v>20</v>
      </c>
      <c r="N851" s="66">
        <f>IFERROR(__xludf.DUMMYFUNCTION("IFERROR(GOOGLEFINANCE(A851,""TRADETIME""),)"),46086.64583333333)</f>
        <v>46086.64583</v>
      </c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67" t="s">
        <v>898</v>
      </c>
      <c r="B852" s="60" t="str">
        <f>IFERROR(__xludf.DUMMYFUNCTION("IFERROR(GOOGLEFINANCE(A852,""NAME""),)"),"Maha Rashtra Apex Corporation Ltd")</f>
        <v>Maha Rashtra Apex Corporation Ltd</v>
      </c>
      <c r="C852" s="60">
        <f>IFERROR(__xludf.DUMMYFUNCTION("IFERROR(GOOGLEFINANCE(A852,""CHANGE""),)"),2.88)</f>
        <v>2.88</v>
      </c>
      <c r="D852" s="60">
        <f>IFERROR(__xludf.DUMMYFUNCTION("IFERROR(GOOGLEFINANCE(A852,""CHANGEPCT""),)"),1.98)</f>
        <v>1.98</v>
      </c>
      <c r="E852" s="60" t="str">
        <f t="shared" si="1"/>
        <v>1.98%</v>
      </c>
      <c r="F852" s="60">
        <f t="shared" si="2"/>
        <v>1.98</v>
      </c>
      <c r="G852" s="60" t="str">
        <f t="shared" si="3"/>
        <v/>
      </c>
      <c r="H852" s="60">
        <f>IFERROR(__xludf.DUMMYFUNCTION("IFERROR(GOOGLEFINANCE(A852,""PRICE""),)"),88.17)</f>
        <v>88.17</v>
      </c>
      <c r="I852" s="61">
        <f>IFERROR(__xludf.DUMMYFUNCTION("IFERROR(GOOGLEFINANCE(A852,""VOLUME""),)"),4727.0)</f>
        <v>4727</v>
      </c>
      <c r="J852" s="60" t="str">
        <f>IFERROR(__xludf.DUMMYFUNCTION("IFERROR(INDEX(SPLIT(A852,"":""),1,2),)"),"MAHAPEXLTD")</f>
        <v>MAHAPEXLTD</v>
      </c>
      <c r="K852" s="60">
        <f t="shared" si="4"/>
        <v>446</v>
      </c>
      <c r="L852" s="60" t="str">
        <f t="shared" si="5"/>
        <v/>
      </c>
      <c r="M852" s="60">
        <f t="shared" si="6"/>
        <v>1351</v>
      </c>
      <c r="N852" s="62">
        <f>IFERROR(__xludf.DUMMYFUNCTION("IFERROR(GOOGLEFINANCE(A852,""TRADETIME""),)"),46086.64583333333)</f>
        <v>46086.64583</v>
      </c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68" t="s">
        <v>899</v>
      </c>
      <c r="B853" s="64" t="str">
        <f>IFERROR(__xludf.DUMMYFUNCTION("IFERROR(GOOGLEFINANCE(A853,""NAME""),)"),"Mahamaya Steel Industries Ltd")</f>
        <v>Mahamaya Steel Industries Ltd</v>
      </c>
      <c r="C853" s="64">
        <f>IFERROR(__xludf.DUMMYFUNCTION("IFERROR(GOOGLEFINANCE(A853,""CHANGE""),)"),-12.35)</f>
        <v>-12.35</v>
      </c>
      <c r="D853" s="64">
        <f>IFERROR(__xludf.DUMMYFUNCTION("IFERROR(GOOGLEFINANCE(A853,""CHANGEPCT""),)"),-1.62)</f>
        <v>-1.62</v>
      </c>
      <c r="E853" s="64" t="str">
        <f t="shared" si="1"/>
        <v>-1.62%</v>
      </c>
      <c r="F853" s="64" t="str">
        <f t="shared" si="2"/>
        <v/>
      </c>
      <c r="G853" s="64">
        <f t="shared" si="3"/>
        <v>-1.62</v>
      </c>
      <c r="H853" s="64">
        <f>IFERROR(__xludf.DUMMYFUNCTION("IFERROR(GOOGLEFINANCE(A853,""PRICE""),)"),750.0)</f>
        <v>750</v>
      </c>
      <c r="I853" s="65">
        <f>IFERROR(__xludf.DUMMYFUNCTION("IFERROR(GOOGLEFINANCE(A853,""VOLUME""),)"),10733.0)</f>
        <v>10733</v>
      </c>
      <c r="J853" s="64" t="str">
        <f>IFERROR(__xludf.DUMMYFUNCTION("IFERROR(INDEX(SPLIT(A853,"":""),1,2),)"),"MAHASTEEL")</f>
        <v>MAHASTEEL</v>
      </c>
      <c r="K853" s="64" t="str">
        <f t="shared" si="4"/>
        <v/>
      </c>
      <c r="L853" s="64">
        <f t="shared" si="5"/>
        <v>302</v>
      </c>
      <c r="M853" s="64">
        <f t="shared" si="6"/>
        <v>1254</v>
      </c>
      <c r="N853" s="66">
        <f>IFERROR(__xludf.DUMMYFUNCTION("IFERROR(GOOGLEFINANCE(A853,""TRADETIME""),)"),46086.64583333333)</f>
        <v>46086.64583</v>
      </c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67" t="s">
        <v>900</v>
      </c>
      <c r="B854" s="60" t="str">
        <f>IFERROR(__xludf.DUMMYFUNCTION("IFERROR(GOOGLEFINANCE(A854,""NAME""),)"),"Mahindra EPC Irrigation Ltd")</f>
        <v>Mahindra EPC Irrigation Ltd</v>
      </c>
      <c r="C854" s="60">
        <f>IFERROR(__xludf.DUMMYFUNCTION("IFERROR(GOOGLEFINANCE(A854,""CHANGE""),)"),4.08)</f>
        <v>4.08</v>
      </c>
      <c r="D854" s="60">
        <f>IFERROR(__xludf.DUMMYFUNCTION("IFERROR(GOOGLEFINANCE(A854,""CHANGEPCT""),)"),3.05)</f>
        <v>3.05</v>
      </c>
      <c r="E854" s="60" t="str">
        <f t="shared" si="1"/>
        <v>3.05%</v>
      </c>
      <c r="F854" s="60">
        <f t="shared" si="2"/>
        <v>3.05</v>
      </c>
      <c r="G854" s="60" t="str">
        <f t="shared" si="3"/>
        <v/>
      </c>
      <c r="H854" s="60">
        <f>IFERROR(__xludf.DUMMYFUNCTION("IFERROR(GOOGLEFINANCE(A854,""PRICE""),)"),113.69)</f>
        <v>113.69</v>
      </c>
      <c r="I854" s="61">
        <f>IFERROR(__xludf.DUMMYFUNCTION("IFERROR(GOOGLEFINANCE(A854,""VOLUME""),)"),24287.0)</f>
        <v>24287</v>
      </c>
      <c r="J854" s="60" t="str">
        <f>IFERROR(__xludf.DUMMYFUNCTION("IFERROR(INDEX(SPLIT(A854,"":""),1,2),)"),"MAHEPC")</f>
        <v>MAHEPC</v>
      </c>
      <c r="K854" s="60">
        <f t="shared" si="4"/>
        <v>248</v>
      </c>
      <c r="L854" s="60" t="str">
        <f t="shared" si="5"/>
        <v/>
      </c>
      <c r="M854" s="60">
        <f t="shared" si="6"/>
        <v>1104</v>
      </c>
      <c r="N854" s="62">
        <f>IFERROR(__xludf.DUMMYFUNCTION("IFERROR(GOOGLEFINANCE(A854,""TRADETIME""),)"),46086.639872685184)</f>
        <v>46086.63987</v>
      </c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68" t="s">
        <v>901</v>
      </c>
      <c r="B855" s="64" t="str">
        <f>IFERROR(__xludf.DUMMYFUNCTION("IFERROR(GOOGLEFINANCE(A855,""NAME""),)"),"Maheshwari Logistics Ltd")</f>
        <v>Maheshwari Logistics Ltd</v>
      </c>
      <c r="C855" s="64">
        <f>IFERROR(__xludf.DUMMYFUNCTION("IFERROR(GOOGLEFINANCE(A855,""CHANGE""),)"),0.87)</f>
        <v>0.87</v>
      </c>
      <c r="D855" s="64">
        <f>IFERROR(__xludf.DUMMYFUNCTION("IFERROR(GOOGLEFINANCE(A855,""CHANGEPCT""),)"),2.19)</f>
        <v>2.19</v>
      </c>
      <c r="E855" s="64" t="str">
        <f t="shared" si="1"/>
        <v>2.19%</v>
      </c>
      <c r="F855" s="64">
        <f t="shared" si="2"/>
        <v>2.19</v>
      </c>
      <c r="G855" s="64" t="str">
        <f t="shared" si="3"/>
        <v/>
      </c>
      <c r="H855" s="64">
        <f>IFERROR(__xludf.DUMMYFUNCTION("IFERROR(GOOGLEFINANCE(A855,""PRICE""),)"),40.56)</f>
        <v>40.56</v>
      </c>
      <c r="I855" s="65">
        <f>IFERROR(__xludf.DUMMYFUNCTION("IFERROR(GOOGLEFINANCE(A855,""VOLUME""),)"),39299.0)</f>
        <v>39299</v>
      </c>
      <c r="J855" s="64" t="str">
        <f>IFERROR(__xludf.DUMMYFUNCTION("IFERROR(INDEX(SPLIT(A855,"":""),1,2),)"),"MAHESHWARI")</f>
        <v>MAHESHWARI</v>
      </c>
      <c r="K855" s="64">
        <f t="shared" si="4"/>
        <v>402</v>
      </c>
      <c r="L855" s="64" t="str">
        <f t="shared" si="5"/>
        <v/>
      </c>
      <c r="M855" s="64">
        <f t="shared" si="6"/>
        <v>997</v>
      </c>
      <c r="N855" s="66">
        <f>IFERROR(__xludf.DUMMYFUNCTION("IFERROR(GOOGLEFINANCE(A855,""TRADETIME""),)"),46086.64583333333)</f>
        <v>46086.64583</v>
      </c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67" t="s">
        <v>902</v>
      </c>
      <c r="B856" s="60" t="str">
        <f>IFERROR(__xludf.DUMMYFUNCTION("IFERROR(GOOGLEFINANCE(A856,""NAME""),)"),"")</f>
        <v/>
      </c>
      <c r="C856" s="60" t="str">
        <f>IFERROR(__xludf.DUMMYFUNCTION("IFERROR(GOOGLEFINANCE(A856,""CHANGE""),)"),"")</f>
        <v/>
      </c>
      <c r="D856" s="60" t="str">
        <f>IFERROR(__xludf.DUMMYFUNCTION("IFERROR(GOOGLEFINANCE(A856,""CHANGEPCT""),)"),"")</f>
        <v/>
      </c>
      <c r="E856" s="60" t="str">
        <f t="shared" si="1"/>
        <v>%</v>
      </c>
      <c r="F856" s="60" t="str">
        <f t="shared" si="2"/>
        <v/>
      </c>
      <c r="G856" s="60" t="str">
        <f t="shared" si="3"/>
        <v/>
      </c>
      <c r="H856" s="60" t="str">
        <f>IFERROR(__xludf.DUMMYFUNCTION("IFERROR(GOOGLEFINANCE(A856,""PRICE""),)"),"")</f>
        <v/>
      </c>
      <c r="I856" s="61" t="str">
        <f>IFERROR(__xludf.DUMMYFUNCTION("IFERROR(GOOGLEFINANCE(A856,""VOLUME""),)"),"")</f>
        <v/>
      </c>
      <c r="J856" s="60" t="str">
        <f>IFERROR(__xludf.DUMMYFUNCTION("IFERROR(INDEX(SPLIT(A856,"":""),1,2),)"),"MAHINDCIE")</f>
        <v>MAHINDCIE</v>
      </c>
      <c r="K856" s="60" t="str">
        <f t="shared" si="4"/>
        <v/>
      </c>
      <c r="L856" s="60" t="str">
        <f t="shared" si="5"/>
        <v/>
      </c>
      <c r="M856" s="60" t="str">
        <f t="shared" si="6"/>
        <v/>
      </c>
      <c r="N856" s="62" t="str">
        <f>IFERROR(__xludf.DUMMYFUNCTION("IFERROR(GOOGLEFINANCE(A856,""TRADETIME""),)"),"")</f>
        <v/>
      </c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68" t="s">
        <v>903</v>
      </c>
      <c r="B857" s="64" t="str">
        <f>IFERROR(__xludf.DUMMYFUNCTION("IFERROR(GOOGLEFINANCE(A857,""NAME""),)"),"Mahindra Lifespace Developers Ltd")</f>
        <v>Mahindra Lifespace Developers Ltd</v>
      </c>
      <c r="C857" s="64">
        <f>IFERROR(__xludf.DUMMYFUNCTION("IFERROR(GOOGLEFINANCE(A857,""CHANGE""),)"),1.1)</f>
        <v>1.1</v>
      </c>
      <c r="D857" s="64">
        <f>IFERROR(__xludf.DUMMYFUNCTION("IFERROR(GOOGLEFINANCE(A857,""CHANGEPCT""),)"),0.9)</f>
        <v>0.9</v>
      </c>
      <c r="E857" s="64" t="str">
        <f t="shared" si="1"/>
        <v>0.9%</v>
      </c>
      <c r="F857" s="64">
        <f t="shared" si="2"/>
        <v>0.9</v>
      </c>
      <c r="G857" s="64" t="str">
        <f t="shared" si="3"/>
        <v/>
      </c>
      <c r="H857" s="64">
        <f>IFERROR(__xludf.DUMMYFUNCTION("IFERROR(GOOGLEFINANCE(A857,""PRICE""),)"),357.0)</f>
        <v>357</v>
      </c>
      <c r="I857" s="65">
        <f>IFERROR(__xludf.DUMMYFUNCTION("IFERROR(GOOGLEFINANCE(A857,""VOLUME""),)"),125851.0)</f>
        <v>125851</v>
      </c>
      <c r="J857" s="64" t="str">
        <f>IFERROR(__xludf.DUMMYFUNCTION("IFERROR(INDEX(SPLIT(A857,"":""),1,2),)"),"MAHLIFE")</f>
        <v>MAHLIFE</v>
      </c>
      <c r="K857" s="64">
        <f t="shared" si="4"/>
        <v>752</v>
      </c>
      <c r="L857" s="64" t="str">
        <f t="shared" si="5"/>
        <v/>
      </c>
      <c r="M857" s="64">
        <f t="shared" si="6"/>
        <v>711</v>
      </c>
      <c r="N857" s="66">
        <f>IFERROR(__xludf.DUMMYFUNCTION("IFERROR(GOOGLEFINANCE(A857,""TRADETIME""),)"),46086.64583333333)</f>
        <v>46086.64583</v>
      </c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67" t="s">
        <v>904</v>
      </c>
      <c r="B858" s="60" t="str">
        <f>IFERROR(__xludf.DUMMYFUNCTION("IFERROR(GOOGLEFINANCE(A858,""NAME""),)"),"Mahindra Logistics Ltd")</f>
        <v>Mahindra Logistics Ltd</v>
      </c>
      <c r="C858" s="60">
        <f>IFERROR(__xludf.DUMMYFUNCTION("IFERROR(GOOGLEFINANCE(A858,""CHANGE""),)"),3.05)</f>
        <v>3.05</v>
      </c>
      <c r="D858" s="60">
        <f>IFERROR(__xludf.DUMMYFUNCTION("IFERROR(GOOGLEFINANCE(A858,""CHANGEPCT""),)"),0.79)</f>
        <v>0.79</v>
      </c>
      <c r="E858" s="60" t="str">
        <f t="shared" si="1"/>
        <v>0.79%</v>
      </c>
      <c r="F858" s="60">
        <f t="shared" si="2"/>
        <v>0.79</v>
      </c>
      <c r="G858" s="60" t="str">
        <f t="shared" si="3"/>
        <v/>
      </c>
      <c r="H858" s="60">
        <f>IFERROR(__xludf.DUMMYFUNCTION("IFERROR(GOOGLEFINANCE(A858,""PRICE""),)"),389.5)</f>
        <v>389.5</v>
      </c>
      <c r="I858" s="61">
        <f>IFERROR(__xludf.DUMMYFUNCTION("IFERROR(GOOGLEFINANCE(A858,""VOLUME""),)"),144076.0)</f>
        <v>144076</v>
      </c>
      <c r="J858" s="60" t="str">
        <f>IFERROR(__xludf.DUMMYFUNCTION("IFERROR(INDEX(SPLIT(A858,"":""),1,2),)"),"MAHLOG")</f>
        <v>MAHLOG</v>
      </c>
      <c r="K858" s="60">
        <f t="shared" si="4"/>
        <v>787</v>
      </c>
      <c r="L858" s="60" t="str">
        <f t="shared" si="5"/>
        <v/>
      </c>
      <c r="M858" s="60">
        <f t="shared" si="6"/>
        <v>681</v>
      </c>
      <c r="N858" s="62">
        <f>IFERROR(__xludf.DUMMYFUNCTION("IFERROR(GOOGLEFINANCE(A858,""TRADETIME""),)"),46086.64583333333)</f>
        <v>46086.64583</v>
      </c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68" t="s">
        <v>905</v>
      </c>
      <c r="B859" s="64" t="str">
        <f>IFERROR(__xludf.DUMMYFUNCTION("IFERROR(GOOGLEFINANCE(A859,""NAME""),)"),"Maharashtra Scooters Ltd")</f>
        <v>Maharashtra Scooters Ltd</v>
      </c>
      <c r="C859" s="64">
        <f>IFERROR(__xludf.DUMMYFUNCTION("IFERROR(GOOGLEFINANCE(A859,""CHANGE""),)"),295.0)</f>
        <v>295</v>
      </c>
      <c r="D859" s="64">
        <f>IFERROR(__xludf.DUMMYFUNCTION("IFERROR(GOOGLEFINANCE(A859,""CHANGEPCT""),)"),2.27)</f>
        <v>2.27</v>
      </c>
      <c r="E859" s="64" t="str">
        <f t="shared" si="1"/>
        <v>2.27%</v>
      </c>
      <c r="F859" s="64">
        <f t="shared" si="2"/>
        <v>2.27</v>
      </c>
      <c r="G859" s="64" t="str">
        <f t="shared" si="3"/>
        <v/>
      </c>
      <c r="H859" s="64">
        <f>IFERROR(__xludf.DUMMYFUNCTION("IFERROR(GOOGLEFINANCE(A859,""PRICE""),)"),13299.0)</f>
        <v>13299</v>
      </c>
      <c r="I859" s="65">
        <f>IFERROR(__xludf.DUMMYFUNCTION("IFERROR(GOOGLEFINANCE(A859,""VOLUME""),)"),6138.0)</f>
        <v>6138</v>
      </c>
      <c r="J859" s="64" t="str">
        <f>IFERROR(__xludf.DUMMYFUNCTION("IFERROR(INDEX(SPLIT(A859,"":""),1,2),)"),"MAHSCOOTER")</f>
        <v>MAHSCOOTER</v>
      </c>
      <c r="K859" s="64">
        <f t="shared" si="4"/>
        <v>382</v>
      </c>
      <c r="L859" s="64" t="str">
        <f t="shared" si="5"/>
        <v/>
      </c>
      <c r="M859" s="64">
        <f t="shared" si="6"/>
        <v>1323</v>
      </c>
      <c r="N859" s="66">
        <f>IFERROR(__xludf.DUMMYFUNCTION("IFERROR(GOOGLEFINANCE(A859,""TRADETIME""),)"),46086.64583333333)</f>
        <v>46086.64583</v>
      </c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67" t="s">
        <v>906</v>
      </c>
      <c r="B860" s="60" t="str">
        <f>IFERROR(__xludf.DUMMYFUNCTION("IFERROR(GOOGLEFINANCE(A860,""NAME""),)"),"Maharashtra Seamless Ltd")</f>
        <v>Maharashtra Seamless Ltd</v>
      </c>
      <c r="C860" s="60">
        <f>IFERROR(__xludf.DUMMYFUNCTION("IFERROR(GOOGLEFINANCE(A860,""CHANGE""),)"),-0.75)</f>
        <v>-0.75</v>
      </c>
      <c r="D860" s="60">
        <f>IFERROR(__xludf.DUMMYFUNCTION("IFERROR(GOOGLEFINANCE(A860,""CHANGEPCT""),)"),0.38)</f>
        <v>0.38</v>
      </c>
      <c r="E860" s="60" t="str">
        <f t="shared" si="1"/>
        <v>0.38%</v>
      </c>
      <c r="F860" s="60">
        <f t="shared" si="2"/>
        <v>0.38</v>
      </c>
      <c r="G860" s="60" t="str">
        <f t="shared" si="3"/>
        <v/>
      </c>
      <c r="H860" s="60">
        <f>IFERROR(__xludf.DUMMYFUNCTION("IFERROR(GOOGLEFINANCE(A860,""PRICE""),)"),550.0)</f>
        <v>550</v>
      </c>
      <c r="I860" s="61">
        <f>IFERROR(__xludf.DUMMYFUNCTION("IFERROR(GOOGLEFINANCE(A860,""VOLUME""),)"),131869.0)</f>
        <v>131869</v>
      </c>
      <c r="J860" s="60" t="str">
        <f>IFERROR(__xludf.DUMMYFUNCTION("IFERROR(INDEX(SPLIT(A860,"":""),1,2),)"),"MAHSEAMLES")</f>
        <v>MAHSEAMLES</v>
      </c>
      <c r="K860" s="60">
        <f t="shared" si="4"/>
        <v>912</v>
      </c>
      <c r="L860" s="60" t="str">
        <f t="shared" si="5"/>
        <v/>
      </c>
      <c r="M860" s="60">
        <f t="shared" si="6"/>
        <v>696</v>
      </c>
      <c r="N860" s="62">
        <f>IFERROR(__xludf.DUMMYFUNCTION("IFERROR(GOOGLEFINANCE(A860,""TRADETIME""),)"),46086.64583333333)</f>
        <v>46086.64583</v>
      </c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68" t="s">
        <v>907</v>
      </c>
      <c r="B861" s="64" t="str">
        <f>IFERROR(__xludf.DUMMYFUNCTION("IFERROR(GOOGLEFINANCE(A861,""NAME""),)"),"Maithan Alloys Ltd")</f>
        <v>Maithan Alloys Ltd</v>
      </c>
      <c r="C861" s="64">
        <f>IFERROR(__xludf.DUMMYFUNCTION("IFERROR(GOOGLEFINANCE(A861,""CHANGE""),)"),13.8)</f>
        <v>13.8</v>
      </c>
      <c r="D861" s="64">
        <f>IFERROR(__xludf.DUMMYFUNCTION("IFERROR(GOOGLEFINANCE(A861,""CHANGEPCT""),)"),1.34)</f>
        <v>1.34</v>
      </c>
      <c r="E861" s="64" t="str">
        <f t="shared" si="1"/>
        <v>1.34%</v>
      </c>
      <c r="F861" s="64">
        <f t="shared" si="2"/>
        <v>1.34</v>
      </c>
      <c r="G861" s="64" t="str">
        <f t="shared" si="3"/>
        <v/>
      </c>
      <c r="H861" s="64">
        <f>IFERROR(__xludf.DUMMYFUNCTION("IFERROR(GOOGLEFINANCE(A861,""PRICE""),)"),965.6)</f>
        <v>965.6</v>
      </c>
      <c r="I861" s="65">
        <f>IFERROR(__xludf.DUMMYFUNCTION("IFERROR(GOOGLEFINANCE(A861,""VOLUME""),)"),26338.0)</f>
        <v>26338</v>
      </c>
      <c r="J861" s="64" t="str">
        <f>IFERROR(__xludf.DUMMYFUNCTION("IFERROR(INDEX(SPLIT(A861,"":""),1,2),)"),"MAITHANALL")</f>
        <v>MAITHANALL</v>
      </c>
      <c r="K861" s="64">
        <f t="shared" si="4"/>
        <v>622</v>
      </c>
      <c r="L861" s="64" t="str">
        <f t="shared" si="5"/>
        <v/>
      </c>
      <c r="M861" s="64">
        <f t="shared" si="6"/>
        <v>1082</v>
      </c>
      <c r="N861" s="66">
        <f>IFERROR(__xludf.DUMMYFUNCTION("IFERROR(GOOGLEFINANCE(A861,""TRADETIME""),)"),46086.64583333333)</f>
        <v>46086.64583</v>
      </c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67" t="s">
        <v>908</v>
      </c>
      <c r="B862" s="60" t="str">
        <f>IFERROR(__xludf.DUMMYFUNCTION("IFERROR(GOOGLEFINANCE(A862,""NAME""),)"),"Aurum Proptech Ltd")</f>
        <v>Aurum Proptech Ltd</v>
      </c>
      <c r="C862" s="60">
        <f>IFERROR(__xludf.DUMMYFUNCTION("IFERROR(GOOGLEFINANCE(A862,""CHANGE""),)"),9.36)</f>
        <v>9.36</v>
      </c>
      <c r="D862" s="60">
        <f>IFERROR(__xludf.DUMMYFUNCTION("IFERROR(GOOGLEFINANCE(A862,""CHANGEPCT""),)"),5.65)</f>
        <v>5.65</v>
      </c>
      <c r="E862" s="60" t="str">
        <f t="shared" si="1"/>
        <v>5.65%</v>
      </c>
      <c r="F862" s="60">
        <f t="shared" si="2"/>
        <v>5.65</v>
      </c>
      <c r="G862" s="60" t="str">
        <f t="shared" si="3"/>
        <v/>
      </c>
      <c r="H862" s="60">
        <f>IFERROR(__xludf.DUMMYFUNCTION("IFERROR(GOOGLEFINANCE(A862,""PRICE""),)"),175.0)</f>
        <v>175</v>
      </c>
      <c r="I862" s="61">
        <f>IFERROR(__xludf.DUMMYFUNCTION("IFERROR(GOOGLEFINANCE(A862,""VOLUME""),)"),85130.0)</f>
        <v>85130</v>
      </c>
      <c r="J862" s="60" t="str">
        <f>IFERROR(__xludf.DUMMYFUNCTION("IFERROR(INDEX(SPLIT(A862,"":""),1,2),)"),"AURUM")</f>
        <v>AURUM</v>
      </c>
      <c r="K862" s="60">
        <f t="shared" si="4"/>
        <v>50</v>
      </c>
      <c r="L862" s="60" t="str">
        <f t="shared" si="5"/>
        <v/>
      </c>
      <c r="M862" s="60">
        <f t="shared" si="6"/>
        <v>801</v>
      </c>
      <c r="N862" s="62">
        <f>IFERROR(__xludf.DUMMYFUNCTION("IFERROR(GOOGLEFINANCE(A862,""TRADETIME""),)"),46086.642372685186)</f>
        <v>46086.64237</v>
      </c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68" t="s">
        <v>909</v>
      </c>
      <c r="B863" s="64" t="str">
        <f>IFERROR(__xludf.DUMMYFUNCTION("IFERROR(GOOGLEFINANCE(A863,""NAME""),)"),"Malu Paper Mills Ltd")</f>
        <v>Malu Paper Mills Ltd</v>
      </c>
      <c r="C863" s="64">
        <f>IFERROR(__xludf.DUMMYFUNCTION("IFERROR(GOOGLEFINANCE(A863,""CHANGE""),)"),0.26)</f>
        <v>0.26</v>
      </c>
      <c r="D863" s="64">
        <f>IFERROR(__xludf.DUMMYFUNCTION("IFERROR(GOOGLEFINANCE(A863,""CHANGEPCT""),)"),0.84)</f>
        <v>0.84</v>
      </c>
      <c r="E863" s="64" t="str">
        <f t="shared" si="1"/>
        <v>0.84%</v>
      </c>
      <c r="F863" s="64">
        <f t="shared" si="2"/>
        <v>0.84</v>
      </c>
      <c r="G863" s="64" t="str">
        <f t="shared" si="3"/>
        <v/>
      </c>
      <c r="H863" s="64">
        <f>IFERROR(__xludf.DUMMYFUNCTION("IFERROR(GOOGLEFINANCE(A863,""PRICE""),)"),31.25)</f>
        <v>31.25</v>
      </c>
      <c r="I863" s="65">
        <f>IFERROR(__xludf.DUMMYFUNCTION("IFERROR(GOOGLEFINANCE(A863,""VOLUME""),)"),9921.0)</f>
        <v>9921</v>
      </c>
      <c r="J863" s="64" t="str">
        <f>IFERROR(__xludf.DUMMYFUNCTION("IFERROR(INDEX(SPLIT(A863,"":""),1,2),)"),"MALUPAPER")</f>
        <v>MALUPAPER</v>
      </c>
      <c r="K863" s="64">
        <f t="shared" si="4"/>
        <v>768</v>
      </c>
      <c r="L863" s="64" t="str">
        <f t="shared" si="5"/>
        <v/>
      </c>
      <c r="M863" s="64">
        <f t="shared" si="6"/>
        <v>1262</v>
      </c>
      <c r="N863" s="66">
        <f>IFERROR(__xludf.DUMMYFUNCTION("IFERROR(GOOGLEFINANCE(A863,""TRADETIME""),)"),46086.64583333333)</f>
        <v>46086.64583</v>
      </c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67" t="s">
        <v>910</v>
      </c>
      <c r="B864" s="60" t="str">
        <f>IFERROR(__xludf.DUMMYFUNCTION("IFERROR(GOOGLEFINANCE(A864,""NAME""),)"),"Manaksia Aluminium Co Ltd")</f>
        <v>Manaksia Aluminium Co Ltd</v>
      </c>
      <c r="C864" s="60">
        <f>IFERROR(__xludf.DUMMYFUNCTION("IFERROR(GOOGLEFINANCE(A864,""CHANGE""),)"),1.32)</f>
        <v>1.32</v>
      </c>
      <c r="D864" s="60">
        <f>IFERROR(__xludf.DUMMYFUNCTION("IFERROR(GOOGLEFINANCE(A864,""CHANGEPCT""),)"),4.98)</f>
        <v>4.98</v>
      </c>
      <c r="E864" s="60" t="str">
        <f t="shared" si="1"/>
        <v>4.98%</v>
      </c>
      <c r="F864" s="60">
        <f t="shared" si="2"/>
        <v>4.98</v>
      </c>
      <c r="G864" s="60" t="str">
        <f t="shared" si="3"/>
        <v/>
      </c>
      <c r="H864" s="60">
        <f>IFERROR(__xludf.DUMMYFUNCTION("IFERROR(GOOGLEFINANCE(A864,""PRICE""),)"),27.84)</f>
        <v>27.84</v>
      </c>
      <c r="I864" s="61">
        <f>IFERROR(__xludf.DUMMYFUNCTION("IFERROR(GOOGLEFINANCE(A864,""VOLUME""),)"),279426.0)</f>
        <v>279426</v>
      </c>
      <c r="J864" s="60" t="str">
        <f>IFERROR(__xludf.DUMMYFUNCTION("IFERROR(INDEX(SPLIT(A864,"":""),1,2),)"),"MANAKALUCO")</f>
        <v>MANAKALUCO</v>
      </c>
      <c r="K864" s="60">
        <f t="shared" si="4"/>
        <v>79</v>
      </c>
      <c r="L864" s="60" t="str">
        <f t="shared" si="5"/>
        <v/>
      </c>
      <c r="M864" s="60">
        <f t="shared" si="6"/>
        <v>529</v>
      </c>
      <c r="N864" s="62">
        <f>IFERROR(__xludf.DUMMYFUNCTION("IFERROR(GOOGLEFINANCE(A864,""TRADETIME""),)"),46086.644641203704)</f>
        <v>46086.64464</v>
      </c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68" t="s">
        <v>911</v>
      </c>
      <c r="B865" s="64" t="str">
        <f>IFERROR(__xludf.DUMMYFUNCTION("IFERROR(GOOGLEFINANCE(A865,""NAME""),)"),"Manaksia Coated Metals &amp; Industries Ltd")</f>
        <v>Manaksia Coated Metals &amp; Industries Ltd</v>
      </c>
      <c r="C865" s="64">
        <f>IFERROR(__xludf.DUMMYFUNCTION("IFERROR(GOOGLEFINANCE(A865,""CHANGE""),)"),1.44)</f>
        <v>1.44</v>
      </c>
      <c r="D865" s="64">
        <f>IFERROR(__xludf.DUMMYFUNCTION("IFERROR(GOOGLEFINANCE(A865,""CHANGEPCT""),)"),1.16)</f>
        <v>1.16</v>
      </c>
      <c r="E865" s="64" t="str">
        <f t="shared" si="1"/>
        <v>1.16%</v>
      </c>
      <c r="F865" s="64">
        <f t="shared" si="2"/>
        <v>1.16</v>
      </c>
      <c r="G865" s="64" t="str">
        <f t="shared" si="3"/>
        <v/>
      </c>
      <c r="H865" s="64">
        <f>IFERROR(__xludf.DUMMYFUNCTION("IFERROR(GOOGLEFINANCE(A865,""PRICE""),)"),126.01)</f>
        <v>126.01</v>
      </c>
      <c r="I865" s="65">
        <f>IFERROR(__xludf.DUMMYFUNCTION("IFERROR(GOOGLEFINANCE(A865,""VOLUME""),)"),3709034.0)</f>
        <v>3709034</v>
      </c>
      <c r="J865" s="64" t="str">
        <f>IFERROR(__xludf.DUMMYFUNCTION("IFERROR(INDEX(SPLIT(A865,"":""),1,2),)"),"MANAKCOAT")</f>
        <v>MANAKCOAT</v>
      </c>
      <c r="K865" s="64">
        <f t="shared" si="4"/>
        <v>674</v>
      </c>
      <c r="L865" s="64" t="str">
        <f t="shared" si="5"/>
        <v/>
      </c>
      <c r="M865" s="64">
        <f t="shared" si="6"/>
        <v>132</v>
      </c>
      <c r="N865" s="66">
        <f>IFERROR(__xludf.DUMMYFUNCTION("IFERROR(GOOGLEFINANCE(A865,""TRADETIME""),)"),46086.64131944445)</f>
        <v>46086.64132</v>
      </c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67" t="s">
        <v>912</v>
      </c>
      <c r="B866" s="60" t="str">
        <f>IFERROR(__xludf.DUMMYFUNCTION("IFERROR(GOOGLEFINANCE(A866,""NAME""),)"),"Manaksia Ltd")</f>
        <v>Manaksia Ltd</v>
      </c>
      <c r="C866" s="60">
        <f>IFERROR(__xludf.DUMMYFUNCTION("IFERROR(GOOGLEFINANCE(A866,""CHANGE""),)"),1.85)</f>
        <v>1.85</v>
      </c>
      <c r="D866" s="60">
        <f>IFERROR(__xludf.DUMMYFUNCTION("IFERROR(GOOGLEFINANCE(A866,""CHANGEPCT""),)"),2.79)</f>
        <v>2.79</v>
      </c>
      <c r="E866" s="60" t="str">
        <f t="shared" si="1"/>
        <v>2.79%</v>
      </c>
      <c r="F866" s="60">
        <f t="shared" si="2"/>
        <v>2.79</v>
      </c>
      <c r="G866" s="60" t="str">
        <f t="shared" si="3"/>
        <v/>
      </c>
      <c r="H866" s="60">
        <f>IFERROR(__xludf.DUMMYFUNCTION("IFERROR(GOOGLEFINANCE(A866,""PRICE""),)"),57.5)</f>
        <v>57.5</v>
      </c>
      <c r="I866" s="61">
        <f>IFERROR(__xludf.DUMMYFUNCTION("IFERROR(GOOGLEFINANCE(A866,""VOLUME""),)"),38579.0)</f>
        <v>38579</v>
      </c>
      <c r="J866" s="60" t="str">
        <f>IFERROR(__xludf.DUMMYFUNCTION("IFERROR(INDEX(SPLIT(A866,"":""),1,2),)"),"MANAKSIA")</f>
        <v>MANAKSIA</v>
      </c>
      <c r="K866" s="60">
        <f t="shared" si="4"/>
        <v>290</v>
      </c>
      <c r="L866" s="60" t="str">
        <f t="shared" si="5"/>
        <v/>
      </c>
      <c r="M866" s="60">
        <f t="shared" si="6"/>
        <v>1000</v>
      </c>
      <c r="N866" s="62">
        <f>IFERROR(__xludf.DUMMYFUNCTION("IFERROR(GOOGLEFINANCE(A866,""TRADETIME""),)"),46086.64583333333)</f>
        <v>46086.64583</v>
      </c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68" t="s">
        <v>913</v>
      </c>
      <c r="B867" s="64" t="str">
        <f>IFERROR(__xludf.DUMMYFUNCTION("IFERROR(GOOGLEFINANCE(A867,""NAME""),)"),"Manaksia Steels Ltd")</f>
        <v>Manaksia Steels Ltd</v>
      </c>
      <c r="C867" s="64">
        <f>IFERROR(__xludf.DUMMYFUNCTION("IFERROR(GOOGLEFINANCE(A867,""CHANGE""),)"),0.55)</f>
        <v>0.55</v>
      </c>
      <c r="D867" s="64">
        <f>IFERROR(__xludf.DUMMYFUNCTION("IFERROR(GOOGLEFINANCE(A867,""CHANGEPCT""),)"),-1.9)</f>
        <v>-1.9</v>
      </c>
      <c r="E867" s="64" t="str">
        <f t="shared" si="1"/>
        <v>-1.9%</v>
      </c>
      <c r="F867" s="64" t="str">
        <f t="shared" si="2"/>
        <v/>
      </c>
      <c r="G867" s="64">
        <f t="shared" si="3"/>
        <v>-1.9</v>
      </c>
      <c r="H867" s="64">
        <f>IFERROR(__xludf.DUMMYFUNCTION("IFERROR(GOOGLEFINANCE(A867,""PRICE""),)"),55.77)</f>
        <v>55.77</v>
      </c>
      <c r="I867" s="65">
        <f>IFERROR(__xludf.DUMMYFUNCTION("IFERROR(GOOGLEFINANCE(A867,""VOLUME""),)"),11356.0)</f>
        <v>11356</v>
      </c>
      <c r="J867" s="64" t="str">
        <f>IFERROR(__xludf.DUMMYFUNCTION("IFERROR(INDEX(SPLIT(A867,"":""),1,2),)"),"MANAKSTEEL")</f>
        <v>MANAKSTEEL</v>
      </c>
      <c r="K867" s="64" t="str">
        <f t="shared" si="4"/>
        <v/>
      </c>
      <c r="L867" s="64">
        <f t="shared" si="5"/>
        <v>336</v>
      </c>
      <c r="M867" s="64">
        <f t="shared" si="6"/>
        <v>1241</v>
      </c>
      <c r="N867" s="66">
        <f>IFERROR(__xludf.DUMMYFUNCTION("IFERROR(GOOGLEFINANCE(A867,""TRADETIME""),)"),46086.64583333333)</f>
        <v>46086.64583</v>
      </c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67" t="s">
        <v>914</v>
      </c>
      <c r="B868" s="60" t="str">
        <f>IFERROR(__xludf.DUMMYFUNCTION("IFERROR(GOOGLEFINANCE(A868,""NAME""),)"),"Manali Petrochemicals Ltd")</f>
        <v>Manali Petrochemicals Ltd</v>
      </c>
      <c r="C868" s="60">
        <f>IFERROR(__xludf.DUMMYFUNCTION("IFERROR(GOOGLEFINANCE(A868,""CHANGE""),)"),0.4)</f>
        <v>0.4</v>
      </c>
      <c r="D868" s="60">
        <f>IFERROR(__xludf.DUMMYFUNCTION("IFERROR(GOOGLEFINANCE(A868,""CHANGEPCT""),)"),0.77)</f>
        <v>0.77</v>
      </c>
      <c r="E868" s="60" t="str">
        <f t="shared" si="1"/>
        <v>0.77%</v>
      </c>
      <c r="F868" s="60">
        <f t="shared" si="2"/>
        <v>0.77</v>
      </c>
      <c r="G868" s="60" t="str">
        <f t="shared" si="3"/>
        <v/>
      </c>
      <c r="H868" s="60">
        <f>IFERROR(__xludf.DUMMYFUNCTION("IFERROR(GOOGLEFINANCE(A868,""PRICE""),)"),52.21)</f>
        <v>52.21</v>
      </c>
      <c r="I868" s="61">
        <f>IFERROR(__xludf.DUMMYFUNCTION("IFERROR(GOOGLEFINANCE(A868,""VOLUME""),)"),172447.0)</f>
        <v>172447</v>
      </c>
      <c r="J868" s="60" t="str">
        <f>IFERROR(__xludf.DUMMYFUNCTION("IFERROR(INDEX(SPLIT(A868,"":""),1,2),)"),"MANALIPETC")</f>
        <v>MANALIPETC</v>
      </c>
      <c r="K868" s="60">
        <f t="shared" si="4"/>
        <v>798</v>
      </c>
      <c r="L868" s="60" t="str">
        <f t="shared" si="5"/>
        <v/>
      </c>
      <c r="M868" s="60">
        <f t="shared" si="6"/>
        <v>638</v>
      </c>
      <c r="N868" s="62">
        <f>IFERROR(__xludf.DUMMYFUNCTION("IFERROR(GOOGLEFINANCE(A868,""TRADETIME""),)"),46086.64583333333)</f>
        <v>46086.64583</v>
      </c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68" t="s">
        <v>915</v>
      </c>
      <c r="B869" s="64" t="str">
        <f>IFERROR(__xludf.DUMMYFUNCTION("IFERROR(GOOGLEFINANCE(A869,""NAME""),)"),"Manappuram Finance Ltd")</f>
        <v>Manappuram Finance Ltd</v>
      </c>
      <c r="C869" s="64">
        <f>IFERROR(__xludf.DUMMYFUNCTION("IFERROR(GOOGLEFINANCE(A869,""CHANGE""),)"),-1.75)</f>
        <v>-1.75</v>
      </c>
      <c r="D869" s="64">
        <f>IFERROR(__xludf.DUMMYFUNCTION("IFERROR(GOOGLEFINANCE(A869,""CHANGEPCT""),)"),-0.65)</f>
        <v>-0.65</v>
      </c>
      <c r="E869" s="64" t="str">
        <f t="shared" si="1"/>
        <v>-0.65%</v>
      </c>
      <c r="F869" s="64" t="str">
        <f t="shared" si="2"/>
        <v/>
      </c>
      <c r="G869" s="64">
        <f t="shared" si="3"/>
        <v>-0.65</v>
      </c>
      <c r="H869" s="64">
        <f>IFERROR(__xludf.DUMMYFUNCTION("IFERROR(GOOGLEFINANCE(A869,""PRICE""),)"),267.15)</f>
        <v>267.15</v>
      </c>
      <c r="I869" s="65">
        <f>IFERROR(__xludf.DUMMYFUNCTION("IFERROR(GOOGLEFINANCE(A869,""VOLUME""),)"),3505127.0)</f>
        <v>3505127</v>
      </c>
      <c r="J869" s="64" t="str">
        <f>IFERROR(__xludf.DUMMYFUNCTION("IFERROR(INDEX(SPLIT(A869,"":""),1,2),)"),"MANAPPURAM")</f>
        <v>MANAPPURAM</v>
      </c>
      <c r="K869" s="64" t="str">
        <f t="shared" si="4"/>
        <v/>
      </c>
      <c r="L869" s="64">
        <f t="shared" si="5"/>
        <v>158</v>
      </c>
      <c r="M869" s="64">
        <f t="shared" si="6"/>
        <v>136</v>
      </c>
      <c r="N869" s="66">
        <f>IFERROR(__xludf.DUMMYFUNCTION("IFERROR(GOOGLEFINANCE(A869,""TRADETIME""),)"),46086.64584490741)</f>
        <v>46086.64584</v>
      </c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67" t="s">
        <v>916</v>
      </c>
      <c r="B870" s="60" t="str">
        <f>IFERROR(__xludf.DUMMYFUNCTION("IFERROR(GOOGLEFINANCE(A870,""NAME""),)"),"Mangalam Drugs and Organics Ltd")</f>
        <v>Mangalam Drugs and Organics Ltd</v>
      </c>
      <c r="C870" s="60">
        <f>IFERROR(__xludf.DUMMYFUNCTION("IFERROR(GOOGLEFINANCE(A870,""CHANGE""),)"),1.46)</f>
        <v>1.46</v>
      </c>
      <c r="D870" s="60">
        <f>IFERROR(__xludf.DUMMYFUNCTION("IFERROR(GOOGLEFINANCE(A870,""CHANGEPCT""),)"),4.99)</f>
        <v>4.99</v>
      </c>
      <c r="E870" s="60" t="str">
        <f t="shared" si="1"/>
        <v>4.99%</v>
      </c>
      <c r="F870" s="60">
        <f t="shared" si="2"/>
        <v>4.99</v>
      </c>
      <c r="G870" s="60" t="str">
        <f t="shared" si="3"/>
        <v/>
      </c>
      <c r="H870" s="60">
        <f>IFERROR(__xludf.DUMMYFUNCTION("IFERROR(GOOGLEFINANCE(A870,""PRICE""),)"),30.73)</f>
        <v>30.73</v>
      </c>
      <c r="I870" s="61">
        <f>IFERROR(__xludf.DUMMYFUNCTION("IFERROR(GOOGLEFINANCE(A870,""VOLUME""),)"),9143.0)</f>
        <v>9143</v>
      </c>
      <c r="J870" s="60" t="str">
        <f>IFERROR(__xludf.DUMMYFUNCTION("IFERROR(INDEX(SPLIT(A870,"":""),1,2),)"),"MANGALAM")</f>
        <v>MANGALAM</v>
      </c>
      <c r="K870" s="60">
        <f t="shared" si="4"/>
        <v>76</v>
      </c>
      <c r="L870" s="60" t="str">
        <f t="shared" si="5"/>
        <v/>
      </c>
      <c r="M870" s="60">
        <f t="shared" si="6"/>
        <v>1274</v>
      </c>
      <c r="N870" s="62">
        <f>IFERROR(__xludf.DUMMYFUNCTION("IFERROR(GOOGLEFINANCE(A870,""TRADETIME""),)"),46086.64076388889)</f>
        <v>46086.64076</v>
      </c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68" t="s">
        <v>917</v>
      </c>
      <c r="B871" s="64" t="str">
        <f>IFERROR(__xludf.DUMMYFUNCTION("IFERROR(GOOGLEFINANCE(A871,""NAME""),)"),"")</f>
        <v/>
      </c>
      <c r="C871" s="64" t="str">
        <f>IFERROR(__xludf.DUMMYFUNCTION("IFERROR(GOOGLEFINANCE(A871,""CHANGE""),)"),"")</f>
        <v/>
      </c>
      <c r="D871" s="64" t="str">
        <f>IFERROR(__xludf.DUMMYFUNCTION("IFERROR(GOOGLEFINANCE(A871,""CHANGEPCT""),)"),"")</f>
        <v/>
      </c>
      <c r="E871" s="64" t="str">
        <f t="shared" si="1"/>
        <v>%</v>
      </c>
      <c r="F871" s="64" t="str">
        <f t="shared" si="2"/>
        <v/>
      </c>
      <c r="G871" s="64" t="str">
        <f t="shared" si="3"/>
        <v/>
      </c>
      <c r="H871" s="64" t="str">
        <f>IFERROR(__xludf.DUMMYFUNCTION("IFERROR(GOOGLEFINANCE(A871,""PRICE""),)"),"")</f>
        <v/>
      </c>
      <c r="I871" s="65" t="str">
        <f>IFERROR(__xludf.DUMMYFUNCTION("IFERROR(GOOGLEFINANCE(A871,""VOLUME""),)"),"")</f>
        <v/>
      </c>
      <c r="J871" s="64" t="str">
        <f>IFERROR(__xludf.DUMMYFUNCTION("IFERROR(INDEX(SPLIT(A871,"":""),1,2),)"),"MANGCHEFER")</f>
        <v>MANGCHEFER</v>
      </c>
      <c r="K871" s="64" t="str">
        <f t="shared" si="4"/>
        <v/>
      </c>
      <c r="L871" s="64" t="str">
        <f t="shared" si="5"/>
        <v/>
      </c>
      <c r="M871" s="64" t="str">
        <f t="shared" si="6"/>
        <v/>
      </c>
      <c r="N871" s="66" t="str">
        <f>IFERROR(__xludf.DUMMYFUNCTION("IFERROR(GOOGLEFINANCE(A871,""TRADETIME""),)"),"")</f>
        <v/>
      </c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67" t="s">
        <v>918</v>
      </c>
      <c r="B872" s="60" t="str">
        <f>IFERROR(__xludf.DUMMYFUNCTION("IFERROR(GOOGLEFINANCE(A872,""NAME""),)"),"Mangalam Cement Ltd")</f>
        <v>Mangalam Cement Ltd</v>
      </c>
      <c r="C872" s="60">
        <f>IFERROR(__xludf.DUMMYFUNCTION("IFERROR(GOOGLEFINANCE(A872,""CHANGE""),)"),0.15)</f>
        <v>0.15</v>
      </c>
      <c r="D872" s="60">
        <f>IFERROR(__xludf.DUMMYFUNCTION("IFERROR(GOOGLEFINANCE(A872,""CHANGEPCT""),)"),0.02)</f>
        <v>0.02</v>
      </c>
      <c r="E872" s="60" t="str">
        <f t="shared" si="1"/>
        <v>0.02%</v>
      </c>
      <c r="F872" s="60">
        <f t="shared" si="2"/>
        <v>0.02</v>
      </c>
      <c r="G872" s="60" t="str">
        <f t="shared" si="3"/>
        <v/>
      </c>
      <c r="H872" s="60">
        <f>IFERROR(__xludf.DUMMYFUNCTION("IFERROR(GOOGLEFINANCE(A872,""PRICE""),)"),850.0)</f>
        <v>850</v>
      </c>
      <c r="I872" s="61">
        <f>IFERROR(__xludf.DUMMYFUNCTION("IFERROR(GOOGLEFINANCE(A872,""VOLUME""),)"),53567.0)</f>
        <v>53567</v>
      </c>
      <c r="J872" s="60" t="str">
        <f>IFERROR(__xludf.DUMMYFUNCTION("IFERROR(INDEX(SPLIT(A872,"":""),1,2),)"),"MANGLMCEM")</f>
        <v>MANGLMCEM</v>
      </c>
      <c r="K872" s="60">
        <f t="shared" si="4"/>
        <v>998</v>
      </c>
      <c r="L872" s="60" t="str">
        <f t="shared" si="5"/>
        <v/>
      </c>
      <c r="M872" s="60">
        <f t="shared" si="6"/>
        <v>911</v>
      </c>
      <c r="N872" s="62">
        <f>IFERROR(__xludf.DUMMYFUNCTION("IFERROR(GOOGLEFINANCE(A872,""TRADETIME""),)"),46086.64583333333)</f>
        <v>46086.64583</v>
      </c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63" t="s">
        <v>919</v>
      </c>
      <c r="B873" s="64" t="str">
        <f>IFERROR(__xludf.DUMMYFUNCTION("IFERROR(GOOGLEFINANCE(A873,""NAME""),)"),"Mindteck (India) Ltd")</f>
        <v>Mindteck (India) Ltd</v>
      </c>
      <c r="C873" s="64">
        <f>IFERROR(__xludf.DUMMYFUNCTION("IFERROR(GOOGLEFINANCE(A873,""CHANGE""),)"),2.0)</f>
        <v>2</v>
      </c>
      <c r="D873" s="64">
        <f>IFERROR(__xludf.DUMMYFUNCTION("IFERROR(GOOGLEFINANCE(A873,""CHANGEPCT""),)"),1.81)</f>
        <v>1.81</v>
      </c>
      <c r="E873" s="64" t="str">
        <f t="shared" si="1"/>
        <v>1.81%</v>
      </c>
      <c r="F873" s="64">
        <f t="shared" si="2"/>
        <v>1.81</v>
      </c>
      <c r="G873" s="64" t="str">
        <f t="shared" si="3"/>
        <v/>
      </c>
      <c r="H873" s="64">
        <f>IFERROR(__xludf.DUMMYFUNCTION("IFERROR(GOOGLEFINANCE(A873,""PRICE""),)"),196.5)</f>
        <v>196.5</v>
      </c>
      <c r="I873" s="65">
        <f>IFERROR(__xludf.DUMMYFUNCTION("IFERROR(GOOGLEFINANCE(A873,""VOLUME""),)"),35837.0)</f>
        <v>35837</v>
      </c>
      <c r="J873" s="64" t="str">
        <f>IFERROR(__xludf.DUMMYFUNCTION("IFERROR(INDEX(SPLIT(A873,"":""),1,2),)"),"MINDTECK")</f>
        <v>MINDTECK</v>
      </c>
      <c r="K873" s="64">
        <f t="shared" si="4"/>
        <v>496</v>
      </c>
      <c r="L873" s="64" t="str">
        <f t="shared" si="5"/>
        <v/>
      </c>
      <c r="M873" s="64">
        <f t="shared" si="6"/>
        <v>1011</v>
      </c>
      <c r="N873" s="66">
        <f>IFERROR(__xludf.DUMMYFUNCTION("IFERROR(GOOGLEFINANCE(A873,""TRADETIME""),)"),46086.64583333333)</f>
        <v>46086.64583</v>
      </c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67" t="s">
        <v>920</v>
      </c>
      <c r="B874" s="60" t="str">
        <f>IFERROR(__xludf.DUMMYFUNCTION("IFERROR(GOOGLEFINANCE(A874,""NAME""),)"),"Man Infraconstruction Ltd")</f>
        <v>Man Infraconstruction Ltd</v>
      </c>
      <c r="C874" s="60">
        <f>IFERROR(__xludf.DUMMYFUNCTION("IFERROR(GOOGLEFINANCE(A874,""CHANGE""),)"),0.34)</f>
        <v>0.34</v>
      </c>
      <c r="D874" s="60">
        <f>IFERROR(__xludf.DUMMYFUNCTION("IFERROR(GOOGLEFINANCE(A874,""CHANGEPCT""),)"),0.73)</f>
        <v>0.73</v>
      </c>
      <c r="E874" s="60" t="str">
        <f t="shared" si="1"/>
        <v>0.73%</v>
      </c>
      <c r="F874" s="60">
        <f t="shared" si="2"/>
        <v>0.73</v>
      </c>
      <c r="G874" s="60" t="str">
        <f t="shared" si="3"/>
        <v/>
      </c>
      <c r="H874" s="60">
        <f>IFERROR(__xludf.DUMMYFUNCTION("IFERROR(GOOGLEFINANCE(A874,""PRICE""),)"),100.99)</f>
        <v>100.99</v>
      </c>
      <c r="I874" s="61">
        <f>IFERROR(__xludf.DUMMYFUNCTION("IFERROR(GOOGLEFINANCE(A874,""VOLUME""),)"),367304.0)</f>
        <v>367304</v>
      </c>
      <c r="J874" s="60" t="str">
        <f>IFERROR(__xludf.DUMMYFUNCTION("IFERROR(INDEX(SPLIT(A874,"":""),1,2),)"),"MANINFRA")</f>
        <v>MANINFRA</v>
      </c>
      <c r="K874" s="60">
        <f t="shared" si="4"/>
        <v>815</v>
      </c>
      <c r="L874" s="60" t="str">
        <f t="shared" si="5"/>
        <v/>
      </c>
      <c r="M874" s="60">
        <f t="shared" si="6"/>
        <v>466</v>
      </c>
      <c r="N874" s="62">
        <f>IFERROR(__xludf.DUMMYFUNCTION("IFERROR(GOOGLEFINANCE(A874,""TRADETIME""),)"),46086.64583333333)</f>
        <v>46086.64583</v>
      </c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68" t="s">
        <v>921</v>
      </c>
      <c r="B875" s="64" t="str">
        <f>IFERROR(__xludf.DUMMYFUNCTION("IFERROR(GOOGLEFINANCE(A875,""NAME""),)"),"Manugraph India Ltd")</f>
        <v>Manugraph India Ltd</v>
      </c>
      <c r="C875" s="64">
        <f>IFERROR(__xludf.DUMMYFUNCTION("IFERROR(GOOGLEFINANCE(A875,""CHANGE""),)"),0.36)</f>
        <v>0.36</v>
      </c>
      <c r="D875" s="64">
        <f>IFERROR(__xludf.DUMMYFUNCTION("IFERROR(GOOGLEFINANCE(A875,""CHANGEPCT""),)"),2.56)</f>
        <v>2.56</v>
      </c>
      <c r="E875" s="64" t="str">
        <f t="shared" si="1"/>
        <v>2.56%</v>
      </c>
      <c r="F875" s="64">
        <f t="shared" si="2"/>
        <v>2.56</v>
      </c>
      <c r="G875" s="64" t="str">
        <f t="shared" si="3"/>
        <v/>
      </c>
      <c r="H875" s="64">
        <f>IFERROR(__xludf.DUMMYFUNCTION("IFERROR(GOOGLEFINANCE(A875,""PRICE""),)"),14.44)</f>
        <v>14.44</v>
      </c>
      <c r="I875" s="65">
        <f>IFERROR(__xludf.DUMMYFUNCTION("IFERROR(GOOGLEFINANCE(A875,""VOLUME""),)"),9940.0)</f>
        <v>9940</v>
      </c>
      <c r="J875" s="64" t="str">
        <f>IFERROR(__xludf.DUMMYFUNCTION("IFERROR(INDEX(SPLIT(A875,"":""),1,2),)"),"MANUGRAPH")</f>
        <v>MANUGRAPH</v>
      </c>
      <c r="K875" s="64">
        <f t="shared" si="4"/>
        <v>331</v>
      </c>
      <c r="L875" s="64" t="str">
        <f t="shared" si="5"/>
        <v/>
      </c>
      <c r="M875" s="64">
        <f t="shared" si="6"/>
        <v>1261</v>
      </c>
      <c r="N875" s="66">
        <f>IFERROR(__xludf.DUMMYFUNCTION("IFERROR(GOOGLEFINANCE(A875,""TRADETIME""),)"),46086.624074074076)</f>
        <v>46086.62407</v>
      </c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67" t="s">
        <v>922</v>
      </c>
      <c r="B876" s="60" t="str">
        <f>IFERROR(__xludf.DUMMYFUNCTION("IFERROR(GOOGLEFINANCE(A876,""NAME""),)"),"Maral Overseas Ltd")</f>
        <v>Maral Overseas Ltd</v>
      </c>
      <c r="C876" s="60">
        <f>IFERROR(__xludf.DUMMYFUNCTION("IFERROR(GOOGLEFINANCE(A876,""CHANGE""),)"),3.34)</f>
        <v>3.34</v>
      </c>
      <c r="D876" s="60">
        <f>IFERROR(__xludf.DUMMYFUNCTION("IFERROR(GOOGLEFINANCE(A876,""CHANGEPCT""),)"),4.62)</f>
        <v>4.62</v>
      </c>
      <c r="E876" s="60" t="str">
        <f t="shared" si="1"/>
        <v>4.62%</v>
      </c>
      <c r="F876" s="60">
        <f t="shared" si="2"/>
        <v>4.62</v>
      </c>
      <c r="G876" s="60" t="str">
        <f t="shared" si="3"/>
        <v/>
      </c>
      <c r="H876" s="60">
        <f>IFERROR(__xludf.DUMMYFUNCTION("IFERROR(GOOGLEFINANCE(A876,""PRICE""),)"),44.01)</f>
        <v>44.01</v>
      </c>
      <c r="I876" s="61">
        <f>IFERROR(__xludf.DUMMYFUNCTION("IFERROR(GOOGLEFINANCE(A876,""VOLUME""),)"),12924.0)</f>
        <v>12924</v>
      </c>
      <c r="J876" s="60" t="str">
        <f>IFERROR(__xludf.DUMMYFUNCTION("IFERROR(INDEX(SPLIT(A876,"":""),1,2),)"),"MARALOVER")</f>
        <v>MARALOVER</v>
      </c>
      <c r="K876" s="60">
        <f t="shared" si="4"/>
        <v>106</v>
      </c>
      <c r="L876" s="60" t="str">
        <f t="shared" si="5"/>
        <v/>
      </c>
      <c r="M876" s="60">
        <f t="shared" si="6"/>
        <v>1215</v>
      </c>
      <c r="N876" s="62">
        <f>IFERROR(__xludf.DUMMYFUNCTION("IFERROR(GOOGLEFINANCE(A876,""TRADETIME""),)"),46086.64583333333)</f>
        <v>46086.64583</v>
      </c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68" t="s">
        <v>923</v>
      </c>
      <c r="B877" s="64" t="str">
        <f>IFERROR(__xludf.DUMMYFUNCTION("IFERROR(GOOGLEFINANCE(A877,""NAME""),)"),"Marathon Nextgen Realty Ltd")</f>
        <v>Marathon Nextgen Realty Ltd</v>
      </c>
      <c r="C877" s="64">
        <f>IFERROR(__xludf.DUMMYFUNCTION("IFERROR(GOOGLEFINANCE(A877,""CHANGE""),)"),15.25)</f>
        <v>15.25</v>
      </c>
      <c r="D877" s="64">
        <f>IFERROR(__xludf.DUMMYFUNCTION("IFERROR(GOOGLEFINANCE(A877,""CHANGEPCT""),)"),3.63)</f>
        <v>3.63</v>
      </c>
      <c r="E877" s="64" t="str">
        <f t="shared" si="1"/>
        <v>3.63%</v>
      </c>
      <c r="F877" s="64">
        <f t="shared" si="2"/>
        <v>3.63</v>
      </c>
      <c r="G877" s="64" t="str">
        <f t="shared" si="3"/>
        <v/>
      </c>
      <c r="H877" s="64">
        <f>IFERROR(__xludf.DUMMYFUNCTION("IFERROR(GOOGLEFINANCE(A877,""PRICE""),)"),435.5)</f>
        <v>435.5</v>
      </c>
      <c r="I877" s="65">
        <f>IFERROR(__xludf.DUMMYFUNCTION("IFERROR(GOOGLEFINANCE(A877,""VOLUME""),)"),86690.0)</f>
        <v>86690</v>
      </c>
      <c r="J877" s="64" t="str">
        <f>IFERROR(__xludf.DUMMYFUNCTION("IFERROR(INDEX(SPLIT(A877,"":""),1,2),)"),"MARATHON")</f>
        <v>MARATHON</v>
      </c>
      <c r="K877" s="64">
        <f t="shared" si="4"/>
        <v>182</v>
      </c>
      <c r="L877" s="64" t="str">
        <f t="shared" si="5"/>
        <v/>
      </c>
      <c r="M877" s="64">
        <f t="shared" si="6"/>
        <v>794</v>
      </c>
      <c r="N877" s="66">
        <f>IFERROR(__xludf.DUMMYFUNCTION("IFERROR(GOOGLEFINANCE(A877,""TRADETIME""),)"),46086.64583333333)</f>
        <v>46086.64583</v>
      </c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67" t="s">
        <v>924</v>
      </c>
      <c r="B878" s="60" t="str">
        <f>IFERROR(__xludf.DUMMYFUNCTION("IFERROR(GOOGLEFINANCE(A878,""NAME""),)"),"Marico Ltd")</f>
        <v>Marico Ltd</v>
      </c>
      <c r="C878" s="60">
        <f>IFERROR(__xludf.DUMMYFUNCTION("IFERROR(GOOGLEFINANCE(A878,""CHANGE""),)"),8.15)</f>
        <v>8.15</v>
      </c>
      <c r="D878" s="60">
        <f>IFERROR(__xludf.DUMMYFUNCTION("IFERROR(GOOGLEFINANCE(A878,""CHANGEPCT""),)"),1.06)</f>
        <v>1.06</v>
      </c>
      <c r="E878" s="60" t="str">
        <f t="shared" si="1"/>
        <v>1.06%</v>
      </c>
      <c r="F878" s="60">
        <f t="shared" si="2"/>
        <v>1.06</v>
      </c>
      <c r="G878" s="60" t="str">
        <f t="shared" si="3"/>
        <v/>
      </c>
      <c r="H878" s="60">
        <f>IFERROR(__xludf.DUMMYFUNCTION("IFERROR(GOOGLEFINANCE(A878,""PRICE""),)"),780.0)</f>
        <v>780</v>
      </c>
      <c r="I878" s="61">
        <f>IFERROR(__xludf.DUMMYFUNCTION("IFERROR(GOOGLEFINANCE(A878,""VOLUME""),)"),940760.0)</f>
        <v>940760</v>
      </c>
      <c r="J878" s="60" t="str">
        <f>IFERROR(__xludf.DUMMYFUNCTION("IFERROR(INDEX(SPLIT(A878,"":""),1,2),)"),"MARICO")</f>
        <v>MARICO</v>
      </c>
      <c r="K878" s="60">
        <f t="shared" si="4"/>
        <v>706</v>
      </c>
      <c r="L878" s="60" t="str">
        <f t="shared" si="5"/>
        <v/>
      </c>
      <c r="M878" s="60">
        <f t="shared" si="6"/>
        <v>292</v>
      </c>
      <c r="N878" s="62">
        <f>IFERROR(__xludf.DUMMYFUNCTION("IFERROR(GOOGLEFINANCE(A878,""TRADETIME""),)"),46086.64585648148)</f>
        <v>46086.64586</v>
      </c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63" t="s">
        <v>925</v>
      </c>
      <c r="B879" s="64" t="str">
        <f>IFERROR(__xludf.DUMMYFUNCTION("IFERROR(GOOGLEFINANCE(A879,""NAME""),)"),"Nath Bio-Genes (I) Ltd")</f>
        <v>Nath Bio-Genes (I) Ltd</v>
      </c>
      <c r="C879" s="64">
        <f>IFERROR(__xludf.DUMMYFUNCTION("IFERROR(GOOGLEFINANCE(A879,""CHANGE""),)"),4.19)</f>
        <v>4.19</v>
      </c>
      <c r="D879" s="64">
        <f>IFERROR(__xludf.DUMMYFUNCTION("IFERROR(GOOGLEFINANCE(A879,""CHANGEPCT""),)"),2.99)</f>
        <v>2.99</v>
      </c>
      <c r="E879" s="64" t="str">
        <f t="shared" si="1"/>
        <v>2.99%</v>
      </c>
      <c r="F879" s="64">
        <f t="shared" si="2"/>
        <v>2.99</v>
      </c>
      <c r="G879" s="64" t="str">
        <f t="shared" si="3"/>
        <v/>
      </c>
      <c r="H879" s="64">
        <f>IFERROR(__xludf.DUMMYFUNCTION("IFERROR(GOOGLEFINANCE(A879,""PRICE""),)"),144.48)</f>
        <v>144.48</v>
      </c>
      <c r="I879" s="65">
        <f>IFERROR(__xludf.DUMMYFUNCTION("IFERROR(GOOGLEFINANCE(A879,""VOLUME""),)"),11368.0)</f>
        <v>11368</v>
      </c>
      <c r="J879" s="64" t="str">
        <f>IFERROR(__xludf.DUMMYFUNCTION("IFERROR(INDEX(SPLIT(A879,"":""),1,2),)"),"NATHBIOGEN")</f>
        <v>NATHBIOGEN</v>
      </c>
      <c r="K879" s="64">
        <f t="shared" si="4"/>
        <v>258</v>
      </c>
      <c r="L879" s="64" t="str">
        <f t="shared" si="5"/>
        <v/>
      </c>
      <c r="M879" s="64">
        <f t="shared" si="6"/>
        <v>1240</v>
      </c>
      <c r="N879" s="66">
        <f>IFERROR(__xludf.DUMMYFUNCTION("IFERROR(GOOGLEFINANCE(A879,""TRADETIME""),)"),46086.64583333333)</f>
        <v>46086.64583</v>
      </c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67" t="s">
        <v>926</v>
      </c>
      <c r="B880" s="60" t="str">
        <f>IFERROR(__xludf.DUMMYFUNCTION("IFERROR(GOOGLEFINANCE(A880,""NAME""),)"),"Marksans Pharma Ltd")</f>
        <v>Marksans Pharma Ltd</v>
      </c>
      <c r="C880" s="60">
        <f>IFERROR(__xludf.DUMMYFUNCTION("IFERROR(GOOGLEFINANCE(A880,""CHANGE""),)"),2.93)</f>
        <v>2.93</v>
      </c>
      <c r="D880" s="60">
        <f>IFERROR(__xludf.DUMMYFUNCTION("IFERROR(GOOGLEFINANCE(A880,""CHANGEPCT""),)"),1.34)</f>
        <v>1.34</v>
      </c>
      <c r="E880" s="60" t="str">
        <f t="shared" si="1"/>
        <v>1.34%</v>
      </c>
      <c r="F880" s="60">
        <f t="shared" si="2"/>
        <v>1.34</v>
      </c>
      <c r="G880" s="60" t="str">
        <f t="shared" si="3"/>
        <v/>
      </c>
      <c r="H880" s="60">
        <f>IFERROR(__xludf.DUMMYFUNCTION("IFERROR(GOOGLEFINANCE(A880,""PRICE""),)"),173.5)</f>
        <v>173.5</v>
      </c>
      <c r="I880" s="61">
        <f>IFERROR(__xludf.DUMMYFUNCTION("IFERROR(GOOGLEFINANCE(A880,""VOLUME""),)"),509965.0)</f>
        <v>509965</v>
      </c>
      <c r="J880" s="60" t="str">
        <f>IFERROR(__xludf.DUMMYFUNCTION("IFERROR(INDEX(SPLIT(A880,"":""),1,2),)"),"MARKSANS")</f>
        <v>MARKSANS</v>
      </c>
      <c r="K880" s="60">
        <f t="shared" si="4"/>
        <v>623</v>
      </c>
      <c r="L880" s="60" t="str">
        <f t="shared" si="5"/>
        <v/>
      </c>
      <c r="M880" s="60">
        <f t="shared" si="6"/>
        <v>398</v>
      </c>
      <c r="N880" s="62">
        <f>IFERROR(__xludf.DUMMYFUNCTION("IFERROR(GOOGLEFINANCE(A880,""TRADETIME""),)"),46086.64105324074)</f>
        <v>46086.64105</v>
      </c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68" t="s">
        <v>927</v>
      </c>
      <c r="B881" s="64" t="str">
        <f>IFERROR(__xludf.DUMMYFUNCTION("IFERROR(GOOGLEFINANCE(A881,""NAME""),)"),"Maruti Suzuki India Ltd")</f>
        <v>Maruti Suzuki India Ltd</v>
      </c>
      <c r="C881" s="64">
        <f>IFERROR(__xludf.DUMMYFUNCTION("IFERROR(GOOGLEFINANCE(A881,""CHANGE""),)"),313.0)</f>
        <v>313</v>
      </c>
      <c r="D881" s="64">
        <f>IFERROR(__xludf.DUMMYFUNCTION("IFERROR(GOOGLEFINANCE(A881,""CHANGEPCT""),)"),2.21)</f>
        <v>2.21</v>
      </c>
      <c r="E881" s="64" t="str">
        <f t="shared" si="1"/>
        <v>2.21%</v>
      </c>
      <c r="F881" s="64">
        <f t="shared" si="2"/>
        <v>2.21</v>
      </c>
      <c r="G881" s="64" t="str">
        <f t="shared" si="3"/>
        <v/>
      </c>
      <c r="H881" s="64">
        <f>IFERROR(__xludf.DUMMYFUNCTION("IFERROR(GOOGLEFINANCE(A881,""PRICE""),)"),14397.0)</f>
        <v>14397</v>
      </c>
      <c r="I881" s="65">
        <f>IFERROR(__xludf.DUMMYFUNCTION("IFERROR(GOOGLEFINANCE(A881,""VOLUME""),)"),448626.0)</f>
        <v>448626</v>
      </c>
      <c r="J881" s="64" t="str">
        <f>IFERROR(__xludf.DUMMYFUNCTION("IFERROR(INDEX(SPLIT(A881,"":""),1,2),)"),"MARUTI")</f>
        <v>MARUTI</v>
      </c>
      <c r="K881" s="64">
        <f t="shared" si="4"/>
        <v>398</v>
      </c>
      <c r="L881" s="64" t="str">
        <f t="shared" si="5"/>
        <v/>
      </c>
      <c r="M881" s="64">
        <f t="shared" si="6"/>
        <v>416</v>
      </c>
      <c r="N881" s="66">
        <f>IFERROR(__xludf.DUMMYFUNCTION("IFERROR(GOOGLEFINANCE(A881,""TRADETIME""),)"),46086.64583333333)</f>
        <v>46086.64583</v>
      </c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67" t="s">
        <v>928</v>
      </c>
      <c r="B882" s="60" t="str">
        <f>IFERROR(__xludf.DUMMYFUNCTION("IFERROR(GOOGLEFINANCE(A882,""NAME""),)"),"MAS Financial Services Ltd")</f>
        <v>MAS Financial Services Ltd</v>
      </c>
      <c r="C882" s="60">
        <f>IFERROR(__xludf.DUMMYFUNCTION("IFERROR(GOOGLEFINANCE(A882,""CHANGE""),)"),-2.5)</f>
        <v>-2.5</v>
      </c>
      <c r="D882" s="60">
        <f>IFERROR(__xludf.DUMMYFUNCTION("IFERROR(GOOGLEFINANCE(A882,""CHANGEPCT""),)"),-0.82)</f>
        <v>-0.82</v>
      </c>
      <c r="E882" s="60" t="str">
        <f t="shared" si="1"/>
        <v>-0.82%</v>
      </c>
      <c r="F882" s="60" t="str">
        <f t="shared" si="2"/>
        <v/>
      </c>
      <c r="G882" s="60">
        <f t="shared" si="3"/>
        <v>-0.82</v>
      </c>
      <c r="H882" s="60">
        <f>IFERROR(__xludf.DUMMYFUNCTION("IFERROR(GOOGLEFINANCE(A882,""PRICE""),)"),303.5)</f>
        <v>303.5</v>
      </c>
      <c r="I882" s="61">
        <f>IFERROR(__xludf.DUMMYFUNCTION("IFERROR(GOOGLEFINANCE(A882,""VOLUME""),)"),79604.0)</f>
        <v>79604</v>
      </c>
      <c r="J882" s="60" t="str">
        <f>IFERROR(__xludf.DUMMYFUNCTION("IFERROR(INDEX(SPLIT(A882,"":""),1,2),)"),"MASFIN")</f>
        <v>MASFIN</v>
      </c>
      <c r="K882" s="60" t="str">
        <f t="shared" si="4"/>
        <v/>
      </c>
      <c r="L882" s="60">
        <f t="shared" si="5"/>
        <v>186</v>
      </c>
      <c r="M882" s="60">
        <f t="shared" si="6"/>
        <v>815</v>
      </c>
      <c r="N882" s="62">
        <f>IFERROR(__xludf.DUMMYFUNCTION("IFERROR(GOOGLEFINANCE(A882,""TRADETIME""),)"),46086.64583333333)</f>
        <v>46086.64583</v>
      </c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68" t="s">
        <v>929</v>
      </c>
      <c r="B883" s="64" t="str">
        <f>IFERROR(__xludf.DUMMYFUNCTION("IFERROR(GOOGLEFINANCE(A883,""NAME""),)"),"Mask Investments Ltd")</f>
        <v>Mask Investments Ltd</v>
      </c>
      <c r="C883" s="64">
        <f>IFERROR(__xludf.DUMMYFUNCTION("IFERROR(GOOGLEFINANCE(A883,""CHANGE""),)"),7.06)</f>
        <v>7.06</v>
      </c>
      <c r="D883" s="64">
        <f>IFERROR(__xludf.DUMMYFUNCTION("IFERROR(GOOGLEFINANCE(A883,""CHANGEPCT""),)"),5.34)</f>
        <v>5.34</v>
      </c>
      <c r="E883" s="64" t="str">
        <f t="shared" si="1"/>
        <v>5.34%</v>
      </c>
      <c r="F883" s="64">
        <f t="shared" si="2"/>
        <v>5.34</v>
      </c>
      <c r="G883" s="64" t="str">
        <f t="shared" si="3"/>
        <v/>
      </c>
      <c r="H883" s="64">
        <f>IFERROR(__xludf.DUMMYFUNCTION("IFERROR(GOOGLEFINANCE(A883,""PRICE""),)"),139.35)</f>
        <v>139.35</v>
      </c>
      <c r="I883" s="65">
        <f>IFERROR(__xludf.DUMMYFUNCTION("IFERROR(GOOGLEFINANCE(A883,""VOLUME""),)"),19.0)</f>
        <v>19</v>
      </c>
      <c r="J883" s="64" t="str">
        <f>IFERROR(__xludf.DUMMYFUNCTION("IFERROR(INDEX(SPLIT(A883,"":""),1,2),)"),"MASKINVEST")</f>
        <v>MASKINVEST</v>
      </c>
      <c r="K883" s="64">
        <f t="shared" si="4"/>
        <v>58</v>
      </c>
      <c r="L883" s="64" t="str">
        <f t="shared" si="5"/>
        <v/>
      </c>
      <c r="M883" s="64">
        <f t="shared" si="6"/>
        <v>1465</v>
      </c>
      <c r="N883" s="66">
        <f>IFERROR(__xludf.DUMMYFUNCTION("IFERROR(GOOGLEFINANCE(A883,""TRADETIME""),)"),46086.64583333333)</f>
        <v>46086.64583</v>
      </c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67" t="s">
        <v>930</v>
      </c>
      <c r="B884" s="60" t="str">
        <f>IFERROR(__xludf.DUMMYFUNCTION("IFERROR(GOOGLEFINANCE(A884,""NAME""),)"),"Mastek Ltd")</f>
        <v>Mastek Ltd</v>
      </c>
      <c r="C884" s="60">
        <f>IFERROR(__xludf.DUMMYFUNCTION("IFERROR(GOOGLEFINANCE(A884,""CHANGE""),)"),74.7)</f>
        <v>74.7</v>
      </c>
      <c r="D884" s="60">
        <f>IFERROR(__xludf.DUMMYFUNCTION("IFERROR(GOOGLEFINANCE(A884,""CHANGEPCT""),)"),4.94)</f>
        <v>4.94</v>
      </c>
      <c r="E884" s="60" t="str">
        <f t="shared" si="1"/>
        <v>4.94%</v>
      </c>
      <c r="F884" s="60">
        <f t="shared" si="2"/>
        <v>4.94</v>
      </c>
      <c r="G884" s="60" t="str">
        <f t="shared" si="3"/>
        <v/>
      </c>
      <c r="H884" s="60">
        <f>IFERROR(__xludf.DUMMYFUNCTION("IFERROR(GOOGLEFINANCE(A884,""PRICE""),)"),1637.0)</f>
        <v>1637</v>
      </c>
      <c r="I884" s="61">
        <f>IFERROR(__xludf.DUMMYFUNCTION("IFERROR(GOOGLEFINANCE(A884,""VOLUME""),)"),271167.0)</f>
        <v>271167</v>
      </c>
      <c r="J884" s="60" t="str">
        <f>IFERROR(__xludf.DUMMYFUNCTION("IFERROR(INDEX(SPLIT(A884,"":""),1,2),)"),"MASTEK")</f>
        <v>MASTEK</v>
      </c>
      <c r="K884" s="60">
        <f t="shared" si="4"/>
        <v>81</v>
      </c>
      <c r="L884" s="60" t="str">
        <f t="shared" si="5"/>
        <v/>
      </c>
      <c r="M884" s="60">
        <f t="shared" si="6"/>
        <v>534</v>
      </c>
      <c r="N884" s="62">
        <f>IFERROR(__xludf.DUMMYFUNCTION("IFERROR(GOOGLEFINANCE(A884,""TRADETIME""),)"),46086.64583333333)</f>
        <v>46086.64583</v>
      </c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68" t="s">
        <v>931</v>
      </c>
      <c r="B885" s="64" t="str">
        <f>IFERROR(__xludf.DUMMYFUNCTION("IFERROR(GOOGLEFINANCE(A885,""NAME""),)"),"MATRIMONY.COM Ltd")</f>
        <v>MATRIMONY.COM Ltd</v>
      </c>
      <c r="C885" s="64">
        <f>IFERROR(__xludf.DUMMYFUNCTION("IFERROR(GOOGLEFINANCE(A885,""CHANGE""),)"),-0.2)</f>
        <v>-0.2</v>
      </c>
      <c r="D885" s="64">
        <f>IFERROR(__xludf.DUMMYFUNCTION("IFERROR(GOOGLEFINANCE(A885,""CHANGEPCT""),)"),-0.05)</f>
        <v>-0.05</v>
      </c>
      <c r="E885" s="64" t="str">
        <f t="shared" si="1"/>
        <v>-0.05%</v>
      </c>
      <c r="F885" s="64" t="str">
        <f t="shared" si="2"/>
        <v/>
      </c>
      <c r="G885" s="64">
        <f t="shared" si="3"/>
        <v>-0.05</v>
      </c>
      <c r="H885" s="64">
        <f>IFERROR(__xludf.DUMMYFUNCTION("IFERROR(GOOGLEFINANCE(A885,""PRICE""),)"),406.5)</f>
        <v>406.5</v>
      </c>
      <c r="I885" s="65">
        <f>IFERROR(__xludf.DUMMYFUNCTION("IFERROR(GOOGLEFINANCE(A885,""VOLUME""),)"),13838.0)</f>
        <v>13838</v>
      </c>
      <c r="J885" s="64" t="str">
        <f>IFERROR(__xludf.DUMMYFUNCTION("IFERROR(INDEX(SPLIT(A885,"":""),1,2),)"),"MATRIMONY")</f>
        <v>MATRIMONY</v>
      </c>
      <c r="K885" s="64" t="str">
        <f t="shared" si="4"/>
        <v/>
      </c>
      <c r="L885" s="64">
        <f t="shared" si="5"/>
        <v>12</v>
      </c>
      <c r="M885" s="64">
        <f t="shared" si="6"/>
        <v>1204</v>
      </c>
      <c r="N885" s="66">
        <f>IFERROR(__xludf.DUMMYFUNCTION("IFERROR(GOOGLEFINANCE(A885,""TRADETIME""),)"),46086.64583333333)</f>
        <v>46086.64583</v>
      </c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67" t="s">
        <v>932</v>
      </c>
      <c r="B886" s="60" t="str">
        <f>IFERROR(__xludf.DUMMYFUNCTION("IFERROR(GOOGLEFINANCE(A886,""NAME""),)"),"Mawana Sugars Ltd")</f>
        <v>Mawana Sugars Ltd</v>
      </c>
      <c r="C886" s="60">
        <f>IFERROR(__xludf.DUMMYFUNCTION("IFERROR(GOOGLEFINANCE(A886,""CHANGE""),)"),-1.97)</f>
        <v>-1.97</v>
      </c>
      <c r="D886" s="60">
        <f>IFERROR(__xludf.DUMMYFUNCTION("IFERROR(GOOGLEFINANCE(A886,""CHANGEPCT""),)"),-2.39)</f>
        <v>-2.39</v>
      </c>
      <c r="E886" s="60" t="str">
        <f t="shared" si="1"/>
        <v>-2.39%</v>
      </c>
      <c r="F886" s="60" t="str">
        <f t="shared" si="2"/>
        <v/>
      </c>
      <c r="G886" s="60">
        <f t="shared" si="3"/>
        <v>-2.39</v>
      </c>
      <c r="H886" s="60">
        <f>IFERROR(__xludf.DUMMYFUNCTION("IFERROR(GOOGLEFINANCE(A886,""PRICE""),)"),80.5)</f>
        <v>80.5</v>
      </c>
      <c r="I886" s="61">
        <f>IFERROR(__xludf.DUMMYFUNCTION("IFERROR(GOOGLEFINANCE(A886,""VOLUME""),)"),51170.0)</f>
        <v>51170</v>
      </c>
      <c r="J886" s="60" t="str">
        <f>IFERROR(__xludf.DUMMYFUNCTION("IFERROR(INDEX(SPLIT(A886,"":""),1,2),)"),"MAWANASUG")</f>
        <v>MAWANASUG</v>
      </c>
      <c r="K886" s="60" t="str">
        <f t="shared" si="4"/>
        <v/>
      </c>
      <c r="L886" s="60">
        <f t="shared" si="5"/>
        <v>382</v>
      </c>
      <c r="M886" s="60">
        <f t="shared" si="6"/>
        <v>930</v>
      </c>
      <c r="N886" s="62">
        <f>IFERROR(__xludf.DUMMYFUNCTION("IFERROR(GOOGLEFINANCE(A886,""TRADETIME""),)"),46086.64270833333)</f>
        <v>46086.64271</v>
      </c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68" t="s">
        <v>933</v>
      </c>
      <c r="B887" s="64" t="str">
        <f>IFERROR(__xludf.DUMMYFUNCTION("IFERROR(GOOGLEFINANCE(A887,""NAME""),)"),"Max Healthcare Institute Ltd")</f>
        <v>Max Healthcare Institute Ltd</v>
      </c>
      <c r="C887" s="64">
        <f>IFERROR(__xludf.DUMMYFUNCTION("IFERROR(GOOGLEFINANCE(A887,""CHANGE""),)"),0.1)</f>
        <v>0.1</v>
      </c>
      <c r="D887" s="64">
        <f>IFERROR(__xludf.DUMMYFUNCTION("IFERROR(GOOGLEFINANCE(A887,""CHANGEPCT""),)"),0.01)</f>
        <v>0.01</v>
      </c>
      <c r="E887" s="64" t="str">
        <f t="shared" si="1"/>
        <v>0.01%</v>
      </c>
      <c r="F887" s="64">
        <f t="shared" si="2"/>
        <v>0.01</v>
      </c>
      <c r="G887" s="64" t="str">
        <f t="shared" si="3"/>
        <v/>
      </c>
      <c r="H887" s="64">
        <f>IFERROR(__xludf.DUMMYFUNCTION("IFERROR(GOOGLEFINANCE(A887,""PRICE""),)"),1053.8)</f>
        <v>1053.8</v>
      </c>
      <c r="I887" s="65">
        <f>IFERROR(__xludf.DUMMYFUNCTION("IFERROR(GOOGLEFINANCE(A887,""VOLUME""),)"),2962022.0)</f>
        <v>2962022</v>
      </c>
      <c r="J887" s="64" t="str">
        <f>IFERROR(__xludf.DUMMYFUNCTION("IFERROR(INDEX(SPLIT(A887,"":""),1,2),)"),"MAXHEALTH")</f>
        <v>MAXHEALTH</v>
      </c>
      <c r="K887" s="64">
        <f t="shared" si="4"/>
        <v>1004</v>
      </c>
      <c r="L887" s="64" t="str">
        <f t="shared" si="5"/>
        <v/>
      </c>
      <c r="M887" s="64">
        <f t="shared" si="6"/>
        <v>151</v>
      </c>
      <c r="N887" s="66">
        <f>IFERROR(__xludf.DUMMYFUNCTION("IFERROR(GOOGLEFINANCE(A887,""TRADETIME""),)"),46086.64584490741)</f>
        <v>46086.64584</v>
      </c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67" t="s">
        <v>934</v>
      </c>
      <c r="B888" s="60" t="str">
        <f>IFERROR(__xludf.DUMMYFUNCTION("IFERROR(GOOGLEFINANCE(A888,""NAME""),)"),"Max India Ltd")</f>
        <v>Max India Ltd</v>
      </c>
      <c r="C888" s="60">
        <f>IFERROR(__xludf.DUMMYFUNCTION("IFERROR(GOOGLEFINANCE(A888,""CHANGE""),)"),2.14)</f>
        <v>2.14</v>
      </c>
      <c r="D888" s="60">
        <f>IFERROR(__xludf.DUMMYFUNCTION("IFERROR(GOOGLEFINANCE(A888,""CHANGEPCT""),)"),1.44)</f>
        <v>1.44</v>
      </c>
      <c r="E888" s="60" t="str">
        <f t="shared" si="1"/>
        <v>1.44%</v>
      </c>
      <c r="F888" s="60">
        <f t="shared" si="2"/>
        <v>1.44</v>
      </c>
      <c r="G888" s="60" t="str">
        <f t="shared" si="3"/>
        <v/>
      </c>
      <c r="H888" s="60">
        <f>IFERROR(__xludf.DUMMYFUNCTION("IFERROR(GOOGLEFINANCE(A888,""PRICE""),)"),148.05)</f>
        <v>148.05</v>
      </c>
      <c r="I888" s="61">
        <f>IFERROR(__xludf.DUMMYFUNCTION("IFERROR(GOOGLEFINANCE(A888,""VOLUME""),)"),43716.0)</f>
        <v>43716</v>
      </c>
      <c r="J888" s="60" t="str">
        <f>IFERROR(__xludf.DUMMYFUNCTION("IFERROR(INDEX(SPLIT(A888,"":""),1,2),)"),"MAXIND")</f>
        <v>MAXIND</v>
      </c>
      <c r="K888" s="60">
        <f t="shared" si="4"/>
        <v>589</v>
      </c>
      <c r="L888" s="60" t="str">
        <f t="shared" si="5"/>
        <v/>
      </c>
      <c r="M888" s="60">
        <f t="shared" si="6"/>
        <v>976</v>
      </c>
      <c r="N888" s="62">
        <f>IFERROR(__xludf.DUMMYFUNCTION("IFERROR(GOOGLEFINANCE(A888,""TRADETIME""),)"),46086.64140046296)</f>
        <v>46086.6414</v>
      </c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68" t="s">
        <v>935</v>
      </c>
      <c r="B889" s="64" t="str">
        <f>IFERROR(__xludf.DUMMYFUNCTION("IFERROR(GOOGLEFINANCE(A889,""NAME""),)"),"")</f>
        <v/>
      </c>
      <c r="C889" s="64" t="str">
        <f>IFERROR(__xludf.DUMMYFUNCTION("IFERROR(GOOGLEFINANCE(A889,""CHANGE""),)"),"")</f>
        <v/>
      </c>
      <c r="D889" s="64" t="str">
        <f>IFERROR(__xludf.DUMMYFUNCTION("IFERROR(GOOGLEFINANCE(A889,""CHANGEPCT""),)"),"")</f>
        <v/>
      </c>
      <c r="E889" s="64" t="str">
        <f t="shared" si="1"/>
        <v>%</v>
      </c>
      <c r="F889" s="64" t="str">
        <f t="shared" si="2"/>
        <v/>
      </c>
      <c r="G889" s="64" t="str">
        <f t="shared" si="3"/>
        <v/>
      </c>
      <c r="H889" s="64" t="str">
        <f>IFERROR(__xludf.DUMMYFUNCTION("IFERROR(GOOGLEFINANCE(A889,""PRICE""),)"),"")</f>
        <v/>
      </c>
      <c r="I889" s="65" t="str">
        <f>IFERROR(__xludf.DUMMYFUNCTION("IFERROR(GOOGLEFINANCE(A889,""VOLUME""),)"),"")</f>
        <v/>
      </c>
      <c r="J889" s="64" t="str">
        <f>IFERROR(__xludf.DUMMYFUNCTION("IFERROR(INDEX(SPLIT(A889,"":""),1,2),)"),"MAXVIL")</f>
        <v>MAXVIL</v>
      </c>
      <c r="K889" s="64" t="str">
        <f t="shared" si="4"/>
        <v/>
      </c>
      <c r="L889" s="64" t="str">
        <f t="shared" si="5"/>
        <v/>
      </c>
      <c r="M889" s="64" t="str">
        <f t="shared" si="6"/>
        <v/>
      </c>
      <c r="N889" s="66" t="str">
        <f>IFERROR(__xludf.DUMMYFUNCTION("IFERROR(GOOGLEFINANCE(A889,""TRADETIME""),)"),"")</f>
        <v/>
      </c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67" t="s">
        <v>936</v>
      </c>
      <c r="B890" s="60" t="str">
        <f>IFERROR(__xludf.DUMMYFUNCTION("IFERROR(GOOGLEFINANCE(A890,""NAME""),)"),"Mayur Uniquoters Ltd")</f>
        <v>Mayur Uniquoters Ltd</v>
      </c>
      <c r="C890" s="60">
        <f>IFERROR(__xludf.DUMMYFUNCTION("IFERROR(GOOGLEFINANCE(A890,""CHANGE""),)"),-0.7)</f>
        <v>-0.7</v>
      </c>
      <c r="D890" s="60">
        <f>IFERROR(__xludf.DUMMYFUNCTION("IFERROR(GOOGLEFINANCE(A890,""CHANGEPCT""),)"),-0.64)</f>
        <v>-0.64</v>
      </c>
      <c r="E890" s="60" t="str">
        <f t="shared" si="1"/>
        <v>-0.64%</v>
      </c>
      <c r="F890" s="60" t="str">
        <f t="shared" si="2"/>
        <v/>
      </c>
      <c r="G890" s="60">
        <f t="shared" si="3"/>
        <v>-0.64</v>
      </c>
      <c r="H890" s="60">
        <f>IFERROR(__xludf.DUMMYFUNCTION("IFERROR(GOOGLEFINANCE(A890,""PRICE""),)"),516.45)</f>
        <v>516.45</v>
      </c>
      <c r="I890" s="61">
        <f>IFERROR(__xludf.DUMMYFUNCTION("IFERROR(GOOGLEFINANCE(A890,""VOLUME""),)"),128168.0)</f>
        <v>128168</v>
      </c>
      <c r="J890" s="60" t="str">
        <f>IFERROR(__xludf.DUMMYFUNCTION("IFERROR(INDEX(SPLIT(A890,"":""),1,2),)"),"MAYURUNIQ")</f>
        <v>MAYURUNIQ</v>
      </c>
      <c r="K890" s="60" t="str">
        <f t="shared" si="4"/>
        <v/>
      </c>
      <c r="L890" s="60">
        <f t="shared" si="5"/>
        <v>156</v>
      </c>
      <c r="M890" s="60">
        <f t="shared" si="6"/>
        <v>704</v>
      </c>
      <c r="N890" s="62">
        <f>IFERROR(__xludf.DUMMYFUNCTION("IFERROR(GOOGLEFINANCE(A890,""TRADETIME""),)"),46086.64585648148)</f>
        <v>46086.64586</v>
      </c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68" t="s">
        <v>937</v>
      </c>
      <c r="B891" s="64" t="str">
        <f>IFERROR(__xludf.DUMMYFUNCTION("IFERROR(GOOGLEFINANCE(A891,""NAME""),)"),"Mazda Ltd")</f>
        <v>Mazda Ltd</v>
      </c>
      <c r="C891" s="64">
        <f>IFERROR(__xludf.DUMMYFUNCTION("IFERROR(GOOGLEFINANCE(A891,""CHANGE""),)"),7.24)</f>
        <v>7.24</v>
      </c>
      <c r="D891" s="64">
        <f>IFERROR(__xludf.DUMMYFUNCTION("IFERROR(GOOGLEFINANCE(A891,""CHANGEPCT""),)"),3.48)</f>
        <v>3.48</v>
      </c>
      <c r="E891" s="64" t="str">
        <f t="shared" si="1"/>
        <v>3.48%</v>
      </c>
      <c r="F891" s="64">
        <f t="shared" si="2"/>
        <v>3.48</v>
      </c>
      <c r="G891" s="64" t="str">
        <f t="shared" si="3"/>
        <v/>
      </c>
      <c r="H891" s="64">
        <f>IFERROR(__xludf.DUMMYFUNCTION("IFERROR(GOOGLEFINANCE(A891,""PRICE""),)"),200.0)</f>
        <v>200</v>
      </c>
      <c r="I891" s="65">
        <f>IFERROR(__xludf.DUMMYFUNCTION("IFERROR(GOOGLEFINANCE(A891,""VOLUME""),)"),12615.0)</f>
        <v>12615</v>
      </c>
      <c r="J891" s="64" t="str">
        <f>IFERROR(__xludf.DUMMYFUNCTION("IFERROR(INDEX(SPLIT(A891,"":""),1,2),)"),"MAZDA")</f>
        <v>MAZDA</v>
      </c>
      <c r="K891" s="64">
        <f t="shared" si="4"/>
        <v>192</v>
      </c>
      <c r="L891" s="64" t="str">
        <f t="shared" si="5"/>
        <v/>
      </c>
      <c r="M891" s="64">
        <f t="shared" si="6"/>
        <v>1220</v>
      </c>
      <c r="N891" s="66">
        <f>IFERROR(__xludf.DUMMYFUNCTION("IFERROR(GOOGLEFINANCE(A891,""TRADETIME""),)"),46086.64583333333)</f>
        <v>46086.64583</v>
      </c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67" t="s">
        <v>938</v>
      </c>
      <c r="B892" s="60" t="str">
        <f>IFERROR(__xludf.DUMMYFUNCTION("IFERROR(GOOGLEFINANCE(A892,""NAME""),)"),"Mazagon Dock Shipbuilders Ltd")</f>
        <v>Mazagon Dock Shipbuilders Ltd</v>
      </c>
      <c r="C892" s="60">
        <f>IFERROR(__xludf.DUMMYFUNCTION("IFERROR(GOOGLEFINANCE(A892,""CHANGE""),)"),194.0)</f>
        <v>194</v>
      </c>
      <c r="D892" s="60">
        <f>IFERROR(__xludf.DUMMYFUNCTION("IFERROR(GOOGLEFINANCE(A892,""CHANGEPCT""),)"),8.8)</f>
        <v>8.8</v>
      </c>
      <c r="E892" s="60" t="str">
        <f t="shared" si="1"/>
        <v>8.8%</v>
      </c>
      <c r="F892" s="60">
        <f t="shared" si="2"/>
        <v>8.8</v>
      </c>
      <c r="G892" s="60" t="str">
        <f t="shared" si="3"/>
        <v/>
      </c>
      <c r="H892" s="60">
        <f>IFERROR(__xludf.DUMMYFUNCTION("IFERROR(GOOGLEFINANCE(A892,""PRICE""),)"),2356.0)</f>
        <v>2356</v>
      </c>
      <c r="I892" s="61">
        <f>IFERROR(__xludf.DUMMYFUNCTION("IFERROR(GOOGLEFINANCE(A892,""VOLUME""),)"),9406404.0)</f>
        <v>9406404</v>
      </c>
      <c r="J892" s="60" t="str">
        <f>IFERROR(__xludf.DUMMYFUNCTION("IFERROR(INDEX(SPLIT(A892,"":""),1,2),)"),"MAZDOCK")</f>
        <v>MAZDOCK</v>
      </c>
      <c r="K892" s="60">
        <f t="shared" si="4"/>
        <v>16</v>
      </c>
      <c r="L892" s="60" t="str">
        <f t="shared" si="5"/>
        <v/>
      </c>
      <c r="M892" s="60">
        <f t="shared" si="6"/>
        <v>68</v>
      </c>
      <c r="N892" s="62">
        <f>IFERROR(__xludf.DUMMYFUNCTION("IFERROR(GOOGLEFINANCE(A892,""TRADETIME""),)"),46086.64583333333)</f>
        <v>46086.64583</v>
      </c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68" t="s">
        <v>939</v>
      </c>
      <c r="B893" s="64" t="str">
        <f>IFERROR(__xludf.DUMMYFUNCTION("IFERROR(GOOGLEFINANCE(A893,""NAME""),)"),"Madhya Bharat Agro products Ltd")</f>
        <v>Madhya Bharat Agro products Ltd</v>
      </c>
      <c r="C893" s="64">
        <f>IFERROR(__xludf.DUMMYFUNCTION("IFERROR(GOOGLEFINANCE(A893,""CHANGE""),)"),4.6)</f>
        <v>4.6</v>
      </c>
      <c r="D893" s="64">
        <f>IFERROR(__xludf.DUMMYFUNCTION("IFERROR(GOOGLEFINANCE(A893,""CHANGEPCT""),)"),1.0)</f>
        <v>1</v>
      </c>
      <c r="E893" s="64" t="str">
        <f t="shared" si="1"/>
        <v>1%</v>
      </c>
      <c r="F893" s="64">
        <f t="shared" si="2"/>
        <v>1</v>
      </c>
      <c r="G893" s="64" t="str">
        <f t="shared" si="3"/>
        <v/>
      </c>
      <c r="H893" s="64">
        <f>IFERROR(__xludf.DUMMYFUNCTION("IFERROR(GOOGLEFINANCE(A893,""PRICE""),)"),466.0)</f>
        <v>466</v>
      </c>
      <c r="I893" s="65">
        <f>IFERROR(__xludf.DUMMYFUNCTION("IFERROR(GOOGLEFINANCE(A893,""VOLUME""),)"),305304.0)</f>
        <v>305304</v>
      </c>
      <c r="J893" s="64" t="str">
        <f>IFERROR(__xludf.DUMMYFUNCTION("IFERROR(INDEX(SPLIT(A893,"":""),1,2),)"),"MBAPL")</f>
        <v>MBAPL</v>
      </c>
      <c r="K893" s="64">
        <f t="shared" si="4"/>
        <v>724</v>
      </c>
      <c r="L893" s="64" t="str">
        <f t="shared" si="5"/>
        <v/>
      </c>
      <c r="M893" s="64">
        <f t="shared" si="6"/>
        <v>501</v>
      </c>
      <c r="N893" s="66">
        <f>IFERROR(__xludf.DUMMYFUNCTION("IFERROR(GOOGLEFINANCE(A893,""TRADETIME""),)"),46086.64583333333)</f>
        <v>46086.64583</v>
      </c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67" t="s">
        <v>940</v>
      </c>
      <c r="B894" s="60" t="str">
        <f>IFERROR(__xludf.DUMMYFUNCTION("IFERROR(GOOGLEFINANCE(A894,""NAME""),)"),"")</f>
        <v/>
      </c>
      <c r="C894" s="60" t="str">
        <f>IFERROR(__xludf.DUMMYFUNCTION("IFERROR(GOOGLEFINANCE(A894,""CHANGE""),)"),"")</f>
        <v/>
      </c>
      <c r="D894" s="60" t="str">
        <f>IFERROR(__xludf.DUMMYFUNCTION("IFERROR(GOOGLEFINANCE(A894,""CHANGEPCT""),)"),"")</f>
        <v/>
      </c>
      <c r="E894" s="60" t="str">
        <f t="shared" si="1"/>
        <v>%</v>
      </c>
      <c r="F894" s="60" t="str">
        <f t="shared" si="2"/>
        <v/>
      </c>
      <c r="G894" s="60" t="str">
        <f t="shared" si="3"/>
        <v/>
      </c>
      <c r="H894" s="60" t="str">
        <f>IFERROR(__xludf.DUMMYFUNCTION("IFERROR(GOOGLEFINANCE(A894,""PRICE""),)"),"")</f>
        <v/>
      </c>
      <c r="I894" s="61" t="str">
        <f>IFERROR(__xludf.DUMMYFUNCTION("IFERROR(GOOGLEFINANCE(A894,""VOLUME""),)"),"")</f>
        <v/>
      </c>
      <c r="J894" s="60" t="str">
        <f>IFERROR(__xludf.DUMMYFUNCTION("IFERROR(INDEX(SPLIT(A894,"":""),1,2),)"),"MBECL")</f>
        <v>MBECL</v>
      </c>
      <c r="K894" s="60" t="str">
        <f t="shared" si="4"/>
        <v/>
      </c>
      <c r="L894" s="60" t="str">
        <f t="shared" si="5"/>
        <v/>
      </c>
      <c r="M894" s="60" t="str">
        <f t="shared" si="6"/>
        <v/>
      </c>
      <c r="N894" s="62" t="str">
        <f>IFERROR(__xludf.DUMMYFUNCTION("IFERROR(GOOGLEFINANCE(A894,""TRADETIME""),)"),"")</f>
        <v/>
      </c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68" t="s">
        <v>941</v>
      </c>
      <c r="B895" s="64" t="str">
        <f>IFERROR(__xludf.DUMMYFUNCTION("IFERROR(GOOGLEFINANCE(A895,""NAME""),)"),"MBL Infrastructure Ltd")</f>
        <v>MBL Infrastructure Ltd</v>
      </c>
      <c r="C895" s="64">
        <f>IFERROR(__xludf.DUMMYFUNCTION("IFERROR(GOOGLEFINANCE(A895,""CHANGE""),)"),0.63)</f>
        <v>0.63</v>
      </c>
      <c r="D895" s="64">
        <f>IFERROR(__xludf.DUMMYFUNCTION("IFERROR(GOOGLEFINANCE(A895,""CHANGEPCT""),)"),2.41)</f>
        <v>2.41</v>
      </c>
      <c r="E895" s="64" t="str">
        <f t="shared" si="1"/>
        <v>2.41%</v>
      </c>
      <c r="F895" s="64">
        <f t="shared" si="2"/>
        <v>2.41</v>
      </c>
      <c r="G895" s="64" t="str">
        <f t="shared" si="3"/>
        <v/>
      </c>
      <c r="H895" s="64">
        <f>IFERROR(__xludf.DUMMYFUNCTION("IFERROR(GOOGLEFINANCE(A895,""PRICE""),)"),26.75)</f>
        <v>26.75</v>
      </c>
      <c r="I895" s="65">
        <f>IFERROR(__xludf.DUMMYFUNCTION("IFERROR(GOOGLEFINANCE(A895,""VOLUME""),)"),54916.0)</f>
        <v>54916</v>
      </c>
      <c r="J895" s="64" t="str">
        <f>IFERROR(__xludf.DUMMYFUNCTION("IFERROR(INDEX(SPLIT(A895,"":""),1,2),)"),"MBLINFRA")</f>
        <v>MBLINFRA</v>
      </c>
      <c r="K895" s="64">
        <f t="shared" si="4"/>
        <v>353</v>
      </c>
      <c r="L895" s="64" t="str">
        <f t="shared" si="5"/>
        <v/>
      </c>
      <c r="M895" s="64">
        <f t="shared" si="6"/>
        <v>906</v>
      </c>
      <c r="N895" s="66">
        <f>IFERROR(__xludf.DUMMYFUNCTION("IFERROR(GOOGLEFINANCE(A895,""TRADETIME""),)"),46086.64583333333)</f>
        <v>46086.64583</v>
      </c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67" t="s">
        <v>942</v>
      </c>
      <c r="B896" s="60" t="str">
        <f>IFERROR(__xludf.DUMMYFUNCTION("IFERROR(GOOGLEFINANCE(A896,""NAME""),)"),"")</f>
        <v/>
      </c>
      <c r="C896" s="60" t="str">
        <f>IFERROR(__xludf.DUMMYFUNCTION("IFERROR(GOOGLEFINANCE(A896,""CHANGE""),)"),"")</f>
        <v/>
      </c>
      <c r="D896" s="60" t="str">
        <f>IFERROR(__xludf.DUMMYFUNCTION("IFERROR(GOOGLEFINANCE(A896,""CHANGEPCT""),)"),"")</f>
        <v/>
      </c>
      <c r="E896" s="60" t="str">
        <f t="shared" si="1"/>
        <v>%</v>
      </c>
      <c r="F896" s="60" t="str">
        <f t="shared" si="2"/>
        <v/>
      </c>
      <c r="G896" s="60" t="str">
        <f t="shared" si="3"/>
        <v/>
      </c>
      <c r="H896" s="60" t="str">
        <f>IFERROR(__xludf.DUMMYFUNCTION("IFERROR(GOOGLEFINANCE(A896,""PRICE""),)"),"")</f>
        <v/>
      </c>
      <c r="I896" s="61" t="str">
        <f>IFERROR(__xludf.DUMMYFUNCTION("IFERROR(GOOGLEFINANCE(A896,""VOLUME""),)"),"")</f>
        <v/>
      </c>
      <c r="J896" s="60" t="str">
        <f>IFERROR(__xludf.DUMMYFUNCTION("IFERROR(INDEX(SPLIT(A896,"":""),1,2),)"),"MCDOWELL-N")</f>
        <v>MCDOWELL-N</v>
      </c>
      <c r="K896" s="60" t="str">
        <f t="shared" si="4"/>
        <v/>
      </c>
      <c r="L896" s="60" t="str">
        <f t="shared" si="5"/>
        <v/>
      </c>
      <c r="M896" s="60" t="str">
        <f t="shared" si="6"/>
        <v/>
      </c>
      <c r="N896" s="62" t="str">
        <f>IFERROR(__xludf.DUMMYFUNCTION("IFERROR(GOOGLEFINANCE(A896,""TRADETIME""),)"),"")</f>
        <v/>
      </c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68" t="s">
        <v>943</v>
      </c>
      <c r="B897" s="64" t="str">
        <f>IFERROR(__xludf.DUMMYFUNCTION("IFERROR(GOOGLEFINANCE(A897,""NAME""),)"),"Madhav Copper Ltd")</f>
        <v>Madhav Copper Ltd</v>
      </c>
      <c r="C897" s="64">
        <f>IFERROR(__xludf.DUMMYFUNCTION("IFERROR(GOOGLEFINANCE(A897,""CHANGE""),)"),0.8)</f>
        <v>0.8</v>
      </c>
      <c r="D897" s="64">
        <f>IFERROR(__xludf.DUMMYFUNCTION("IFERROR(GOOGLEFINANCE(A897,""CHANGEPCT""),)"),1.14)</f>
        <v>1.14</v>
      </c>
      <c r="E897" s="64" t="str">
        <f t="shared" si="1"/>
        <v>1.14%</v>
      </c>
      <c r="F897" s="64">
        <f t="shared" si="2"/>
        <v>1.14</v>
      </c>
      <c r="G897" s="64" t="str">
        <f t="shared" si="3"/>
        <v/>
      </c>
      <c r="H897" s="64">
        <f>IFERROR(__xludf.DUMMYFUNCTION("IFERROR(GOOGLEFINANCE(A897,""PRICE""),)"),69.8)</f>
        <v>69.8</v>
      </c>
      <c r="I897" s="65">
        <f>IFERROR(__xludf.DUMMYFUNCTION("IFERROR(GOOGLEFINANCE(A897,""VOLUME""),)"),380499.0)</f>
        <v>380499</v>
      </c>
      <c r="J897" s="64" t="str">
        <f>IFERROR(__xludf.DUMMYFUNCTION("IFERROR(INDEX(SPLIT(A897,"":""),1,2),)"),"MCL")</f>
        <v>MCL</v>
      </c>
      <c r="K897" s="64">
        <f t="shared" si="4"/>
        <v>680</v>
      </c>
      <c r="L897" s="64" t="str">
        <f t="shared" si="5"/>
        <v/>
      </c>
      <c r="M897" s="64">
        <f t="shared" si="6"/>
        <v>452</v>
      </c>
      <c r="N897" s="66">
        <f>IFERROR(__xludf.DUMMYFUNCTION("IFERROR(GOOGLEFINANCE(A897,""TRADETIME""),)"),46086.64583333333)</f>
        <v>46086.64583</v>
      </c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67" t="s">
        <v>944</v>
      </c>
      <c r="B898" s="60" t="str">
        <f>IFERROR(__xludf.DUMMYFUNCTION("IFERROR(GOOGLEFINANCE(A898,""NAME""),)"),"McLeod Russel India Ltd")</f>
        <v>McLeod Russel India Ltd</v>
      </c>
      <c r="C898" s="60">
        <f>IFERROR(__xludf.DUMMYFUNCTION("IFERROR(GOOGLEFINANCE(A898,""CHANGE""),)"),-0.36)</f>
        <v>-0.36</v>
      </c>
      <c r="D898" s="60">
        <f>IFERROR(__xludf.DUMMYFUNCTION("IFERROR(GOOGLEFINANCE(A898,""CHANGEPCT""),)"),-0.93)</f>
        <v>-0.93</v>
      </c>
      <c r="E898" s="60" t="str">
        <f t="shared" si="1"/>
        <v>-0.93%</v>
      </c>
      <c r="F898" s="60" t="str">
        <f t="shared" si="2"/>
        <v/>
      </c>
      <c r="G898" s="60">
        <f t="shared" si="3"/>
        <v>-0.93</v>
      </c>
      <c r="H898" s="60">
        <f>IFERROR(__xludf.DUMMYFUNCTION("IFERROR(GOOGLEFINANCE(A898,""PRICE""),)"),38.3)</f>
        <v>38.3</v>
      </c>
      <c r="I898" s="61">
        <f>IFERROR(__xludf.DUMMYFUNCTION("IFERROR(GOOGLEFINANCE(A898,""VOLUME""),)"),918664.0)</f>
        <v>918664</v>
      </c>
      <c r="J898" s="60" t="str">
        <f>IFERROR(__xludf.DUMMYFUNCTION("IFERROR(INDEX(SPLIT(A898,"":""),1,2),)"),"MCLEODRUSS")</f>
        <v>MCLEODRUSS</v>
      </c>
      <c r="K898" s="60" t="str">
        <f t="shared" si="4"/>
        <v/>
      </c>
      <c r="L898" s="60">
        <f t="shared" si="5"/>
        <v>206</v>
      </c>
      <c r="M898" s="60">
        <f t="shared" si="6"/>
        <v>298</v>
      </c>
      <c r="N898" s="62">
        <f>IFERROR(__xludf.DUMMYFUNCTION("IFERROR(GOOGLEFINANCE(A898,""TRADETIME""),)"),46086.64583333333)</f>
        <v>46086.64583</v>
      </c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68" t="s">
        <v>945</v>
      </c>
      <c r="B899" s="64" t="str">
        <f>IFERROR(__xludf.DUMMYFUNCTION("IFERROR(GOOGLEFINANCE(A899,""NAME""),)"),"Multi Commodity Exchange Of India Ltd")</f>
        <v>Multi Commodity Exchange Of India Ltd</v>
      </c>
      <c r="C899" s="64">
        <f>IFERROR(__xludf.DUMMYFUNCTION("IFERROR(GOOGLEFINANCE(A899,""CHANGE""),)"),83.5)</f>
        <v>83.5</v>
      </c>
      <c r="D899" s="64">
        <f>IFERROR(__xludf.DUMMYFUNCTION("IFERROR(GOOGLEFINANCE(A899,""CHANGEPCT""),)"),3.37)</f>
        <v>3.37</v>
      </c>
      <c r="E899" s="64" t="str">
        <f t="shared" si="1"/>
        <v>3.37%</v>
      </c>
      <c r="F899" s="64">
        <f t="shared" si="2"/>
        <v>3.37</v>
      </c>
      <c r="G899" s="64" t="str">
        <f t="shared" si="3"/>
        <v/>
      </c>
      <c r="H899" s="64">
        <f>IFERROR(__xludf.DUMMYFUNCTION("IFERROR(GOOGLEFINANCE(A899,""PRICE""),)"),2562.0)</f>
        <v>2562</v>
      </c>
      <c r="I899" s="65">
        <f>IFERROR(__xludf.DUMMYFUNCTION("IFERROR(GOOGLEFINANCE(A899,""VOLUME""),)"),3763029.0)</f>
        <v>3763029</v>
      </c>
      <c r="J899" s="64" t="str">
        <f>IFERROR(__xludf.DUMMYFUNCTION("IFERROR(INDEX(SPLIT(A899,"":""),1,2),)"),"MCX")</f>
        <v>MCX</v>
      </c>
      <c r="K899" s="64">
        <f t="shared" si="4"/>
        <v>204</v>
      </c>
      <c r="L899" s="64" t="str">
        <f t="shared" si="5"/>
        <v/>
      </c>
      <c r="M899" s="64">
        <f t="shared" si="6"/>
        <v>130</v>
      </c>
      <c r="N899" s="66">
        <f>IFERROR(__xludf.DUMMYFUNCTION("IFERROR(GOOGLEFINANCE(A899,""TRADETIME""),)"),46086.64583333333)</f>
        <v>46086.64583</v>
      </c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67" t="s">
        <v>946</v>
      </c>
      <c r="B900" s="60" t="str">
        <f>IFERROR(__xludf.DUMMYFUNCTION("IFERROR(GOOGLEFINANCE(A900,""NAME""),)"),"")</f>
        <v/>
      </c>
      <c r="C900" s="60" t="str">
        <f>IFERROR(__xludf.DUMMYFUNCTION("IFERROR(GOOGLEFINANCE(A900,""CHANGE""),)"),"")</f>
        <v/>
      </c>
      <c r="D900" s="60" t="str">
        <f>IFERROR(__xludf.DUMMYFUNCTION("IFERROR(GOOGLEFINANCE(A900,""CHANGEPCT""),)"),"")</f>
        <v/>
      </c>
      <c r="E900" s="60" t="str">
        <f t="shared" si="1"/>
        <v>%</v>
      </c>
      <c r="F900" s="60" t="str">
        <f t="shared" si="2"/>
        <v/>
      </c>
      <c r="G900" s="60" t="str">
        <f t="shared" si="3"/>
        <v/>
      </c>
      <c r="H900" s="60" t="str">
        <f>IFERROR(__xludf.DUMMYFUNCTION("IFERROR(GOOGLEFINANCE(A900,""PRICE""),)"),"")</f>
        <v/>
      </c>
      <c r="I900" s="61" t="str">
        <f>IFERROR(__xludf.DUMMYFUNCTION("IFERROR(GOOGLEFINANCE(A900,""VOLUME""),)"),"")</f>
        <v/>
      </c>
      <c r="J900" s="60" t="str">
        <f>IFERROR(__xludf.DUMMYFUNCTION("IFERROR(INDEX(SPLIT(A900,"":""),1,2),)"),"MEGASOFT")</f>
        <v>MEGASOFT</v>
      </c>
      <c r="K900" s="60" t="str">
        <f t="shared" si="4"/>
        <v/>
      </c>
      <c r="L900" s="60" t="str">
        <f t="shared" si="5"/>
        <v/>
      </c>
      <c r="M900" s="60" t="str">
        <f t="shared" si="6"/>
        <v/>
      </c>
      <c r="N900" s="62" t="str">
        <f>IFERROR(__xludf.DUMMYFUNCTION("IFERROR(GOOGLEFINANCE(A900,""TRADETIME""),)"),"")</f>
        <v/>
      </c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68" t="s">
        <v>947</v>
      </c>
      <c r="B901" s="64" t="str">
        <f>IFERROR(__xludf.DUMMYFUNCTION("IFERROR(GOOGLEFINANCE(A901,""NAME""),)"),"")</f>
        <v/>
      </c>
      <c r="C901" s="64" t="str">
        <f>IFERROR(__xludf.DUMMYFUNCTION("IFERROR(GOOGLEFINANCE(A901,""CHANGE""),)"),"")</f>
        <v/>
      </c>
      <c r="D901" s="64" t="str">
        <f>IFERROR(__xludf.DUMMYFUNCTION("IFERROR(GOOGLEFINANCE(A901,""CHANGEPCT""),)"),"")</f>
        <v/>
      </c>
      <c r="E901" s="64" t="str">
        <f t="shared" si="1"/>
        <v>%</v>
      </c>
      <c r="F901" s="64" t="str">
        <f t="shared" si="2"/>
        <v/>
      </c>
      <c r="G901" s="64" t="str">
        <f t="shared" si="3"/>
        <v/>
      </c>
      <c r="H901" s="64" t="str">
        <f>IFERROR(__xludf.DUMMYFUNCTION("IFERROR(GOOGLEFINANCE(A901,""PRICE""),)"),"")</f>
        <v/>
      </c>
      <c r="I901" s="65" t="str">
        <f>IFERROR(__xludf.DUMMYFUNCTION("IFERROR(GOOGLEFINANCE(A901,""VOLUME""),)"),"")</f>
        <v/>
      </c>
      <c r="J901" s="64" t="str">
        <f>IFERROR(__xludf.DUMMYFUNCTION("IFERROR(INDEX(SPLIT(A901,"":""),1,2),)"),"MELSTAR")</f>
        <v>MELSTAR</v>
      </c>
      <c r="K901" s="64" t="str">
        <f t="shared" si="4"/>
        <v/>
      </c>
      <c r="L901" s="64" t="str">
        <f t="shared" si="5"/>
        <v/>
      </c>
      <c r="M901" s="64" t="str">
        <f t="shared" si="6"/>
        <v/>
      </c>
      <c r="N901" s="66" t="str">
        <f>IFERROR(__xludf.DUMMYFUNCTION("IFERROR(GOOGLEFINANCE(A901,""TRADETIME""),)"),"")</f>
        <v/>
      </c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67" t="s">
        <v>948</v>
      </c>
      <c r="B902" s="60" t="str">
        <f>IFERROR(__xludf.DUMMYFUNCTION("IFERROR(GOOGLEFINANCE(A902,""NAME""),)"),"Menon Bearings Ltd")</f>
        <v>Menon Bearings Ltd</v>
      </c>
      <c r="C902" s="60">
        <f>IFERROR(__xludf.DUMMYFUNCTION("IFERROR(GOOGLEFINANCE(A902,""CHANGE""),)"),3.84)</f>
        <v>3.84</v>
      </c>
      <c r="D902" s="60">
        <f>IFERROR(__xludf.DUMMYFUNCTION("IFERROR(GOOGLEFINANCE(A902,""CHANGEPCT""),)"),3.34)</f>
        <v>3.34</v>
      </c>
      <c r="E902" s="60" t="str">
        <f t="shared" si="1"/>
        <v>3.34%</v>
      </c>
      <c r="F902" s="60">
        <f t="shared" si="2"/>
        <v>3.34</v>
      </c>
      <c r="G902" s="60" t="str">
        <f t="shared" si="3"/>
        <v/>
      </c>
      <c r="H902" s="60">
        <f>IFERROR(__xludf.DUMMYFUNCTION("IFERROR(GOOGLEFINANCE(A902,""PRICE""),)"),118.8)</f>
        <v>118.8</v>
      </c>
      <c r="I902" s="61">
        <f>IFERROR(__xludf.DUMMYFUNCTION("IFERROR(GOOGLEFINANCE(A902,""VOLUME""),)"),26293.0)</f>
        <v>26293</v>
      </c>
      <c r="J902" s="60" t="str">
        <f>IFERROR(__xludf.DUMMYFUNCTION("IFERROR(INDEX(SPLIT(A902,"":""),1,2),)"),"MENONBE")</f>
        <v>MENONBE</v>
      </c>
      <c r="K902" s="60">
        <f t="shared" si="4"/>
        <v>208</v>
      </c>
      <c r="L902" s="60" t="str">
        <f t="shared" si="5"/>
        <v/>
      </c>
      <c r="M902" s="60">
        <f t="shared" si="6"/>
        <v>1083</v>
      </c>
      <c r="N902" s="62">
        <f>IFERROR(__xludf.DUMMYFUNCTION("IFERROR(GOOGLEFINANCE(A902,""TRADETIME""),)"),46086.64583333333)</f>
        <v>46086.64583</v>
      </c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68" t="s">
        <v>949</v>
      </c>
      <c r="B903" s="64" t="str">
        <f>IFERROR(__xludf.DUMMYFUNCTION("IFERROR(GOOGLEFINANCE(A903,""NAME""),)"),"MEP Infrastructure Developers Ltd")</f>
        <v>MEP Infrastructure Developers Ltd</v>
      </c>
      <c r="C903" s="64">
        <f>IFERROR(__xludf.DUMMYFUNCTION("IFERROR(GOOGLEFINANCE(A903,""CHANGE""),)"),-0.01)</f>
        <v>-0.01</v>
      </c>
      <c r="D903" s="64">
        <f>IFERROR(__xludf.DUMMYFUNCTION("IFERROR(GOOGLEFINANCE(A903,""CHANGEPCT""),)"),-1.02)</f>
        <v>-1.02</v>
      </c>
      <c r="E903" s="64" t="str">
        <f t="shared" si="1"/>
        <v>-1.02%</v>
      </c>
      <c r="F903" s="64" t="str">
        <f t="shared" si="2"/>
        <v/>
      </c>
      <c r="G903" s="64">
        <f t="shared" si="3"/>
        <v>-1.02</v>
      </c>
      <c r="H903" s="64">
        <f>IFERROR(__xludf.DUMMYFUNCTION("IFERROR(GOOGLEFINANCE(A903,""PRICE""),)"),0.97)</f>
        <v>0.97</v>
      </c>
      <c r="I903" s="65">
        <f>IFERROR(__xludf.DUMMYFUNCTION("IFERROR(GOOGLEFINANCE(A903,""VOLUME""),)"),176007.0)</f>
        <v>176007</v>
      </c>
      <c r="J903" s="64" t="str">
        <f>IFERROR(__xludf.DUMMYFUNCTION("IFERROR(INDEX(SPLIT(A903,"":""),1,2),)"),"MEP")</f>
        <v>MEP</v>
      </c>
      <c r="K903" s="64" t="str">
        <f t="shared" si="4"/>
        <v/>
      </c>
      <c r="L903" s="64">
        <f t="shared" si="5"/>
        <v>220</v>
      </c>
      <c r="M903" s="64">
        <f t="shared" si="6"/>
        <v>630</v>
      </c>
      <c r="N903" s="66">
        <f>IFERROR(__xludf.DUMMYFUNCTION("IFERROR(GOOGLEFINANCE(A903,""TRADETIME""),)"),46086.64583333333)</f>
        <v>46086.64583</v>
      </c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67" t="s">
        <v>950</v>
      </c>
      <c r="B904" s="60" t="str">
        <f>IFERROR(__xludf.DUMMYFUNCTION("IFERROR(GOOGLEFINANCE(A904,""NAME""),)"),"")</f>
        <v/>
      </c>
      <c r="C904" s="60" t="str">
        <f>IFERROR(__xludf.DUMMYFUNCTION("IFERROR(GOOGLEFINANCE(A904,""CHANGE""),)"),"")</f>
        <v/>
      </c>
      <c r="D904" s="60" t="str">
        <f>IFERROR(__xludf.DUMMYFUNCTION("IFERROR(GOOGLEFINANCE(A904,""CHANGEPCT""),)"),"")</f>
        <v/>
      </c>
      <c r="E904" s="60" t="str">
        <f t="shared" si="1"/>
        <v>%</v>
      </c>
      <c r="F904" s="60" t="str">
        <f t="shared" si="2"/>
        <v/>
      </c>
      <c r="G904" s="60" t="str">
        <f t="shared" si="3"/>
        <v/>
      </c>
      <c r="H904" s="60" t="str">
        <f>IFERROR(__xludf.DUMMYFUNCTION("IFERROR(GOOGLEFINANCE(A904,""PRICE""),)"),"")</f>
        <v/>
      </c>
      <c r="I904" s="61" t="str">
        <f>IFERROR(__xludf.DUMMYFUNCTION("IFERROR(GOOGLEFINANCE(A904,""VOLUME""),)"),"")</f>
        <v/>
      </c>
      <c r="J904" s="60" t="str">
        <f>IFERROR(__xludf.DUMMYFUNCTION("IFERROR(INDEX(SPLIT(A904,"":""),1,2),)"),"MERCATOR")</f>
        <v>MERCATOR</v>
      </c>
      <c r="K904" s="60" t="str">
        <f t="shared" si="4"/>
        <v/>
      </c>
      <c r="L904" s="60" t="str">
        <f t="shared" si="5"/>
        <v/>
      </c>
      <c r="M904" s="60" t="str">
        <f t="shared" si="6"/>
        <v/>
      </c>
      <c r="N904" s="62" t="str">
        <f>IFERROR(__xludf.DUMMYFUNCTION("IFERROR(GOOGLEFINANCE(A904,""TRADETIME""),)"),"")</f>
        <v/>
      </c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68" t="s">
        <v>951</v>
      </c>
      <c r="B905" s="64" t="str">
        <f>IFERROR(__xludf.DUMMYFUNCTION("IFERROR(GOOGLEFINANCE(A905,""NAME""),)"),"")</f>
        <v/>
      </c>
      <c r="C905" s="64" t="str">
        <f>IFERROR(__xludf.DUMMYFUNCTION("IFERROR(GOOGLEFINANCE(A905,""CHANGE""),)"),"")</f>
        <v/>
      </c>
      <c r="D905" s="64" t="str">
        <f>IFERROR(__xludf.DUMMYFUNCTION("IFERROR(GOOGLEFINANCE(A905,""CHANGEPCT""),)"),"")</f>
        <v/>
      </c>
      <c r="E905" s="64" t="str">
        <f t="shared" si="1"/>
        <v>%</v>
      </c>
      <c r="F905" s="64" t="str">
        <f t="shared" si="2"/>
        <v/>
      </c>
      <c r="G905" s="64" t="str">
        <f t="shared" si="3"/>
        <v/>
      </c>
      <c r="H905" s="64" t="str">
        <f>IFERROR(__xludf.DUMMYFUNCTION("IFERROR(GOOGLEFINANCE(A905,""PRICE""),)"),"")</f>
        <v/>
      </c>
      <c r="I905" s="65" t="str">
        <f>IFERROR(__xludf.DUMMYFUNCTION("IFERROR(GOOGLEFINANCE(A905,""VOLUME""),)"),"")</f>
        <v/>
      </c>
      <c r="J905" s="64" t="str">
        <f>IFERROR(__xludf.DUMMYFUNCTION("IFERROR(INDEX(SPLIT(A905,"":""),1,2),)"),"METALFORGE")</f>
        <v>METALFORGE</v>
      </c>
      <c r="K905" s="64" t="str">
        <f t="shared" si="4"/>
        <v/>
      </c>
      <c r="L905" s="64" t="str">
        <f t="shared" si="5"/>
        <v/>
      </c>
      <c r="M905" s="64" t="str">
        <f t="shared" si="6"/>
        <v/>
      </c>
      <c r="N905" s="66" t="str">
        <f>IFERROR(__xludf.DUMMYFUNCTION("IFERROR(GOOGLEFINANCE(A905,""TRADETIME""),)"),"")</f>
        <v/>
      </c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67" t="s">
        <v>952</v>
      </c>
      <c r="B906" s="60" t="str">
        <f>IFERROR(__xludf.DUMMYFUNCTION("IFERROR(GOOGLEFINANCE(A906,""NAME""),)"),"Metropolis Healthcare Ltd")</f>
        <v>Metropolis Healthcare Ltd</v>
      </c>
      <c r="C906" s="60">
        <f>IFERROR(__xludf.DUMMYFUNCTION("IFERROR(GOOGLEFINANCE(A906,""CHANGE""),)"),-52.9)</f>
        <v>-52.9</v>
      </c>
      <c r="D906" s="60">
        <f>IFERROR(__xludf.DUMMYFUNCTION("IFERROR(GOOGLEFINANCE(A906,""CHANGEPCT""),)"),-2.87)</f>
        <v>-2.87</v>
      </c>
      <c r="E906" s="60" t="str">
        <f t="shared" si="1"/>
        <v>-2.87%</v>
      </c>
      <c r="F906" s="60" t="str">
        <f t="shared" si="2"/>
        <v/>
      </c>
      <c r="G906" s="60">
        <f t="shared" si="3"/>
        <v>-2.87</v>
      </c>
      <c r="H906" s="60">
        <f>IFERROR(__xludf.DUMMYFUNCTION("IFERROR(GOOGLEFINANCE(A906,""PRICE""),)"),1793.4)</f>
        <v>1793.4</v>
      </c>
      <c r="I906" s="61">
        <f>IFERROR(__xludf.DUMMYFUNCTION("IFERROR(GOOGLEFINANCE(A906,""VOLUME""),)"),93468.0)</f>
        <v>93468</v>
      </c>
      <c r="J906" s="60" t="str">
        <f>IFERROR(__xludf.DUMMYFUNCTION("IFERROR(INDEX(SPLIT(A906,"":""),1,2),)"),"METROPOLIS")</f>
        <v>METROPOLIS</v>
      </c>
      <c r="K906" s="60" t="str">
        <f t="shared" si="4"/>
        <v/>
      </c>
      <c r="L906" s="60">
        <f t="shared" si="5"/>
        <v>404</v>
      </c>
      <c r="M906" s="60">
        <f t="shared" si="6"/>
        <v>771</v>
      </c>
      <c r="N906" s="62">
        <f>IFERROR(__xludf.DUMMYFUNCTION("IFERROR(GOOGLEFINANCE(A906,""TRADETIME""),)"),46086.64583333333)</f>
        <v>46086.64583</v>
      </c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68" t="s">
        <v>953</v>
      </c>
      <c r="B907" s="64" t="str">
        <f>IFERROR(__xludf.DUMMYFUNCTION("IFERROR(GOOGLEFINANCE(A907,""NAME""),)"),"Max Financial Services Ltd")</f>
        <v>Max Financial Services Ltd</v>
      </c>
      <c r="C907" s="64">
        <f>IFERROR(__xludf.DUMMYFUNCTION("IFERROR(GOOGLEFINANCE(A907,""CHANGE""),)"),-5.7)</f>
        <v>-5.7</v>
      </c>
      <c r="D907" s="64">
        <f>IFERROR(__xludf.DUMMYFUNCTION("IFERROR(GOOGLEFINANCE(A907,""CHANGEPCT""),)"),-0.33)</f>
        <v>-0.33</v>
      </c>
      <c r="E907" s="64" t="str">
        <f t="shared" si="1"/>
        <v>-0.33%</v>
      </c>
      <c r="F907" s="64" t="str">
        <f t="shared" si="2"/>
        <v/>
      </c>
      <c r="G907" s="64">
        <f t="shared" si="3"/>
        <v>-0.33</v>
      </c>
      <c r="H907" s="64">
        <f>IFERROR(__xludf.DUMMYFUNCTION("IFERROR(GOOGLEFINANCE(A907,""PRICE""),)"),1742.1)</f>
        <v>1742.1</v>
      </c>
      <c r="I907" s="65">
        <f>IFERROR(__xludf.DUMMYFUNCTION("IFERROR(GOOGLEFINANCE(A907,""VOLUME""),)"),833587.0)</f>
        <v>833587</v>
      </c>
      <c r="J907" s="64" t="str">
        <f>IFERROR(__xludf.DUMMYFUNCTION("IFERROR(INDEX(SPLIT(A907,"":""),1,2),)"),"MFSL")</f>
        <v>MFSL</v>
      </c>
      <c r="K907" s="64" t="str">
        <f t="shared" si="4"/>
        <v/>
      </c>
      <c r="L907" s="64">
        <f t="shared" si="5"/>
        <v>86</v>
      </c>
      <c r="M907" s="64">
        <f t="shared" si="6"/>
        <v>311</v>
      </c>
      <c r="N907" s="66">
        <f>IFERROR(__xludf.DUMMYFUNCTION("IFERROR(GOOGLEFINANCE(A907,""TRADETIME""),)"),46086.64583333333)</f>
        <v>46086.64583</v>
      </c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67" t="s">
        <v>954</v>
      </c>
      <c r="B908" s="60" t="str">
        <f>IFERROR(__xludf.DUMMYFUNCTION("IFERROR(GOOGLEFINANCE(A908,""NAME""),)"),"Mangalam Global Enterprise Ltd")</f>
        <v>Mangalam Global Enterprise Ltd</v>
      </c>
      <c r="C908" s="60">
        <f>IFERROR(__xludf.DUMMYFUNCTION("IFERROR(GOOGLEFINANCE(A908,""CHANGE""),)"),0.12)</f>
        <v>0.12</v>
      </c>
      <c r="D908" s="60">
        <f>IFERROR(__xludf.DUMMYFUNCTION("IFERROR(GOOGLEFINANCE(A908,""CHANGEPCT""),)"),1.53)</f>
        <v>1.53</v>
      </c>
      <c r="E908" s="60" t="str">
        <f t="shared" si="1"/>
        <v>1.53%</v>
      </c>
      <c r="F908" s="60">
        <f t="shared" si="2"/>
        <v>1.53</v>
      </c>
      <c r="G908" s="60" t="str">
        <f t="shared" si="3"/>
        <v/>
      </c>
      <c r="H908" s="60">
        <f>IFERROR(__xludf.DUMMYFUNCTION("IFERROR(GOOGLEFINANCE(A908,""PRICE""),)"),9.9)</f>
        <v>9.9</v>
      </c>
      <c r="I908" s="61">
        <f>IFERROR(__xludf.DUMMYFUNCTION("IFERROR(GOOGLEFINANCE(A908,""VOLUME""),)"),175915.0)</f>
        <v>175915</v>
      </c>
      <c r="J908" s="60" t="str">
        <f>IFERROR(__xludf.DUMMYFUNCTION("IFERROR(INDEX(SPLIT(A908,"":""),1,2),)"),"MGEL")</f>
        <v>MGEL</v>
      </c>
      <c r="K908" s="60">
        <f t="shared" si="4"/>
        <v>560</v>
      </c>
      <c r="L908" s="60" t="str">
        <f t="shared" si="5"/>
        <v/>
      </c>
      <c r="M908" s="60">
        <f t="shared" si="6"/>
        <v>631</v>
      </c>
      <c r="N908" s="62">
        <f>IFERROR(__xludf.DUMMYFUNCTION("IFERROR(GOOGLEFINANCE(A908,""TRADETIME""),)"),46086.64583333333)</f>
        <v>46086.64583</v>
      </c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68" t="s">
        <v>955</v>
      </c>
      <c r="B909" s="64" t="str">
        <f>IFERROR(__xludf.DUMMYFUNCTION("IFERROR(GOOGLEFINANCE(A909,""NAME""),)"),"Mahanagar Gas Ltd")</f>
        <v>Mahanagar Gas Ltd</v>
      </c>
      <c r="C909" s="64">
        <f>IFERROR(__xludf.DUMMYFUNCTION("IFERROR(GOOGLEFINANCE(A909,""CHANGE""),)"),-6.6)</f>
        <v>-6.6</v>
      </c>
      <c r="D909" s="64">
        <f>IFERROR(__xludf.DUMMYFUNCTION("IFERROR(GOOGLEFINANCE(A909,""CHANGEPCT""),)"),-0.56)</f>
        <v>-0.56</v>
      </c>
      <c r="E909" s="64" t="str">
        <f t="shared" si="1"/>
        <v>-0.56%</v>
      </c>
      <c r="F909" s="64" t="str">
        <f t="shared" si="2"/>
        <v/>
      </c>
      <c r="G909" s="64">
        <f t="shared" si="3"/>
        <v>-0.56</v>
      </c>
      <c r="H909" s="64">
        <f>IFERROR(__xludf.DUMMYFUNCTION("IFERROR(GOOGLEFINANCE(A909,""PRICE""),)"),1095.0)</f>
        <v>1095</v>
      </c>
      <c r="I909" s="65">
        <f>IFERROR(__xludf.DUMMYFUNCTION("IFERROR(GOOGLEFINANCE(A909,""VOLUME""),)"),250437.0)</f>
        <v>250437</v>
      </c>
      <c r="J909" s="64" t="str">
        <f>IFERROR(__xludf.DUMMYFUNCTION("IFERROR(INDEX(SPLIT(A909,"":""),1,2),)"),"MGL")</f>
        <v>MGL</v>
      </c>
      <c r="K909" s="64" t="str">
        <f t="shared" si="4"/>
        <v/>
      </c>
      <c r="L909" s="64">
        <f t="shared" si="5"/>
        <v>131</v>
      </c>
      <c r="M909" s="64">
        <f t="shared" si="6"/>
        <v>555</v>
      </c>
      <c r="N909" s="66">
        <f>IFERROR(__xludf.DUMMYFUNCTION("IFERROR(GOOGLEFINANCE(A909,""TRADETIME""),)"),46086.64584490741)</f>
        <v>46086.64584</v>
      </c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67" t="s">
        <v>956</v>
      </c>
      <c r="B910" s="60" t="str">
        <f>IFERROR(__xludf.DUMMYFUNCTION("IFERROR(GOOGLEFINANCE(A910,""NAME""),)"),"Mahindra Holidays and Resorts India Ltd")</f>
        <v>Mahindra Holidays and Resorts India Ltd</v>
      </c>
      <c r="C910" s="60">
        <f>IFERROR(__xludf.DUMMYFUNCTION("IFERROR(GOOGLEFINANCE(A910,""CHANGE""),)"),-4.65)</f>
        <v>-4.65</v>
      </c>
      <c r="D910" s="60">
        <f>IFERROR(__xludf.DUMMYFUNCTION("IFERROR(GOOGLEFINANCE(A910,""CHANGEPCT""),)"),-1.65)</f>
        <v>-1.65</v>
      </c>
      <c r="E910" s="60" t="str">
        <f t="shared" si="1"/>
        <v>-1.65%</v>
      </c>
      <c r="F910" s="60" t="str">
        <f t="shared" si="2"/>
        <v/>
      </c>
      <c r="G910" s="60">
        <f t="shared" si="3"/>
        <v>-1.65</v>
      </c>
      <c r="H910" s="60">
        <f>IFERROR(__xludf.DUMMYFUNCTION("IFERROR(GOOGLEFINANCE(A910,""PRICE""),)"),277.0)</f>
        <v>277</v>
      </c>
      <c r="I910" s="61">
        <f>IFERROR(__xludf.DUMMYFUNCTION("IFERROR(GOOGLEFINANCE(A910,""VOLUME""),)"),54234.0)</f>
        <v>54234</v>
      </c>
      <c r="J910" s="60" t="str">
        <f>IFERROR(__xludf.DUMMYFUNCTION("IFERROR(INDEX(SPLIT(A910,"":""),1,2),)"),"MHRIL")</f>
        <v>MHRIL</v>
      </c>
      <c r="K910" s="60" t="str">
        <f t="shared" si="4"/>
        <v/>
      </c>
      <c r="L910" s="60">
        <f t="shared" si="5"/>
        <v>305</v>
      </c>
      <c r="M910" s="60">
        <f t="shared" si="6"/>
        <v>910</v>
      </c>
      <c r="N910" s="62">
        <f>IFERROR(__xludf.DUMMYFUNCTION("IFERROR(GOOGLEFINANCE(A910,""TRADETIME""),)"),46086.64584490741)</f>
        <v>46086.64584</v>
      </c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68" t="s">
        <v>957</v>
      </c>
      <c r="B911" s="64" t="str">
        <f>IFERROR(__xludf.DUMMYFUNCTION("IFERROR(GOOGLEFINANCE(A911,""NAME""),)"),"MIC Electronics Ltd")</f>
        <v>MIC Electronics Ltd</v>
      </c>
      <c r="C911" s="64">
        <f>IFERROR(__xludf.DUMMYFUNCTION("IFERROR(GOOGLEFINANCE(A911,""CHANGE""),)"),1.13)</f>
        <v>1.13</v>
      </c>
      <c r="D911" s="64">
        <f>IFERROR(__xludf.DUMMYFUNCTION("IFERROR(GOOGLEFINANCE(A911,""CHANGEPCT""),)"),3.35)</f>
        <v>3.35</v>
      </c>
      <c r="E911" s="64" t="str">
        <f t="shared" si="1"/>
        <v>3.35%</v>
      </c>
      <c r="F911" s="64">
        <f t="shared" si="2"/>
        <v>3.35</v>
      </c>
      <c r="G911" s="64" t="str">
        <f t="shared" si="3"/>
        <v/>
      </c>
      <c r="H911" s="64">
        <f>IFERROR(__xludf.DUMMYFUNCTION("IFERROR(GOOGLEFINANCE(A911,""PRICE""),)"),34.66)</f>
        <v>34.66</v>
      </c>
      <c r="I911" s="65">
        <f>IFERROR(__xludf.DUMMYFUNCTION("IFERROR(GOOGLEFINANCE(A911,""VOLUME""),)"),900085.0)</f>
        <v>900085</v>
      </c>
      <c r="J911" s="64" t="str">
        <f>IFERROR(__xludf.DUMMYFUNCTION("IFERROR(INDEX(SPLIT(A911,"":""),1,2),)"),"MICEL")</f>
        <v>MICEL</v>
      </c>
      <c r="K911" s="64">
        <f t="shared" si="4"/>
        <v>206</v>
      </c>
      <c r="L911" s="64" t="str">
        <f t="shared" si="5"/>
        <v/>
      </c>
      <c r="M911" s="64">
        <f t="shared" si="6"/>
        <v>301</v>
      </c>
      <c r="N911" s="66">
        <f>IFERROR(__xludf.DUMMYFUNCTION("IFERROR(GOOGLEFINANCE(A911,""TRADETIME""),)"),46086.64585648148)</f>
        <v>46086.64586</v>
      </c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67" t="s">
        <v>958</v>
      </c>
      <c r="B912" s="60" t="str">
        <f>IFERROR(__xludf.DUMMYFUNCTION("IFERROR(GOOGLEFINANCE(A912,""NAME""),)"),"Mishra Dhatu Nigam Ltd")</f>
        <v>Mishra Dhatu Nigam Ltd</v>
      </c>
      <c r="C912" s="60">
        <f>IFERROR(__xludf.DUMMYFUNCTION("IFERROR(GOOGLEFINANCE(A912,""CHANGE""),)"),5.9)</f>
        <v>5.9</v>
      </c>
      <c r="D912" s="60">
        <f>IFERROR(__xludf.DUMMYFUNCTION("IFERROR(GOOGLEFINANCE(A912,""CHANGEPCT""),)"),1.75)</f>
        <v>1.75</v>
      </c>
      <c r="E912" s="60" t="str">
        <f t="shared" si="1"/>
        <v>1.75%</v>
      </c>
      <c r="F912" s="60">
        <f t="shared" si="2"/>
        <v>1.75</v>
      </c>
      <c r="G912" s="60" t="str">
        <f t="shared" si="3"/>
        <v/>
      </c>
      <c r="H912" s="60">
        <f>IFERROR(__xludf.DUMMYFUNCTION("IFERROR(GOOGLEFINANCE(A912,""PRICE""),)"),342.8)</f>
        <v>342.8</v>
      </c>
      <c r="I912" s="61">
        <f>IFERROR(__xludf.DUMMYFUNCTION("IFERROR(GOOGLEFINANCE(A912,""VOLUME""),)"),510987.0)</f>
        <v>510987</v>
      </c>
      <c r="J912" s="60" t="str">
        <f>IFERROR(__xludf.DUMMYFUNCTION("IFERROR(INDEX(SPLIT(A912,"":""),1,2),)"),"MIDHANI")</f>
        <v>MIDHANI</v>
      </c>
      <c r="K912" s="60">
        <f t="shared" si="4"/>
        <v>508</v>
      </c>
      <c r="L912" s="60" t="str">
        <f t="shared" si="5"/>
        <v/>
      </c>
      <c r="M912" s="60">
        <f t="shared" si="6"/>
        <v>396</v>
      </c>
      <c r="N912" s="62">
        <f>IFERROR(__xludf.DUMMYFUNCTION("IFERROR(GOOGLEFINANCE(A912,""TRADETIME""),)"),46086.64583333333)</f>
        <v>46086.64583</v>
      </c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68" t="s">
        <v>959</v>
      </c>
      <c r="B913" s="64" t="str">
        <f>IFERROR(__xludf.DUMMYFUNCTION("IFERROR(GOOGLEFINANCE(A913,""NAME""),)"),"Minda Corporation Ltd")</f>
        <v>Minda Corporation Ltd</v>
      </c>
      <c r="C913" s="64">
        <f>IFERROR(__xludf.DUMMYFUNCTION("IFERROR(GOOGLEFINANCE(A913,""CHANGE""),)"),4.8)</f>
        <v>4.8</v>
      </c>
      <c r="D913" s="64">
        <f>IFERROR(__xludf.DUMMYFUNCTION("IFERROR(GOOGLEFINANCE(A913,""CHANGEPCT""),)"),0.91)</f>
        <v>0.91</v>
      </c>
      <c r="E913" s="64" t="str">
        <f t="shared" si="1"/>
        <v>0.91%</v>
      </c>
      <c r="F913" s="64">
        <f t="shared" si="2"/>
        <v>0.91</v>
      </c>
      <c r="G913" s="64" t="str">
        <f t="shared" si="3"/>
        <v/>
      </c>
      <c r="H913" s="64">
        <f>IFERROR(__xludf.DUMMYFUNCTION("IFERROR(GOOGLEFINANCE(A913,""PRICE""),)"),529.95)</f>
        <v>529.95</v>
      </c>
      <c r="I913" s="65">
        <f>IFERROR(__xludf.DUMMYFUNCTION("IFERROR(GOOGLEFINANCE(A913,""VOLUME""),)"),221365.0)</f>
        <v>221365</v>
      </c>
      <c r="J913" s="64" t="str">
        <f>IFERROR(__xludf.DUMMYFUNCTION("IFERROR(INDEX(SPLIT(A913,"":""),1,2),)"),"MINDACORP")</f>
        <v>MINDACORP</v>
      </c>
      <c r="K913" s="64">
        <f t="shared" si="4"/>
        <v>749</v>
      </c>
      <c r="L913" s="64" t="str">
        <f t="shared" si="5"/>
        <v/>
      </c>
      <c r="M913" s="64">
        <f t="shared" si="6"/>
        <v>580</v>
      </c>
      <c r="N913" s="66">
        <f>IFERROR(__xludf.DUMMYFUNCTION("IFERROR(GOOGLEFINANCE(A913,""TRADETIME""),)"),46086.64583333333)</f>
        <v>46086.64583</v>
      </c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67" t="s">
        <v>960</v>
      </c>
      <c r="B914" s="60" t="str">
        <f>IFERROR(__xludf.DUMMYFUNCTION("IFERROR(GOOGLEFINANCE(A914,""NAME""),)"),"UNO Minda Ltd")</f>
        <v>UNO Minda Ltd</v>
      </c>
      <c r="C914" s="60">
        <f>IFERROR(__xludf.DUMMYFUNCTION("IFERROR(GOOGLEFINANCE(A914,""CHANGE""),)"),-5.4)</f>
        <v>-5.4</v>
      </c>
      <c r="D914" s="60">
        <f>IFERROR(__xludf.DUMMYFUNCTION("IFERROR(GOOGLEFINANCE(A914,""CHANGEPCT""),)"),-0.48)</f>
        <v>-0.48</v>
      </c>
      <c r="E914" s="60" t="str">
        <f t="shared" si="1"/>
        <v>-0.48%</v>
      </c>
      <c r="F914" s="60" t="str">
        <f t="shared" si="2"/>
        <v/>
      </c>
      <c r="G914" s="60">
        <f t="shared" si="3"/>
        <v>-0.48</v>
      </c>
      <c r="H914" s="60">
        <f>IFERROR(__xludf.DUMMYFUNCTION("IFERROR(GOOGLEFINANCE(A914,""PRICE""),)"),1119.1)</f>
        <v>1119.1</v>
      </c>
      <c r="I914" s="61">
        <f>IFERROR(__xludf.DUMMYFUNCTION("IFERROR(GOOGLEFINANCE(A914,""VOLUME""),)"),938392.0)</f>
        <v>938392</v>
      </c>
      <c r="J914" s="60" t="str">
        <f>IFERROR(__xludf.DUMMYFUNCTION("IFERROR(INDEX(SPLIT(A914,"":""),1,2),)"),"UNOMINDA")</f>
        <v>UNOMINDA</v>
      </c>
      <c r="K914" s="60" t="str">
        <f t="shared" si="4"/>
        <v/>
      </c>
      <c r="L914" s="60">
        <f t="shared" si="5"/>
        <v>114</v>
      </c>
      <c r="M914" s="60">
        <f t="shared" si="6"/>
        <v>293</v>
      </c>
      <c r="N914" s="62">
        <f>IFERROR(__xludf.DUMMYFUNCTION("IFERROR(GOOGLEFINANCE(A914,""TRADETIME""),)"),46086.64584490741)</f>
        <v>46086.64584</v>
      </c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63" t="s">
        <v>961</v>
      </c>
      <c r="B915" s="64" t="str">
        <f>IFERROR(__xludf.DUMMYFUNCTION("IFERROR(GOOGLEFINANCE(A915,""NAME""),)"),"Info Edge (India) Ltd")</f>
        <v>Info Edge (India) Ltd</v>
      </c>
      <c r="C915" s="64">
        <f>IFERROR(__xludf.DUMMYFUNCTION("IFERROR(GOOGLEFINANCE(A915,""CHANGE""),)"),10.7)</f>
        <v>10.7</v>
      </c>
      <c r="D915" s="64">
        <f>IFERROR(__xludf.DUMMYFUNCTION("IFERROR(GOOGLEFINANCE(A915,""CHANGEPCT""),)"),1.07)</f>
        <v>1.07</v>
      </c>
      <c r="E915" s="64" t="str">
        <f t="shared" si="1"/>
        <v>1.07%</v>
      </c>
      <c r="F915" s="64">
        <f t="shared" si="2"/>
        <v>1.07</v>
      </c>
      <c r="G915" s="64" t="str">
        <f t="shared" si="3"/>
        <v/>
      </c>
      <c r="H915" s="64">
        <f>IFERROR(__xludf.DUMMYFUNCTION("IFERROR(GOOGLEFINANCE(A915,""PRICE""),)"),1010.4)</f>
        <v>1010.4</v>
      </c>
      <c r="I915" s="65">
        <f>IFERROR(__xludf.DUMMYFUNCTION("IFERROR(GOOGLEFINANCE(A915,""VOLUME""),)"),2499578.0)</f>
        <v>2499578</v>
      </c>
      <c r="J915" s="64" t="str">
        <f>IFERROR(__xludf.DUMMYFUNCTION("IFERROR(INDEX(SPLIT(A915,"":""),1,2),)"),"NAUKRI")</f>
        <v>NAUKRI</v>
      </c>
      <c r="K915" s="64">
        <f t="shared" si="4"/>
        <v>701</v>
      </c>
      <c r="L915" s="64" t="str">
        <f t="shared" si="5"/>
        <v/>
      </c>
      <c r="M915" s="64">
        <f t="shared" si="6"/>
        <v>174</v>
      </c>
      <c r="N915" s="66">
        <f>IFERROR(__xludf.DUMMYFUNCTION("IFERROR(GOOGLEFINANCE(A915,""TRADETIME""),)"),46086.64583333333)</f>
        <v>46086.64583</v>
      </c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67" t="s">
        <v>962</v>
      </c>
      <c r="B916" s="60" t="str">
        <f>IFERROR(__xludf.DUMMYFUNCTION("IFERROR(GOOGLEFINANCE(A916,""NAME""),)"),"MIRC Electronics Ltd")</f>
        <v>MIRC Electronics Ltd</v>
      </c>
      <c r="C916" s="60">
        <f>IFERROR(__xludf.DUMMYFUNCTION("IFERROR(GOOGLEFINANCE(A916,""CHANGE""),)"),-0.41)</f>
        <v>-0.41</v>
      </c>
      <c r="D916" s="60">
        <f>IFERROR(__xludf.DUMMYFUNCTION("IFERROR(GOOGLEFINANCE(A916,""CHANGEPCT""),)"),-2.39)</f>
        <v>-2.39</v>
      </c>
      <c r="E916" s="60" t="str">
        <f t="shared" si="1"/>
        <v>-2.39%</v>
      </c>
      <c r="F916" s="60" t="str">
        <f t="shared" si="2"/>
        <v/>
      </c>
      <c r="G916" s="60">
        <f t="shared" si="3"/>
        <v>-2.39</v>
      </c>
      <c r="H916" s="60">
        <f>IFERROR(__xludf.DUMMYFUNCTION("IFERROR(GOOGLEFINANCE(A916,""PRICE""),)"),27.0)</f>
        <v>27</v>
      </c>
      <c r="I916" s="61">
        <f>IFERROR(__xludf.DUMMYFUNCTION("IFERROR(GOOGLEFINANCE(A916,""VOLUME""),)"),611826.0)</f>
        <v>611826</v>
      </c>
      <c r="J916" s="60" t="str">
        <f>IFERROR(__xludf.DUMMYFUNCTION("IFERROR(INDEX(SPLIT(A916,"":""),1,2),)"),"MIRCELECTR")</f>
        <v>MIRCELECTR</v>
      </c>
      <c r="K916" s="60" t="str">
        <f t="shared" si="4"/>
        <v/>
      </c>
      <c r="L916" s="60">
        <f t="shared" si="5"/>
        <v>383</v>
      </c>
      <c r="M916" s="60">
        <f t="shared" si="6"/>
        <v>361</v>
      </c>
      <c r="N916" s="62">
        <f>IFERROR(__xludf.DUMMYFUNCTION("IFERROR(GOOGLEFINANCE(A916,""TRADETIME""),)"),46086.64583333333)</f>
        <v>46086.64583</v>
      </c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68" t="s">
        <v>963</v>
      </c>
      <c r="B917" s="64" t="str">
        <f>IFERROR(__xludf.DUMMYFUNCTION("IFERROR(GOOGLEFINANCE(A917,""NAME""),)"),"Mirza International Ltd")</f>
        <v>Mirza International Ltd</v>
      </c>
      <c r="C917" s="64">
        <f>IFERROR(__xludf.DUMMYFUNCTION("IFERROR(GOOGLEFINANCE(A917,""CHANGE""),)"),0.58)</f>
        <v>0.58</v>
      </c>
      <c r="D917" s="64">
        <f>IFERROR(__xludf.DUMMYFUNCTION("IFERROR(GOOGLEFINANCE(A917,""CHANGEPCT""),)"),1.8)</f>
        <v>1.8</v>
      </c>
      <c r="E917" s="64" t="str">
        <f t="shared" si="1"/>
        <v>1.8%</v>
      </c>
      <c r="F917" s="64">
        <f t="shared" si="2"/>
        <v>1.8</v>
      </c>
      <c r="G917" s="64" t="str">
        <f t="shared" si="3"/>
        <v/>
      </c>
      <c r="H917" s="64">
        <f>IFERROR(__xludf.DUMMYFUNCTION("IFERROR(GOOGLEFINANCE(A917,""PRICE""),)"),32.75)</f>
        <v>32.75</v>
      </c>
      <c r="I917" s="65">
        <f>IFERROR(__xludf.DUMMYFUNCTION("IFERROR(GOOGLEFINANCE(A917,""VOLUME""),)"),172509.0)</f>
        <v>172509</v>
      </c>
      <c r="J917" s="64" t="str">
        <f>IFERROR(__xludf.DUMMYFUNCTION("IFERROR(INDEX(SPLIT(A917,"":""),1,2),)"),"MIRZAINT")</f>
        <v>MIRZAINT</v>
      </c>
      <c r="K917" s="64">
        <f t="shared" si="4"/>
        <v>500</v>
      </c>
      <c r="L917" s="64" t="str">
        <f t="shared" si="5"/>
        <v/>
      </c>
      <c r="M917" s="64">
        <f t="shared" si="6"/>
        <v>637</v>
      </c>
      <c r="N917" s="66">
        <f>IFERROR(__xludf.DUMMYFUNCTION("IFERROR(GOOGLEFINANCE(A917,""TRADETIME""),)"),46086.64583333333)</f>
        <v>46086.64583</v>
      </c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67" t="s">
        <v>964</v>
      </c>
      <c r="B918" s="60" t="str">
        <f>IFERROR(__xludf.DUMMYFUNCTION("IFERROR(GOOGLEFINANCE(A918,""NAME""),)"),"Mittal Life Style Ltd")</f>
        <v>Mittal Life Style Ltd</v>
      </c>
      <c r="C918" s="60">
        <f>IFERROR(__xludf.DUMMYFUNCTION("IFERROR(GOOGLEFINANCE(A918,""CHANGE""),)"),0.03)</f>
        <v>0.03</v>
      </c>
      <c r="D918" s="60">
        <f>IFERROR(__xludf.DUMMYFUNCTION("IFERROR(GOOGLEFINANCE(A918,""CHANGEPCT""),)"),3.3)</f>
        <v>3.3</v>
      </c>
      <c r="E918" s="60" t="str">
        <f t="shared" si="1"/>
        <v>3.3%</v>
      </c>
      <c r="F918" s="60">
        <f t="shared" si="2"/>
        <v>3.3</v>
      </c>
      <c r="G918" s="60" t="str">
        <f t="shared" si="3"/>
        <v/>
      </c>
      <c r="H918" s="60">
        <f>IFERROR(__xludf.DUMMYFUNCTION("IFERROR(GOOGLEFINANCE(A918,""PRICE""),)"),0.94)</f>
        <v>0.94</v>
      </c>
      <c r="I918" s="61">
        <f>IFERROR(__xludf.DUMMYFUNCTION("IFERROR(GOOGLEFINANCE(A918,""VOLUME""),)"),335436.0)</f>
        <v>335436</v>
      </c>
      <c r="J918" s="60" t="str">
        <f>IFERROR(__xludf.DUMMYFUNCTION("IFERROR(INDEX(SPLIT(A918,"":""),1,2),)"),"MITTAL")</f>
        <v>MITTAL</v>
      </c>
      <c r="K918" s="60">
        <f t="shared" si="4"/>
        <v>214</v>
      </c>
      <c r="L918" s="60" t="str">
        <f t="shared" si="5"/>
        <v/>
      </c>
      <c r="M918" s="60">
        <f t="shared" si="6"/>
        <v>488</v>
      </c>
      <c r="N918" s="62">
        <f>IFERROR(__xludf.DUMMYFUNCTION("IFERROR(GOOGLEFINANCE(A918,""TRADETIME""),)"),46086.64583333333)</f>
        <v>46086.64583</v>
      </c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68" t="s">
        <v>965</v>
      </c>
      <c r="B919" s="64" t="str">
        <f>IFERROR(__xludf.DUMMYFUNCTION("IFERROR(GOOGLEFINANCE(A919,""NAME""),)"),"MM Forgings Ltd")</f>
        <v>MM Forgings Ltd</v>
      </c>
      <c r="C919" s="64">
        <f>IFERROR(__xludf.DUMMYFUNCTION("IFERROR(GOOGLEFINANCE(A919,""CHANGE""),)"),-0.85)</f>
        <v>-0.85</v>
      </c>
      <c r="D919" s="64">
        <f>IFERROR(__xludf.DUMMYFUNCTION("IFERROR(GOOGLEFINANCE(A919,""CHANGEPCT""),)"),-0.2)</f>
        <v>-0.2</v>
      </c>
      <c r="E919" s="64" t="str">
        <f t="shared" si="1"/>
        <v>-0.2%</v>
      </c>
      <c r="F919" s="64" t="str">
        <f t="shared" si="2"/>
        <v/>
      </c>
      <c r="G919" s="64">
        <f t="shared" si="3"/>
        <v>-0.2</v>
      </c>
      <c r="H919" s="64">
        <f>IFERROR(__xludf.DUMMYFUNCTION("IFERROR(GOOGLEFINANCE(A919,""PRICE""),)"),435.0)</f>
        <v>435</v>
      </c>
      <c r="I919" s="65">
        <f>IFERROR(__xludf.DUMMYFUNCTION("IFERROR(GOOGLEFINANCE(A919,""VOLUME""),)"),27832.0)</f>
        <v>27832</v>
      </c>
      <c r="J919" s="64" t="str">
        <f>IFERROR(__xludf.DUMMYFUNCTION("IFERROR(INDEX(SPLIT(A919,"":""),1,2),)"),"MMFL")</f>
        <v>MMFL</v>
      </c>
      <c r="K919" s="64" t="str">
        <f t="shared" si="4"/>
        <v/>
      </c>
      <c r="L919" s="64">
        <f t="shared" si="5"/>
        <v>53</v>
      </c>
      <c r="M919" s="64">
        <f t="shared" si="6"/>
        <v>1071</v>
      </c>
      <c r="N919" s="66">
        <f>IFERROR(__xludf.DUMMYFUNCTION("IFERROR(GOOGLEFINANCE(A919,""TRADETIME""),)"),46086.64583333333)</f>
        <v>46086.64583</v>
      </c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67" t="s">
        <v>966</v>
      </c>
      <c r="B920" s="60" t="str">
        <f>IFERROR(__xludf.DUMMYFUNCTION("IFERROR(GOOGLEFINANCE(A920,""NAME""),)"),"MMP Industries Ltd")</f>
        <v>MMP Industries Ltd</v>
      </c>
      <c r="C920" s="60">
        <f>IFERROR(__xludf.DUMMYFUNCTION("IFERROR(GOOGLEFINANCE(A920,""CHANGE""),)"),-3.25)</f>
        <v>-3.25</v>
      </c>
      <c r="D920" s="60">
        <f>IFERROR(__xludf.DUMMYFUNCTION("IFERROR(GOOGLEFINANCE(A920,""CHANGEPCT""),)"),-1.37)</f>
        <v>-1.37</v>
      </c>
      <c r="E920" s="60" t="str">
        <f t="shared" si="1"/>
        <v>-1.37%</v>
      </c>
      <c r="F920" s="60" t="str">
        <f t="shared" si="2"/>
        <v/>
      </c>
      <c r="G920" s="60">
        <f t="shared" si="3"/>
        <v>-1.37</v>
      </c>
      <c r="H920" s="60">
        <f>IFERROR(__xludf.DUMMYFUNCTION("IFERROR(GOOGLEFINANCE(A920,""PRICE""),)"),234.03)</f>
        <v>234.03</v>
      </c>
      <c r="I920" s="61">
        <f>IFERROR(__xludf.DUMMYFUNCTION("IFERROR(GOOGLEFINANCE(A920,""VOLUME""),)"),19466.0)</f>
        <v>19466</v>
      </c>
      <c r="J920" s="60" t="str">
        <f>IFERROR(__xludf.DUMMYFUNCTION("IFERROR(INDEX(SPLIT(A920,"":""),1,2),)"),"MMP")</f>
        <v>MMP</v>
      </c>
      <c r="K920" s="60" t="str">
        <f t="shared" si="4"/>
        <v/>
      </c>
      <c r="L920" s="60">
        <f t="shared" si="5"/>
        <v>276</v>
      </c>
      <c r="M920" s="60">
        <f t="shared" si="6"/>
        <v>1146</v>
      </c>
      <c r="N920" s="62">
        <f>IFERROR(__xludf.DUMMYFUNCTION("IFERROR(GOOGLEFINANCE(A920,""TRADETIME""),)"),46086.64583333333)</f>
        <v>46086.64583</v>
      </c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68" t="s">
        <v>967</v>
      </c>
      <c r="B921" s="64" t="str">
        <f>IFERROR(__xludf.DUMMYFUNCTION("IFERROR(GOOGLEFINANCE(A921,""NAME""),)"),"MMTC Ltd")</f>
        <v>MMTC Ltd</v>
      </c>
      <c r="C921" s="64">
        <f>IFERROR(__xludf.DUMMYFUNCTION("IFERROR(GOOGLEFINANCE(A921,""CHANGE""),)"),1.1)</f>
        <v>1.1</v>
      </c>
      <c r="D921" s="64">
        <f>IFERROR(__xludf.DUMMYFUNCTION("IFERROR(GOOGLEFINANCE(A921,""CHANGEPCT""),)"),1.97)</f>
        <v>1.97</v>
      </c>
      <c r="E921" s="64" t="str">
        <f t="shared" si="1"/>
        <v>1.97%</v>
      </c>
      <c r="F921" s="64">
        <f t="shared" si="2"/>
        <v>1.97</v>
      </c>
      <c r="G921" s="64" t="str">
        <f t="shared" si="3"/>
        <v/>
      </c>
      <c r="H921" s="64">
        <f>IFERROR(__xludf.DUMMYFUNCTION("IFERROR(GOOGLEFINANCE(A921,""PRICE""),)"),57.0)</f>
        <v>57</v>
      </c>
      <c r="I921" s="65">
        <f>IFERROR(__xludf.DUMMYFUNCTION("IFERROR(GOOGLEFINANCE(A921,""VOLUME""),)"),1564947.0)</f>
        <v>1564947</v>
      </c>
      <c r="J921" s="64" t="str">
        <f>IFERROR(__xludf.DUMMYFUNCTION("IFERROR(INDEX(SPLIT(A921,"":""),1,2),)"),"MMTC")</f>
        <v>MMTC</v>
      </c>
      <c r="K921" s="64">
        <f t="shared" si="4"/>
        <v>450</v>
      </c>
      <c r="L921" s="64" t="str">
        <f t="shared" si="5"/>
        <v/>
      </c>
      <c r="M921" s="64">
        <f t="shared" si="6"/>
        <v>236</v>
      </c>
      <c r="N921" s="66">
        <f>IFERROR(__xludf.DUMMYFUNCTION("IFERROR(GOOGLEFINANCE(A921,""TRADETIME""),)"),46086.64585648148)</f>
        <v>46086.64586</v>
      </c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67" t="s">
        <v>968</v>
      </c>
      <c r="B922" s="60" t="str">
        <f>IFERROR(__xludf.DUMMYFUNCTION("IFERROR(GOOGLEFINANCE(A922,""NAME""),)"),"Modi Rubber Ltd")</f>
        <v>Modi Rubber Ltd</v>
      </c>
      <c r="C922" s="60">
        <f>IFERROR(__xludf.DUMMYFUNCTION("IFERROR(GOOGLEFINANCE(A922,""CHANGE""),)"),-1.67)</f>
        <v>-1.67</v>
      </c>
      <c r="D922" s="60">
        <f>IFERROR(__xludf.DUMMYFUNCTION("IFERROR(GOOGLEFINANCE(A922,""CHANGEPCT""),)"),-0.61)</f>
        <v>-0.61</v>
      </c>
      <c r="E922" s="60" t="str">
        <f t="shared" si="1"/>
        <v>-0.61%</v>
      </c>
      <c r="F922" s="60" t="str">
        <f t="shared" si="2"/>
        <v/>
      </c>
      <c r="G922" s="60">
        <f t="shared" si="3"/>
        <v>-0.61</v>
      </c>
      <c r="H922" s="60">
        <f>IFERROR(__xludf.DUMMYFUNCTION("IFERROR(GOOGLEFINANCE(A922,""PRICE""),)"),110.99)</f>
        <v>110.99</v>
      </c>
      <c r="I922" s="61">
        <f>IFERROR(__xludf.DUMMYFUNCTION("IFERROR(GOOGLEFINANCE(A922,""VOLUME""),)"),6737.0)</f>
        <v>6737</v>
      </c>
      <c r="J922" s="60" t="str">
        <f>IFERROR(__xludf.DUMMYFUNCTION("IFERROR(INDEX(SPLIT(A922,"":""),1,2),)"),"MODIRUBBER")</f>
        <v>MODIRUBBER</v>
      </c>
      <c r="K922" s="60" t="str">
        <f t="shared" si="4"/>
        <v/>
      </c>
      <c r="L922" s="60">
        <f t="shared" si="5"/>
        <v>146</v>
      </c>
      <c r="M922" s="60">
        <f t="shared" si="6"/>
        <v>1312</v>
      </c>
      <c r="N922" s="62">
        <f>IFERROR(__xludf.DUMMYFUNCTION("IFERROR(GOOGLEFINANCE(A922,""TRADETIME""),)"),46086.64583333333)</f>
        <v>46086.64583</v>
      </c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68" t="s">
        <v>969</v>
      </c>
      <c r="B923" s="64" t="str">
        <f>IFERROR(__xludf.DUMMYFUNCTION("IFERROR(GOOGLEFINANCE(A923,""NAME""),)"),"Mohit Industries Ltd")</f>
        <v>Mohit Industries Ltd</v>
      </c>
      <c r="C923" s="64">
        <f>IFERROR(__xludf.DUMMYFUNCTION("IFERROR(GOOGLEFINANCE(A923,""CHANGE""),)"),0.75)</f>
        <v>0.75</v>
      </c>
      <c r="D923" s="64">
        <f>IFERROR(__xludf.DUMMYFUNCTION("IFERROR(GOOGLEFINANCE(A923,""CHANGEPCT""),)"),2.13)</f>
        <v>2.13</v>
      </c>
      <c r="E923" s="64" t="str">
        <f t="shared" si="1"/>
        <v>2.13%</v>
      </c>
      <c r="F923" s="64">
        <f t="shared" si="2"/>
        <v>2.13</v>
      </c>
      <c r="G923" s="64" t="str">
        <f t="shared" si="3"/>
        <v/>
      </c>
      <c r="H923" s="64">
        <f>IFERROR(__xludf.DUMMYFUNCTION("IFERROR(GOOGLEFINANCE(A923,""PRICE""),)"),24.0)</f>
        <v>24</v>
      </c>
      <c r="I923" s="65">
        <f>IFERROR(__xludf.DUMMYFUNCTION("IFERROR(GOOGLEFINANCE(A923,""VOLUME""),)"),19200.0)</f>
        <v>19200</v>
      </c>
      <c r="J923" s="64" t="str">
        <f>IFERROR(__xludf.DUMMYFUNCTION("IFERROR(INDEX(SPLIT(A923,"":""),1,2),)"),"MOHITIND")</f>
        <v>MOHITIND</v>
      </c>
      <c r="K923" s="64">
        <f t="shared" si="4"/>
        <v>413</v>
      </c>
      <c r="L923" s="64" t="str">
        <f t="shared" si="5"/>
        <v/>
      </c>
      <c r="M923" s="64">
        <f t="shared" si="6"/>
        <v>1150</v>
      </c>
      <c r="N923" s="66">
        <f>IFERROR(__xludf.DUMMYFUNCTION("IFERROR(GOOGLEFINANCE(A923,""TRADETIME""),)"),46086.64583333333)</f>
        <v>46086.64583</v>
      </c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67" t="s">
        <v>970</v>
      </c>
      <c r="B924" s="60" t="str">
        <f>IFERROR(__xludf.DUMMYFUNCTION("IFERROR(GOOGLEFINANCE(A924,""NAME""),)"),"")</f>
        <v/>
      </c>
      <c r="C924" s="60" t="str">
        <f>IFERROR(__xludf.DUMMYFUNCTION("IFERROR(GOOGLEFINANCE(A924,""CHANGE""),)"),"")</f>
        <v/>
      </c>
      <c r="D924" s="60" t="str">
        <f>IFERROR(__xludf.DUMMYFUNCTION("IFERROR(GOOGLEFINANCE(A924,""CHANGEPCT""),)"),"")</f>
        <v/>
      </c>
      <c r="E924" s="60" t="str">
        <f t="shared" si="1"/>
        <v>%</v>
      </c>
      <c r="F924" s="60" t="str">
        <f t="shared" si="2"/>
        <v/>
      </c>
      <c r="G924" s="60" t="str">
        <f t="shared" si="3"/>
        <v/>
      </c>
      <c r="H924" s="60" t="str">
        <f>IFERROR(__xludf.DUMMYFUNCTION("IFERROR(GOOGLEFINANCE(A924,""PRICE""),)"),"")</f>
        <v/>
      </c>
      <c r="I924" s="61" t="str">
        <f>IFERROR(__xludf.DUMMYFUNCTION("IFERROR(GOOGLEFINANCE(A924,""VOLUME""),)"),"")</f>
        <v/>
      </c>
      <c r="J924" s="60" t="str">
        <f>IFERROR(__xludf.DUMMYFUNCTION("IFERROR(INDEX(SPLIT(A924,"":""),1,2),)"),"MOHOTAIND")</f>
        <v>MOHOTAIND</v>
      </c>
      <c r="K924" s="60" t="str">
        <f t="shared" si="4"/>
        <v/>
      </c>
      <c r="L924" s="60" t="str">
        <f t="shared" si="5"/>
        <v/>
      </c>
      <c r="M924" s="60" t="str">
        <f t="shared" si="6"/>
        <v/>
      </c>
      <c r="N924" s="62" t="str">
        <f>IFERROR(__xludf.DUMMYFUNCTION("IFERROR(GOOGLEFINANCE(A924,""TRADETIME""),)"),"")</f>
        <v/>
      </c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68" t="s">
        <v>971</v>
      </c>
      <c r="B925" s="64" t="str">
        <f>IFERROR(__xludf.DUMMYFUNCTION("IFERROR(GOOGLEFINANCE(A925,""NAME""),)"),"Moil Ltd")</f>
        <v>Moil Ltd</v>
      </c>
      <c r="C925" s="64">
        <f>IFERROR(__xludf.DUMMYFUNCTION("IFERROR(GOOGLEFINANCE(A925,""CHANGE""),)"),2.9)</f>
        <v>2.9</v>
      </c>
      <c r="D925" s="64">
        <f>IFERROR(__xludf.DUMMYFUNCTION("IFERROR(GOOGLEFINANCE(A925,""CHANGEPCT""),)"),1.01)</f>
        <v>1.01</v>
      </c>
      <c r="E925" s="64" t="str">
        <f t="shared" si="1"/>
        <v>1.01%</v>
      </c>
      <c r="F925" s="64">
        <f t="shared" si="2"/>
        <v>1.01</v>
      </c>
      <c r="G925" s="64" t="str">
        <f t="shared" si="3"/>
        <v/>
      </c>
      <c r="H925" s="64">
        <f>IFERROR(__xludf.DUMMYFUNCTION("IFERROR(GOOGLEFINANCE(A925,""PRICE""),)"),290.0)</f>
        <v>290</v>
      </c>
      <c r="I925" s="65">
        <f>IFERROR(__xludf.DUMMYFUNCTION("IFERROR(GOOGLEFINANCE(A925,""VOLUME""),)"),600439.0)</f>
        <v>600439</v>
      </c>
      <c r="J925" s="64" t="str">
        <f>IFERROR(__xludf.DUMMYFUNCTION("IFERROR(INDEX(SPLIT(A925,"":""),1,2),)"),"MOIL")</f>
        <v>MOIL</v>
      </c>
      <c r="K925" s="64">
        <f t="shared" si="4"/>
        <v>720</v>
      </c>
      <c r="L925" s="64" t="str">
        <f t="shared" si="5"/>
        <v/>
      </c>
      <c r="M925" s="64">
        <f t="shared" si="6"/>
        <v>366</v>
      </c>
      <c r="N925" s="66">
        <f>IFERROR(__xludf.DUMMYFUNCTION("IFERROR(GOOGLEFINANCE(A925,""TRADETIME""),)"),46086.64121527778)</f>
        <v>46086.64122</v>
      </c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67" t="s">
        <v>972</v>
      </c>
      <c r="B926" s="60" t="str">
        <f>IFERROR(__xludf.DUMMYFUNCTION("IFERROR(GOOGLEFINANCE(A926,""NAME""),)"),"Mold-Tek Technologies Ltd")</f>
        <v>Mold-Tek Technologies Ltd</v>
      </c>
      <c r="C926" s="60">
        <f>IFERROR(__xludf.DUMMYFUNCTION("IFERROR(GOOGLEFINANCE(A926,""CHANGE""),)"),-0.63)</f>
        <v>-0.63</v>
      </c>
      <c r="D926" s="60">
        <f>IFERROR(__xludf.DUMMYFUNCTION("IFERROR(GOOGLEFINANCE(A926,""CHANGEPCT""),)"),-0.51)</f>
        <v>-0.51</v>
      </c>
      <c r="E926" s="60" t="str">
        <f t="shared" si="1"/>
        <v>-0.51%</v>
      </c>
      <c r="F926" s="60" t="str">
        <f t="shared" si="2"/>
        <v/>
      </c>
      <c r="G926" s="60">
        <f t="shared" si="3"/>
        <v>-0.51</v>
      </c>
      <c r="H926" s="60">
        <f>IFERROR(__xludf.DUMMYFUNCTION("IFERROR(GOOGLEFINANCE(A926,""PRICE""),)"),122.75)</f>
        <v>122.75</v>
      </c>
      <c r="I926" s="61">
        <f>IFERROR(__xludf.DUMMYFUNCTION("IFERROR(GOOGLEFINANCE(A926,""VOLUME""),)"),29524.0)</f>
        <v>29524</v>
      </c>
      <c r="J926" s="60" t="str">
        <f>IFERROR(__xludf.DUMMYFUNCTION("IFERROR(INDEX(SPLIT(A926,"":""),1,2),)"),"MOLDTECH")</f>
        <v>MOLDTECH</v>
      </c>
      <c r="K926" s="60" t="str">
        <f t="shared" si="4"/>
        <v/>
      </c>
      <c r="L926" s="60">
        <f t="shared" si="5"/>
        <v>120</v>
      </c>
      <c r="M926" s="60">
        <f t="shared" si="6"/>
        <v>1060</v>
      </c>
      <c r="N926" s="62">
        <f>IFERROR(__xludf.DUMMYFUNCTION("IFERROR(GOOGLEFINANCE(A926,""TRADETIME""),)"),46086.64583333333)</f>
        <v>46086.64583</v>
      </c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68" t="s">
        <v>973</v>
      </c>
      <c r="B927" s="64" t="str">
        <f>IFERROR(__xludf.DUMMYFUNCTION("IFERROR(GOOGLEFINANCE(A927,""NAME""),)"),"Mold-Tek Packaging Ltd")</f>
        <v>Mold-Tek Packaging Ltd</v>
      </c>
      <c r="C927" s="64">
        <f>IFERROR(__xludf.DUMMYFUNCTION("IFERROR(GOOGLEFINANCE(A927,""CHANGE""),)"),16.9)</f>
        <v>16.9</v>
      </c>
      <c r="D927" s="64">
        <f>IFERROR(__xludf.DUMMYFUNCTION("IFERROR(GOOGLEFINANCE(A927,""CHANGEPCT""),)"),3.06)</f>
        <v>3.06</v>
      </c>
      <c r="E927" s="64" t="str">
        <f t="shared" si="1"/>
        <v>3.06%</v>
      </c>
      <c r="F927" s="64">
        <f t="shared" si="2"/>
        <v>3.06</v>
      </c>
      <c r="G927" s="64" t="str">
        <f t="shared" si="3"/>
        <v/>
      </c>
      <c r="H927" s="64">
        <f>IFERROR(__xludf.DUMMYFUNCTION("IFERROR(GOOGLEFINANCE(A927,""PRICE""),)"),570.0)</f>
        <v>570</v>
      </c>
      <c r="I927" s="65">
        <f>IFERROR(__xludf.DUMMYFUNCTION("IFERROR(GOOGLEFINANCE(A927,""VOLUME""),)"),107473.0)</f>
        <v>107473</v>
      </c>
      <c r="J927" s="64" t="str">
        <f>IFERROR(__xludf.DUMMYFUNCTION("IFERROR(INDEX(SPLIT(A927,"":""),1,2),)"),"MOLDTKPAC")</f>
        <v>MOLDTKPAC</v>
      </c>
      <c r="K927" s="64">
        <f t="shared" si="4"/>
        <v>246</v>
      </c>
      <c r="L927" s="64" t="str">
        <f t="shared" si="5"/>
        <v/>
      </c>
      <c r="M927" s="64">
        <f t="shared" si="6"/>
        <v>746</v>
      </c>
      <c r="N927" s="66">
        <f>IFERROR(__xludf.DUMMYFUNCTION("IFERROR(GOOGLEFINANCE(A927,""TRADETIME""),)"),46086.64583333333)</f>
        <v>46086.64583</v>
      </c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67" t="s">
        <v>974</v>
      </c>
      <c r="B928" s="60" t="str">
        <f>IFERROR(__xludf.DUMMYFUNCTION("IFERROR(GOOGLEFINANCE(A928,""NAME""),)"),"Monte Carlo Fashions Ltd")</f>
        <v>Monte Carlo Fashions Ltd</v>
      </c>
      <c r="C928" s="60">
        <f>IFERROR(__xludf.DUMMYFUNCTION("IFERROR(GOOGLEFINANCE(A928,""CHANGE""),)"),-12.65)</f>
        <v>-12.65</v>
      </c>
      <c r="D928" s="60">
        <f>IFERROR(__xludf.DUMMYFUNCTION("IFERROR(GOOGLEFINANCE(A928,""CHANGEPCT""),)"),-2.4)</f>
        <v>-2.4</v>
      </c>
      <c r="E928" s="60" t="str">
        <f t="shared" si="1"/>
        <v>-2.4%</v>
      </c>
      <c r="F928" s="60" t="str">
        <f t="shared" si="2"/>
        <v/>
      </c>
      <c r="G928" s="60">
        <f t="shared" si="3"/>
        <v>-2.4</v>
      </c>
      <c r="H928" s="60">
        <f>IFERROR(__xludf.DUMMYFUNCTION("IFERROR(GOOGLEFINANCE(A928,""PRICE""),)"),515.05)</f>
        <v>515.05</v>
      </c>
      <c r="I928" s="61">
        <f>IFERROR(__xludf.DUMMYFUNCTION("IFERROR(GOOGLEFINANCE(A928,""VOLUME""),)"),64106.0)</f>
        <v>64106</v>
      </c>
      <c r="J928" s="60" t="str">
        <f>IFERROR(__xludf.DUMMYFUNCTION("IFERROR(INDEX(SPLIT(A928,"":""),1,2),)"),"MONTECARLO")</f>
        <v>MONTECARLO</v>
      </c>
      <c r="K928" s="60" t="str">
        <f t="shared" si="4"/>
        <v/>
      </c>
      <c r="L928" s="60">
        <f t="shared" si="5"/>
        <v>384</v>
      </c>
      <c r="M928" s="60">
        <f t="shared" si="6"/>
        <v>861</v>
      </c>
      <c r="N928" s="62">
        <f>IFERROR(__xludf.DUMMYFUNCTION("IFERROR(GOOGLEFINANCE(A928,""TRADETIME""),)"),46086.64583333333)</f>
        <v>46086.64583</v>
      </c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68" t="s">
        <v>975</v>
      </c>
      <c r="B929" s="64" t="str">
        <f>IFERROR(__xludf.DUMMYFUNCTION("IFERROR(GOOGLEFINANCE(A929,""NAME""),)"),"Morarjee Textiles Ltd")</f>
        <v>Morarjee Textiles Ltd</v>
      </c>
      <c r="C929" s="64">
        <f>IFERROR(__xludf.DUMMYFUNCTION("IFERROR(GOOGLEFINANCE(A929,""CHANGE""),)"),0.26)</f>
        <v>0.26</v>
      </c>
      <c r="D929" s="64">
        <f>IFERROR(__xludf.DUMMYFUNCTION("IFERROR(GOOGLEFINANCE(A929,""CHANGEPCT""),)"),4.23)</f>
        <v>4.23</v>
      </c>
      <c r="E929" s="64" t="str">
        <f t="shared" si="1"/>
        <v>4.23%</v>
      </c>
      <c r="F929" s="64">
        <f t="shared" si="2"/>
        <v>4.23</v>
      </c>
      <c r="G929" s="64" t="str">
        <f t="shared" si="3"/>
        <v/>
      </c>
      <c r="H929" s="64">
        <f>IFERROR(__xludf.DUMMYFUNCTION("IFERROR(GOOGLEFINANCE(A929,""PRICE""),)"),6.4)</f>
        <v>6.4</v>
      </c>
      <c r="I929" s="65">
        <f>IFERROR(__xludf.DUMMYFUNCTION("IFERROR(GOOGLEFINANCE(A929,""VOLUME""),)"),2496.0)</f>
        <v>2496</v>
      </c>
      <c r="J929" s="64" t="str">
        <f>IFERROR(__xludf.DUMMYFUNCTION("IFERROR(INDEX(SPLIT(A929,"":""),1,2),)"),"MORARJEE")</f>
        <v>MORARJEE</v>
      </c>
      <c r="K929" s="64">
        <f t="shared" si="4"/>
        <v>129</v>
      </c>
      <c r="L929" s="64" t="str">
        <f t="shared" si="5"/>
        <v/>
      </c>
      <c r="M929" s="64">
        <f t="shared" si="6"/>
        <v>1393</v>
      </c>
      <c r="N929" s="66">
        <f>IFERROR(__xludf.DUMMYFUNCTION("IFERROR(GOOGLEFINANCE(A929,""TRADETIME""),)"),46086.64583333333)</f>
        <v>46086.64583</v>
      </c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67" t="s">
        <v>976</v>
      </c>
      <c r="B930" s="60" t="str">
        <f>IFERROR(__xludf.DUMMYFUNCTION("IFERROR(GOOGLEFINANCE(A930,""NAME""),)"),"Morepen Laboratories Ltd")</f>
        <v>Morepen Laboratories Ltd</v>
      </c>
      <c r="C930" s="60">
        <f>IFERROR(__xludf.DUMMYFUNCTION("IFERROR(GOOGLEFINANCE(A930,""CHANGE""),)"),0.3)</f>
        <v>0.3</v>
      </c>
      <c r="D930" s="60">
        <f>IFERROR(__xludf.DUMMYFUNCTION("IFERROR(GOOGLEFINANCE(A930,""CHANGEPCT""),)"),0.74)</f>
        <v>0.74</v>
      </c>
      <c r="E930" s="60" t="str">
        <f t="shared" si="1"/>
        <v>0.74%</v>
      </c>
      <c r="F930" s="60">
        <f t="shared" si="2"/>
        <v>0.74</v>
      </c>
      <c r="G930" s="60" t="str">
        <f t="shared" si="3"/>
        <v/>
      </c>
      <c r="H930" s="60">
        <f>IFERROR(__xludf.DUMMYFUNCTION("IFERROR(GOOGLEFINANCE(A930,""PRICE""),)"),40.91)</f>
        <v>40.91</v>
      </c>
      <c r="I930" s="61">
        <f>IFERROR(__xludf.DUMMYFUNCTION("IFERROR(GOOGLEFINANCE(A930,""VOLUME""),)"),5879874.0)</f>
        <v>5879874</v>
      </c>
      <c r="J930" s="60" t="str">
        <f>IFERROR(__xludf.DUMMYFUNCTION("IFERROR(INDEX(SPLIT(A930,"":""),1,2),)"),"MOREPENLAB")</f>
        <v>MOREPENLAB</v>
      </c>
      <c r="K930" s="60">
        <f t="shared" si="4"/>
        <v>809</v>
      </c>
      <c r="L930" s="60" t="str">
        <f t="shared" si="5"/>
        <v/>
      </c>
      <c r="M930" s="60">
        <f t="shared" si="6"/>
        <v>95</v>
      </c>
      <c r="N930" s="62">
        <f>IFERROR(__xludf.DUMMYFUNCTION("IFERROR(GOOGLEFINANCE(A930,""TRADETIME""),)"),46086.64585648148)</f>
        <v>46086.64586</v>
      </c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68" t="s">
        <v>977</v>
      </c>
      <c r="B931" s="64" t="str">
        <f>IFERROR(__xludf.DUMMYFUNCTION("IFERROR(GOOGLEFINANCE(A931,""NAME""),)"),"Samvardhana Motherson International Ltd")</f>
        <v>Samvardhana Motherson International Ltd</v>
      </c>
      <c r="C931" s="64">
        <f>IFERROR(__xludf.DUMMYFUNCTION("IFERROR(GOOGLEFINANCE(A931,""CHANGE""),)"),3.82)</f>
        <v>3.82</v>
      </c>
      <c r="D931" s="64">
        <f>IFERROR(__xludf.DUMMYFUNCTION("IFERROR(GOOGLEFINANCE(A931,""CHANGEPCT""),)"),3.11)</f>
        <v>3.11</v>
      </c>
      <c r="E931" s="64" t="str">
        <f t="shared" si="1"/>
        <v>3.11%</v>
      </c>
      <c r="F931" s="64">
        <f t="shared" si="2"/>
        <v>3.11</v>
      </c>
      <c r="G931" s="64" t="str">
        <f t="shared" si="3"/>
        <v/>
      </c>
      <c r="H931" s="64">
        <f>IFERROR(__xludf.DUMMYFUNCTION("IFERROR(GOOGLEFINANCE(A931,""PRICE""),)"),126.7)</f>
        <v>126.7</v>
      </c>
      <c r="I931" s="65">
        <f>IFERROR(__xludf.DUMMYFUNCTION("IFERROR(GOOGLEFINANCE(A931,""VOLUME""),)"),2.3398835E7)</f>
        <v>23398835</v>
      </c>
      <c r="J931" s="64" t="str">
        <f>IFERROR(__xludf.DUMMYFUNCTION("IFERROR(INDEX(SPLIT(A931,"":""),1,2),)"),"MOTHERSON")</f>
        <v>MOTHERSON</v>
      </c>
      <c r="K931" s="64">
        <f t="shared" si="4"/>
        <v>236</v>
      </c>
      <c r="L931" s="64" t="str">
        <f t="shared" si="5"/>
        <v/>
      </c>
      <c r="M931" s="64">
        <f t="shared" si="6"/>
        <v>22</v>
      </c>
      <c r="N931" s="66">
        <f>IFERROR(__xludf.DUMMYFUNCTION("IFERROR(GOOGLEFINANCE(A931,""TRADETIME""),)"),46086.64583333333)</f>
        <v>46086.64583</v>
      </c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67" t="s">
        <v>978</v>
      </c>
      <c r="B932" s="60" t="str">
        <f>IFERROR(__xludf.DUMMYFUNCTION("IFERROR(GOOGLEFINANCE(A932,""NAME""),)"),"Motilal Oswal Financial Services Ltd")</f>
        <v>Motilal Oswal Financial Services Ltd</v>
      </c>
      <c r="C932" s="60">
        <f>IFERROR(__xludf.DUMMYFUNCTION("IFERROR(GOOGLEFINANCE(A932,""CHANGE""),)"),21.7)</f>
        <v>21.7</v>
      </c>
      <c r="D932" s="60">
        <f>IFERROR(__xludf.DUMMYFUNCTION("IFERROR(GOOGLEFINANCE(A932,""CHANGEPCT""),)"),3.08)</f>
        <v>3.08</v>
      </c>
      <c r="E932" s="60" t="str">
        <f t="shared" si="1"/>
        <v>3.08%</v>
      </c>
      <c r="F932" s="60">
        <f t="shared" si="2"/>
        <v>3.08</v>
      </c>
      <c r="G932" s="60" t="str">
        <f t="shared" si="3"/>
        <v/>
      </c>
      <c r="H932" s="60">
        <f>IFERROR(__xludf.DUMMYFUNCTION("IFERROR(GOOGLEFINANCE(A932,""PRICE""),)"),727.25)</f>
        <v>727.25</v>
      </c>
      <c r="I932" s="61">
        <f>IFERROR(__xludf.DUMMYFUNCTION("IFERROR(GOOGLEFINANCE(A932,""VOLUME""),)"),706644.0)</f>
        <v>706644</v>
      </c>
      <c r="J932" s="60" t="str">
        <f>IFERROR(__xludf.DUMMYFUNCTION("IFERROR(INDEX(SPLIT(A932,"":""),1,2),)"),"MOTILALOFS")</f>
        <v>MOTILALOFS</v>
      </c>
      <c r="K932" s="60">
        <f t="shared" si="4"/>
        <v>243</v>
      </c>
      <c r="L932" s="60" t="str">
        <f t="shared" si="5"/>
        <v/>
      </c>
      <c r="M932" s="60">
        <f t="shared" si="6"/>
        <v>337</v>
      </c>
      <c r="N932" s="62">
        <f>IFERROR(__xludf.DUMMYFUNCTION("IFERROR(GOOGLEFINANCE(A932,""TRADETIME""),)"),46086.64583333333)</f>
        <v>46086.64583</v>
      </c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68" t="s">
        <v>979</v>
      </c>
      <c r="B933" s="64" t="str">
        <f>IFERROR(__xludf.DUMMYFUNCTION("IFERROR(GOOGLEFINANCE(A933,""NAME""),)"),"Motor and General Finance Ltd")</f>
        <v>Motor and General Finance Ltd</v>
      </c>
      <c r="C933" s="64">
        <f>IFERROR(__xludf.DUMMYFUNCTION("IFERROR(GOOGLEFINANCE(A933,""CHANGE""),)"),1.18)</f>
        <v>1.18</v>
      </c>
      <c r="D933" s="64">
        <f>IFERROR(__xludf.DUMMYFUNCTION("IFERROR(GOOGLEFINANCE(A933,""CHANGEPCT""),)"),5.86)</f>
        <v>5.86</v>
      </c>
      <c r="E933" s="64" t="str">
        <f t="shared" si="1"/>
        <v>5.86%</v>
      </c>
      <c r="F933" s="64">
        <f t="shared" si="2"/>
        <v>5.86</v>
      </c>
      <c r="G933" s="64" t="str">
        <f t="shared" si="3"/>
        <v/>
      </c>
      <c r="H933" s="64">
        <f>IFERROR(__xludf.DUMMYFUNCTION("IFERROR(GOOGLEFINANCE(A933,""PRICE""),)"),21.31)</f>
        <v>21.31</v>
      </c>
      <c r="I933" s="65">
        <f>IFERROR(__xludf.DUMMYFUNCTION("IFERROR(GOOGLEFINANCE(A933,""VOLUME""),)"),28808.0)</f>
        <v>28808</v>
      </c>
      <c r="J933" s="64" t="str">
        <f>IFERROR(__xludf.DUMMYFUNCTION("IFERROR(INDEX(SPLIT(A933,"":""),1,2),)"),"MOTOGENFIN")</f>
        <v>MOTOGENFIN</v>
      </c>
      <c r="K933" s="64">
        <f t="shared" si="4"/>
        <v>44</v>
      </c>
      <c r="L933" s="64" t="str">
        <f t="shared" si="5"/>
        <v/>
      </c>
      <c r="M933" s="64">
        <f t="shared" si="6"/>
        <v>1066</v>
      </c>
      <c r="N933" s="66">
        <f>IFERROR(__xludf.DUMMYFUNCTION("IFERROR(GOOGLEFINANCE(A933,""TRADETIME""),)"),46086.64583333333)</f>
        <v>46086.64583</v>
      </c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67" t="s">
        <v>980</v>
      </c>
      <c r="B934" s="60" t="str">
        <f>IFERROR(__xludf.DUMMYFUNCTION("IFERROR(GOOGLEFINANCE(A934,""NAME""),)"),"Mphasis Ltd")</f>
        <v>Mphasis Ltd</v>
      </c>
      <c r="C934" s="60">
        <f>IFERROR(__xludf.DUMMYFUNCTION("IFERROR(GOOGLEFINANCE(A934,""CHANGE""),)"),-36.3)</f>
        <v>-36.3</v>
      </c>
      <c r="D934" s="60">
        <f>IFERROR(__xludf.DUMMYFUNCTION("IFERROR(GOOGLEFINANCE(A934,""CHANGEPCT""),)"),-1.6)</f>
        <v>-1.6</v>
      </c>
      <c r="E934" s="60" t="str">
        <f t="shared" si="1"/>
        <v>-1.6%</v>
      </c>
      <c r="F934" s="60" t="str">
        <f t="shared" si="2"/>
        <v/>
      </c>
      <c r="G934" s="60">
        <f t="shared" si="3"/>
        <v>-1.6</v>
      </c>
      <c r="H934" s="60">
        <f>IFERROR(__xludf.DUMMYFUNCTION("IFERROR(GOOGLEFINANCE(A934,""PRICE""),)"),2230.9)</f>
        <v>2230.9</v>
      </c>
      <c r="I934" s="61">
        <f>IFERROR(__xludf.DUMMYFUNCTION("IFERROR(GOOGLEFINANCE(A934,""VOLUME""),)"),684676.0)</f>
        <v>684676</v>
      </c>
      <c r="J934" s="60" t="str">
        <f>IFERROR(__xludf.DUMMYFUNCTION("IFERROR(INDEX(SPLIT(A934,"":""),1,2),)"),"MPHASIS")</f>
        <v>MPHASIS</v>
      </c>
      <c r="K934" s="60" t="str">
        <f t="shared" si="4"/>
        <v/>
      </c>
      <c r="L934" s="60">
        <f t="shared" si="5"/>
        <v>301</v>
      </c>
      <c r="M934" s="60">
        <f t="shared" si="6"/>
        <v>342</v>
      </c>
      <c r="N934" s="62">
        <f>IFERROR(__xludf.DUMMYFUNCTION("IFERROR(GOOGLEFINANCE(A934,""TRADETIME""),)"),46086.64583333333)</f>
        <v>46086.64583</v>
      </c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68" t="s">
        <v>981</v>
      </c>
      <c r="B935" s="64" t="str">
        <f>IFERROR(__xludf.DUMMYFUNCTION("IFERROR(GOOGLEFINANCE(A935,""NAME""),)"),"Mps Ltd")</f>
        <v>Mps Ltd</v>
      </c>
      <c r="C935" s="64">
        <f>IFERROR(__xludf.DUMMYFUNCTION("IFERROR(GOOGLEFINANCE(A935,""CHANGE""),)"),-8.9)</f>
        <v>-8.9</v>
      </c>
      <c r="D935" s="64">
        <f>IFERROR(__xludf.DUMMYFUNCTION("IFERROR(GOOGLEFINANCE(A935,""CHANGEPCT""),)"),-0.62)</f>
        <v>-0.62</v>
      </c>
      <c r="E935" s="64" t="str">
        <f t="shared" si="1"/>
        <v>-0.62%</v>
      </c>
      <c r="F935" s="64" t="str">
        <f t="shared" si="2"/>
        <v/>
      </c>
      <c r="G935" s="64">
        <f t="shared" si="3"/>
        <v>-0.62</v>
      </c>
      <c r="H935" s="64">
        <f>IFERROR(__xludf.DUMMYFUNCTION("IFERROR(GOOGLEFINANCE(A935,""PRICE""),)"),1425.1)</f>
        <v>1425.1</v>
      </c>
      <c r="I935" s="65">
        <f>IFERROR(__xludf.DUMMYFUNCTION("IFERROR(GOOGLEFINANCE(A935,""VOLUME""),)"),26539.0)</f>
        <v>26539</v>
      </c>
      <c r="J935" s="64" t="str">
        <f>IFERROR(__xludf.DUMMYFUNCTION("IFERROR(INDEX(SPLIT(A935,"":""),1,2),)"),"MPSLTD")</f>
        <v>MPSLTD</v>
      </c>
      <c r="K935" s="64" t="str">
        <f t="shared" si="4"/>
        <v/>
      </c>
      <c r="L935" s="64">
        <f t="shared" si="5"/>
        <v>150</v>
      </c>
      <c r="M935" s="64">
        <f t="shared" si="6"/>
        <v>1081</v>
      </c>
      <c r="N935" s="66">
        <f>IFERROR(__xludf.DUMMYFUNCTION("IFERROR(GOOGLEFINANCE(A935,""TRADETIME""),)"),46086.64583333333)</f>
        <v>46086.64583</v>
      </c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67" t="s">
        <v>982</v>
      </c>
      <c r="B936" s="60" t="str">
        <f>IFERROR(__xludf.DUMMYFUNCTION("IFERROR(GOOGLEFINANCE(A936,""NAME""),)"),"MRF Ltd")</f>
        <v>MRF Ltd</v>
      </c>
      <c r="C936" s="60">
        <f>IFERROR(__xludf.DUMMYFUNCTION("IFERROR(GOOGLEFINANCE(A936,""CHANGE""),)"),4950.0)</f>
        <v>4950</v>
      </c>
      <c r="D936" s="60">
        <f>IFERROR(__xludf.DUMMYFUNCTION("IFERROR(GOOGLEFINANCE(A936,""CHANGEPCT""),)"),3.67)</f>
        <v>3.67</v>
      </c>
      <c r="E936" s="60" t="str">
        <f t="shared" si="1"/>
        <v>3.67%</v>
      </c>
      <c r="F936" s="60">
        <f t="shared" si="2"/>
        <v>3.67</v>
      </c>
      <c r="G936" s="60" t="str">
        <f t="shared" si="3"/>
        <v/>
      </c>
      <c r="H936" s="60">
        <f>IFERROR(__xludf.DUMMYFUNCTION("IFERROR(GOOGLEFINANCE(A936,""PRICE""),)"),140200.0)</f>
        <v>140200</v>
      </c>
      <c r="I936" s="61">
        <f>IFERROR(__xludf.DUMMYFUNCTION("IFERROR(GOOGLEFINANCE(A936,""VOLUME""),)"),12554.0)</f>
        <v>12554</v>
      </c>
      <c r="J936" s="60" t="str">
        <f>IFERROR(__xludf.DUMMYFUNCTION("IFERROR(INDEX(SPLIT(A936,"":""),1,2),)"),"MRF")</f>
        <v>MRF</v>
      </c>
      <c r="K936" s="60">
        <f t="shared" si="4"/>
        <v>176</v>
      </c>
      <c r="L936" s="60" t="str">
        <f t="shared" si="5"/>
        <v/>
      </c>
      <c r="M936" s="60">
        <f t="shared" si="6"/>
        <v>1221</v>
      </c>
      <c r="N936" s="62">
        <f>IFERROR(__xludf.DUMMYFUNCTION("IFERROR(GOOGLEFINANCE(A936,""TRADETIME""),)"),46086.64583333333)</f>
        <v>46086.64583</v>
      </c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68" t="s">
        <v>983</v>
      </c>
      <c r="B937" s="64" t="str">
        <f>IFERROR(__xludf.DUMMYFUNCTION("IFERROR(GOOGLEFINANCE(A937,""NAME""),)"),"")</f>
        <v/>
      </c>
      <c r="C937" s="64" t="str">
        <f>IFERROR(__xludf.DUMMYFUNCTION("IFERROR(GOOGLEFINANCE(A937,""CHANGE""),)"),"")</f>
        <v/>
      </c>
      <c r="D937" s="64" t="str">
        <f>IFERROR(__xludf.DUMMYFUNCTION("IFERROR(GOOGLEFINANCE(A937,""CHANGEPCT""),)"),"")</f>
        <v/>
      </c>
      <c r="E937" s="64" t="str">
        <f t="shared" si="1"/>
        <v>%</v>
      </c>
      <c r="F937" s="64" t="str">
        <f t="shared" si="2"/>
        <v/>
      </c>
      <c r="G937" s="64" t="str">
        <f t="shared" si="3"/>
        <v/>
      </c>
      <c r="H937" s="64" t="str">
        <f>IFERROR(__xludf.DUMMYFUNCTION("IFERROR(GOOGLEFINANCE(A937,""PRICE""),)"),"")</f>
        <v/>
      </c>
      <c r="I937" s="65" t="str">
        <f>IFERROR(__xludf.DUMMYFUNCTION("IFERROR(GOOGLEFINANCE(A937,""VOLUME""),)"),"")</f>
        <v/>
      </c>
      <c r="J937" s="64" t="str">
        <f>IFERROR(__xludf.DUMMYFUNCTION("IFERROR(INDEX(SPLIT(A937,"":""),1,2),)"),"MRO-TEK")</f>
        <v>MRO-TEK</v>
      </c>
      <c r="K937" s="64" t="str">
        <f t="shared" si="4"/>
        <v/>
      </c>
      <c r="L937" s="64" t="str">
        <f t="shared" si="5"/>
        <v/>
      </c>
      <c r="M937" s="64" t="str">
        <f t="shared" si="6"/>
        <v/>
      </c>
      <c r="N937" s="66" t="str">
        <f>IFERROR(__xludf.DUMMYFUNCTION("IFERROR(GOOGLEFINANCE(A937,""TRADETIME""),)"),"")</f>
        <v/>
      </c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67" t="s">
        <v>984</v>
      </c>
      <c r="B938" s="60" t="str">
        <f>IFERROR(__xludf.DUMMYFUNCTION("IFERROR(GOOGLEFINANCE(A938,""NAME""),)"),"Mangalore Refinery and Petrochmcls Ltd")</f>
        <v>Mangalore Refinery and Petrochmcls Ltd</v>
      </c>
      <c r="C938" s="60">
        <f>IFERROR(__xludf.DUMMYFUNCTION("IFERROR(GOOGLEFINANCE(A938,""CHANGE""),)"),4.44)</f>
        <v>4.44</v>
      </c>
      <c r="D938" s="60">
        <f>IFERROR(__xludf.DUMMYFUNCTION("IFERROR(GOOGLEFINANCE(A938,""CHANGEPCT""),)"),2.32)</f>
        <v>2.32</v>
      </c>
      <c r="E938" s="60" t="str">
        <f t="shared" si="1"/>
        <v>2.32%</v>
      </c>
      <c r="F938" s="60">
        <f t="shared" si="2"/>
        <v>2.32</v>
      </c>
      <c r="G938" s="60" t="str">
        <f t="shared" si="3"/>
        <v/>
      </c>
      <c r="H938" s="60">
        <f>IFERROR(__xludf.DUMMYFUNCTION("IFERROR(GOOGLEFINANCE(A938,""PRICE""),)"),197.44)</f>
        <v>197.44</v>
      </c>
      <c r="I938" s="61">
        <f>IFERROR(__xludf.DUMMYFUNCTION("IFERROR(GOOGLEFINANCE(A938,""VOLUME""),)"),2.0844385E7)</f>
        <v>20844385</v>
      </c>
      <c r="J938" s="60" t="str">
        <f>IFERROR(__xludf.DUMMYFUNCTION("IFERROR(INDEX(SPLIT(A938,"":""),1,2),)"),"MRPL")</f>
        <v>MRPL</v>
      </c>
      <c r="K938" s="60">
        <f t="shared" si="4"/>
        <v>372</v>
      </c>
      <c r="L938" s="60" t="str">
        <f t="shared" si="5"/>
        <v/>
      </c>
      <c r="M938" s="60">
        <f t="shared" si="6"/>
        <v>25</v>
      </c>
      <c r="N938" s="62">
        <f>IFERROR(__xludf.DUMMYFUNCTION("IFERROR(GOOGLEFINANCE(A938,""TRADETIME""),)"),46086.64585648148)</f>
        <v>46086.64586</v>
      </c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68" t="s">
        <v>985</v>
      </c>
      <c r="B939" s="64" t="str">
        <f>IFERROR(__xludf.DUMMYFUNCTION("IFERROR(GOOGLEFINANCE(A939,""NAME""),)"),"MSP Steel &amp; Power Ltd")</f>
        <v>MSP Steel &amp; Power Ltd</v>
      </c>
      <c r="C939" s="64">
        <f>IFERROR(__xludf.DUMMYFUNCTION("IFERROR(GOOGLEFINANCE(A939,""CHANGE""),)"),-0.09)</f>
        <v>-0.09</v>
      </c>
      <c r="D939" s="64">
        <f>IFERROR(__xludf.DUMMYFUNCTION("IFERROR(GOOGLEFINANCE(A939,""CHANGEPCT""),)"),-0.28)</f>
        <v>-0.28</v>
      </c>
      <c r="E939" s="64" t="str">
        <f t="shared" si="1"/>
        <v>-0.28%</v>
      </c>
      <c r="F939" s="64" t="str">
        <f t="shared" si="2"/>
        <v/>
      </c>
      <c r="G939" s="64">
        <f t="shared" si="3"/>
        <v>-0.28</v>
      </c>
      <c r="H939" s="64">
        <f>IFERROR(__xludf.DUMMYFUNCTION("IFERROR(GOOGLEFINANCE(A939,""PRICE""),)"),31.5)</f>
        <v>31.5</v>
      </c>
      <c r="I939" s="65">
        <f>IFERROR(__xludf.DUMMYFUNCTION("IFERROR(GOOGLEFINANCE(A939,""VOLUME""),)"),2103892.0)</f>
        <v>2103892</v>
      </c>
      <c r="J939" s="64" t="str">
        <f>IFERROR(__xludf.DUMMYFUNCTION("IFERROR(INDEX(SPLIT(A939,"":""),1,2),)"),"MSPL")</f>
        <v>MSPL</v>
      </c>
      <c r="K939" s="64" t="str">
        <f t="shared" si="4"/>
        <v/>
      </c>
      <c r="L939" s="64">
        <f t="shared" si="5"/>
        <v>73</v>
      </c>
      <c r="M939" s="64">
        <f t="shared" si="6"/>
        <v>191</v>
      </c>
      <c r="N939" s="66">
        <f>IFERROR(__xludf.DUMMYFUNCTION("IFERROR(GOOGLEFINANCE(A939,""TRADETIME""),)"),46086.64583333333)</f>
        <v>46086.64583</v>
      </c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67" t="s">
        <v>986</v>
      </c>
      <c r="B940" s="60" t="str">
        <f>IFERROR(__xludf.DUMMYFUNCTION("IFERROR(GOOGLEFINANCE(A940,""NAME""),)"),"MSTC Ltd")</f>
        <v>MSTC Ltd</v>
      </c>
      <c r="C940" s="60">
        <f>IFERROR(__xludf.DUMMYFUNCTION("IFERROR(GOOGLEFINANCE(A940,""CHANGE""),)"),-0.55)</f>
        <v>-0.55</v>
      </c>
      <c r="D940" s="60">
        <f>IFERROR(__xludf.DUMMYFUNCTION("IFERROR(GOOGLEFINANCE(A940,""CHANGEPCT""),)"),-0.12)</f>
        <v>-0.12</v>
      </c>
      <c r="E940" s="60" t="str">
        <f t="shared" si="1"/>
        <v>-0.12%</v>
      </c>
      <c r="F940" s="60" t="str">
        <f t="shared" si="2"/>
        <v/>
      </c>
      <c r="G940" s="60">
        <f t="shared" si="3"/>
        <v>-0.12</v>
      </c>
      <c r="H940" s="60">
        <f>IFERROR(__xludf.DUMMYFUNCTION("IFERROR(GOOGLEFINANCE(A940,""PRICE""),)"),440.5)</f>
        <v>440.5</v>
      </c>
      <c r="I940" s="61">
        <f>IFERROR(__xludf.DUMMYFUNCTION("IFERROR(GOOGLEFINANCE(A940,""VOLUME""),)"),125594.0)</f>
        <v>125594</v>
      </c>
      <c r="J940" s="60" t="str">
        <f>IFERROR(__xludf.DUMMYFUNCTION("IFERROR(INDEX(SPLIT(A940,"":""),1,2),)"),"MSTCLTD")</f>
        <v>MSTCLTD</v>
      </c>
      <c r="K940" s="60" t="str">
        <f t="shared" si="4"/>
        <v/>
      </c>
      <c r="L940" s="60">
        <f t="shared" si="5"/>
        <v>34</v>
      </c>
      <c r="M940" s="60">
        <f t="shared" si="6"/>
        <v>712</v>
      </c>
      <c r="N940" s="62">
        <f>IFERROR(__xludf.DUMMYFUNCTION("IFERROR(GOOGLEFINANCE(A940,""TRADETIME""),)"),46086.64387731481)</f>
        <v>46086.64388</v>
      </c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68" t="s">
        <v>987</v>
      </c>
      <c r="B941" s="64" t="str">
        <f>IFERROR(__xludf.DUMMYFUNCTION("IFERROR(GOOGLEFINANCE(A941,""NAME""),)"),"MT Educare Ltd")</f>
        <v>MT Educare Ltd</v>
      </c>
      <c r="C941" s="64">
        <f>IFERROR(__xludf.DUMMYFUNCTION("IFERROR(GOOGLEFINANCE(A941,""CHANGE""),)"),0.05)</f>
        <v>0.05</v>
      </c>
      <c r="D941" s="64">
        <f>IFERROR(__xludf.DUMMYFUNCTION("IFERROR(GOOGLEFINANCE(A941,""CHANGEPCT""),)"),3.55)</f>
        <v>3.55</v>
      </c>
      <c r="E941" s="64" t="str">
        <f t="shared" si="1"/>
        <v>3.55%</v>
      </c>
      <c r="F941" s="64">
        <f t="shared" si="2"/>
        <v>3.55</v>
      </c>
      <c r="G941" s="64" t="str">
        <f t="shared" si="3"/>
        <v/>
      </c>
      <c r="H941" s="64">
        <f>IFERROR(__xludf.DUMMYFUNCTION("IFERROR(GOOGLEFINANCE(A941,""PRICE""),)"),1.46)</f>
        <v>1.46</v>
      </c>
      <c r="I941" s="65">
        <f>IFERROR(__xludf.DUMMYFUNCTION("IFERROR(GOOGLEFINANCE(A941,""VOLUME""),)"),4789.0)</f>
        <v>4789</v>
      </c>
      <c r="J941" s="64" t="str">
        <f>IFERROR(__xludf.DUMMYFUNCTION("IFERROR(INDEX(SPLIT(A941,"":""),1,2),)"),"MTEDUCARE")</f>
        <v>MTEDUCARE</v>
      </c>
      <c r="K941" s="64">
        <f t="shared" si="4"/>
        <v>189</v>
      </c>
      <c r="L941" s="64" t="str">
        <f t="shared" si="5"/>
        <v/>
      </c>
      <c r="M941" s="64">
        <f t="shared" si="6"/>
        <v>1348</v>
      </c>
      <c r="N941" s="66">
        <f>IFERROR(__xludf.DUMMYFUNCTION("IFERROR(GOOGLEFINANCE(A941,""TRADETIME""),)"),46086.64583333333)</f>
        <v>46086.64583</v>
      </c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67" t="s">
        <v>988</v>
      </c>
      <c r="B942" s="60" t="str">
        <f>IFERROR(__xludf.DUMMYFUNCTION("IFERROR(GOOGLEFINANCE(A942,""NAME""),)"),"Mahanagar Telephone Nigam Ltd")</f>
        <v>Mahanagar Telephone Nigam Ltd</v>
      </c>
      <c r="C942" s="60">
        <f>IFERROR(__xludf.DUMMYFUNCTION("IFERROR(GOOGLEFINANCE(A942,""CHANGE""),)"),0.18)</f>
        <v>0.18</v>
      </c>
      <c r="D942" s="60">
        <f>IFERROR(__xludf.DUMMYFUNCTION("IFERROR(GOOGLEFINANCE(A942,""CHANGEPCT""),)"),0.67)</f>
        <v>0.67</v>
      </c>
      <c r="E942" s="60" t="str">
        <f t="shared" si="1"/>
        <v>0.67%</v>
      </c>
      <c r="F942" s="60">
        <f t="shared" si="2"/>
        <v>0.67</v>
      </c>
      <c r="G942" s="60" t="str">
        <f t="shared" si="3"/>
        <v/>
      </c>
      <c r="H942" s="60">
        <f>IFERROR(__xludf.DUMMYFUNCTION("IFERROR(GOOGLEFINANCE(A942,""PRICE""),)"),27.23)</f>
        <v>27.23</v>
      </c>
      <c r="I942" s="61">
        <f>IFERROR(__xludf.DUMMYFUNCTION("IFERROR(GOOGLEFINANCE(A942,""VOLUME""),)"),1879358.0)</f>
        <v>1879358</v>
      </c>
      <c r="J942" s="60" t="str">
        <f>IFERROR(__xludf.DUMMYFUNCTION("IFERROR(INDEX(SPLIT(A942,"":""),1,2),)"),"MTNL")</f>
        <v>MTNL</v>
      </c>
      <c r="K942" s="60">
        <f t="shared" si="4"/>
        <v>828</v>
      </c>
      <c r="L942" s="60" t="str">
        <f t="shared" si="5"/>
        <v/>
      </c>
      <c r="M942" s="60">
        <f t="shared" si="6"/>
        <v>216</v>
      </c>
      <c r="N942" s="62">
        <f>IFERROR(__xludf.DUMMYFUNCTION("IFERROR(GOOGLEFINANCE(A942,""TRADETIME""),)"),46086.64583333333)</f>
        <v>46086.64583</v>
      </c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68" t="s">
        <v>989</v>
      </c>
      <c r="B943" s="64" t="str">
        <f>IFERROR(__xludf.DUMMYFUNCTION("IFERROR(GOOGLEFINANCE(A943,""NAME""),)"),"Mukand Ltd")</f>
        <v>Mukand Ltd</v>
      </c>
      <c r="C943" s="64">
        <f>IFERROR(__xludf.DUMMYFUNCTION("IFERROR(GOOGLEFINANCE(A943,""CHANGE""),)"),3.21)</f>
        <v>3.21</v>
      </c>
      <c r="D943" s="64">
        <f>IFERROR(__xludf.DUMMYFUNCTION("IFERROR(GOOGLEFINANCE(A943,""CHANGEPCT""),)"),2.61)</f>
        <v>2.61</v>
      </c>
      <c r="E943" s="64" t="str">
        <f t="shared" si="1"/>
        <v>2.61%</v>
      </c>
      <c r="F943" s="64">
        <f t="shared" si="2"/>
        <v>2.61</v>
      </c>
      <c r="G943" s="64" t="str">
        <f t="shared" si="3"/>
        <v/>
      </c>
      <c r="H943" s="64">
        <f>IFERROR(__xludf.DUMMYFUNCTION("IFERROR(GOOGLEFINANCE(A943,""PRICE""),)"),126.25)</f>
        <v>126.25</v>
      </c>
      <c r="I943" s="65">
        <f>IFERROR(__xludf.DUMMYFUNCTION("IFERROR(GOOGLEFINANCE(A943,""VOLUME""),)"),77039.0)</f>
        <v>77039</v>
      </c>
      <c r="J943" s="64" t="str">
        <f>IFERROR(__xludf.DUMMYFUNCTION("IFERROR(INDEX(SPLIT(A943,"":""),1,2),)"),"MUKANDLTD")</f>
        <v>MUKANDLTD</v>
      </c>
      <c r="K943" s="64">
        <f t="shared" si="4"/>
        <v>321</v>
      </c>
      <c r="L943" s="64" t="str">
        <f t="shared" si="5"/>
        <v/>
      </c>
      <c r="M943" s="64">
        <f t="shared" si="6"/>
        <v>822</v>
      </c>
      <c r="N943" s="66">
        <f>IFERROR(__xludf.DUMMYFUNCTION("IFERROR(GOOGLEFINANCE(A943,""TRADETIME""),)"),46086.64583333333)</f>
        <v>46086.64583</v>
      </c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67" t="s">
        <v>990</v>
      </c>
      <c r="B944" s="60" t="str">
        <f>IFERROR(__xludf.DUMMYFUNCTION("IFERROR(GOOGLEFINANCE(A944,""NAME""),)"),"Mukta Arts Ltd")</f>
        <v>Mukta Arts Ltd</v>
      </c>
      <c r="C944" s="60">
        <f>IFERROR(__xludf.DUMMYFUNCTION("IFERROR(GOOGLEFINANCE(A944,""CHANGE""),)"),1.62)</f>
        <v>1.62</v>
      </c>
      <c r="D944" s="60">
        <f>IFERROR(__xludf.DUMMYFUNCTION("IFERROR(GOOGLEFINANCE(A944,""CHANGEPCT""),)"),3.14)</f>
        <v>3.14</v>
      </c>
      <c r="E944" s="60" t="str">
        <f t="shared" si="1"/>
        <v>3.14%</v>
      </c>
      <c r="F944" s="60">
        <f t="shared" si="2"/>
        <v>3.14</v>
      </c>
      <c r="G944" s="60" t="str">
        <f t="shared" si="3"/>
        <v/>
      </c>
      <c r="H944" s="60">
        <f>IFERROR(__xludf.DUMMYFUNCTION("IFERROR(GOOGLEFINANCE(A944,""PRICE""),)"),53.15)</f>
        <v>53.15</v>
      </c>
      <c r="I944" s="61">
        <f>IFERROR(__xludf.DUMMYFUNCTION("IFERROR(GOOGLEFINANCE(A944,""VOLUME""),)"),5722.0)</f>
        <v>5722</v>
      </c>
      <c r="J944" s="60" t="str">
        <f>IFERROR(__xludf.DUMMYFUNCTION("IFERROR(INDEX(SPLIT(A944,"":""),1,2),)"),"MUKTAARTS")</f>
        <v>MUKTAARTS</v>
      </c>
      <c r="K944" s="60">
        <f t="shared" si="4"/>
        <v>232</v>
      </c>
      <c r="L944" s="60" t="str">
        <f t="shared" si="5"/>
        <v/>
      </c>
      <c r="M944" s="60">
        <f t="shared" si="6"/>
        <v>1330</v>
      </c>
      <c r="N944" s="62">
        <f>IFERROR(__xludf.DUMMYFUNCTION("IFERROR(GOOGLEFINANCE(A944,""TRADETIME""),)"),46086.63207175926)</f>
        <v>46086.63207</v>
      </c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68" t="s">
        <v>991</v>
      </c>
      <c r="B945" s="64" t="str">
        <f>IFERROR(__xludf.DUMMYFUNCTION("IFERROR(GOOGLEFINANCE(A945,""NAME""),)"),"Munjal Auto Industries Ltd")</f>
        <v>Munjal Auto Industries Ltd</v>
      </c>
      <c r="C945" s="64">
        <f>IFERROR(__xludf.DUMMYFUNCTION("IFERROR(GOOGLEFINANCE(A945,""CHANGE""),)"),1.72)</f>
        <v>1.72</v>
      </c>
      <c r="D945" s="64">
        <f>IFERROR(__xludf.DUMMYFUNCTION("IFERROR(GOOGLEFINANCE(A945,""CHANGEPCT""),)"),2.28)</f>
        <v>2.28</v>
      </c>
      <c r="E945" s="64" t="str">
        <f t="shared" si="1"/>
        <v>2.28%</v>
      </c>
      <c r="F945" s="64">
        <f t="shared" si="2"/>
        <v>2.28</v>
      </c>
      <c r="G945" s="64" t="str">
        <f t="shared" si="3"/>
        <v/>
      </c>
      <c r="H945" s="64">
        <f>IFERROR(__xludf.DUMMYFUNCTION("IFERROR(GOOGLEFINANCE(A945,""PRICE""),)"),77.27)</f>
        <v>77.27</v>
      </c>
      <c r="I945" s="65">
        <f>IFERROR(__xludf.DUMMYFUNCTION("IFERROR(GOOGLEFINANCE(A945,""VOLUME""),)"),119464.0)</f>
        <v>119464</v>
      </c>
      <c r="J945" s="64" t="str">
        <f>IFERROR(__xludf.DUMMYFUNCTION("IFERROR(INDEX(SPLIT(A945,"":""),1,2),)"),"MUNJALAU")</f>
        <v>MUNJALAU</v>
      </c>
      <c r="K945" s="64">
        <f t="shared" si="4"/>
        <v>380</v>
      </c>
      <c r="L945" s="64" t="str">
        <f t="shared" si="5"/>
        <v/>
      </c>
      <c r="M945" s="64">
        <f t="shared" si="6"/>
        <v>724</v>
      </c>
      <c r="N945" s="66">
        <f>IFERROR(__xludf.DUMMYFUNCTION("IFERROR(GOOGLEFINANCE(A945,""TRADETIME""),)"),46086.64583333333)</f>
        <v>46086.64583</v>
      </c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67" t="s">
        <v>992</v>
      </c>
      <c r="B946" s="60" t="str">
        <f>IFERROR(__xludf.DUMMYFUNCTION("IFERROR(GOOGLEFINANCE(A946,""NAME""),)"),"Munjal Showa Ltd")</f>
        <v>Munjal Showa Ltd</v>
      </c>
      <c r="C946" s="60">
        <f>IFERROR(__xludf.DUMMYFUNCTION("IFERROR(GOOGLEFINANCE(A946,""CHANGE""),)"),-2.18)</f>
        <v>-2.18</v>
      </c>
      <c r="D946" s="60">
        <f>IFERROR(__xludf.DUMMYFUNCTION("IFERROR(GOOGLEFINANCE(A946,""CHANGEPCT""),)"),-1.68)</f>
        <v>-1.68</v>
      </c>
      <c r="E946" s="60" t="str">
        <f t="shared" si="1"/>
        <v>-1.68%</v>
      </c>
      <c r="F946" s="60" t="str">
        <f t="shared" si="2"/>
        <v/>
      </c>
      <c r="G946" s="60">
        <f t="shared" si="3"/>
        <v>-1.68</v>
      </c>
      <c r="H946" s="60">
        <f>IFERROR(__xludf.DUMMYFUNCTION("IFERROR(GOOGLEFINANCE(A946,""PRICE""),)"),127.63)</f>
        <v>127.63</v>
      </c>
      <c r="I946" s="61">
        <f>IFERROR(__xludf.DUMMYFUNCTION("IFERROR(GOOGLEFINANCE(A946,""VOLUME""),)"),54836.0)</f>
        <v>54836</v>
      </c>
      <c r="J946" s="60" t="str">
        <f>IFERROR(__xludf.DUMMYFUNCTION("IFERROR(INDEX(SPLIT(A946,"":""),1,2),)"),"MUNJALSHOW")</f>
        <v>MUNJALSHOW</v>
      </c>
      <c r="K946" s="60" t="str">
        <f t="shared" si="4"/>
        <v/>
      </c>
      <c r="L946" s="60">
        <f t="shared" si="5"/>
        <v>307</v>
      </c>
      <c r="M946" s="60">
        <f t="shared" si="6"/>
        <v>907</v>
      </c>
      <c r="N946" s="62">
        <f>IFERROR(__xludf.DUMMYFUNCTION("IFERROR(GOOGLEFINANCE(A946,""TRADETIME""),)"),46086.64583333333)</f>
        <v>46086.64583</v>
      </c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68" t="s">
        <v>993</v>
      </c>
      <c r="B947" s="64" t="str">
        <f>IFERROR(__xludf.DUMMYFUNCTION("IFERROR(GOOGLEFINANCE(A947,""NAME""),)"),"Murudeshwar Ceramics Ltd")</f>
        <v>Murudeshwar Ceramics Ltd</v>
      </c>
      <c r="C947" s="64">
        <f>IFERROR(__xludf.DUMMYFUNCTION("IFERROR(GOOGLEFINANCE(A947,""CHANGE""),)"),1.06)</f>
        <v>1.06</v>
      </c>
      <c r="D947" s="64">
        <f>IFERROR(__xludf.DUMMYFUNCTION("IFERROR(GOOGLEFINANCE(A947,""CHANGEPCT""),)"),3.05)</f>
        <v>3.05</v>
      </c>
      <c r="E947" s="64" t="str">
        <f t="shared" si="1"/>
        <v>3.05%</v>
      </c>
      <c r="F947" s="64">
        <f t="shared" si="2"/>
        <v>3.05</v>
      </c>
      <c r="G947" s="64" t="str">
        <f t="shared" si="3"/>
        <v/>
      </c>
      <c r="H947" s="64">
        <f>IFERROR(__xludf.DUMMYFUNCTION("IFERROR(GOOGLEFINANCE(A947,""PRICE""),)"),31.85)</f>
        <v>31.85</v>
      </c>
      <c r="I947" s="65">
        <f>IFERROR(__xludf.DUMMYFUNCTION("IFERROR(GOOGLEFINANCE(A947,""VOLUME""),)"),12211.0)</f>
        <v>12211</v>
      </c>
      <c r="J947" s="64" t="str">
        <f>IFERROR(__xludf.DUMMYFUNCTION("IFERROR(INDEX(SPLIT(A947,"":""),1,2),)"),"MURUDCERA")</f>
        <v>MURUDCERA</v>
      </c>
      <c r="K947" s="64">
        <f t="shared" si="4"/>
        <v>249</v>
      </c>
      <c r="L947" s="64" t="str">
        <f t="shared" si="5"/>
        <v/>
      </c>
      <c r="M947" s="64">
        <f t="shared" si="6"/>
        <v>1228</v>
      </c>
      <c r="N947" s="66">
        <f>IFERROR(__xludf.DUMMYFUNCTION("IFERROR(GOOGLEFINANCE(A947,""TRADETIME""),)"),46086.64583333333)</f>
        <v>46086.64583</v>
      </c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67" t="s">
        <v>994</v>
      </c>
      <c r="B948" s="60" t="str">
        <f>IFERROR(__xludf.DUMMYFUNCTION("IFERROR(GOOGLEFINANCE(A948,""NAME""),)"),"Muthoot Capital Services Ltd")</f>
        <v>Muthoot Capital Services Ltd</v>
      </c>
      <c r="C948" s="60">
        <f>IFERROR(__xludf.DUMMYFUNCTION("IFERROR(GOOGLEFINANCE(A948,""CHANGE""),)"),0.07)</f>
        <v>0.07</v>
      </c>
      <c r="D948" s="60">
        <f>IFERROR(__xludf.DUMMYFUNCTION("IFERROR(GOOGLEFINANCE(A948,""CHANGEPCT""),)"),0.03)</f>
        <v>0.03</v>
      </c>
      <c r="E948" s="60" t="str">
        <f t="shared" si="1"/>
        <v>0.03%</v>
      </c>
      <c r="F948" s="60">
        <f t="shared" si="2"/>
        <v>0.03</v>
      </c>
      <c r="G948" s="60" t="str">
        <f t="shared" si="3"/>
        <v/>
      </c>
      <c r="H948" s="60">
        <f>IFERROR(__xludf.DUMMYFUNCTION("IFERROR(GOOGLEFINANCE(A948,""PRICE""),)"),211.6)</f>
        <v>211.6</v>
      </c>
      <c r="I948" s="61">
        <f>IFERROR(__xludf.DUMMYFUNCTION("IFERROR(GOOGLEFINANCE(A948,""VOLUME""),)"),27021.0)</f>
        <v>27021</v>
      </c>
      <c r="J948" s="60" t="str">
        <f>IFERROR(__xludf.DUMMYFUNCTION("IFERROR(INDEX(SPLIT(A948,"":""),1,2),)"),"MUTHOOTCAP")</f>
        <v>MUTHOOTCAP</v>
      </c>
      <c r="K948" s="60">
        <f t="shared" si="4"/>
        <v>994</v>
      </c>
      <c r="L948" s="60" t="str">
        <f t="shared" si="5"/>
        <v/>
      </c>
      <c r="M948" s="60">
        <f t="shared" si="6"/>
        <v>1078</v>
      </c>
      <c r="N948" s="62">
        <f>IFERROR(__xludf.DUMMYFUNCTION("IFERROR(GOOGLEFINANCE(A948,""TRADETIME""),)"),46086.64583333333)</f>
        <v>46086.64583</v>
      </c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68" t="s">
        <v>995</v>
      </c>
      <c r="B949" s="64" t="str">
        <f>IFERROR(__xludf.DUMMYFUNCTION("IFERROR(GOOGLEFINANCE(A949,""NAME""),)"),"Muthoot Finance Ltd")</f>
        <v>Muthoot Finance Ltd</v>
      </c>
      <c r="C949" s="64">
        <f>IFERROR(__xludf.DUMMYFUNCTION("IFERROR(GOOGLEFINANCE(A949,""CHANGE""),)"),-33.2)</f>
        <v>-33.2</v>
      </c>
      <c r="D949" s="64">
        <f>IFERROR(__xludf.DUMMYFUNCTION("IFERROR(GOOGLEFINANCE(A949,""CHANGEPCT""),)"),-0.99)</f>
        <v>-0.99</v>
      </c>
      <c r="E949" s="64" t="str">
        <f t="shared" si="1"/>
        <v>-0.99%</v>
      </c>
      <c r="F949" s="64" t="str">
        <f t="shared" si="2"/>
        <v/>
      </c>
      <c r="G949" s="64">
        <f t="shared" si="3"/>
        <v>-0.99</v>
      </c>
      <c r="H949" s="64">
        <f>IFERROR(__xludf.DUMMYFUNCTION("IFERROR(GOOGLEFINANCE(A949,""PRICE""),)"),3306.9)</f>
        <v>3306.9</v>
      </c>
      <c r="I949" s="65">
        <f>IFERROR(__xludf.DUMMYFUNCTION("IFERROR(GOOGLEFINANCE(A949,""VOLUME""),)"),956246.0)</f>
        <v>956246</v>
      </c>
      <c r="J949" s="64" t="str">
        <f>IFERROR(__xludf.DUMMYFUNCTION("IFERROR(INDEX(SPLIT(A949,"":""),1,2),)"),"MUTHOOTFIN")</f>
        <v>MUTHOOTFIN</v>
      </c>
      <c r="K949" s="64" t="str">
        <f t="shared" si="4"/>
        <v/>
      </c>
      <c r="L949" s="64">
        <f t="shared" si="5"/>
        <v>216</v>
      </c>
      <c r="M949" s="64">
        <f t="shared" si="6"/>
        <v>290</v>
      </c>
      <c r="N949" s="66">
        <f>IFERROR(__xludf.DUMMYFUNCTION("IFERROR(GOOGLEFINANCE(A949,""TRADETIME""),)"),46086.64261574074)</f>
        <v>46086.64262</v>
      </c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67" t="s">
        <v>996</v>
      </c>
      <c r="B950" s="60" t="str">
        <f>IFERROR(__xludf.DUMMYFUNCTION("IFERROR(GOOGLEFINANCE(A950,""NAME""),)"),"NACL Industries Ltd")</f>
        <v>NACL Industries Ltd</v>
      </c>
      <c r="C950" s="60">
        <f>IFERROR(__xludf.DUMMYFUNCTION("IFERROR(GOOGLEFINANCE(A950,""CHANGE""),)"),1.85)</f>
        <v>1.85</v>
      </c>
      <c r="D950" s="60">
        <f>IFERROR(__xludf.DUMMYFUNCTION("IFERROR(GOOGLEFINANCE(A950,""CHANGEPCT""),)"),1.52)</f>
        <v>1.52</v>
      </c>
      <c r="E950" s="60" t="str">
        <f t="shared" si="1"/>
        <v>1.52%</v>
      </c>
      <c r="F950" s="60">
        <f t="shared" si="2"/>
        <v>1.52</v>
      </c>
      <c r="G950" s="60" t="str">
        <f t="shared" si="3"/>
        <v/>
      </c>
      <c r="H950" s="60">
        <f>IFERROR(__xludf.DUMMYFUNCTION("IFERROR(GOOGLEFINANCE(A950,""PRICE""),)"),123.45)</f>
        <v>123.45</v>
      </c>
      <c r="I950" s="61">
        <f>IFERROR(__xludf.DUMMYFUNCTION("IFERROR(GOOGLEFINANCE(A950,""VOLUME""),)"),301187.0)</f>
        <v>301187</v>
      </c>
      <c r="J950" s="60" t="str">
        <f>IFERROR(__xludf.DUMMYFUNCTION("IFERROR(INDEX(SPLIT(A950,"":""),1,2),)"),"NACLIND")</f>
        <v>NACLIND</v>
      </c>
      <c r="K950" s="60">
        <f t="shared" si="4"/>
        <v>568</v>
      </c>
      <c r="L950" s="60" t="str">
        <f t="shared" si="5"/>
        <v/>
      </c>
      <c r="M950" s="60">
        <f t="shared" si="6"/>
        <v>505</v>
      </c>
      <c r="N950" s="62">
        <f>IFERROR(__xludf.DUMMYFUNCTION("IFERROR(GOOGLEFINANCE(A950,""TRADETIME""),)"),46086.63792824074)</f>
        <v>46086.63793</v>
      </c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68" t="s">
        <v>997</v>
      </c>
      <c r="B951" s="64" t="str">
        <f>IFERROR(__xludf.DUMMYFUNCTION("IFERROR(GOOGLEFINANCE(A951,""NAME""),)"),"Nagarjuna Fertilizers and Chemicals Ltd")</f>
        <v>Nagarjuna Fertilizers and Chemicals Ltd</v>
      </c>
      <c r="C951" s="64">
        <f>IFERROR(__xludf.DUMMYFUNCTION("IFERROR(GOOGLEFINANCE(A951,""CHANGE""),)"),0.26)</f>
        <v>0.26</v>
      </c>
      <c r="D951" s="64">
        <f>IFERROR(__xludf.DUMMYFUNCTION("IFERROR(GOOGLEFINANCE(A951,""CHANGEPCT""),)"),6.19)</f>
        <v>6.19</v>
      </c>
      <c r="E951" s="64" t="str">
        <f t="shared" si="1"/>
        <v>6.19%</v>
      </c>
      <c r="F951" s="64">
        <f t="shared" si="2"/>
        <v>6.19</v>
      </c>
      <c r="G951" s="64" t="str">
        <f t="shared" si="3"/>
        <v/>
      </c>
      <c r="H951" s="64">
        <f>IFERROR(__xludf.DUMMYFUNCTION("IFERROR(GOOGLEFINANCE(A951,""PRICE""),)"),4.42)</f>
        <v>4.42</v>
      </c>
      <c r="I951" s="65">
        <f>IFERROR(__xludf.DUMMYFUNCTION("IFERROR(GOOGLEFINANCE(A951,""VOLUME""),)"),506719.0)</f>
        <v>506719</v>
      </c>
      <c r="J951" s="64" t="str">
        <f>IFERROR(__xludf.DUMMYFUNCTION("IFERROR(INDEX(SPLIT(A951,"":""),1,2),)"),"NAGAFERT")</f>
        <v>NAGAFERT</v>
      </c>
      <c r="K951" s="64">
        <f t="shared" si="4"/>
        <v>39</v>
      </c>
      <c r="L951" s="64" t="str">
        <f t="shared" si="5"/>
        <v/>
      </c>
      <c r="M951" s="64">
        <f t="shared" si="6"/>
        <v>400</v>
      </c>
      <c r="N951" s="66">
        <f>IFERROR(__xludf.DUMMYFUNCTION("IFERROR(GOOGLEFINANCE(A951,""TRADETIME""),)"),46086.64583333333)</f>
        <v>46086.64583</v>
      </c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67" t="s">
        <v>998</v>
      </c>
      <c r="B952" s="60" t="str">
        <f>IFERROR(__xludf.DUMMYFUNCTION("IFERROR(GOOGLEFINANCE(A952,""NAME""),)"),"Nagreeka Capital &amp; Infrastructure Ltd")</f>
        <v>Nagreeka Capital &amp; Infrastructure Ltd</v>
      </c>
      <c r="C952" s="60">
        <f>IFERROR(__xludf.DUMMYFUNCTION("IFERROR(GOOGLEFINANCE(A952,""CHANGE""),)"),0.72)</f>
        <v>0.72</v>
      </c>
      <c r="D952" s="60">
        <f>IFERROR(__xludf.DUMMYFUNCTION("IFERROR(GOOGLEFINANCE(A952,""CHANGEPCT""),)"),2.97)</f>
        <v>2.97</v>
      </c>
      <c r="E952" s="60" t="str">
        <f t="shared" si="1"/>
        <v>2.97%</v>
      </c>
      <c r="F952" s="60">
        <f t="shared" si="2"/>
        <v>2.97</v>
      </c>
      <c r="G952" s="60" t="str">
        <f t="shared" si="3"/>
        <v/>
      </c>
      <c r="H952" s="60">
        <f>IFERROR(__xludf.DUMMYFUNCTION("IFERROR(GOOGLEFINANCE(A952,""PRICE""),)"),24.95)</f>
        <v>24.95</v>
      </c>
      <c r="I952" s="61">
        <f>IFERROR(__xludf.DUMMYFUNCTION("IFERROR(GOOGLEFINANCE(A952,""VOLUME""),)"),5129.0)</f>
        <v>5129</v>
      </c>
      <c r="J952" s="60" t="str">
        <f>IFERROR(__xludf.DUMMYFUNCTION("IFERROR(INDEX(SPLIT(A952,"":""),1,2),)"),"NAGREEKCAP")</f>
        <v>NAGREEKCAP</v>
      </c>
      <c r="K952" s="60">
        <f t="shared" si="4"/>
        <v>261</v>
      </c>
      <c r="L952" s="60" t="str">
        <f t="shared" si="5"/>
        <v/>
      </c>
      <c r="M952" s="60">
        <f t="shared" si="6"/>
        <v>1338</v>
      </c>
      <c r="N952" s="62">
        <f>IFERROR(__xludf.DUMMYFUNCTION("IFERROR(GOOGLEFINANCE(A952,""TRADETIME""),)"),46086.64583333333)</f>
        <v>46086.64583</v>
      </c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68" t="s">
        <v>999</v>
      </c>
      <c r="B953" s="64" t="str">
        <f>IFERROR(__xludf.DUMMYFUNCTION("IFERROR(GOOGLEFINANCE(A953,""NAME""),)"),"Nagreeka Exports Ltd")</f>
        <v>Nagreeka Exports Ltd</v>
      </c>
      <c r="C953" s="64">
        <f>IFERROR(__xludf.DUMMYFUNCTION("IFERROR(GOOGLEFINANCE(A953,""CHANGE""),)"),-0.23)</f>
        <v>-0.23</v>
      </c>
      <c r="D953" s="64">
        <f>IFERROR(__xludf.DUMMYFUNCTION("IFERROR(GOOGLEFINANCE(A953,""CHANGEPCT""),)"),-0.95)</f>
        <v>-0.95</v>
      </c>
      <c r="E953" s="64" t="str">
        <f t="shared" si="1"/>
        <v>-0.95%</v>
      </c>
      <c r="F953" s="64" t="str">
        <f t="shared" si="2"/>
        <v/>
      </c>
      <c r="G953" s="64">
        <f t="shared" si="3"/>
        <v>-0.95</v>
      </c>
      <c r="H953" s="64">
        <f>IFERROR(__xludf.DUMMYFUNCTION("IFERROR(GOOGLEFINANCE(A953,""PRICE""),)"),24.27)</f>
        <v>24.27</v>
      </c>
      <c r="I953" s="65">
        <f>IFERROR(__xludf.DUMMYFUNCTION("IFERROR(GOOGLEFINANCE(A953,""VOLUME""),)"),8194.0)</f>
        <v>8194</v>
      </c>
      <c r="J953" s="64" t="str">
        <f>IFERROR(__xludf.DUMMYFUNCTION("IFERROR(INDEX(SPLIT(A953,"":""),1,2),)"),"NAGREEKEXP")</f>
        <v>NAGREEKEXP</v>
      </c>
      <c r="K953" s="64" t="str">
        <f t="shared" si="4"/>
        <v/>
      </c>
      <c r="L953" s="64">
        <f t="shared" si="5"/>
        <v>211</v>
      </c>
      <c r="M953" s="64">
        <f t="shared" si="6"/>
        <v>1297</v>
      </c>
      <c r="N953" s="66">
        <f>IFERROR(__xludf.DUMMYFUNCTION("IFERROR(GOOGLEFINANCE(A953,""TRADETIME""),)"),46086.64583333333)</f>
        <v>46086.64583</v>
      </c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67" t="s">
        <v>1000</v>
      </c>
      <c r="B954" s="60" t="str">
        <f>IFERROR(__xludf.DUMMYFUNCTION("IFERROR(GOOGLEFINANCE(A954,""NAME""),)"),"Nahar Capital and Financial Services Ltd")</f>
        <v>Nahar Capital and Financial Services Ltd</v>
      </c>
      <c r="C954" s="60">
        <f>IFERROR(__xludf.DUMMYFUNCTION("IFERROR(GOOGLEFINANCE(A954,""CHANGE""),)"),3.78)</f>
        <v>3.78</v>
      </c>
      <c r="D954" s="60">
        <f>IFERROR(__xludf.DUMMYFUNCTION("IFERROR(GOOGLEFINANCE(A954,""CHANGEPCT""),)"),1.71)</f>
        <v>1.71</v>
      </c>
      <c r="E954" s="60" t="str">
        <f t="shared" si="1"/>
        <v>1.71%</v>
      </c>
      <c r="F954" s="60">
        <f t="shared" si="2"/>
        <v>1.71</v>
      </c>
      <c r="G954" s="60" t="str">
        <f t="shared" si="3"/>
        <v/>
      </c>
      <c r="H954" s="60">
        <f>IFERROR(__xludf.DUMMYFUNCTION("IFERROR(GOOGLEFINANCE(A954,""PRICE""),)"),224.29)</f>
        <v>224.29</v>
      </c>
      <c r="I954" s="61">
        <f>IFERROR(__xludf.DUMMYFUNCTION("IFERROR(GOOGLEFINANCE(A954,""VOLUME""),)"),3710.0)</f>
        <v>3710</v>
      </c>
      <c r="J954" s="60" t="str">
        <f>IFERROR(__xludf.DUMMYFUNCTION("IFERROR(INDEX(SPLIT(A954,"":""),1,2),)"),"NAHARCAP")</f>
        <v>NAHARCAP</v>
      </c>
      <c r="K954" s="60">
        <f t="shared" si="4"/>
        <v>513</v>
      </c>
      <c r="L954" s="60" t="str">
        <f t="shared" si="5"/>
        <v/>
      </c>
      <c r="M954" s="60">
        <f t="shared" si="6"/>
        <v>1372</v>
      </c>
      <c r="N954" s="62">
        <f>IFERROR(__xludf.DUMMYFUNCTION("IFERROR(GOOGLEFINANCE(A954,""TRADETIME""),)"),46086.64090277778)</f>
        <v>46086.6409</v>
      </c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68" t="s">
        <v>1001</v>
      </c>
      <c r="B955" s="64" t="str">
        <f>IFERROR(__xludf.DUMMYFUNCTION("IFERROR(GOOGLEFINANCE(A955,""NAME""),)"),"Nahar Industrial Enterprises Ltd")</f>
        <v>Nahar Industrial Enterprises Ltd</v>
      </c>
      <c r="C955" s="64">
        <f>IFERROR(__xludf.DUMMYFUNCTION("IFERROR(GOOGLEFINANCE(A955,""CHANGE""),)"),-0.02)</f>
        <v>-0.02</v>
      </c>
      <c r="D955" s="64">
        <f>IFERROR(__xludf.DUMMYFUNCTION("IFERROR(GOOGLEFINANCE(A955,""CHANGEPCT""),)"),-0.02)</f>
        <v>-0.02</v>
      </c>
      <c r="E955" s="64" t="str">
        <f t="shared" si="1"/>
        <v>-0.02%</v>
      </c>
      <c r="F955" s="64" t="str">
        <f t="shared" si="2"/>
        <v/>
      </c>
      <c r="G955" s="64">
        <f t="shared" si="3"/>
        <v>-0.02</v>
      </c>
      <c r="H955" s="64">
        <f>IFERROR(__xludf.DUMMYFUNCTION("IFERROR(GOOGLEFINANCE(A955,""PRICE""),)"),92.7)</f>
        <v>92.7</v>
      </c>
      <c r="I955" s="65">
        <f>IFERROR(__xludf.DUMMYFUNCTION("IFERROR(GOOGLEFINANCE(A955,""VOLUME""),)"),18148.0)</f>
        <v>18148</v>
      </c>
      <c r="J955" s="64" t="str">
        <f>IFERROR(__xludf.DUMMYFUNCTION("IFERROR(INDEX(SPLIT(A955,"":""),1,2),)"),"NAHARINDUS")</f>
        <v>NAHARINDUS</v>
      </c>
      <c r="K955" s="64" t="str">
        <f t="shared" si="4"/>
        <v/>
      </c>
      <c r="L955" s="64">
        <f t="shared" si="5"/>
        <v>4</v>
      </c>
      <c r="M955" s="64">
        <f t="shared" si="6"/>
        <v>1166</v>
      </c>
      <c r="N955" s="66">
        <f>IFERROR(__xludf.DUMMYFUNCTION("IFERROR(GOOGLEFINANCE(A955,""TRADETIME""),)"),46086.64583333333)</f>
        <v>46086.64583</v>
      </c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67" t="s">
        <v>1002</v>
      </c>
      <c r="B956" s="60" t="str">
        <f>IFERROR(__xludf.DUMMYFUNCTION("IFERROR(GOOGLEFINANCE(A956,""NAME""),)"),"Nahar Poly Films Ltd")</f>
        <v>Nahar Poly Films Ltd</v>
      </c>
      <c r="C956" s="60">
        <f>IFERROR(__xludf.DUMMYFUNCTION("IFERROR(GOOGLEFINANCE(A956,""CHANGE""),)"),10.03)</f>
        <v>10.03</v>
      </c>
      <c r="D956" s="60">
        <f>IFERROR(__xludf.DUMMYFUNCTION("IFERROR(GOOGLEFINANCE(A956,""CHANGEPCT""),)"),4.46)</f>
        <v>4.46</v>
      </c>
      <c r="E956" s="60" t="str">
        <f t="shared" si="1"/>
        <v>4.46%</v>
      </c>
      <c r="F956" s="60">
        <f t="shared" si="2"/>
        <v>4.46</v>
      </c>
      <c r="G956" s="60" t="str">
        <f t="shared" si="3"/>
        <v/>
      </c>
      <c r="H956" s="60">
        <f>IFERROR(__xludf.DUMMYFUNCTION("IFERROR(GOOGLEFINANCE(A956,""PRICE""),)"),235.0)</f>
        <v>235</v>
      </c>
      <c r="I956" s="61">
        <f>IFERROR(__xludf.DUMMYFUNCTION("IFERROR(GOOGLEFINANCE(A956,""VOLUME""),)"),12271.0)</f>
        <v>12271</v>
      </c>
      <c r="J956" s="60" t="str">
        <f>IFERROR(__xludf.DUMMYFUNCTION("IFERROR(INDEX(SPLIT(A956,"":""),1,2),)"),"NAHARPOLY")</f>
        <v>NAHARPOLY</v>
      </c>
      <c r="K956" s="60">
        <f t="shared" si="4"/>
        <v>113</v>
      </c>
      <c r="L956" s="60" t="str">
        <f t="shared" si="5"/>
        <v/>
      </c>
      <c r="M956" s="60">
        <f t="shared" si="6"/>
        <v>1226</v>
      </c>
      <c r="N956" s="62">
        <f>IFERROR(__xludf.DUMMYFUNCTION("IFERROR(GOOGLEFINANCE(A956,""TRADETIME""),)"),46086.64583333333)</f>
        <v>46086.64583</v>
      </c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68" t="s">
        <v>1003</v>
      </c>
      <c r="B957" s="64" t="str">
        <f>IFERROR(__xludf.DUMMYFUNCTION("IFERROR(GOOGLEFINANCE(A957,""NAME""),)"),"Nahar Spinning Mills Ltd")</f>
        <v>Nahar Spinning Mills Ltd</v>
      </c>
      <c r="C957" s="64">
        <f>IFERROR(__xludf.DUMMYFUNCTION("IFERROR(GOOGLEFINANCE(A957,""CHANGE""),)"),7.31)</f>
        <v>7.31</v>
      </c>
      <c r="D957" s="64">
        <f>IFERROR(__xludf.DUMMYFUNCTION("IFERROR(GOOGLEFINANCE(A957,""CHANGEPCT""),)"),3.85)</f>
        <v>3.85</v>
      </c>
      <c r="E957" s="64" t="str">
        <f t="shared" si="1"/>
        <v>3.85%</v>
      </c>
      <c r="F957" s="64">
        <f t="shared" si="2"/>
        <v>3.85</v>
      </c>
      <c r="G957" s="64" t="str">
        <f t="shared" si="3"/>
        <v/>
      </c>
      <c r="H957" s="64">
        <f>IFERROR(__xludf.DUMMYFUNCTION("IFERROR(GOOGLEFINANCE(A957,""PRICE""),)"),197.0)</f>
        <v>197</v>
      </c>
      <c r="I957" s="65">
        <f>IFERROR(__xludf.DUMMYFUNCTION("IFERROR(GOOGLEFINANCE(A957,""VOLUME""),)"),32407.0)</f>
        <v>32407</v>
      </c>
      <c r="J957" s="64" t="str">
        <f>IFERROR(__xludf.DUMMYFUNCTION("IFERROR(INDEX(SPLIT(A957,"":""),1,2),)"),"NAHARSPING")</f>
        <v>NAHARSPING</v>
      </c>
      <c r="K957" s="64">
        <f t="shared" si="4"/>
        <v>152</v>
      </c>
      <c r="L957" s="64" t="str">
        <f t="shared" si="5"/>
        <v/>
      </c>
      <c r="M957" s="64">
        <f t="shared" si="6"/>
        <v>1041</v>
      </c>
      <c r="N957" s="66">
        <f>IFERROR(__xludf.DUMMYFUNCTION("IFERROR(GOOGLEFINANCE(A957,""TRADETIME""),)"),46086.64583333333)</f>
        <v>46086.64583</v>
      </c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67" t="s">
        <v>1004</v>
      </c>
      <c r="B958" s="60" t="str">
        <f>IFERROR(__xludf.DUMMYFUNCTION("IFERROR(GOOGLEFINANCE(A958,""NAME""),)"),"Nippon Life India Asset Management Ltd")</f>
        <v>Nippon Life India Asset Management Ltd</v>
      </c>
      <c r="C958" s="60">
        <f>IFERROR(__xludf.DUMMYFUNCTION("IFERROR(GOOGLEFINANCE(A958,""CHANGE""),)"),15.55)</f>
        <v>15.55</v>
      </c>
      <c r="D958" s="60">
        <f>IFERROR(__xludf.DUMMYFUNCTION("IFERROR(GOOGLEFINANCE(A958,""CHANGEPCT""),)"),0.92)</f>
        <v>0.92</v>
      </c>
      <c r="E958" s="60" t="str">
        <f t="shared" si="1"/>
        <v>0.92%</v>
      </c>
      <c r="F958" s="60">
        <f t="shared" si="2"/>
        <v>0.92</v>
      </c>
      <c r="G958" s="60" t="str">
        <f t="shared" si="3"/>
        <v/>
      </c>
      <c r="H958" s="60">
        <f>IFERROR(__xludf.DUMMYFUNCTION("IFERROR(GOOGLEFINANCE(A958,""PRICE""),)"),866.0)</f>
        <v>866</v>
      </c>
      <c r="I958" s="61">
        <f>IFERROR(__xludf.DUMMYFUNCTION("IFERROR(GOOGLEFINANCE(A958,""VOLUME""),)"),631465.0)</f>
        <v>631465</v>
      </c>
      <c r="J958" s="60" t="str">
        <f>IFERROR(__xludf.DUMMYFUNCTION("IFERROR(INDEX(SPLIT(A958,"":""),1,2),)"),"NAM-INDIA")</f>
        <v>NAM-INDIA</v>
      </c>
      <c r="K958" s="60">
        <f t="shared" si="4"/>
        <v>747</v>
      </c>
      <c r="L958" s="60" t="str">
        <f t="shared" si="5"/>
        <v/>
      </c>
      <c r="M958" s="60">
        <f t="shared" si="6"/>
        <v>352</v>
      </c>
      <c r="N958" s="62">
        <f>IFERROR(__xludf.DUMMYFUNCTION("IFERROR(GOOGLEFINANCE(A958,""TRADETIME""),)"),46086.64583333333)</f>
        <v>46086.64583</v>
      </c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68" t="s">
        <v>1005</v>
      </c>
      <c r="B959" s="64" t="str">
        <f>IFERROR(__xludf.DUMMYFUNCTION("IFERROR(GOOGLEFINANCE(A959,""NAME""),)"),"Natco Pharma Ltd")</f>
        <v>Natco Pharma Ltd</v>
      </c>
      <c r="C959" s="64">
        <f>IFERROR(__xludf.DUMMYFUNCTION("IFERROR(GOOGLEFINANCE(A959,""CHANGE""),)"),44.8)</f>
        <v>44.8</v>
      </c>
      <c r="D959" s="64">
        <f>IFERROR(__xludf.DUMMYFUNCTION("IFERROR(GOOGLEFINANCE(A959,""CHANGEPCT""),)"),4.7)</f>
        <v>4.7</v>
      </c>
      <c r="E959" s="64" t="str">
        <f t="shared" si="1"/>
        <v>4.7%</v>
      </c>
      <c r="F959" s="64">
        <f t="shared" si="2"/>
        <v>4.7</v>
      </c>
      <c r="G959" s="64" t="str">
        <f t="shared" si="3"/>
        <v/>
      </c>
      <c r="H959" s="64">
        <f>IFERROR(__xludf.DUMMYFUNCTION("IFERROR(GOOGLEFINANCE(A959,""PRICE""),)"),997.9)</f>
        <v>997.9</v>
      </c>
      <c r="I959" s="65">
        <f>IFERROR(__xludf.DUMMYFUNCTION("IFERROR(GOOGLEFINANCE(A959,""VOLUME""),)"),2953043.0)</f>
        <v>2953043</v>
      </c>
      <c r="J959" s="64" t="str">
        <f>IFERROR(__xludf.DUMMYFUNCTION("IFERROR(INDEX(SPLIT(A959,"":""),1,2),)"),"NATCOPHARM")</f>
        <v>NATCOPHARM</v>
      </c>
      <c r="K959" s="64">
        <f t="shared" si="4"/>
        <v>95</v>
      </c>
      <c r="L959" s="64" t="str">
        <f t="shared" si="5"/>
        <v/>
      </c>
      <c r="M959" s="64">
        <f t="shared" si="6"/>
        <v>152</v>
      </c>
      <c r="N959" s="66">
        <f>IFERROR(__xludf.DUMMYFUNCTION("IFERROR(GOOGLEFINANCE(A959,""TRADETIME""),)"),46086.64584490741)</f>
        <v>46086.64584</v>
      </c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9" t="s">
        <v>1006</v>
      </c>
      <c r="B960" s="60" t="str">
        <f>IFERROR(__xludf.DUMMYFUNCTION("IFERROR(GOOGLEFINANCE(A960,""NAME""),)"),"NBCC (India) Ltd")</f>
        <v>NBCC (India) Ltd</v>
      </c>
      <c r="C960" s="60">
        <f>IFERROR(__xludf.DUMMYFUNCTION("IFERROR(GOOGLEFINANCE(A960,""CHANGE""),)"),1.56)</f>
        <v>1.56</v>
      </c>
      <c r="D960" s="60">
        <f>IFERROR(__xludf.DUMMYFUNCTION("IFERROR(GOOGLEFINANCE(A960,""CHANGEPCT""),)"),1.82)</f>
        <v>1.82</v>
      </c>
      <c r="E960" s="60" t="str">
        <f t="shared" si="1"/>
        <v>1.82%</v>
      </c>
      <c r="F960" s="60">
        <f t="shared" si="2"/>
        <v>1.82</v>
      </c>
      <c r="G960" s="60" t="str">
        <f t="shared" si="3"/>
        <v/>
      </c>
      <c r="H960" s="60">
        <f>IFERROR(__xludf.DUMMYFUNCTION("IFERROR(GOOGLEFINANCE(A960,""PRICE""),)"),87.19)</f>
        <v>87.19</v>
      </c>
      <c r="I960" s="61">
        <f>IFERROR(__xludf.DUMMYFUNCTION("IFERROR(GOOGLEFINANCE(A960,""VOLUME""),)"),1.0689241E7)</f>
        <v>10689241</v>
      </c>
      <c r="J960" s="60" t="str">
        <f>IFERROR(__xludf.DUMMYFUNCTION("IFERROR(INDEX(SPLIT(A960,"":""),1,2),)"),"NBCC")</f>
        <v>NBCC</v>
      </c>
      <c r="K960" s="60">
        <f t="shared" si="4"/>
        <v>491</v>
      </c>
      <c r="L960" s="60" t="str">
        <f t="shared" si="5"/>
        <v/>
      </c>
      <c r="M960" s="60">
        <f t="shared" si="6"/>
        <v>58</v>
      </c>
      <c r="N960" s="62">
        <f>IFERROR(__xludf.DUMMYFUNCTION("IFERROR(GOOGLEFINANCE(A960,""TRADETIME""),)"),46086.641875)</f>
        <v>46086.64188</v>
      </c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68" t="s">
        <v>1007</v>
      </c>
      <c r="B961" s="64" t="str">
        <f>IFERROR(__xludf.DUMMYFUNCTION("IFERROR(GOOGLEFINANCE(A961,""NAME""),)"),"National Aluminium Co Ltd")</f>
        <v>National Aluminium Co Ltd</v>
      </c>
      <c r="C961" s="64">
        <f>IFERROR(__xludf.DUMMYFUNCTION("IFERROR(GOOGLEFINANCE(A961,""CHANGE""),)"),24.45)</f>
        <v>24.45</v>
      </c>
      <c r="D961" s="64">
        <f>IFERROR(__xludf.DUMMYFUNCTION("IFERROR(GOOGLEFINANCE(A961,""CHANGEPCT""),)"),6.55)</f>
        <v>6.55</v>
      </c>
      <c r="E961" s="64" t="str">
        <f t="shared" si="1"/>
        <v>6.55%</v>
      </c>
      <c r="F961" s="64">
        <f t="shared" si="2"/>
        <v>6.55</v>
      </c>
      <c r="G961" s="64" t="str">
        <f t="shared" si="3"/>
        <v/>
      </c>
      <c r="H961" s="64">
        <f>IFERROR(__xludf.DUMMYFUNCTION("IFERROR(GOOGLEFINANCE(A961,""PRICE""),)"),397.95)</f>
        <v>397.95</v>
      </c>
      <c r="I961" s="65">
        <f>IFERROR(__xludf.DUMMYFUNCTION("IFERROR(GOOGLEFINANCE(A961,""VOLUME""),)"),4.553151E7)</f>
        <v>45531510</v>
      </c>
      <c r="J961" s="64" t="str">
        <f>IFERROR(__xludf.DUMMYFUNCTION("IFERROR(INDEX(SPLIT(A961,"":""),1,2),)"),"NATIONALUM")</f>
        <v>NATIONALUM</v>
      </c>
      <c r="K961" s="64">
        <f t="shared" si="4"/>
        <v>35</v>
      </c>
      <c r="L961" s="64" t="str">
        <f t="shared" si="5"/>
        <v/>
      </c>
      <c r="M961" s="64">
        <f t="shared" si="6"/>
        <v>6</v>
      </c>
      <c r="N961" s="66">
        <f>IFERROR(__xludf.DUMMYFUNCTION("IFERROR(GOOGLEFINANCE(A961,""TRADETIME""),)"),46086.64583333333)</f>
        <v>46086.64583</v>
      </c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67" t="s">
        <v>1008</v>
      </c>
      <c r="B962" s="60" t="str">
        <f>IFERROR(__xludf.DUMMYFUNCTION("IFERROR(GOOGLEFINANCE(A962,""NAME""),)"),"")</f>
        <v/>
      </c>
      <c r="C962" s="60" t="str">
        <f>IFERROR(__xludf.DUMMYFUNCTION("IFERROR(GOOGLEFINANCE(A962,""CHANGE""),)"),"")</f>
        <v/>
      </c>
      <c r="D962" s="60" t="str">
        <f>IFERROR(__xludf.DUMMYFUNCTION("IFERROR(GOOGLEFINANCE(A962,""CHANGEPCT""),)"),"")</f>
        <v/>
      </c>
      <c r="E962" s="60" t="str">
        <f t="shared" si="1"/>
        <v>%</v>
      </c>
      <c r="F962" s="60" t="str">
        <f t="shared" si="2"/>
        <v/>
      </c>
      <c r="G962" s="60" t="str">
        <f t="shared" si="3"/>
        <v/>
      </c>
      <c r="H962" s="60" t="str">
        <f>IFERROR(__xludf.DUMMYFUNCTION("IFERROR(GOOGLEFINANCE(A962,""PRICE""),)"),"")</f>
        <v/>
      </c>
      <c r="I962" s="61" t="str">
        <f>IFERROR(__xludf.DUMMYFUNCTION("IFERROR(GOOGLEFINANCE(A962,""VOLUME""),)"),"")</f>
        <v/>
      </c>
      <c r="J962" s="60" t="str">
        <f>IFERROR(__xludf.DUMMYFUNCTION("IFERROR(INDEX(SPLIT(A962,"":""),1,2),)"),"NATNLSTEEL")</f>
        <v>NATNLSTEEL</v>
      </c>
      <c r="K962" s="60" t="str">
        <f t="shared" si="4"/>
        <v/>
      </c>
      <c r="L962" s="60" t="str">
        <f t="shared" si="5"/>
        <v/>
      </c>
      <c r="M962" s="60" t="str">
        <f t="shared" si="6"/>
        <v/>
      </c>
      <c r="N962" s="62" t="str">
        <f>IFERROR(__xludf.DUMMYFUNCTION("IFERROR(GOOGLEFINANCE(A962,""TRADETIME""),)"),"")</f>
        <v/>
      </c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63" t="s">
        <v>1009</v>
      </c>
      <c r="B963" s="64" t="str">
        <f>IFERROR(__xludf.DUMMYFUNCTION("IFERROR(GOOGLEFINANCE(A963,""NAME""),)"),"")</f>
        <v/>
      </c>
      <c r="C963" s="64" t="str">
        <f>IFERROR(__xludf.DUMMYFUNCTION("IFERROR(GOOGLEFINANCE(A963,""CHANGE""),)"),"")</f>
        <v/>
      </c>
      <c r="D963" s="64" t="str">
        <f>IFERROR(__xludf.DUMMYFUNCTION("IFERROR(GOOGLEFINANCE(A963,""CHANGEPCT""),)"),"")</f>
        <v/>
      </c>
      <c r="E963" s="64" t="str">
        <f t="shared" si="1"/>
        <v>%</v>
      </c>
      <c r="F963" s="64" t="str">
        <f t="shared" si="2"/>
        <v/>
      </c>
      <c r="G963" s="64" t="str">
        <f t="shared" si="3"/>
        <v/>
      </c>
      <c r="H963" s="64" t="str">
        <f>IFERROR(__xludf.DUMMYFUNCTION("IFERROR(GOOGLEFINANCE(A963,""PRICE""),)"),"")</f>
        <v/>
      </c>
      <c r="I963" s="65" t="str">
        <f>IFERROR(__xludf.DUMMYFUNCTION("IFERROR(GOOGLEFINANCE(A963,""VOLUME""),)"),"")</f>
        <v/>
      </c>
      <c r="J963" s="64">
        <f>IFERROR(__xludf.DUMMYFUNCTION("IFERROR(INDEX(SPLIT(A963,"":""),1,2),)"),532391.0)</f>
        <v>532391</v>
      </c>
      <c r="K963" s="64" t="str">
        <f t="shared" si="4"/>
        <v/>
      </c>
      <c r="L963" s="64" t="str">
        <f t="shared" si="5"/>
        <v/>
      </c>
      <c r="M963" s="64" t="str">
        <f t="shared" si="6"/>
        <v/>
      </c>
      <c r="N963" s="66" t="str">
        <f>IFERROR(__xludf.DUMMYFUNCTION("IFERROR(GOOGLEFINANCE(A963,""TRADETIME""),)"),"")</f>
        <v/>
      </c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67" t="s">
        <v>1010</v>
      </c>
      <c r="B964" s="60" t="str">
        <f>IFERROR(__xludf.DUMMYFUNCTION("IFERROR(GOOGLEFINANCE(A964,""NAME""),)"),"Navin Fluorine International Limited")</f>
        <v>Navin Fluorine International Limited</v>
      </c>
      <c r="C964" s="60">
        <f>IFERROR(__xludf.DUMMYFUNCTION("IFERROR(GOOGLEFINANCE(A964,""CHANGE""),)"),404.0)</f>
        <v>404</v>
      </c>
      <c r="D964" s="60">
        <f>IFERROR(__xludf.DUMMYFUNCTION("IFERROR(GOOGLEFINANCE(A964,""CHANGEPCT""),)"),6.65)</f>
        <v>6.65</v>
      </c>
      <c r="E964" s="60" t="str">
        <f t="shared" si="1"/>
        <v>6.65%</v>
      </c>
      <c r="F964" s="60">
        <f t="shared" si="2"/>
        <v>6.65</v>
      </c>
      <c r="G964" s="60" t="str">
        <f t="shared" si="3"/>
        <v/>
      </c>
      <c r="H964" s="60">
        <f>IFERROR(__xludf.DUMMYFUNCTION("IFERROR(GOOGLEFINANCE(A964,""PRICE""),)"),6480.0)</f>
        <v>6480</v>
      </c>
      <c r="I964" s="61">
        <f>IFERROR(__xludf.DUMMYFUNCTION("IFERROR(GOOGLEFINANCE(A964,""VOLUME""),)"),466970.0)</f>
        <v>466970</v>
      </c>
      <c r="J964" s="60" t="str">
        <f>IFERROR(__xludf.DUMMYFUNCTION("IFERROR(INDEX(SPLIT(A964,"":""),1,2),)"),"NAVINFLUOR")</f>
        <v>NAVINFLUOR</v>
      </c>
      <c r="K964" s="60">
        <f t="shared" si="4"/>
        <v>33</v>
      </c>
      <c r="L964" s="60" t="str">
        <f t="shared" si="5"/>
        <v/>
      </c>
      <c r="M964" s="60">
        <f t="shared" si="6"/>
        <v>410</v>
      </c>
      <c r="N964" s="62">
        <f>IFERROR(__xludf.DUMMYFUNCTION("IFERROR(GOOGLEFINANCE(A964,""TRADETIME""),)"),46086.64583333333)</f>
        <v>46086.64583</v>
      </c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68" t="s">
        <v>1011</v>
      </c>
      <c r="B965" s="64" t="str">
        <f>IFERROR(__xludf.DUMMYFUNCTION("IFERROR(GOOGLEFINANCE(A965,""NAME""),)"),"Navkar Corporation Ltd")</f>
        <v>Navkar Corporation Ltd</v>
      </c>
      <c r="C965" s="64">
        <f>IFERROR(__xludf.DUMMYFUNCTION("IFERROR(GOOGLEFINANCE(A965,""CHANGE""),)"),-0.63)</f>
        <v>-0.63</v>
      </c>
      <c r="D965" s="64">
        <f>IFERROR(__xludf.DUMMYFUNCTION("IFERROR(GOOGLEFINANCE(A965,""CHANGEPCT""),)"),0.47)</f>
        <v>0.47</v>
      </c>
      <c r="E965" s="64" t="str">
        <f t="shared" si="1"/>
        <v>0.47%</v>
      </c>
      <c r="F965" s="64">
        <f t="shared" si="2"/>
        <v>0.47</v>
      </c>
      <c r="G965" s="64" t="str">
        <f t="shared" si="3"/>
        <v/>
      </c>
      <c r="H965" s="64">
        <f>IFERROR(__xludf.DUMMYFUNCTION("IFERROR(GOOGLEFINANCE(A965,""PRICE""),)"),88.5)</f>
        <v>88.5</v>
      </c>
      <c r="I965" s="65">
        <f>IFERROR(__xludf.DUMMYFUNCTION("IFERROR(GOOGLEFINANCE(A965,""VOLUME""),)"),282568.0)</f>
        <v>282568</v>
      </c>
      <c r="J965" s="64" t="str">
        <f>IFERROR(__xludf.DUMMYFUNCTION("IFERROR(INDEX(SPLIT(A965,"":""),1,2),)"),"NAVKARCORP")</f>
        <v>NAVKARCORP</v>
      </c>
      <c r="K965" s="64">
        <f t="shared" si="4"/>
        <v>887</v>
      </c>
      <c r="L965" s="64" t="str">
        <f t="shared" si="5"/>
        <v/>
      </c>
      <c r="M965" s="64">
        <f t="shared" si="6"/>
        <v>525</v>
      </c>
      <c r="N965" s="66">
        <f>IFERROR(__xludf.DUMMYFUNCTION("IFERROR(GOOGLEFINANCE(A965,""TRADETIME""),)"),46086.639560185184)</f>
        <v>46086.63956</v>
      </c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67" t="s">
        <v>1012</v>
      </c>
      <c r="B966" s="60" t="str">
        <f>IFERROR(__xludf.DUMMYFUNCTION("IFERROR(GOOGLEFINANCE(A966,""NAME""),)"),"Navneet Education Ltd")</f>
        <v>Navneet Education Ltd</v>
      </c>
      <c r="C966" s="60">
        <f>IFERROR(__xludf.DUMMYFUNCTION("IFERROR(GOOGLEFINANCE(A966,""CHANGE""),)"),3.69)</f>
        <v>3.69</v>
      </c>
      <c r="D966" s="60">
        <f>IFERROR(__xludf.DUMMYFUNCTION("IFERROR(GOOGLEFINANCE(A966,""CHANGEPCT""),)"),2.67)</f>
        <v>2.67</v>
      </c>
      <c r="E966" s="60" t="str">
        <f t="shared" si="1"/>
        <v>2.67%</v>
      </c>
      <c r="F966" s="60">
        <f t="shared" si="2"/>
        <v>2.67</v>
      </c>
      <c r="G966" s="60" t="str">
        <f t="shared" si="3"/>
        <v/>
      </c>
      <c r="H966" s="60">
        <f>IFERROR(__xludf.DUMMYFUNCTION("IFERROR(GOOGLEFINANCE(A966,""PRICE""),)"),141.87)</f>
        <v>141.87</v>
      </c>
      <c r="I966" s="61">
        <f>IFERROR(__xludf.DUMMYFUNCTION("IFERROR(GOOGLEFINANCE(A966,""VOLUME""),)"),94248.0)</f>
        <v>94248</v>
      </c>
      <c r="J966" s="60" t="str">
        <f>IFERROR(__xludf.DUMMYFUNCTION("IFERROR(INDEX(SPLIT(A966,"":""),1,2),)"),"NAVNETEDUL")</f>
        <v>NAVNETEDUL</v>
      </c>
      <c r="K966" s="60">
        <f t="shared" si="4"/>
        <v>311</v>
      </c>
      <c r="L966" s="60" t="str">
        <f t="shared" si="5"/>
        <v/>
      </c>
      <c r="M966" s="60">
        <f t="shared" si="6"/>
        <v>770</v>
      </c>
      <c r="N966" s="62">
        <f>IFERROR(__xludf.DUMMYFUNCTION("IFERROR(GOOGLEFINANCE(A966,""TRADETIME""),)"),46086.63921296297)</f>
        <v>46086.63921</v>
      </c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63" t="s">
        <v>1013</v>
      </c>
      <c r="B967" s="64" t="str">
        <f>IFERROR(__xludf.DUMMYFUNCTION("IFERROR(GOOGLEFINANCE(A967,""NAME""),)"),"R S Software (India) Ltd")</f>
        <v>R S Software (India) Ltd</v>
      </c>
      <c r="C967" s="64">
        <f>IFERROR(__xludf.DUMMYFUNCTION("IFERROR(GOOGLEFINANCE(A967,""CHANGE""),)"),-0.77)</f>
        <v>-0.77</v>
      </c>
      <c r="D967" s="64">
        <f>IFERROR(__xludf.DUMMYFUNCTION("IFERROR(GOOGLEFINANCE(A967,""CHANGEPCT""),)"),-2.21)</f>
        <v>-2.21</v>
      </c>
      <c r="E967" s="64" t="str">
        <f t="shared" si="1"/>
        <v>-2.21%</v>
      </c>
      <c r="F967" s="64" t="str">
        <f t="shared" si="2"/>
        <v/>
      </c>
      <c r="G967" s="64">
        <f t="shared" si="3"/>
        <v>-2.21</v>
      </c>
      <c r="H967" s="64">
        <f>IFERROR(__xludf.DUMMYFUNCTION("IFERROR(GOOGLEFINANCE(A967,""PRICE""),)"),34.0)</f>
        <v>34</v>
      </c>
      <c r="I967" s="65">
        <f>IFERROR(__xludf.DUMMYFUNCTION("IFERROR(GOOGLEFINANCE(A967,""VOLUME""),)"),90491.0)</f>
        <v>90491</v>
      </c>
      <c r="J967" s="64" t="str">
        <f>IFERROR(__xludf.DUMMYFUNCTION("IFERROR(INDEX(SPLIT(A967,"":""),1,2),)"),"RSSOFTWARE")</f>
        <v>RSSOFTWARE</v>
      </c>
      <c r="K967" s="64" t="str">
        <f t="shared" si="4"/>
        <v/>
      </c>
      <c r="L967" s="64">
        <f t="shared" si="5"/>
        <v>370</v>
      </c>
      <c r="M967" s="64">
        <f t="shared" si="6"/>
        <v>779</v>
      </c>
      <c r="N967" s="66">
        <f>IFERROR(__xludf.DUMMYFUNCTION("IFERROR(GOOGLEFINANCE(A967,""TRADETIME""),)"),46086.64583333333)</f>
        <v>46086.64583</v>
      </c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67" t="s">
        <v>1014</v>
      </c>
      <c r="B968" s="60" t="str">
        <f>IFERROR(__xludf.DUMMYFUNCTION("IFERROR(GOOGLEFINANCE(A968,""NAME""),)"),"NBI Industrial Finance Company Ltd")</f>
        <v>NBI Industrial Finance Company Ltd</v>
      </c>
      <c r="C968" s="60">
        <f>IFERROR(__xludf.DUMMYFUNCTION("IFERROR(GOOGLEFINANCE(A968,""CHANGE""),)"),82.5)</f>
        <v>82.5</v>
      </c>
      <c r="D968" s="60">
        <f>IFERROR(__xludf.DUMMYFUNCTION("IFERROR(GOOGLEFINANCE(A968,""CHANGEPCT""),)"),4.54)</f>
        <v>4.54</v>
      </c>
      <c r="E968" s="60" t="str">
        <f t="shared" si="1"/>
        <v>4.54%</v>
      </c>
      <c r="F968" s="60">
        <f t="shared" si="2"/>
        <v>4.54</v>
      </c>
      <c r="G968" s="60" t="str">
        <f t="shared" si="3"/>
        <v/>
      </c>
      <c r="H968" s="60">
        <f>IFERROR(__xludf.DUMMYFUNCTION("IFERROR(GOOGLEFINANCE(A968,""PRICE""),)"),1859.0)</f>
        <v>1859</v>
      </c>
      <c r="I968" s="61">
        <f>IFERROR(__xludf.DUMMYFUNCTION("IFERROR(GOOGLEFINANCE(A968,""VOLUME""),)"),99.0)</f>
        <v>99</v>
      </c>
      <c r="J968" s="60" t="str">
        <f>IFERROR(__xludf.DUMMYFUNCTION("IFERROR(INDEX(SPLIT(A968,"":""),1,2),)"),"NBIFIN")</f>
        <v>NBIFIN</v>
      </c>
      <c r="K968" s="60">
        <f t="shared" si="4"/>
        <v>109</v>
      </c>
      <c r="L968" s="60" t="str">
        <f t="shared" si="5"/>
        <v/>
      </c>
      <c r="M968" s="60">
        <f t="shared" si="6"/>
        <v>1461</v>
      </c>
      <c r="N968" s="62">
        <f>IFERROR(__xludf.DUMMYFUNCTION("IFERROR(GOOGLEFINANCE(A968,""TRADETIME""),)"),46086.64583333333)</f>
        <v>46086.64583</v>
      </c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68" t="s">
        <v>1015</v>
      </c>
      <c r="B969" s="64" t="str">
        <f>IFERROR(__xludf.DUMMYFUNCTION("IFERROR(GOOGLEFINANCE(A969,""NAME""),)"),"Nava Limited")</f>
        <v>Nava Limited</v>
      </c>
      <c r="C969" s="64">
        <f>IFERROR(__xludf.DUMMYFUNCTION("IFERROR(GOOGLEFINANCE(A969,""CHANGE""),)"),14.9)</f>
        <v>14.9</v>
      </c>
      <c r="D969" s="64">
        <f>IFERROR(__xludf.DUMMYFUNCTION("IFERROR(GOOGLEFINANCE(A969,""CHANGEPCT""),)"),2.66)</f>
        <v>2.66</v>
      </c>
      <c r="E969" s="64" t="str">
        <f t="shared" si="1"/>
        <v>2.66%</v>
      </c>
      <c r="F969" s="64">
        <f t="shared" si="2"/>
        <v>2.66</v>
      </c>
      <c r="G969" s="64" t="str">
        <f t="shared" si="3"/>
        <v/>
      </c>
      <c r="H969" s="64">
        <f>IFERROR(__xludf.DUMMYFUNCTION("IFERROR(GOOGLEFINANCE(A969,""PRICE""),)"),576.0)</f>
        <v>576</v>
      </c>
      <c r="I969" s="65">
        <f>IFERROR(__xludf.DUMMYFUNCTION("IFERROR(GOOGLEFINANCE(A969,""VOLUME""),)"),210905.0)</f>
        <v>210905</v>
      </c>
      <c r="J969" s="64" t="str">
        <f>IFERROR(__xludf.DUMMYFUNCTION("IFERROR(INDEX(SPLIT(A969,"":""),1,2),)"),"NAVA")</f>
        <v>NAVA</v>
      </c>
      <c r="K969" s="64">
        <f t="shared" si="4"/>
        <v>314</v>
      </c>
      <c r="L969" s="64" t="str">
        <f t="shared" si="5"/>
        <v/>
      </c>
      <c r="M969" s="64">
        <f t="shared" si="6"/>
        <v>590</v>
      </c>
      <c r="N969" s="66">
        <f>IFERROR(__xludf.DUMMYFUNCTION("IFERROR(GOOGLEFINANCE(A969,""TRADETIME""),)"),46086.639872685184)</f>
        <v>46086.63987</v>
      </c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67" t="s">
        <v>1016</v>
      </c>
      <c r="B970" s="60" t="str">
        <f>IFERROR(__xludf.DUMMYFUNCTION("IFERROR(GOOGLEFINANCE(A970,""NAME""),)"),"NCC Ltd")</f>
        <v>NCC Ltd</v>
      </c>
      <c r="C970" s="60">
        <f>IFERROR(__xludf.DUMMYFUNCTION("IFERROR(GOOGLEFINANCE(A970,""CHANGE""),)"),0.05)</f>
        <v>0.05</v>
      </c>
      <c r="D970" s="60">
        <f>IFERROR(__xludf.DUMMYFUNCTION("IFERROR(GOOGLEFINANCE(A970,""CHANGEPCT""),)"),0.03)</f>
        <v>0.03</v>
      </c>
      <c r="E970" s="60" t="str">
        <f t="shared" si="1"/>
        <v>0.03%</v>
      </c>
      <c r="F970" s="60">
        <f t="shared" si="2"/>
        <v>0.03</v>
      </c>
      <c r="G970" s="60" t="str">
        <f t="shared" si="3"/>
        <v/>
      </c>
      <c r="H970" s="60">
        <f>IFERROR(__xludf.DUMMYFUNCTION("IFERROR(GOOGLEFINANCE(A970,""PRICE""),)"),143.4)</f>
        <v>143.4</v>
      </c>
      <c r="I970" s="61">
        <f>IFERROR(__xludf.DUMMYFUNCTION("IFERROR(GOOGLEFINANCE(A970,""VOLUME""),)"),2536395.0)</f>
        <v>2536395</v>
      </c>
      <c r="J970" s="60" t="str">
        <f>IFERROR(__xludf.DUMMYFUNCTION("IFERROR(INDEX(SPLIT(A970,"":""),1,2),)"),"NCC")</f>
        <v>NCC</v>
      </c>
      <c r="K970" s="60">
        <f t="shared" si="4"/>
        <v>995</v>
      </c>
      <c r="L970" s="60" t="str">
        <f t="shared" si="5"/>
        <v/>
      </c>
      <c r="M970" s="60">
        <f t="shared" si="6"/>
        <v>170</v>
      </c>
      <c r="N970" s="62">
        <f>IFERROR(__xludf.DUMMYFUNCTION("IFERROR(GOOGLEFINANCE(A970,""TRADETIME""),)"),46086.640439814815)</f>
        <v>46086.64044</v>
      </c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68" t="s">
        <v>1017</v>
      </c>
      <c r="B971" s="64" t="str">
        <f>IFERROR(__xludf.DUMMYFUNCTION("IFERROR(GOOGLEFINANCE(A971,""NAME""),)"),"Ncl Industries Ltd")</f>
        <v>Ncl Industries Ltd</v>
      </c>
      <c r="C971" s="64">
        <f>IFERROR(__xludf.DUMMYFUNCTION("IFERROR(GOOGLEFINANCE(A971,""CHANGE""),)"),-2.34)</f>
        <v>-2.34</v>
      </c>
      <c r="D971" s="64">
        <f>IFERROR(__xludf.DUMMYFUNCTION("IFERROR(GOOGLEFINANCE(A971,""CHANGEPCT""),)"),-1.28)</f>
        <v>-1.28</v>
      </c>
      <c r="E971" s="64" t="str">
        <f t="shared" si="1"/>
        <v>-1.28%</v>
      </c>
      <c r="F971" s="64" t="str">
        <f t="shared" si="2"/>
        <v/>
      </c>
      <c r="G971" s="64">
        <f t="shared" si="3"/>
        <v>-1.28</v>
      </c>
      <c r="H971" s="64">
        <f>IFERROR(__xludf.DUMMYFUNCTION("IFERROR(GOOGLEFINANCE(A971,""PRICE""),)"),180.0)</f>
        <v>180</v>
      </c>
      <c r="I971" s="65">
        <f>IFERROR(__xludf.DUMMYFUNCTION("IFERROR(GOOGLEFINANCE(A971,""VOLUME""),)"),81107.0)</f>
        <v>81107</v>
      </c>
      <c r="J971" s="64" t="str">
        <f>IFERROR(__xludf.DUMMYFUNCTION("IFERROR(INDEX(SPLIT(A971,"":""),1,2),)"),"NCLIND")</f>
        <v>NCLIND</v>
      </c>
      <c r="K971" s="64" t="str">
        <f t="shared" si="4"/>
        <v/>
      </c>
      <c r="L971" s="64">
        <f t="shared" si="5"/>
        <v>261</v>
      </c>
      <c r="M971" s="64">
        <f t="shared" si="6"/>
        <v>809</v>
      </c>
      <c r="N971" s="66">
        <f>IFERROR(__xludf.DUMMYFUNCTION("IFERROR(GOOGLEFINANCE(A971,""TRADETIME""),)"),46086.64583333333)</f>
        <v>46086.64583</v>
      </c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67" t="s">
        <v>1018</v>
      </c>
      <c r="B972" s="60" t="str">
        <f>IFERROR(__xludf.DUMMYFUNCTION("IFERROR(GOOGLEFINANCE(A972,""NAME""),)"),"Naga Dhunseri Group Ltd")</f>
        <v>Naga Dhunseri Group Ltd</v>
      </c>
      <c r="C972" s="60">
        <f>IFERROR(__xludf.DUMMYFUNCTION("IFERROR(GOOGLEFINANCE(A972,""CHANGE""),)"),-105.2)</f>
        <v>-105.2</v>
      </c>
      <c r="D972" s="60">
        <f>IFERROR(__xludf.DUMMYFUNCTION("IFERROR(GOOGLEFINANCE(A972,""CHANGEPCT""),)"),-4.08)</f>
        <v>-4.08</v>
      </c>
      <c r="E972" s="60" t="str">
        <f t="shared" si="1"/>
        <v>-4.08%</v>
      </c>
      <c r="F972" s="60" t="str">
        <f t="shared" si="2"/>
        <v/>
      </c>
      <c r="G972" s="60">
        <f t="shared" si="3"/>
        <v>-4.08</v>
      </c>
      <c r="H972" s="60">
        <f>IFERROR(__xludf.DUMMYFUNCTION("IFERROR(GOOGLEFINANCE(A972,""PRICE""),)"),2495.0)</f>
        <v>2495</v>
      </c>
      <c r="I972" s="61">
        <f>IFERROR(__xludf.DUMMYFUNCTION("IFERROR(GOOGLEFINANCE(A972,""VOLUME""),)"),297.0)</f>
        <v>297</v>
      </c>
      <c r="J972" s="60" t="str">
        <f>IFERROR(__xludf.DUMMYFUNCTION("IFERROR(INDEX(SPLIT(A972,"":""),1,2),)"),"NDGL")</f>
        <v>NDGL</v>
      </c>
      <c r="K972" s="60" t="str">
        <f t="shared" si="4"/>
        <v/>
      </c>
      <c r="L972" s="60">
        <f t="shared" si="5"/>
        <v>427</v>
      </c>
      <c r="M972" s="60">
        <f t="shared" si="6"/>
        <v>1450</v>
      </c>
      <c r="N972" s="62">
        <f>IFERROR(__xludf.DUMMYFUNCTION("IFERROR(GOOGLEFINANCE(A972,""TRADETIME""),)"),46086.64583333333)</f>
        <v>46086.64583</v>
      </c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68" t="s">
        <v>1019</v>
      </c>
      <c r="B973" s="64" t="str">
        <f>IFERROR(__xludf.DUMMYFUNCTION("IFERROR(GOOGLEFINANCE(A973,""NAME""),)"),"Nandan Denim Ltd")</f>
        <v>Nandan Denim Ltd</v>
      </c>
      <c r="C973" s="64">
        <f>IFERROR(__xludf.DUMMYFUNCTION("IFERROR(GOOGLEFINANCE(A973,""CHANGE""),)"),0.02)</f>
        <v>0.02</v>
      </c>
      <c r="D973" s="64">
        <f>IFERROR(__xludf.DUMMYFUNCTION("IFERROR(GOOGLEFINANCE(A973,""CHANGEPCT""),)"),0.81)</f>
        <v>0.81</v>
      </c>
      <c r="E973" s="64" t="str">
        <f t="shared" si="1"/>
        <v>0.81%</v>
      </c>
      <c r="F973" s="64">
        <f t="shared" si="2"/>
        <v>0.81</v>
      </c>
      <c r="G973" s="64" t="str">
        <f t="shared" si="3"/>
        <v/>
      </c>
      <c r="H973" s="64">
        <f>IFERROR(__xludf.DUMMYFUNCTION("IFERROR(GOOGLEFINANCE(A973,""PRICE""),)"),2.48)</f>
        <v>2.48</v>
      </c>
      <c r="I973" s="65">
        <f>IFERROR(__xludf.DUMMYFUNCTION("IFERROR(GOOGLEFINANCE(A973,""VOLUME""),)"),1965982.0)</f>
        <v>1965982</v>
      </c>
      <c r="J973" s="64" t="str">
        <f>IFERROR(__xludf.DUMMYFUNCTION("IFERROR(INDEX(SPLIT(A973,"":""),1,2),)"),"NDL")</f>
        <v>NDL</v>
      </c>
      <c r="K973" s="64">
        <f t="shared" si="4"/>
        <v>778</v>
      </c>
      <c r="L973" s="64" t="str">
        <f t="shared" si="5"/>
        <v/>
      </c>
      <c r="M973" s="64">
        <f t="shared" si="6"/>
        <v>206</v>
      </c>
      <c r="N973" s="66">
        <f>IFERROR(__xludf.DUMMYFUNCTION("IFERROR(GOOGLEFINANCE(A973,""TRADETIME""),)"),46086.64583333333)</f>
        <v>46086.64583</v>
      </c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67" t="s">
        <v>1020</v>
      </c>
      <c r="B974" s="60" t="str">
        <f>IFERROR(__xludf.DUMMYFUNCTION("IFERROR(GOOGLEFINANCE(A974,""NAME""),)"),"NDR Auto Components Ltd")</f>
        <v>NDR Auto Components Ltd</v>
      </c>
      <c r="C974" s="60">
        <f>IFERROR(__xludf.DUMMYFUNCTION("IFERROR(GOOGLEFINANCE(A974,""CHANGE""),)"),-0.45)</f>
        <v>-0.45</v>
      </c>
      <c r="D974" s="60">
        <f>IFERROR(__xludf.DUMMYFUNCTION("IFERROR(GOOGLEFINANCE(A974,""CHANGEPCT""),)"),-0.79)</f>
        <v>-0.79</v>
      </c>
      <c r="E974" s="60" t="str">
        <f t="shared" si="1"/>
        <v>-0.79%</v>
      </c>
      <c r="F974" s="60" t="str">
        <f t="shared" si="2"/>
        <v/>
      </c>
      <c r="G974" s="60">
        <f t="shared" si="3"/>
        <v>-0.79</v>
      </c>
      <c r="H974" s="60">
        <f>IFERROR(__xludf.DUMMYFUNCTION("IFERROR(GOOGLEFINANCE(A974,""PRICE""),)"),705.0)</f>
        <v>705</v>
      </c>
      <c r="I974" s="61">
        <f>IFERROR(__xludf.DUMMYFUNCTION("IFERROR(GOOGLEFINANCE(A974,""VOLUME""),)"),21945.0)</f>
        <v>21945</v>
      </c>
      <c r="J974" s="60" t="str">
        <f>IFERROR(__xludf.DUMMYFUNCTION("IFERROR(INDEX(SPLIT(A974,"":""),1,2),)"),"NDRAUTO")</f>
        <v>NDRAUTO</v>
      </c>
      <c r="K974" s="60" t="str">
        <f t="shared" si="4"/>
        <v/>
      </c>
      <c r="L974" s="60">
        <f t="shared" si="5"/>
        <v>181</v>
      </c>
      <c r="M974" s="60">
        <f t="shared" si="6"/>
        <v>1123</v>
      </c>
      <c r="N974" s="62">
        <f>IFERROR(__xludf.DUMMYFUNCTION("IFERROR(GOOGLEFINANCE(A974,""TRADETIME""),)"),46086.64583333333)</f>
        <v>46086.64583</v>
      </c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68" t="s">
        <v>1021</v>
      </c>
      <c r="B975" s="64" t="str">
        <f>IFERROR(__xludf.DUMMYFUNCTION("IFERROR(GOOGLEFINANCE(A975,""NAME""),)"),"New Delhi Television Ltd")</f>
        <v>New Delhi Television Ltd</v>
      </c>
      <c r="C975" s="64">
        <f>IFERROR(__xludf.DUMMYFUNCTION("IFERROR(GOOGLEFINANCE(A975,""CHANGE""),)"),2.05)</f>
        <v>2.05</v>
      </c>
      <c r="D975" s="64">
        <f>IFERROR(__xludf.DUMMYFUNCTION("IFERROR(GOOGLEFINANCE(A975,""CHANGEPCT""),)"),4.61)</f>
        <v>4.61</v>
      </c>
      <c r="E975" s="64" t="str">
        <f t="shared" si="1"/>
        <v>4.61%</v>
      </c>
      <c r="F975" s="64">
        <f t="shared" si="2"/>
        <v>4.61</v>
      </c>
      <c r="G975" s="64" t="str">
        <f t="shared" si="3"/>
        <v/>
      </c>
      <c r="H975" s="64">
        <f>IFERROR(__xludf.DUMMYFUNCTION("IFERROR(GOOGLEFINANCE(A975,""PRICE""),)"),81.98)</f>
        <v>81.98</v>
      </c>
      <c r="I975" s="65">
        <f>IFERROR(__xludf.DUMMYFUNCTION("IFERROR(GOOGLEFINANCE(A975,""VOLUME""),)"),828301.0)</f>
        <v>828301</v>
      </c>
      <c r="J975" s="64" t="str">
        <f>IFERROR(__xludf.DUMMYFUNCTION("IFERROR(INDEX(SPLIT(A975,"":""),1,2),)"),"NDTV")</f>
        <v>NDTV</v>
      </c>
      <c r="K975" s="64">
        <f t="shared" si="4"/>
        <v>108</v>
      </c>
      <c r="L975" s="64" t="str">
        <f t="shared" si="5"/>
        <v/>
      </c>
      <c r="M975" s="64">
        <f t="shared" si="6"/>
        <v>312</v>
      </c>
      <c r="N975" s="66">
        <f>IFERROR(__xludf.DUMMYFUNCTION("IFERROR(GOOGLEFINANCE(A975,""TRADETIME""),)"),46086.64584490741)</f>
        <v>46086.64584</v>
      </c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67" t="s">
        <v>1022</v>
      </c>
      <c r="B976" s="60" t="str">
        <f>IFERROR(__xludf.DUMMYFUNCTION("IFERROR(GOOGLEFINANCE(A976,""NAME""),)"),"North Eastern Carrying Corporation Ltd")</f>
        <v>North Eastern Carrying Corporation Ltd</v>
      </c>
      <c r="C976" s="60">
        <f>IFERROR(__xludf.DUMMYFUNCTION("IFERROR(GOOGLEFINANCE(A976,""CHANGE""),)"),0.49)</f>
        <v>0.49</v>
      </c>
      <c r="D976" s="60">
        <f>IFERROR(__xludf.DUMMYFUNCTION("IFERROR(GOOGLEFINANCE(A976,""CHANGEPCT""),)"),3.77)</f>
        <v>3.77</v>
      </c>
      <c r="E976" s="60" t="str">
        <f t="shared" si="1"/>
        <v>3.77%</v>
      </c>
      <c r="F976" s="60">
        <f t="shared" si="2"/>
        <v>3.77</v>
      </c>
      <c r="G976" s="60" t="str">
        <f t="shared" si="3"/>
        <v/>
      </c>
      <c r="H976" s="60">
        <f>IFERROR(__xludf.DUMMYFUNCTION("IFERROR(GOOGLEFINANCE(A976,""PRICE""),)"),13.49)</f>
        <v>13.49</v>
      </c>
      <c r="I976" s="61">
        <f>IFERROR(__xludf.DUMMYFUNCTION("IFERROR(GOOGLEFINANCE(A976,""VOLUME""),)"),79289.0)</f>
        <v>79289</v>
      </c>
      <c r="J976" s="60" t="str">
        <f>IFERROR(__xludf.DUMMYFUNCTION("IFERROR(INDEX(SPLIT(A976,"":""),1,2),)"),"NECCLTD")</f>
        <v>NECCLTD</v>
      </c>
      <c r="K976" s="60">
        <f t="shared" si="4"/>
        <v>166</v>
      </c>
      <c r="L976" s="60" t="str">
        <f t="shared" si="5"/>
        <v/>
      </c>
      <c r="M976" s="60">
        <f t="shared" si="6"/>
        <v>817</v>
      </c>
      <c r="N976" s="62">
        <f>IFERROR(__xludf.DUMMYFUNCTION("IFERROR(GOOGLEFINANCE(A976,""TRADETIME""),)"),46086.640439814815)</f>
        <v>46086.64044</v>
      </c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68" t="s">
        <v>1023</v>
      </c>
      <c r="B977" s="64" t="str">
        <f>IFERROR(__xludf.DUMMYFUNCTION("IFERROR(GOOGLEFINANCE(A977,""NAME""),)"),"Nectar Lifesciences Ltd")</f>
        <v>Nectar Lifesciences Ltd</v>
      </c>
      <c r="C977" s="64">
        <f>IFERROR(__xludf.DUMMYFUNCTION("IFERROR(GOOGLEFINANCE(A977,""CHANGE""),)"),-0.08)</f>
        <v>-0.08</v>
      </c>
      <c r="D977" s="64">
        <f>IFERROR(__xludf.DUMMYFUNCTION("IFERROR(GOOGLEFINANCE(A977,""CHANGEPCT""),)"),-0.67)</f>
        <v>-0.67</v>
      </c>
      <c r="E977" s="64" t="str">
        <f t="shared" si="1"/>
        <v>-0.67%</v>
      </c>
      <c r="F977" s="64" t="str">
        <f t="shared" si="2"/>
        <v/>
      </c>
      <c r="G977" s="64">
        <f t="shared" si="3"/>
        <v>-0.67</v>
      </c>
      <c r="H977" s="64">
        <f>IFERROR(__xludf.DUMMYFUNCTION("IFERROR(GOOGLEFINANCE(A977,""PRICE""),)"),11.85)</f>
        <v>11.85</v>
      </c>
      <c r="I977" s="65">
        <f>IFERROR(__xludf.DUMMYFUNCTION("IFERROR(GOOGLEFINANCE(A977,""VOLUME""),)"),251671.0)</f>
        <v>251671</v>
      </c>
      <c r="J977" s="64" t="str">
        <f>IFERROR(__xludf.DUMMYFUNCTION("IFERROR(INDEX(SPLIT(A977,"":""),1,2),)"),"NECLIFE")</f>
        <v>NECLIFE</v>
      </c>
      <c r="K977" s="64" t="str">
        <f t="shared" si="4"/>
        <v/>
      </c>
      <c r="L977" s="64">
        <f t="shared" si="5"/>
        <v>162</v>
      </c>
      <c r="M977" s="64">
        <f t="shared" si="6"/>
        <v>553</v>
      </c>
      <c r="N977" s="66">
        <f>IFERROR(__xludf.DUMMYFUNCTION("IFERROR(GOOGLEFINANCE(A977,""TRADETIME""),)"),46086.64583333333)</f>
        <v>46086.64583</v>
      </c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67" t="s">
        <v>1024</v>
      </c>
      <c r="B978" s="60" t="str">
        <f>IFERROR(__xludf.DUMMYFUNCTION("IFERROR(GOOGLEFINANCE(A978,""NAME""),)"),"Nelcast Ltd")</f>
        <v>Nelcast Ltd</v>
      </c>
      <c r="C978" s="60">
        <f>IFERROR(__xludf.DUMMYFUNCTION("IFERROR(GOOGLEFINANCE(A978,""CHANGE""),)"),1.89)</f>
        <v>1.89</v>
      </c>
      <c r="D978" s="60">
        <f>IFERROR(__xludf.DUMMYFUNCTION("IFERROR(GOOGLEFINANCE(A978,""CHANGEPCT""),)"),1.81)</f>
        <v>1.81</v>
      </c>
      <c r="E978" s="60" t="str">
        <f t="shared" si="1"/>
        <v>1.81%</v>
      </c>
      <c r="F978" s="60">
        <f t="shared" si="2"/>
        <v>1.81</v>
      </c>
      <c r="G978" s="60" t="str">
        <f t="shared" si="3"/>
        <v/>
      </c>
      <c r="H978" s="60">
        <f>IFERROR(__xludf.DUMMYFUNCTION("IFERROR(GOOGLEFINANCE(A978,""PRICE""),)"),106.38)</f>
        <v>106.38</v>
      </c>
      <c r="I978" s="61">
        <f>IFERROR(__xludf.DUMMYFUNCTION("IFERROR(GOOGLEFINANCE(A978,""VOLUME""),)"),89068.0)</f>
        <v>89068</v>
      </c>
      <c r="J978" s="60" t="str">
        <f>IFERROR(__xludf.DUMMYFUNCTION("IFERROR(INDEX(SPLIT(A978,"":""),1,2),)"),"NELCAST")</f>
        <v>NELCAST</v>
      </c>
      <c r="K978" s="60">
        <f t="shared" si="4"/>
        <v>497</v>
      </c>
      <c r="L978" s="60" t="str">
        <f t="shared" si="5"/>
        <v/>
      </c>
      <c r="M978" s="60">
        <f t="shared" si="6"/>
        <v>785</v>
      </c>
      <c r="N978" s="62">
        <f>IFERROR(__xludf.DUMMYFUNCTION("IFERROR(GOOGLEFINANCE(A978,""TRADETIME""),)"),46086.64583333333)</f>
        <v>46086.64583</v>
      </c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68" t="s">
        <v>1025</v>
      </c>
      <c r="B979" s="64" t="str">
        <f>IFERROR(__xludf.DUMMYFUNCTION("IFERROR(GOOGLEFINANCE(A979,""NAME""),)"),"Nelco Ltd")</f>
        <v>Nelco Ltd</v>
      </c>
      <c r="C979" s="64">
        <f>IFERROR(__xludf.DUMMYFUNCTION("IFERROR(GOOGLEFINANCE(A979,""CHANGE""),)"),8.2)</f>
        <v>8.2</v>
      </c>
      <c r="D979" s="64">
        <f>IFERROR(__xludf.DUMMYFUNCTION("IFERROR(GOOGLEFINANCE(A979,""CHANGEPCT""),)"),1.4)</f>
        <v>1.4</v>
      </c>
      <c r="E979" s="64" t="str">
        <f t="shared" si="1"/>
        <v>1.4%</v>
      </c>
      <c r="F979" s="64">
        <f t="shared" si="2"/>
        <v>1.4</v>
      </c>
      <c r="G979" s="64" t="str">
        <f t="shared" si="3"/>
        <v/>
      </c>
      <c r="H979" s="64">
        <f>IFERROR(__xludf.DUMMYFUNCTION("IFERROR(GOOGLEFINANCE(A979,""PRICE""),)"),595.9)</f>
        <v>595.9</v>
      </c>
      <c r="I979" s="65">
        <f>IFERROR(__xludf.DUMMYFUNCTION("IFERROR(GOOGLEFINANCE(A979,""VOLUME""),)"),86960.0)</f>
        <v>86960</v>
      </c>
      <c r="J979" s="64" t="str">
        <f>IFERROR(__xludf.DUMMYFUNCTION("IFERROR(INDEX(SPLIT(A979,"":""),1,2),)"),"NELCO")</f>
        <v>NELCO</v>
      </c>
      <c r="K979" s="64">
        <f t="shared" si="4"/>
        <v>606</v>
      </c>
      <c r="L979" s="64" t="str">
        <f t="shared" si="5"/>
        <v/>
      </c>
      <c r="M979" s="64">
        <f t="shared" si="6"/>
        <v>792</v>
      </c>
      <c r="N979" s="66">
        <f>IFERROR(__xludf.DUMMYFUNCTION("IFERROR(GOOGLEFINANCE(A979,""TRADETIME""),)"),46086.64583333333)</f>
        <v>46086.64583</v>
      </c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67" t="s">
        <v>1026</v>
      </c>
      <c r="B980" s="60" t="str">
        <f>IFERROR(__xludf.DUMMYFUNCTION("IFERROR(GOOGLEFINANCE(A980,""NAME""),)"),"Neogen Chemicals Ltd")</f>
        <v>Neogen Chemicals Ltd</v>
      </c>
      <c r="C980" s="60">
        <f>IFERROR(__xludf.DUMMYFUNCTION("IFERROR(GOOGLEFINANCE(A980,""CHANGE""),)"),22.3)</f>
        <v>22.3</v>
      </c>
      <c r="D980" s="60">
        <f>IFERROR(__xludf.DUMMYFUNCTION("IFERROR(GOOGLEFINANCE(A980,""CHANGEPCT""),)"),0.94)</f>
        <v>0.94</v>
      </c>
      <c r="E980" s="60" t="str">
        <f t="shared" si="1"/>
        <v>0.94%</v>
      </c>
      <c r="F980" s="60">
        <f t="shared" si="2"/>
        <v>0.94</v>
      </c>
      <c r="G980" s="60" t="str">
        <f t="shared" si="3"/>
        <v/>
      </c>
      <c r="H980" s="60">
        <f>IFERROR(__xludf.DUMMYFUNCTION("IFERROR(GOOGLEFINANCE(A980,""PRICE""),)"),1376.5)</f>
        <v>1376.5</v>
      </c>
      <c r="I980" s="61">
        <f>IFERROR(__xludf.DUMMYFUNCTION("IFERROR(GOOGLEFINANCE(A980,""VOLUME""),)"),29569.0)</f>
        <v>29569</v>
      </c>
      <c r="J980" s="60" t="str">
        <f>IFERROR(__xludf.DUMMYFUNCTION("IFERROR(INDEX(SPLIT(A980,"":""),1,2),)"),"NEOGEN")</f>
        <v>NEOGEN</v>
      </c>
      <c r="K980" s="60">
        <f t="shared" si="4"/>
        <v>741</v>
      </c>
      <c r="L980" s="60" t="str">
        <f t="shared" si="5"/>
        <v/>
      </c>
      <c r="M980" s="60">
        <f t="shared" si="6"/>
        <v>1059</v>
      </c>
      <c r="N980" s="62">
        <f>IFERROR(__xludf.DUMMYFUNCTION("IFERROR(GOOGLEFINANCE(A980,""TRADETIME""),)"),46086.63974537037)</f>
        <v>46086.63975</v>
      </c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68" t="s">
        <v>1027</v>
      </c>
      <c r="B981" s="64" t="str">
        <f>IFERROR(__xludf.DUMMYFUNCTION("IFERROR(GOOGLEFINANCE(A981,""NAME""),)"),"NESCO Ltd")</f>
        <v>NESCO Ltd</v>
      </c>
      <c r="C981" s="64">
        <f>IFERROR(__xludf.DUMMYFUNCTION("IFERROR(GOOGLEFINANCE(A981,""CHANGE""),)"),32.8)</f>
        <v>32.8</v>
      </c>
      <c r="D981" s="64">
        <f>IFERROR(__xludf.DUMMYFUNCTION("IFERROR(GOOGLEFINANCE(A981,""CHANGEPCT""),)"),3.05)</f>
        <v>3.05</v>
      </c>
      <c r="E981" s="64" t="str">
        <f t="shared" si="1"/>
        <v>3.05%</v>
      </c>
      <c r="F981" s="64">
        <f t="shared" si="2"/>
        <v>3.05</v>
      </c>
      <c r="G981" s="64" t="str">
        <f t="shared" si="3"/>
        <v/>
      </c>
      <c r="H981" s="64">
        <f>IFERROR(__xludf.DUMMYFUNCTION("IFERROR(GOOGLEFINANCE(A981,""PRICE""),)"),1108.4)</f>
        <v>1108.4</v>
      </c>
      <c r="I981" s="65">
        <f>IFERROR(__xludf.DUMMYFUNCTION("IFERROR(GOOGLEFINANCE(A981,""VOLUME""),)"),72468.0)</f>
        <v>72468</v>
      </c>
      <c r="J981" s="64" t="str">
        <f>IFERROR(__xludf.DUMMYFUNCTION("IFERROR(INDEX(SPLIT(A981,"":""),1,2),)"),"NESCO")</f>
        <v>NESCO</v>
      </c>
      <c r="K981" s="64">
        <f t="shared" si="4"/>
        <v>250</v>
      </c>
      <c r="L981" s="64" t="str">
        <f t="shared" si="5"/>
        <v/>
      </c>
      <c r="M981" s="64">
        <f t="shared" si="6"/>
        <v>837</v>
      </c>
      <c r="N981" s="66">
        <f>IFERROR(__xludf.DUMMYFUNCTION("IFERROR(GOOGLEFINANCE(A981,""TRADETIME""),)"),46086.64583333333)</f>
        <v>46086.64583</v>
      </c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67" t="s">
        <v>1028</v>
      </c>
      <c r="B982" s="60" t="str">
        <f>IFERROR(__xludf.DUMMYFUNCTION("IFERROR(GOOGLEFINANCE(A982,""NAME""),)"),"Nestle India Ltd")</f>
        <v>Nestle India Ltd</v>
      </c>
      <c r="C982" s="60">
        <f>IFERROR(__xludf.DUMMYFUNCTION("IFERROR(GOOGLEFINANCE(A982,""CHANGE""),)"),1.2)</f>
        <v>1.2</v>
      </c>
      <c r="D982" s="60">
        <f>IFERROR(__xludf.DUMMYFUNCTION("IFERROR(GOOGLEFINANCE(A982,""CHANGEPCT""),)"),0.1)</f>
        <v>0.1</v>
      </c>
      <c r="E982" s="60" t="str">
        <f t="shared" si="1"/>
        <v>0.1%</v>
      </c>
      <c r="F982" s="60">
        <f t="shared" si="2"/>
        <v>0.1</v>
      </c>
      <c r="G982" s="60" t="str">
        <f t="shared" si="3"/>
        <v/>
      </c>
      <c r="H982" s="60">
        <f>IFERROR(__xludf.DUMMYFUNCTION("IFERROR(GOOGLEFINANCE(A982,""PRICE""),)"),1246.4)</f>
        <v>1246.4</v>
      </c>
      <c r="I982" s="61">
        <f>IFERROR(__xludf.DUMMYFUNCTION("IFERROR(GOOGLEFINANCE(A982,""VOLUME""),)"),935689.0)</f>
        <v>935689</v>
      </c>
      <c r="J982" s="60" t="str">
        <f>IFERROR(__xludf.DUMMYFUNCTION("IFERROR(INDEX(SPLIT(A982,"":""),1,2),)"),"NESTLEIND")</f>
        <v>NESTLEIND</v>
      </c>
      <c r="K982" s="60">
        <f t="shared" si="4"/>
        <v>977</v>
      </c>
      <c r="L982" s="60" t="str">
        <f t="shared" si="5"/>
        <v/>
      </c>
      <c r="M982" s="60">
        <f t="shared" si="6"/>
        <v>295</v>
      </c>
      <c r="N982" s="62">
        <f>IFERROR(__xludf.DUMMYFUNCTION("IFERROR(GOOGLEFINANCE(A982,""TRADETIME""),)"),46086.64583333333)</f>
        <v>46086.64583</v>
      </c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68" t="s">
        <v>1029</v>
      </c>
      <c r="B983" s="64" t="str">
        <f>IFERROR(__xludf.DUMMYFUNCTION("IFERROR(GOOGLEFINANCE(A983,""NAME""),)"),"Network18 Media &amp; Investments Ltd")</f>
        <v>Network18 Media &amp; Investments Ltd</v>
      </c>
      <c r="C983" s="64">
        <f>IFERROR(__xludf.DUMMYFUNCTION("IFERROR(GOOGLEFINANCE(A983,""CHANGE""),)"),1.12)</f>
        <v>1.12</v>
      </c>
      <c r="D983" s="64">
        <f>IFERROR(__xludf.DUMMYFUNCTION("IFERROR(GOOGLEFINANCE(A983,""CHANGEPCT""),)"),3.46)</f>
        <v>3.46</v>
      </c>
      <c r="E983" s="64" t="str">
        <f t="shared" si="1"/>
        <v>3.46%</v>
      </c>
      <c r="F983" s="64">
        <f t="shared" si="2"/>
        <v>3.46</v>
      </c>
      <c r="G983" s="64" t="str">
        <f t="shared" si="3"/>
        <v/>
      </c>
      <c r="H983" s="64">
        <f>IFERROR(__xludf.DUMMYFUNCTION("IFERROR(GOOGLEFINANCE(A983,""PRICE""),)"),33.52)</f>
        <v>33.52</v>
      </c>
      <c r="I983" s="65">
        <f>IFERROR(__xludf.DUMMYFUNCTION("IFERROR(GOOGLEFINANCE(A983,""VOLUME""),)"),5025812.0)</f>
        <v>5025812</v>
      </c>
      <c r="J983" s="64" t="str">
        <f>IFERROR(__xludf.DUMMYFUNCTION("IFERROR(INDEX(SPLIT(A983,"":""),1,2),)"),"NETWORK18")</f>
        <v>NETWORK18</v>
      </c>
      <c r="K983" s="64">
        <f t="shared" si="4"/>
        <v>195</v>
      </c>
      <c r="L983" s="64" t="str">
        <f t="shared" si="5"/>
        <v/>
      </c>
      <c r="M983" s="64">
        <f t="shared" si="6"/>
        <v>108</v>
      </c>
      <c r="N983" s="66">
        <f>IFERROR(__xludf.DUMMYFUNCTION("IFERROR(GOOGLEFINANCE(A983,""TRADETIME""),)"),46086.64034722222)</f>
        <v>46086.64035</v>
      </c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67" t="s">
        <v>1030</v>
      </c>
      <c r="B984" s="60" t="str">
        <f>IFERROR(__xludf.DUMMYFUNCTION("IFERROR(GOOGLEFINANCE(A984,""NAME""),)"),"Neuland Laboratories Ltd")</f>
        <v>Neuland Laboratories Ltd</v>
      </c>
      <c r="C984" s="60">
        <f>IFERROR(__xludf.DUMMYFUNCTION("IFERROR(GOOGLEFINANCE(A984,""CHANGE""),)"),169.0)</f>
        <v>169</v>
      </c>
      <c r="D984" s="60">
        <f>IFERROR(__xludf.DUMMYFUNCTION("IFERROR(GOOGLEFINANCE(A984,""CHANGEPCT""),)"),1.36)</f>
        <v>1.36</v>
      </c>
      <c r="E984" s="60" t="str">
        <f t="shared" si="1"/>
        <v>1.36%</v>
      </c>
      <c r="F984" s="60">
        <f t="shared" si="2"/>
        <v>1.36</v>
      </c>
      <c r="G984" s="60" t="str">
        <f t="shared" si="3"/>
        <v/>
      </c>
      <c r="H984" s="60">
        <f>IFERROR(__xludf.DUMMYFUNCTION("IFERROR(GOOGLEFINANCE(A984,""PRICE""),)"),12945.0)</f>
        <v>12945</v>
      </c>
      <c r="I984" s="61">
        <f>IFERROR(__xludf.DUMMYFUNCTION("IFERROR(GOOGLEFINANCE(A984,""VOLUME""),)"),24298.0)</f>
        <v>24298</v>
      </c>
      <c r="J984" s="60" t="str">
        <f>IFERROR(__xludf.DUMMYFUNCTION("IFERROR(INDEX(SPLIT(A984,"":""),1,2),)"),"NEULANDLAB")</f>
        <v>NEULANDLAB</v>
      </c>
      <c r="K984" s="60">
        <f t="shared" si="4"/>
        <v>614</v>
      </c>
      <c r="L984" s="60" t="str">
        <f t="shared" si="5"/>
        <v/>
      </c>
      <c r="M984" s="60">
        <f t="shared" si="6"/>
        <v>1102</v>
      </c>
      <c r="N984" s="62">
        <f>IFERROR(__xludf.DUMMYFUNCTION("IFERROR(GOOGLEFINANCE(A984,""TRADETIME""),)"),46086.64583333333)</f>
        <v>46086.64583</v>
      </c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68" t="s">
        <v>1031</v>
      </c>
      <c r="B985" s="64" t="str">
        <f>IFERROR(__xludf.DUMMYFUNCTION("IFERROR(GOOGLEFINANCE(A985,""NAME""),)"),"Newgen Software Technologies Ltd")</f>
        <v>Newgen Software Technologies Ltd</v>
      </c>
      <c r="C985" s="64">
        <f>IFERROR(__xludf.DUMMYFUNCTION("IFERROR(GOOGLEFINANCE(A985,""CHANGE""),)"),-8.05)</f>
        <v>-8.05</v>
      </c>
      <c r="D985" s="64">
        <f>IFERROR(__xludf.DUMMYFUNCTION("IFERROR(GOOGLEFINANCE(A985,""CHANGEPCT""),)"),-1.69)</f>
        <v>-1.69</v>
      </c>
      <c r="E985" s="64" t="str">
        <f t="shared" si="1"/>
        <v>-1.69%</v>
      </c>
      <c r="F985" s="64" t="str">
        <f t="shared" si="2"/>
        <v/>
      </c>
      <c r="G985" s="64">
        <f t="shared" si="3"/>
        <v>-1.69</v>
      </c>
      <c r="H985" s="64">
        <f>IFERROR(__xludf.DUMMYFUNCTION("IFERROR(GOOGLEFINANCE(A985,""PRICE""),)"),470.5)</f>
        <v>470.5</v>
      </c>
      <c r="I985" s="65">
        <f>IFERROR(__xludf.DUMMYFUNCTION("IFERROR(GOOGLEFINANCE(A985,""VOLUME""),)"),1894171.0)</f>
        <v>1894171</v>
      </c>
      <c r="J985" s="64" t="str">
        <f>IFERROR(__xludf.DUMMYFUNCTION("IFERROR(INDEX(SPLIT(A985,"":""),1,2),)"),"NEWGEN")</f>
        <v>NEWGEN</v>
      </c>
      <c r="K985" s="64" t="str">
        <f t="shared" si="4"/>
        <v/>
      </c>
      <c r="L985" s="64">
        <f t="shared" si="5"/>
        <v>310</v>
      </c>
      <c r="M985" s="64">
        <f t="shared" si="6"/>
        <v>214</v>
      </c>
      <c r="N985" s="66">
        <f>IFERROR(__xludf.DUMMYFUNCTION("IFERROR(GOOGLEFINANCE(A985,""TRADETIME""),)"),46086.64585648148)</f>
        <v>46086.64586</v>
      </c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67" t="s">
        <v>1032</v>
      </c>
      <c r="B986" s="60" t="str">
        <f>IFERROR(__xludf.DUMMYFUNCTION("IFERROR(GOOGLEFINANCE(A986,""NAME""),)"),"Next Mediaworks Ltd")</f>
        <v>Next Mediaworks Ltd</v>
      </c>
      <c r="C986" s="60">
        <f>IFERROR(__xludf.DUMMYFUNCTION("IFERROR(GOOGLEFINANCE(A986,""CHANGE""),)"),0.08)</f>
        <v>0.08</v>
      </c>
      <c r="D986" s="60">
        <f>IFERROR(__xludf.DUMMYFUNCTION("IFERROR(GOOGLEFINANCE(A986,""CHANGEPCT""),)"),1.58)</f>
        <v>1.58</v>
      </c>
      <c r="E986" s="60" t="str">
        <f t="shared" si="1"/>
        <v>1.58%</v>
      </c>
      <c r="F986" s="60">
        <f t="shared" si="2"/>
        <v>1.58</v>
      </c>
      <c r="G986" s="60" t="str">
        <f t="shared" si="3"/>
        <v/>
      </c>
      <c r="H986" s="60">
        <f>IFERROR(__xludf.DUMMYFUNCTION("IFERROR(GOOGLEFINANCE(A986,""PRICE""),)"),5.13)</f>
        <v>5.13</v>
      </c>
      <c r="I986" s="61">
        <f>IFERROR(__xludf.DUMMYFUNCTION("IFERROR(GOOGLEFINANCE(A986,""VOLUME""),)"),12500.0)</f>
        <v>12500</v>
      </c>
      <c r="J986" s="60" t="str">
        <f>IFERROR(__xludf.DUMMYFUNCTION("IFERROR(INDEX(SPLIT(A986,"":""),1,2),)"),"NEXTMEDIA")</f>
        <v>NEXTMEDIA</v>
      </c>
      <c r="K986" s="60">
        <f t="shared" si="4"/>
        <v>544</v>
      </c>
      <c r="L986" s="60" t="str">
        <f t="shared" si="5"/>
        <v/>
      </c>
      <c r="M986" s="60">
        <f t="shared" si="6"/>
        <v>1223</v>
      </c>
      <c r="N986" s="62">
        <f>IFERROR(__xludf.DUMMYFUNCTION("IFERROR(GOOGLEFINANCE(A986,""TRADETIME""),)"),46086.64583333333)</f>
        <v>46086.64583</v>
      </c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68" t="s">
        <v>1033</v>
      </c>
      <c r="B987" s="64" t="str">
        <f>IFERROR(__xludf.DUMMYFUNCTION("IFERROR(GOOGLEFINANCE(A987,""NAME""),)"),"National Fertilizers Limited")</f>
        <v>National Fertilizers Limited</v>
      </c>
      <c r="C987" s="64">
        <f>IFERROR(__xludf.DUMMYFUNCTION("IFERROR(GOOGLEFINANCE(A987,""CHANGE""),)"),0.67)</f>
        <v>0.67</v>
      </c>
      <c r="D987" s="64">
        <f>IFERROR(__xludf.DUMMYFUNCTION("IFERROR(GOOGLEFINANCE(A987,""CHANGEPCT""),)"),0.94)</f>
        <v>0.94</v>
      </c>
      <c r="E987" s="64" t="str">
        <f t="shared" si="1"/>
        <v>0.94%</v>
      </c>
      <c r="F987" s="64">
        <f t="shared" si="2"/>
        <v>0.94</v>
      </c>
      <c r="G987" s="64" t="str">
        <f t="shared" si="3"/>
        <v/>
      </c>
      <c r="H987" s="64">
        <f>IFERROR(__xludf.DUMMYFUNCTION("IFERROR(GOOGLEFINANCE(A987,""PRICE""),)"),72.1)</f>
        <v>72.1</v>
      </c>
      <c r="I987" s="65">
        <f>IFERROR(__xludf.DUMMYFUNCTION("IFERROR(GOOGLEFINANCE(A987,""VOLUME""),)"),797389.0)</f>
        <v>797389</v>
      </c>
      <c r="J987" s="64" t="str">
        <f>IFERROR(__xludf.DUMMYFUNCTION("IFERROR(INDEX(SPLIT(A987,"":""),1,2),)"),"NFL")</f>
        <v>NFL</v>
      </c>
      <c r="K987" s="64">
        <f t="shared" si="4"/>
        <v>742</v>
      </c>
      <c r="L987" s="64" t="str">
        <f t="shared" si="5"/>
        <v/>
      </c>
      <c r="M987" s="64">
        <f t="shared" si="6"/>
        <v>315</v>
      </c>
      <c r="N987" s="66">
        <f>IFERROR(__xludf.DUMMYFUNCTION("IFERROR(GOOGLEFINANCE(A987,""TRADETIME""),)"),46086.64583333333)</f>
        <v>46086.64583</v>
      </c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67" t="s">
        <v>1034</v>
      </c>
      <c r="B988" s="60" t="str">
        <f>IFERROR(__xludf.DUMMYFUNCTION("IFERROR(GOOGLEFINANCE(A988,""NAME""),)"),"Narayana Hrudayalaya Ltd")</f>
        <v>Narayana Hrudayalaya Ltd</v>
      </c>
      <c r="C988" s="60">
        <f>IFERROR(__xludf.DUMMYFUNCTION("IFERROR(GOOGLEFINANCE(A988,""CHANGE""),)"),23.5)</f>
        <v>23.5</v>
      </c>
      <c r="D988" s="60">
        <f>IFERROR(__xludf.DUMMYFUNCTION("IFERROR(GOOGLEFINANCE(A988,""CHANGEPCT""),)"),1.35)</f>
        <v>1.35</v>
      </c>
      <c r="E988" s="60" t="str">
        <f t="shared" si="1"/>
        <v>1.35%</v>
      </c>
      <c r="F988" s="60">
        <f t="shared" si="2"/>
        <v>1.35</v>
      </c>
      <c r="G988" s="60" t="str">
        <f t="shared" si="3"/>
        <v/>
      </c>
      <c r="H988" s="60">
        <f>IFERROR(__xludf.DUMMYFUNCTION("IFERROR(GOOGLEFINANCE(A988,""PRICE""),)"),1767.5)</f>
        <v>1767.5</v>
      </c>
      <c r="I988" s="61">
        <f>IFERROR(__xludf.DUMMYFUNCTION("IFERROR(GOOGLEFINANCE(A988,""VOLUME""),)"),245011.0)</f>
        <v>245011</v>
      </c>
      <c r="J988" s="60" t="str">
        <f>IFERROR(__xludf.DUMMYFUNCTION("IFERROR(INDEX(SPLIT(A988,"":""),1,2),)"),"NH")</f>
        <v>NH</v>
      </c>
      <c r="K988" s="60">
        <f t="shared" si="4"/>
        <v>619</v>
      </c>
      <c r="L988" s="60" t="str">
        <f t="shared" si="5"/>
        <v/>
      </c>
      <c r="M988" s="60">
        <f t="shared" si="6"/>
        <v>561</v>
      </c>
      <c r="N988" s="62">
        <f>IFERROR(__xludf.DUMMYFUNCTION("IFERROR(GOOGLEFINANCE(A988,""TRADETIME""),)"),46086.640451388885)</f>
        <v>46086.64045</v>
      </c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68" t="s">
        <v>1035</v>
      </c>
      <c r="B989" s="64" t="str">
        <f>IFERROR(__xludf.DUMMYFUNCTION("IFERROR(GOOGLEFINANCE(A989,""NAME""),)"),"NHPC Ltd")</f>
        <v>NHPC Ltd</v>
      </c>
      <c r="C989" s="64">
        <f>IFERROR(__xludf.DUMMYFUNCTION("IFERROR(GOOGLEFINANCE(A989,""CHANGE""),)"),1.82)</f>
        <v>1.82</v>
      </c>
      <c r="D989" s="64">
        <f>IFERROR(__xludf.DUMMYFUNCTION("IFERROR(GOOGLEFINANCE(A989,""CHANGEPCT""),)"),2.52)</f>
        <v>2.52</v>
      </c>
      <c r="E989" s="64" t="str">
        <f t="shared" si="1"/>
        <v>2.52%</v>
      </c>
      <c r="F989" s="64">
        <f t="shared" si="2"/>
        <v>2.52</v>
      </c>
      <c r="G989" s="64" t="str">
        <f t="shared" si="3"/>
        <v/>
      </c>
      <c r="H989" s="64">
        <f>IFERROR(__xludf.DUMMYFUNCTION("IFERROR(GOOGLEFINANCE(A989,""PRICE""),)"),74.05)</f>
        <v>74.05</v>
      </c>
      <c r="I989" s="65">
        <f>IFERROR(__xludf.DUMMYFUNCTION("IFERROR(GOOGLEFINANCE(A989,""VOLUME""),)"),1.5867948E7)</f>
        <v>15867948</v>
      </c>
      <c r="J989" s="64" t="str">
        <f>IFERROR(__xludf.DUMMYFUNCTION("IFERROR(INDEX(SPLIT(A989,"":""),1,2),)"),"NHPC")</f>
        <v>NHPC</v>
      </c>
      <c r="K989" s="64">
        <f t="shared" si="4"/>
        <v>339</v>
      </c>
      <c r="L989" s="64" t="str">
        <f t="shared" si="5"/>
        <v/>
      </c>
      <c r="M989" s="64">
        <f t="shared" si="6"/>
        <v>41</v>
      </c>
      <c r="N989" s="66">
        <f>IFERROR(__xludf.DUMMYFUNCTION("IFERROR(GOOGLEFINANCE(A989,""TRADETIME""),)"),46086.64584490741)</f>
        <v>46086.64584</v>
      </c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67" t="s">
        <v>1036</v>
      </c>
      <c r="B990" s="60" t="str">
        <f>IFERROR(__xludf.DUMMYFUNCTION("IFERROR(GOOGLEFINANCE(A990,""NAME""),)"),"New India Assurance Company Ltd")</f>
        <v>New India Assurance Company Ltd</v>
      </c>
      <c r="C990" s="60">
        <f>IFERROR(__xludf.DUMMYFUNCTION("IFERROR(GOOGLEFINANCE(A990,""CHANGE""),)"),1.49)</f>
        <v>1.49</v>
      </c>
      <c r="D990" s="60">
        <f>IFERROR(__xludf.DUMMYFUNCTION("IFERROR(GOOGLEFINANCE(A990,""CHANGEPCT""),)"),1.08)</f>
        <v>1.08</v>
      </c>
      <c r="E990" s="60" t="str">
        <f t="shared" si="1"/>
        <v>1.08%</v>
      </c>
      <c r="F990" s="60">
        <f t="shared" si="2"/>
        <v>1.08</v>
      </c>
      <c r="G990" s="60" t="str">
        <f t="shared" si="3"/>
        <v/>
      </c>
      <c r="H990" s="60">
        <f>IFERROR(__xludf.DUMMYFUNCTION("IFERROR(GOOGLEFINANCE(A990,""PRICE""),)"),139.0)</f>
        <v>139</v>
      </c>
      <c r="I990" s="61">
        <f>IFERROR(__xludf.DUMMYFUNCTION("IFERROR(GOOGLEFINANCE(A990,""VOLUME""),)"),279836.0)</f>
        <v>279836</v>
      </c>
      <c r="J990" s="60" t="str">
        <f>IFERROR(__xludf.DUMMYFUNCTION("IFERROR(INDEX(SPLIT(A990,"":""),1,2),)"),"NIACL")</f>
        <v>NIACL</v>
      </c>
      <c r="K990" s="60">
        <f t="shared" si="4"/>
        <v>697</v>
      </c>
      <c r="L990" s="60" t="str">
        <f t="shared" si="5"/>
        <v/>
      </c>
      <c r="M990" s="60">
        <f t="shared" si="6"/>
        <v>528</v>
      </c>
      <c r="N990" s="62">
        <f>IFERROR(__xludf.DUMMYFUNCTION("IFERROR(GOOGLEFINANCE(A990,""TRADETIME""),)"),46086.6403587963)</f>
        <v>46086.64036</v>
      </c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68" t="s">
        <v>1037</v>
      </c>
      <c r="B991" s="64" t="str">
        <f>IFERROR(__xludf.DUMMYFUNCTION("IFERROR(GOOGLEFINANCE(A991,""NAME""),)"),"NRB Industrial Bearings Ltd")</f>
        <v>NRB Industrial Bearings Ltd</v>
      </c>
      <c r="C991" s="64">
        <f>IFERROR(__xludf.DUMMYFUNCTION("IFERROR(GOOGLEFINANCE(A991,""CHANGE""),)"),0.18)</f>
        <v>0.18</v>
      </c>
      <c r="D991" s="64">
        <f>IFERROR(__xludf.DUMMYFUNCTION("IFERROR(GOOGLEFINANCE(A991,""CHANGEPCT""),)"),0.32)</f>
        <v>0.32</v>
      </c>
      <c r="E991" s="64" t="str">
        <f t="shared" si="1"/>
        <v>0.32%</v>
      </c>
      <c r="F991" s="64">
        <f t="shared" si="2"/>
        <v>0.32</v>
      </c>
      <c r="G991" s="64" t="str">
        <f t="shared" si="3"/>
        <v/>
      </c>
      <c r="H991" s="64">
        <f>IFERROR(__xludf.DUMMYFUNCTION("IFERROR(GOOGLEFINANCE(A991,""PRICE""),)"),30.97)</f>
        <v>30.97</v>
      </c>
      <c r="I991" s="65">
        <f>IFERROR(__xludf.DUMMYFUNCTION("IFERROR(GOOGLEFINANCE(A991,""VOLUME""),)"),11798.0)</f>
        <v>11798</v>
      </c>
      <c r="J991" s="64" t="str">
        <f>IFERROR(__xludf.DUMMYFUNCTION("IFERROR(INDEX(SPLIT(A991,"":""),1,2),)"),"NIBL")</f>
        <v>NIBL</v>
      </c>
      <c r="K991" s="64">
        <f t="shared" si="4"/>
        <v>926</v>
      </c>
      <c r="L991" s="64" t="str">
        <f t="shared" si="5"/>
        <v/>
      </c>
      <c r="M991" s="64">
        <f t="shared" si="6"/>
        <v>1233</v>
      </c>
      <c r="N991" s="66">
        <f>IFERROR(__xludf.DUMMYFUNCTION("IFERROR(GOOGLEFINANCE(A991,""TRADETIME""),)"),46086.64583333333)</f>
        <v>46086.64583</v>
      </c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67" t="s">
        <v>1038</v>
      </c>
      <c r="B992" s="60" t="str">
        <f>IFERROR(__xludf.DUMMYFUNCTION("IFERROR(GOOGLEFINANCE(A992,""NAME""),)"),"NIIT Ltd")</f>
        <v>NIIT Ltd</v>
      </c>
      <c r="C992" s="60">
        <f>IFERROR(__xludf.DUMMYFUNCTION("IFERROR(GOOGLEFINANCE(A992,""CHANGE""),)"),0.51)</f>
        <v>0.51</v>
      </c>
      <c r="D992" s="60">
        <f>IFERROR(__xludf.DUMMYFUNCTION("IFERROR(GOOGLEFINANCE(A992,""CHANGEPCT""),)"),0.52)</f>
        <v>0.52</v>
      </c>
      <c r="E992" s="60" t="str">
        <f t="shared" si="1"/>
        <v>0.52%</v>
      </c>
      <c r="F992" s="60">
        <f t="shared" si="2"/>
        <v>0.52</v>
      </c>
      <c r="G992" s="60" t="str">
        <f t="shared" si="3"/>
        <v/>
      </c>
      <c r="H992" s="60">
        <f>IFERROR(__xludf.DUMMYFUNCTION("IFERROR(GOOGLEFINANCE(A992,""PRICE""),)"),66.38)</f>
        <v>66.38</v>
      </c>
      <c r="I992" s="61">
        <f>IFERROR(__xludf.DUMMYFUNCTION("IFERROR(GOOGLEFINANCE(A992,""VOLUME""),)"),414071.0)</f>
        <v>414071</v>
      </c>
      <c r="J992" s="60" t="str">
        <f>IFERROR(__xludf.DUMMYFUNCTION("IFERROR(INDEX(SPLIT(A992,"":""),1,2),)"),"NIITLTD")</f>
        <v>NIITLTD</v>
      </c>
      <c r="K992" s="60">
        <f t="shared" si="4"/>
        <v>875</v>
      </c>
      <c r="L992" s="60" t="str">
        <f t="shared" si="5"/>
        <v/>
      </c>
      <c r="M992" s="60">
        <f t="shared" si="6"/>
        <v>437</v>
      </c>
      <c r="N992" s="62">
        <f>IFERROR(__xludf.DUMMYFUNCTION("IFERROR(GOOGLEFINANCE(A992,""TRADETIME""),)"),46086.64583333333)</f>
        <v>46086.64583</v>
      </c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68" t="s">
        <v>1039</v>
      </c>
      <c r="B993" s="64" t="str">
        <f>IFERROR(__xludf.DUMMYFUNCTION("IFERROR(GOOGLEFINANCE(A993,""NAME""),)"),"Nila Infrastructures Ltd")</f>
        <v>Nila Infrastructures Ltd</v>
      </c>
      <c r="C993" s="64">
        <f>IFERROR(__xludf.DUMMYFUNCTION("IFERROR(GOOGLEFINANCE(A993,""CHANGE""),)"),0.26)</f>
        <v>0.26</v>
      </c>
      <c r="D993" s="64">
        <f>IFERROR(__xludf.DUMMYFUNCTION("IFERROR(GOOGLEFINANCE(A993,""CHANGEPCT""),)"),3.46)</f>
        <v>3.46</v>
      </c>
      <c r="E993" s="64" t="str">
        <f t="shared" si="1"/>
        <v>3.46%</v>
      </c>
      <c r="F993" s="64">
        <f t="shared" si="2"/>
        <v>3.46</v>
      </c>
      <c r="G993" s="64" t="str">
        <f t="shared" si="3"/>
        <v/>
      </c>
      <c r="H993" s="64">
        <f>IFERROR(__xludf.DUMMYFUNCTION("IFERROR(GOOGLEFINANCE(A993,""PRICE""),)"),7.78)</f>
        <v>7.78</v>
      </c>
      <c r="I993" s="65">
        <f>IFERROR(__xludf.DUMMYFUNCTION("IFERROR(GOOGLEFINANCE(A993,""VOLUME""),)"),303021.0)</f>
        <v>303021</v>
      </c>
      <c r="J993" s="64" t="str">
        <f>IFERROR(__xludf.DUMMYFUNCTION("IFERROR(INDEX(SPLIT(A993,"":""),1,2),)"),"NILAINFRA")</f>
        <v>NILAINFRA</v>
      </c>
      <c r="K993" s="64">
        <f t="shared" si="4"/>
        <v>196</v>
      </c>
      <c r="L993" s="64" t="str">
        <f t="shared" si="5"/>
        <v/>
      </c>
      <c r="M993" s="64">
        <f t="shared" si="6"/>
        <v>504</v>
      </c>
      <c r="N993" s="66">
        <f>IFERROR(__xludf.DUMMYFUNCTION("IFERROR(GOOGLEFINANCE(A993,""TRADETIME""),)"),46086.64583333333)</f>
        <v>46086.64583</v>
      </c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67" t="s">
        <v>1040</v>
      </c>
      <c r="B994" s="60" t="str">
        <f>IFERROR(__xludf.DUMMYFUNCTION("IFERROR(GOOGLEFINANCE(A994,""NAME""),)"),"Nila Spaces Ltd")</f>
        <v>Nila Spaces Ltd</v>
      </c>
      <c r="C994" s="60">
        <f>IFERROR(__xludf.DUMMYFUNCTION("IFERROR(GOOGLEFINANCE(A994,""CHANGE""),)"),0.06)</f>
        <v>0.06</v>
      </c>
      <c r="D994" s="60">
        <f>IFERROR(__xludf.DUMMYFUNCTION("IFERROR(GOOGLEFINANCE(A994,""CHANGEPCT""),)"),0.9)</f>
        <v>0.9</v>
      </c>
      <c r="E994" s="60" t="str">
        <f t="shared" si="1"/>
        <v>0.9%</v>
      </c>
      <c r="F994" s="60">
        <f t="shared" si="2"/>
        <v>0.9</v>
      </c>
      <c r="G994" s="60" t="str">
        <f t="shared" si="3"/>
        <v/>
      </c>
      <c r="H994" s="60">
        <f>IFERROR(__xludf.DUMMYFUNCTION("IFERROR(GOOGLEFINANCE(A994,""PRICE""),)"),13.42)</f>
        <v>13.42</v>
      </c>
      <c r="I994" s="61">
        <f>IFERROR(__xludf.DUMMYFUNCTION("IFERROR(GOOGLEFINANCE(A994,""VOLUME""),)"),545131.0)</f>
        <v>545131</v>
      </c>
      <c r="J994" s="60" t="str">
        <f>IFERROR(__xludf.DUMMYFUNCTION("IFERROR(INDEX(SPLIT(A994,"":""),1,2),)"),"NILASPACES")</f>
        <v>NILASPACES</v>
      </c>
      <c r="K994" s="60">
        <f t="shared" si="4"/>
        <v>753</v>
      </c>
      <c r="L994" s="60" t="str">
        <f t="shared" si="5"/>
        <v/>
      </c>
      <c r="M994" s="60">
        <f t="shared" si="6"/>
        <v>385</v>
      </c>
      <c r="N994" s="62">
        <f>IFERROR(__xludf.DUMMYFUNCTION("IFERROR(GOOGLEFINANCE(A994,""TRADETIME""),)"),46086.640555555554)</f>
        <v>46086.64056</v>
      </c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68" t="s">
        <v>1041</v>
      </c>
      <c r="B995" s="64" t="str">
        <f>IFERROR(__xludf.DUMMYFUNCTION("IFERROR(GOOGLEFINANCE(A995,""NAME""),)"),"Nilkamal Ltd")</f>
        <v>Nilkamal Ltd</v>
      </c>
      <c r="C995" s="64">
        <f>IFERROR(__xludf.DUMMYFUNCTION("IFERROR(GOOGLEFINANCE(A995,""CHANGE""),)"),-0.8)</f>
        <v>-0.8</v>
      </c>
      <c r="D995" s="64">
        <f>IFERROR(__xludf.DUMMYFUNCTION("IFERROR(GOOGLEFINANCE(A995,""CHANGEPCT""),)"),0.47)</f>
        <v>0.47</v>
      </c>
      <c r="E995" s="64" t="str">
        <f t="shared" si="1"/>
        <v>0.47%</v>
      </c>
      <c r="F995" s="64">
        <f t="shared" si="2"/>
        <v>0.47</v>
      </c>
      <c r="G995" s="64" t="str">
        <f t="shared" si="3"/>
        <v/>
      </c>
      <c r="H995" s="64">
        <f>IFERROR(__xludf.DUMMYFUNCTION("IFERROR(GOOGLEFINANCE(A995,""PRICE""),)"),1330.5)</f>
        <v>1330.5</v>
      </c>
      <c r="I995" s="65">
        <f>IFERROR(__xludf.DUMMYFUNCTION("IFERROR(GOOGLEFINANCE(A995,""VOLUME""),)"),1569.0)</f>
        <v>1569</v>
      </c>
      <c r="J995" s="64" t="str">
        <f>IFERROR(__xludf.DUMMYFUNCTION("IFERROR(INDEX(SPLIT(A995,"":""),1,2),)"),"NILKAMAL")</f>
        <v>NILKAMAL</v>
      </c>
      <c r="K995" s="64">
        <f t="shared" si="4"/>
        <v>888</v>
      </c>
      <c r="L995" s="64" t="str">
        <f t="shared" si="5"/>
        <v/>
      </c>
      <c r="M995" s="64">
        <f t="shared" si="6"/>
        <v>1420</v>
      </c>
      <c r="N995" s="66">
        <f>IFERROR(__xludf.DUMMYFUNCTION("IFERROR(GOOGLEFINANCE(A995,""TRADETIME""),)"),46086.64524305555)</f>
        <v>46086.64524</v>
      </c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67" t="s">
        <v>1042</v>
      </c>
      <c r="B996" s="60" t="str">
        <f>IFERROR(__xludf.DUMMYFUNCTION("IFERROR(GOOGLEFINANCE(A996,""NAME""),)"),"Indo National Ltd")</f>
        <v>Indo National Ltd</v>
      </c>
      <c r="C996" s="60">
        <f>IFERROR(__xludf.DUMMYFUNCTION("IFERROR(GOOGLEFINANCE(A996,""CHANGE""),)"),10.5)</f>
        <v>10.5</v>
      </c>
      <c r="D996" s="60">
        <f>IFERROR(__xludf.DUMMYFUNCTION("IFERROR(GOOGLEFINANCE(A996,""CHANGEPCT""),)"),5.29)</f>
        <v>5.29</v>
      </c>
      <c r="E996" s="60" t="str">
        <f t="shared" si="1"/>
        <v>5.29%</v>
      </c>
      <c r="F996" s="60">
        <f t="shared" si="2"/>
        <v>5.29</v>
      </c>
      <c r="G996" s="60" t="str">
        <f t="shared" si="3"/>
        <v/>
      </c>
      <c r="H996" s="60">
        <f>IFERROR(__xludf.DUMMYFUNCTION("IFERROR(GOOGLEFINANCE(A996,""PRICE""),)"),318.6)</f>
        <v>318.6</v>
      </c>
      <c r="I996" s="61">
        <f>IFERROR(__xludf.DUMMYFUNCTION("IFERROR(GOOGLEFINANCE(A996,""VOLUME""),)"),8126.0)</f>
        <v>8126</v>
      </c>
      <c r="J996" s="60" t="str">
        <f>IFERROR(__xludf.DUMMYFUNCTION("IFERROR(INDEX(SPLIT(A996,"":""),1,2),)"),"NIPPOBATRY")</f>
        <v>NIPPOBATRY</v>
      </c>
      <c r="K996" s="60">
        <f t="shared" si="4"/>
        <v>59</v>
      </c>
      <c r="L996" s="60" t="str">
        <f t="shared" si="5"/>
        <v/>
      </c>
      <c r="M996" s="60">
        <f t="shared" si="6"/>
        <v>1298</v>
      </c>
      <c r="N996" s="62">
        <f>IFERROR(__xludf.DUMMYFUNCTION("IFERROR(GOOGLEFINANCE(A996,""TRADETIME""),)"),46086.64583333333)</f>
        <v>46086.64583</v>
      </c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68" t="s">
        <v>1043</v>
      </c>
      <c r="B997" s="64" t="str">
        <f>IFERROR(__xludf.DUMMYFUNCTION("IFERROR(GOOGLEFINANCE(A997,""NAME""),)"),"Niraj Cement Structurals Ltd.")</f>
        <v>Niraj Cement Structurals Ltd.</v>
      </c>
      <c r="C997" s="64">
        <f>IFERROR(__xludf.DUMMYFUNCTION("IFERROR(GOOGLEFINANCE(A997,""CHANGE""),)"),1.2)</f>
        <v>1.2</v>
      </c>
      <c r="D997" s="64">
        <f>IFERROR(__xludf.DUMMYFUNCTION("IFERROR(GOOGLEFINANCE(A997,""CHANGEPCT""),)"),4.24)</f>
        <v>4.24</v>
      </c>
      <c r="E997" s="64" t="str">
        <f t="shared" si="1"/>
        <v>4.24%</v>
      </c>
      <c r="F997" s="64">
        <f t="shared" si="2"/>
        <v>4.24</v>
      </c>
      <c r="G997" s="64" t="str">
        <f t="shared" si="3"/>
        <v/>
      </c>
      <c r="H997" s="64">
        <f>IFERROR(__xludf.DUMMYFUNCTION("IFERROR(GOOGLEFINANCE(A997,""PRICE""),)"),29.5)</f>
        <v>29.5</v>
      </c>
      <c r="I997" s="65">
        <f>IFERROR(__xludf.DUMMYFUNCTION("IFERROR(GOOGLEFINANCE(A997,""VOLUME""),)"),23667.0)</f>
        <v>23667</v>
      </c>
      <c r="J997" s="64" t="str">
        <f>IFERROR(__xludf.DUMMYFUNCTION("IFERROR(INDEX(SPLIT(A997,"":""),1,2),)"),"NIRAJ")</f>
        <v>NIRAJ</v>
      </c>
      <c r="K997" s="64">
        <f t="shared" si="4"/>
        <v>128</v>
      </c>
      <c r="L997" s="64" t="str">
        <f t="shared" si="5"/>
        <v/>
      </c>
      <c r="M997" s="64">
        <f t="shared" si="6"/>
        <v>1112</v>
      </c>
      <c r="N997" s="66">
        <f>IFERROR(__xludf.DUMMYFUNCTION("IFERROR(GOOGLEFINANCE(A997,""TRADETIME""),)"),46086.64583333333)</f>
        <v>46086.64583</v>
      </c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67" t="s">
        <v>1044</v>
      </c>
      <c r="B998" s="60" t="str">
        <f>IFERROR(__xludf.DUMMYFUNCTION("IFERROR(GOOGLEFINANCE(A998,""NAME""),)"),"Nitco Ltd")</f>
        <v>Nitco Ltd</v>
      </c>
      <c r="C998" s="60">
        <f>IFERROR(__xludf.DUMMYFUNCTION("IFERROR(GOOGLEFINANCE(A998,""CHANGE""),)"),1.28)</f>
        <v>1.28</v>
      </c>
      <c r="D998" s="60">
        <f>IFERROR(__xludf.DUMMYFUNCTION("IFERROR(GOOGLEFINANCE(A998,""CHANGEPCT""),)"),1.86)</f>
        <v>1.86</v>
      </c>
      <c r="E998" s="60" t="str">
        <f t="shared" si="1"/>
        <v>1.86%</v>
      </c>
      <c r="F998" s="60">
        <f t="shared" si="2"/>
        <v>1.86</v>
      </c>
      <c r="G998" s="60" t="str">
        <f t="shared" si="3"/>
        <v/>
      </c>
      <c r="H998" s="60">
        <f>IFERROR(__xludf.DUMMYFUNCTION("IFERROR(GOOGLEFINANCE(A998,""PRICE""),)"),70.15)</f>
        <v>70.15</v>
      </c>
      <c r="I998" s="61">
        <f>IFERROR(__xludf.DUMMYFUNCTION("IFERROR(GOOGLEFINANCE(A998,""VOLUME""),)"),374620.0)</f>
        <v>374620</v>
      </c>
      <c r="J998" s="60" t="str">
        <f>IFERROR(__xludf.DUMMYFUNCTION("IFERROR(INDEX(SPLIT(A998,"":""),1,2),)"),"NITCO")</f>
        <v>NITCO</v>
      </c>
      <c r="K998" s="60">
        <f t="shared" si="4"/>
        <v>477</v>
      </c>
      <c r="L998" s="60" t="str">
        <f t="shared" si="5"/>
        <v/>
      </c>
      <c r="M998" s="60">
        <f t="shared" si="6"/>
        <v>459</v>
      </c>
      <c r="N998" s="62">
        <f>IFERROR(__xludf.DUMMYFUNCTION("IFERROR(GOOGLEFINANCE(A998,""TRADETIME""),)"),46086.64584490741)</f>
        <v>46086.64584</v>
      </c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68" t="s">
        <v>1045</v>
      </c>
      <c r="B999" s="64" t="str">
        <f>IFERROR(__xludf.DUMMYFUNCTION("IFERROR(GOOGLEFINANCE(A999,""NAME""),)"),"Nitin Spinners Limited")</f>
        <v>Nitin Spinners Limited</v>
      </c>
      <c r="C999" s="64">
        <f>IFERROR(__xludf.DUMMYFUNCTION("IFERROR(GOOGLEFINANCE(A999,""CHANGE""),)"),11.95)</f>
        <v>11.95</v>
      </c>
      <c r="D999" s="64">
        <f>IFERROR(__xludf.DUMMYFUNCTION("IFERROR(GOOGLEFINANCE(A999,""CHANGEPCT""),)"),3.3)</f>
        <v>3.3</v>
      </c>
      <c r="E999" s="64" t="str">
        <f t="shared" si="1"/>
        <v>3.3%</v>
      </c>
      <c r="F999" s="64">
        <f t="shared" si="2"/>
        <v>3.3</v>
      </c>
      <c r="G999" s="64" t="str">
        <f t="shared" si="3"/>
        <v/>
      </c>
      <c r="H999" s="64">
        <f>IFERROR(__xludf.DUMMYFUNCTION("IFERROR(GOOGLEFINANCE(A999,""PRICE""),)"),374.2)</f>
        <v>374.2</v>
      </c>
      <c r="I999" s="65">
        <f>IFERROR(__xludf.DUMMYFUNCTION("IFERROR(GOOGLEFINANCE(A999,""VOLUME""),)"),157764.0)</f>
        <v>157764</v>
      </c>
      <c r="J999" s="64" t="str">
        <f>IFERROR(__xludf.DUMMYFUNCTION("IFERROR(INDEX(SPLIT(A999,"":""),1,2),)"),"NITINSPIN")</f>
        <v>NITINSPIN</v>
      </c>
      <c r="K999" s="64">
        <f t="shared" si="4"/>
        <v>215</v>
      </c>
      <c r="L999" s="64" t="str">
        <f t="shared" si="5"/>
        <v/>
      </c>
      <c r="M999" s="64">
        <f t="shared" si="6"/>
        <v>662</v>
      </c>
      <c r="N999" s="66">
        <f>IFERROR(__xludf.DUMMYFUNCTION("IFERROR(GOOGLEFINANCE(A999,""TRADETIME""),)"),46086.638194444444)</f>
        <v>46086.63819</v>
      </c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67" t="s">
        <v>1046</v>
      </c>
      <c r="B1000" s="60" t="str">
        <f>IFERROR(__xludf.DUMMYFUNCTION("IFERROR(GOOGLEFINANCE(A1000,""NAME""),)"),"N K Industries Ltd")</f>
        <v>N K Industries Ltd</v>
      </c>
      <c r="C1000" s="60">
        <f>IFERROR(__xludf.DUMMYFUNCTION("IFERROR(GOOGLEFINANCE(A1000,""CHANGE""),)"),0.1)</f>
        <v>0.1</v>
      </c>
      <c r="D1000" s="60">
        <f>IFERROR(__xludf.DUMMYFUNCTION("IFERROR(GOOGLEFINANCE(A1000,""CHANGEPCT""),)"),0.15)</f>
        <v>0.15</v>
      </c>
      <c r="E1000" s="60" t="str">
        <f t="shared" si="1"/>
        <v>0.15%</v>
      </c>
      <c r="F1000" s="60">
        <f t="shared" si="2"/>
        <v>0.15</v>
      </c>
      <c r="G1000" s="60" t="str">
        <f t="shared" si="3"/>
        <v/>
      </c>
      <c r="H1000" s="60">
        <f>IFERROR(__xludf.DUMMYFUNCTION("IFERROR(GOOGLEFINANCE(A1000,""PRICE""),)"),65.0)</f>
        <v>65</v>
      </c>
      <c r="I1000" s="61">
        <f>IFERROR(__xludf.DUMMYFUNCTION("IFERROR(GOOGLEFINANCE(A1000,""VOLUME""),)"),41.0)</f>
        <v>41</v>
      </c>
      <c r="J1000" s="60" t="str">
        <f>IFERROR(__xludf.DUMMYFUNCTION("IFERROR(INDEX(SPLIT(A1000,"":""),1,2),)"),"NKIND")</f>
        <v>NKIND</v>
      </c>
      <c r="K1000" s="60">
        <f t="shared" si="4"/>
        <v>965</v>
      </c>
      <c r="L1000" s="60" t="str">
        <f t="shared" si="5"/>
        <v/>
      </c>
      <c r="M1000" s="60">
        <f t="shared" si="6"/>
        <v>1463</v>
      </c>
      <c r="N1000" s="62">
        <f>IFERROR(__xludf.DUMMYFUNCTION("IFERROR(GOOGLEFINANCE(A1000,""TRADETIME""),)"),46086.64583333333)</f>
        <v>46086.64583</v>
      </c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68" t="s">
        <v>1047</v>
      </c>
      <c r="B1001" s="64" t="str">
        <f>IFERROR(__xludf.DUMMYFUNCTION("IFERROR(GOOGLEFINANCE(A1001,""NAME""),)"),"NLC India Ltd")</f>
        <v>NLC India Ltd</v>
      </c>
      <c r="C1001" s="64">
        <f>IFERROR(__xludf.DUMMYFUNCTION("IFERROR(GOOGLEFINANCE(A1001,""CHANGE""),)"),4.6)</f>
        <v>4.6</v>
      </c>
      <c r="D1001" s="64">
        <f>IFERROR(__xludf.DUMMYFUNCTION("IFERROR(GOOGLEFINANCE(A1001,""CHANGEPCT""),)"),1.85)</f>
        <v>1.85</v>
      </c>
      <c r="E1001" s="64" t="str">
        <f t="shared" si="1"/>
        <v>1.85%</v>
      </c>
      <c r="F1001" s="64">
        <f t="shared" si="2"/>
        <v>1.85</v>
      </c>
      <c r="G1001" s="64" t="str">
        <f t="shared" si="3"/>
        <v/>
      </c>
      <c r="H1001" s="64">
        <f>IFERROR(__xludf.DUMMYFUNCTION("IFERROR(GOOGLEFINANCE(A1001,""PRICE""),)"),253.85)</f>
        <v>253.85</v>
      </c>
      <c r="I1001" s="65">
        <f>IFERROR(__xludf.DUMMYFUNCTION("IFERROR(GOOGLEFINANCE(A1001,""VOLUME""),)"),2756618.0)</f>
        <v>2756618</v>
      </c>
      <c r="J1001" s="64" t="str">
        <f>IFERROR(__xludf.DUMMYFUNCTION("IFERROR(INDEX(SPLIT(A1001,"":""),1,2),)"),"NLCINDIA")</f>
        <v>NLCINDIA</v>
      </c>
      <c r="K1001" s="64">
        <f t="shared" si="4"/>
        <v>483</v>
      </c>
      <c r="L1001" s="64" t="str">
        <f t="shared" si="5"/>
        <v/>
      </c>
      <c r="M1001" s="64">
        <f t="shared" si="6"/>
        <v>160</v>
      </c>
      <c r="N1001" s="66">
        <f>IFERROR(__xludf.DUMMYFUNCTION("IFERROR(GOOGLEFINANCE(A1001,""TRADETIME""),)"),46086.64584490741)</f>
        <v>46086.64584</v>
      </c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67" t="s">
        <v>1048</v>
      </c>
      <c r="B1002" s="60" t="str">
        <f>IFERROR(__xludf.DUMMYFUNCTION("IFERROR(GOOGLEFINANCE(A1002,""NAME""),)"),"NMDC Ltd")</f>
        <v>NMDC Ltd</v>
      </c>
      <c r="C1002" s="60">
        <f>IFERROR(__xludf.DUMMYFUNCTION("IFERROR(GOOGLEFINANCE(A1002,""CHANGE""),)"),1.83)</f>
        <v>1.83</v>
      </c>
      <c r="D1002" s="60">
        <f>IFERROR(__xludf.DUMMYFUNCTION("IFERROR(GOOGLEFINANCE(A1002,""CHANGEPCT""),)"),2.39)</f>
        <v>2.39</v>
      </c>
      <c r="E1002" s="60" t="str">
        <f t="shared" si="1"/>
        <v>2.39%</v>
      </c>
      <c r="F1002" s="60">
        <f t="shared" si="2"/>
        <v>2.39</v>
      </c>
      <c r="G1002" s="60" t="str">
        <f t="shared" si="3"/>
        <v/>
      </c>
      <c r="H1002" s="60">
        <f>IFERROR(__xludf.DUMMYFUNCTION("IFERROR(GOOGLEFINANCE(A1002,""PRICE""),)"),78.54)</f>
        <v>78.54</v>
      </c>
      <c r="I1002" s="61">
        <f>IFERROR(__xludf.DUMMYFUNCTION("IFERROR(GOOGLEFINANCE(A1002,""VOLUME""),)"),2.0253921E7)</f>
        <v>20253921</v>
      </c>
      <c r="J1002" s="60" t="str">
        <f>IFERROR(__xludf.DUMMYFUNCTION("IFERROR(INDEX(SPLIT(A1002,"":""),1,2),)"),"NMDC")</f>
        <v>NMDC</v>
      </c>
      <c r="K1002" s="60">
        <f t="shared" si="4"/>
        <v>358</v>
      </c>
      <c r="L1002" s="60" t="str">
        <f t="shared" si="5"/>
        <v/>
      </c>
      <c r="M1002" s="60">
        <f t="shared" si="6"/>
        <v>28</v>
      </c>
      <c r="N1002" s="62">
        <f>IFERROR(__xludf.DUMMYFUNCTION("IFERROR(GOOGLEFINANCE(A1002,""TRADETIME""),)"),46086.64583333333)</f>
        <v>46086.64583</v>
      </c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>
      <c r="A1003" s="68" t="s">
        <v>1049</v>
      </c>
      <c r="B1003" s="64" t="str">
        <f>IFERROR(__xludf.DUMMYFUNCTION("IFERROR(GOOGLEFINANCE(A1003,""NAME""),)"),"Nocil Ltd")</f>
        <v>Nocil Ltd</v>
      </c>
      <c r="C1003" s="64">
        <f>IFERROR(__xludf.DUMMYFUNCTION("IFERROR(GOOGLEFINANCE(A1003,""CHANGE""),)"),0.72)</f>
        <v>0.72</v>
      </c>
      <c r="D1003" s="64">
        <f>IFERROR(__xludf.DUMMYFUNCTION("IFERROR(GOOGLEFINANCE(A1003,""CHANGEPCT""),)"),0.53)</f>
        <v>0.53</v>
      </c>
      <c r="E1003" s="64" t="str">
        <f t="shared" si="1"/>
        <v>0.53%</v>
      </c>
      <c r="F1003" s="64">
        <f t="shared" si="2"/>
        <v>0.53</v>
      </c>
      <c r="G1003" s="64" t="str">
        <f t="shared" si="3"/>
        <v/>
      </c>
      <c r="H1003" s="64">
        <f>IFERROR(__xludf.DUMMYFUNCTION("IFERROR(GOOGLEFINANCE(A1003,""PRICE""),)"),135.58)</f>
        <v>135.58</v>
      </c>
      <c r="I1003" s="65">
        <f>IFERROR(__xludf.DUMMYFUNCTION("IFERROR(GOOGLEFINANCE(A1003,""VOLUME""),)"),419226.0)</f>
        <v>419226</v>
      </c>
      <c r="J1003" s="64" t="str">
        <f>IFERROR(__xludf.DUMMYFUNCTION("IFERROR(INDEX(SPLIT(A1003,"":""),1,2),)"),"NOCIL")</f>
        <v>NOCIL</v>
      </c>
      <c r="K1003" s="64">
        <f t="shared" si="4"/>
        <v>873</v>
      </c>
      <c r="L1003" s="64" t="str">
        <f t="shared" si="5"/>
        <v/>
      </c>
      <c r="M1003" s="64">
        <f t="shared" si="6"/>
        <v>433</v>
      </c>
      <c r="N1003" s="66">
        <f>IFERROR(__xludf.DUMMYFUNCTION("IFERROR(GOOGLEFINANCE(A1003,""TRADETIME""),)"),46086.64583333333)</f>
        <v>46086.64583</v>
      </c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>
      <c r="A1004" s="67" t="s">
        <v>1050</v>
      </c>
      <c r="B1004" s="60" t="str">
        <f>IFERROR(__xludf.DUMMYFUNCTION("IFERROR(GOOGLEFINANCE(A1004,""NAME""),)"),"Noida Toll Bridge Company Ltd")</f>
        <v>Noida Toll Bridge Company Ltd</v>
      </c>
      <c r="C1004" s="60">
        <f>IFERROR(__xludf.DUMMYFUNCTION("IFERROR(GOOGLEFINANCE(A1004,""CHANGE""),)"),0.34)</f>
        <v>0.34</v>
      </c>
      <c r="D1004" s="60">
        <f>IFERROR(__xludf.DUMMYFUNCTION("IFERROR(GOOGLEFINANCE(A1004,""CHANGEPCT""),)"),9.55)</f>
        <v>9.55</v>
      </c>
      <c r="E1004" s="60" t="str">
        <f t="shared" si="1"/>
        <v>9.55%</v>
      </c>
      <c r="F1004" s="60">
        <f t="shared" si="2"/>
        <v>9.55</v>
      </c>
      <c r="G1004" s="60" t="str">
        <f t="shared" si="3"/>
        <v/>
      </c>
      <c r="H1004" s="60">
        <f>IFERROR(__xludf.DUMMYFUNCTION("IFERROR(GOOGLEFINANCE(A1004,""PRICE""),)"),3.9)</f>
        <v>3.9</v>
      </c>
      <c r="I1004" s="61">
        <f>IFERROR(__xludf.DUMMYFUNCTION("IFERROR(GOOGLEFINANCE(A1004,""VOLUME""),)"),137196.0)</f>
        <v>137196</v>
      </c>
      <c r="J1004" s="60" t="str">
        <f>IFERROR(__xludf.DUMMYFUNCTION("IFERROR(INDEX(SPLIT(A1004,"":""),1,2),)"),"NOIDATOLL")</f>
        <v>NOIDATOLL</v>
      </c>
      <c r="K1004" s="60">
        <f t="shared" si="4"/>
        <v>14</v>
      </c>
      <c r="L1004" s="60" t="str">
        <f t="shared" si="5"/>
        <v/>
      </c>
      <c r="M1004" s="60">
        <f t="shared" si="6"/>
        <v>688</v>
      </c>
      <c r="N1004" s="62">
        <f>IFERROR(__xludf.DUMMYFUNCTION("IFERROR(GOOGLEFINANCE(A1004,""TRADETIME""),)"),46086.64549768518)</f>
        <v>46086.6455</v>
      </c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>
      <c r="A1005" s="68" t="s">
        <v>1051</v>
      </c>
      <c r="B1005" s="64" t="str">
        <f>IFERROR(__xludf.DUMMYFUNCTION("IFERROR(GOOGLEFINANCE(A1005,""NAME""),)"),"Norben Tea and Exports Ltd")</f>
        <v>Norben Tea and Exports Ltd</v>
      </c>
      <c r="C1005" s="64">
        <f>IFERROR(__xludf.DUMMYFUNCTION("IFERROR(GOOGLEFINANCE(A1005,""CHANGE""),)"),-1.85)</f>
        <v>-1.85</v>
      </c>
      <c r="D1005" s="64">
        <f>IFERROR(__xludf.DUMMYFUNCTION("IFERROR(GOOGLEFINANCE(A1005,""CHANGEPCT""),)"),-2.0)</f>
        <v>-2</v>
      </c>
      <c r="E1005" s="64" t="str">
        <f t="shared" si="1"/>
        <v>-2%</v>
      </c>
      <c r="F1005" s="64" t="str">
        <f t="shared" si="2"/>
        <v/>
      </c>
      <c r="G1005" s="64">
        <f t="shared" si="3"/>
        <v>-2</v>
      </c>
      <c r="H1005" s="64">
        <f>IFERROR(__xludf.DUMMYFUNCTION("IFERROR(GOOGLEFINANCE(A1005,""PRICE""),)"),90.83)</f>
        <v>90.83</v>
      </c>
      <c r="I1005" s="65">
        <f>IFERROR(__xludf.DUMMYFUNCTION("IFERROR(GOOGLEFINANCE(A1005,""VOLUME""),)"),2513.0)</f>
        <v>2513</v>
      </c>
      <c r="J1005" s="64" t="str">
        <f>IFERROR(__xludf.DUMMYFUNCTION("IFERROR(INDEX(SPLIT(A1005,"":""),1,2),)"),"NORBTEAEXP")</f>
        <v>NORBTEAEXP</v>
      </c>
      <c r="K1005" s="64" t="str">
        <f t="shared" si="4"/>
        <v/>
      </c>
      <c r="L1005" s="64">
        <f t="shared" si="5"/>
        <v>353</v>
      </c>
      <c r="M1005" s="64">
        <f t="shared" si="6"/>
        <v>1392</v>
      </c>
      <c r="N1005" s="66">
        <f>IFERROR(__xludf.DUMMYFUNCTION("IFERROR(GOOGLEFINANCE(A1005,""TRADETIME""),)"),46086.593298611115)</f>
        <v>46086.5933</v>
      </c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>
      <c r="A1006" s="67" t="s">
        <v>1052</v>
      </c>
      <c r="B1006" s="60" t="str">
        <f>IFERROR(__xludf.DUMMYFUNCTION("IFERROR(GOOGLEFINANCE(A1006,""NAME""),)"),"")</f>
        <v/>
      </c>
      <c r="C1006" s="60" t="str">
        <f>IFERROR(__xludf.DUMMYFUNCTION("IFERROR(GOOGLEFINANCE(A1006,""CHANGE""),)"),"")</f>
        <v/>
      </c>
      <c r="D1006" s="60" t="str">
        <f>IFERROR(__xludf.DUMMYFUNCTION("IFERROR(GOOGLEFINANCE(A1006,""CHANGEPCT""),)"),"")</f>
        <v/>
      </c>
      <c r="E1006" s="60" t="str">
        <f t="shared" si="1"/>
        <v>%</v>
      </c>
      <c r="F1006" s="60" t="str">
        <f t="shared" si="2"/>
        <v/>
      </c>
      <c r="G1006" s="60" t="str">
        <f t="shared" si="3"/>
        <v/>
      </c>
      <c r="H1006" s="60" t="str">
        <f>IFERROR(__xludf.DUMMYFUNCTION("IFERROR(GOOGLEFINANCE(A1006,""PRICE""),)"),"")</f>
        <v/>
      </c>
      <c r="I1006" s="61" t="str">
        <f>IFERROR(__xludf.DUMMYFUNCTION("IFERROR(GOOGLEFINANCE(A1006,""VOLUME""),)"),"")</f>
        <v/>
      </c>
      <c r="J1006" s="60" t="str">
        <f>IFERROR(__xludf.DUMMYFUNCTION("IFERROR(INDEX(SPLIT(A1006,"":""),1,2),)"),"NOVARTIND")</f>
        <v>NOVARTIND</v>
      </c>
      <c r="K1006" s="60" t="str">
        <f t="shared" si="4"/>
        <v/>
      </c>
      <c r="L1006" s="60" t="str">
        <f t="shared" si="5"/>
        <v/>
      </c>
      <c r="M1006" s="60" t="str">
        <f t="shared" si="6"/>
        <v/>
      </c>
      <c r="N1006" s="62" t="str">
        <f>IFERROR(__xludf.DUMMYFUNCTION("IFERROR(GOOGLEFINANCE(A1006,""TRADETIME""),)"),"")</f>
        <v/>
      </c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>
      <c r="A1007" s="68" t="s">
        <v>1053</v>
      </c>
      <c r="B1007" s="64" t="str">
        <f>IFERROR(__xludf.DUMMYFUNCTION("IFERROR(GOOGLEFINANCE(A1007,""NAME""),)"),"N R Agarwal Industries Ltd")</f>
        <v>N R Agarwal Industries Ltd</v>
      </c>
      <c r="C1007" s="64">
        <f>IFERROR(__xludf.DUMMYFUNCTION("IFERROR(GOOGLEFINANCE(A1007,""CHANGE""),)"),3.45)</f>
        <v>3.45</v>
      </c>
      <c r="D1007" s="64">
        <f>IFERROR(__xludf.DUMMYFUNCTION("IFERROR(GOOGLEFINANCE(A1007,""CHANGEPCT""),)"),0.79)</f>
        <v>0.79</v>
      </c>
      <c r="E1007" s="64" t="str">
        <f t="shared" si="1"/>
        <v>0.79%</v>
      </c>
      <c r="F1007" s="64">
        <f t="shared" si="2"/>
        <v>0.79</v>
      </c>
      <c r="G1007" s="64" t="str">
        <f t="shared" si="3"/>
        <v/>
      </c>
      <c r="H1007" s="64">
        <f>IFERROR(__xludf.DUMMYFUNCTION("IFERROR(GOOGLEFINANCE(A1007,""PRICE""),)"),439.4)</f>
        <v>439.4</v>
      </c>
      <c r="I1007" s="65">
        <f>IFERROR(__xludf.DUMMYFUNCTION("IFERROR(GOOGLEFINANCE(A1007,""VOLUME""),)"),1518.0)</f>
        <v>1518</v>
      </c>
      <c r="J1007" s="64" t="str">
        <f>IFERROR(__xludf.DUMMYFUNCTION("IFERROR(INDEX(SPLIT(A1007,"":""),1,2),)"),"NRAIL")</f>
        <v>NRAIL</v>
      </c>
      <c r="K1007" s="64">
        <f t="shared" si="4"/>
        <v>788</v>
      </c>
      <c r="L1007" s="64" t="str">
        <f t="shared" si="5"/>
        <v/>
      </c>
      <c r="M1007" s="64">
        <f t="shared" si="6"/>
        <v>1422</v>
      </c>
      <c r="N1007" s="66">
        <f>IFERROR(__xludf.DUMMYFUNCTION("IFERROR(GOOGLEFINANCE(A1007,""TRADETIME""),)"),46086.64115740741)</f>
        <v>46086.64116</v>
      </c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>
      <c r="A1008" s="67" t="s">
        <v>1054</v>
      </c>
      <c r="B1008" s="60" t="str">
        <f>IFERROR(__xludf.DUMMYFUNCTION("IFERROR(GOOGLEFINANCE(A1008,""NAME""),)"),"NRB Bearings Ltd")</f>
        <v>NRB Bearings Ltd</v>
      </c>
      <c r="C1008" s="60">
        <f>IFERROR(__xludf.DUMMYFUNCTION("IFERROR(GOOGLEFINANCE(A1008,""CHANGE""),)"),6.85)</f>
        <v>6.85</v>
      </c>
      <c r="D1008" s="60">
        <f>IFERROR(__xludf.DUMMYFUNCTION("IFERROR(GOOGLEFINANCE(A1008,""CHANGEPCT""),)"),2.77)</f>
        <v>2.77</v>
      </c>
      <c r="E1008" s="60" t="str">
        <f t="shared" si="1"/>
        <v>2.77%</v>
      </c>
      <c r="F1008" s="60">
        <f t="shared" si="2"/>
        <v>2.77</v>
      </c>
      <c r="G1008" s="60" t="str">
        <f t="shared" si="3"/>
        <v/>
      </c>
      <c r="H1008" s="60">
        <f>IFERROR(__xludf.DUMMYFUNCTION("IFERROR(GOOGLEFINANCE(A1008,""PRICE""),)"),263.05)</f>
        <v>263.05</v>
      </c>
      <c r="I1008" s="61">
        <f>IFERROR(__xludf.DUMMYFUNCTION("IFERROR(GOOGLEFINANCE(A1008,""VOLUME""),)"),191582.0)</f>
        <v>191582</v>
      </c>
      <c r="J1008" s="60" t="str">
        <f>IFERROR(__xludf.DUMMYFUNCTION("IFERROR(INDEX(SPLIT(A1008,"":""),1,2),)"),"NRBBEARING")</f>
        <v>NRBBEARING</v>
      </c>
      <c r="K1008" s="60">
        <f t="shared" si="4"/>
        <v>296</v>
      </c>
      <c r="L1008" s="60" t="str">
        <f t="shared" si="5"/>
        <v/>
      </c>
      <c r="M1008" s="60">
        <f t="shared" si="6"/>
        <v>618</v>
      </c>
      <c r="N1008" s="62">
        <f>IFERROR(__xludf.DUMMYFUNCTION("IFERROR(GOOGLEFINANCE(A1008,""TRADETIME""),)"),46086.64585648148)</f>
        <v>46086.64586</v>
      </c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>
      <c r="A1009" s="68" t="s">
        <v>1055</v>
      </c>
      <c r="B1009" s="64" t="str">
        <f>IFERROR(__xludf.DUMMYFUNCTION("IFERROR(GOOGLEFINANCE(A1009,""NAME""),)"),"Nalwa Sons Investments Ltd")</f>
        <v>Nalwa Sons Investments Ltd</v>
      </c>
      <c r="C1009" s="64">
        <f>IFERROR(__xludf.DUMMYFUNCTION("IFERROR(GOOGLEFINANCE(A1009,""CHANGE""),)"),125.0)</f>
        <v>125</v>
      </c>
      <c r="D1009" s="64">
        <f>IFERROR(__xludf.DUMMYFUNCTION("IFERROR(GOOGLEFINANCE(A1009,""CHANGEPCT""),)"),2.22)</f>
        <v>2.22</v>
      </c>
      <c r="E1009" s="64" t="str">
        <f t="shared" si="1"/>
        <v>2.22%</v>
      </c>
      <c r="F1009" s="64">
        <f t="shared" si="2"/>
        <v>2.22</v>
      </c>
      <c r="G1009" s="64" t="str">
        <f t="shared" si="3"/>
        <v/>
      </c>
      <c r="H1009" s="64">
        <f>IFERROR(__xludf.DUMMYFUNCTION("IFERROR(GOOGLEFINANCE(A1009,""PRICE""),)"),5760.0)</f>
        <v>5760</v>
      </c>
      <c r="I1009" s="65">
        <f>IFERROR(__xludf.DUMMYFUNCTION("IFERROR(GOOGLEFINANCE(A1009,""VOLUME""),)"),1588.0)</f>
        <v>1588</v>
      </c>
      <c r="J1009" s="64" t="str">
        <f>IFERROR(__xludf.DUMMYFUNCTION("IFERROR(INDEX(SPLIT(A1009,"":""),1,2),)"),"NSIL")</f>
        <v>NSIL</v>
      </c>
      <c r="K1009" s="64">
        <f t="shared" si="4"/>
        <v>395</v>
      </c>
      <c r="L1009" s="64" t="str">
        <f t="shared" si="5"/>
        <v/>
      </c>
      <c r="M1009" s="64">
        <f t="shared" si="6"/>
        <v>1416</v>
      </c>
      <c r="N1009" s="66">
        <f>IFERROR(__xludf.DUMMYFUNCTION("IFERROR(GOOGLEFINANCE(A1009,""TRADETIME""),)"),46086.641793981486)</f>
        <v>46086.64179</v>
      </c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>
      <c r="A1010" s="67" t="s">
        <v>1056</v>
      </c>
      <c r="B1010" s="60" t="str">
        <f>IFERROR(__xludf.DUMMYFUNCTION("IFERROR(GOOGLEFINANCE(A1010,""NAME""),)"),"NTPC Ltd")</f>
        <v>NTPC Ltd</v>
      </c>
      <c r="C1010" s="60">
        <f>IFERROR(__xludf.DUMMYFUNCTION("IFERROR(GOOGLEFINANCE(A1010,""CHANGE""),)"),11.65)</f>
        <v>11.65</v>
      </c>
      <c r="D1010" s="60">
        <f>IFERROR(__xludf.DUMMYFUNCTION("IFERROR(GOOGLEFINANCE(A1010,""CHANGEPCT""),)"),3.18)</f>
        <v>3.18</v>
      </c>
      <c r="E1010" s="60" t="str">
        <f t="shared" si="1"/>
        <v>3.18%</v>
      </c>
      <c r="F1010" s="60">
        <f t="shared" si="2"/>
        <v>3.18</v>
      </c>
      <c r="G1010" s="60" t="str">
        <f t="shared" si="3"/>
        <v/>
      </c>
      <c r="H1010" s="60">
        <f>IFERROR(__xludf.DUMMYFUNCTION("IFERROR(GOOGLEFINANCE(A1010,""PRICE""),)"),377.45)</f>
        <v>377.45</v>
      </c>
      <c r="I1010" s="61">
        <f>IFERROR(__xludf.DUMMYFUNCTION("IFERROR(GOOGLEFINANCE(A1010,""VOLUME""),)"),1.6156571E7)</f>
        <v>16156571</v>
      </c>
      <c r="J1010" s="60" t="str">
        <f>IFERROR(__xludf.DUMMYFUNCTION("IFERROR(INDEX(SPLIT(A1010,"":""),1,2),)"),"NTPC")</f>
        <v>NTPC</v>
      </c>
      <c r="K1010" s="60">
        <f t="shared" si="4"/>
        <v>228</v>
      </c>
      <c r="L1010" s="60" t="str">
        <f t="shared" si="5"/>
        <v/>
      </c>
      <c r="M1010" s="60">
        <f t="shared" si="6"/>
        <v>40</v>
      </c>
      <c r="N1010" s="62">
        <f>IFERROR(__xludf.DUMMYFUNCTION("IFERROR(GOOGLEFINANCE(A1010,""TRADETIME""),)"),46086.64583333333)</f>
        <v>46086.64583</v>
      </c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>
      <c r="A1011" s="68" t="s">
        <v>1057</v>
      </c>
      <c r="B1011" s="64" t="str">
        <f>IFERROR(__xludf.DUMMYFUNCTION("IFERROR(GOOGLEFINANCE(A1011,""NAME""),)"),"Nucleus Software Exports Ltd")</f>
        <v>Nucleus Software Exports Ltd</v>
      </c>
      <c r="C1011" s="64">
        <f>IFERROR(__xludf.DUMMYFUNCTION("IFERROR(GOOGLEFINANCE(A1011,""CHANGE""),)"),7.65)</f>
        <v>7.65</v>
      </c>
      <c r="D1011" s="64">
        <f>IFERROR(__xludf.DUMMYFUNCTION("IFERROR(GOOGLEFINANCE(A1011,""CHANGEPCT""),)"),1.0)</f>
        <v>1</v>
      </c>
      <c r="E1011" s="64" t="str">
        <f t="shared" si="1"/>
        <v>1%</v>
      </c>
      <c r="F1011" s="64">
        <f t="shared" si="2"/>
        <v>1</v>
      </c>
      <c r="G1011" s="64" t="str">
        <f t="shared" si="3"/>
        <v/>
      </c>
      <c r="H1011" s="64">
        <f>IFERROR(__xludf.DUMMYFUNCTION("IFERROR(GOOGLEFINANCE(A1011,""PRICE""),)"),771.25)</f>
        <v>771.25</v>
      </c>
      <c r="I1011" s="65">
        <f>IFERROR(__xludf.DUMMYFUNCTION("IFERROR(GOOGLEFINANCE(A1011,""VOLUME""),)"),19502.0)</f>
        <v>19502</v>
      </c>
      <c r="J1011" s="64" t="str">
        <f>IFERROR(__xludf.DUMMYFUNCTION("IFERROR(INDEX(SPLIT(A1011,"":""),1,2),)"),"NUCLEUS")</f>
        <v>NUCLEUS</v>
      </c>
      <c r="K1011" s="64">
        <f t="shared" si="4"/>
        <v>725</v>
      </c>
      <c r="L1011" s="64" t="str">
        <f t="shared" si="5"/>
        <v/>
      </c>
      <c r="M1011" s="64">
        <f t="shared" si="6"/>
        <v>1145</v>
      </c>
      <c r="N1011" s="66">
        <f>IFERROR(__xludf.DUMMYFUNCTION("IFERROR(GOOGLEFINANCE(A1011,""TRADETIME""),)"),46086.64583333333)</f>
        <v>46086.64583</v>
      </c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>
      <c r="A1012" s="67" t="s">
        <v>1058</v>
      </c>
      <c r="B1012" s="60" t="str">
        <f>IFERROR(__xludf.DUMMYFUNCTION("IFERROR(GOOGLEFINANCE(A1012,""NAME""),)"),"")</f>
        <v/>
      </c>
      <c r="C1012" s="60" t="str">
        <f>IFERROR(__xludf.DUMMYFUNCTION("IFERROR(GOOGLEFINANCE(A1012,""CHANGE""),)"),"")</f>
        <v/>
      </c>
      <c r="D1012" s="60" t="str">
        <f>IFERROR(__xludf.DUMMYFUNCTION("IFERROR(GOOGLEFINANCE(A1012,""CHANGEPCT""),)"),"")</f>
        <v/>
      </c>
      <c r="E1012" s="60" t="str">
        <f t="shared" si="1"/>
        <v>%</v>
      </c>
      <c r="F1012" s="60" t="str">
        <f t="shared" si="2"/>
        <v/>
      </c>
      <c r="G1012" s="60" t="str">
        <f t="shared" si="3"/>
        <v/>
      </c>
      <c r="H1012" s="60" t="str">
        <f>IFERROR(__xludf.DUMMYFUNCTION("IFERROR(GOOGLEFINANCE(A1012,""PRICE""),)"),"")</f>
        <v/>
      </c>
      <c r="I1012" s="61" t="str">
        <f>IFERROR(__xludf.DUMMYFUNCTION("IFERROR(GOOGLEFINANCE(A1012,""VOLUME""),)"),"")</f>
        <v/>
      </c>
      <c r="J1012" s="60" t="str">
        <f>IFERROR(__xludf.DUMMYFUNCTION("IFERROR(INDEX(SPLIT(A1012,"":""),1,2),)"),"NXTDIGITAL")</f>
        <v>NXTDIGITAL</v>
      </c>
      <c r="K1012" s="60" t="str">
        <f t="shared" si="4"/>
        <v/>
      </c>
      <c r="L1012" s="60" t="str">
        <f t="shared" si="5"/>
        <v/>
      </c>
      <c r="M1012" s="60" t="str">
        <f t="shared" si="6"/>
        <v/>
      </c>
      <c r="N1012" s="62" t="str">
        <f>IFERROR(__xludf.DUMMYFUNCTION("IFERROR(GOOGLEFINANCE(A1012,""TRADETIME""),)"),"")</f>
        <v/>
      </c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>
      <c r="A1013" s="68" t="s">
        <v>1059</v>
      </c>
      <c r="B1013" s="64" t="str">
        <f>IFERROR(__xludf.DUMMYFUNCTION("IFERROR(GOOGLEFINANCE(A1013,""NAME""),)"),"Oriental Aromatics Ltd")</f>
        <v>Oriental Aromatics Ltd</v>
      </c>
      <c r="C1013" s="64">
        <f>IFERROR(__xludf.DUMMYFUNCTION("IFERROR(GOOGLEFINANCE(A1013,""CHANGE""),)"),-2.15)</f>
        <v>-2.15</v>
      </c>
      <c r="D1013" s="64">
        <f>IFERROR(__xludf.DUMMYFUNCTION("IFERROR(GOOGLEFINANCE(A1013,""CHANGEPCT""),)"),-0.87)</f>
        <v>-0.87</v>
      </c>
      <c r="E1013" s="64" t="str">
        <f t="shared" si="1"/>
        <v>-0.87%</v>
      </c>
      <c r="F1013" s="64" t="str">
        <f t="shared" si="2"/>
        <v/>
      </c>
      <c r="G1013" s="64">
        <f t="shared" si="3"/>
        <v>-0.87</v>
      </c>
      <c r="H1013" s="64">
        <f>IFERROR(__xludf.DUMMYFUNCTION("IFERROR(GOOGLEFINANCE(A1013,""PRICE""),)"),245.15)</f>
        <v>245.15</v>
      </c>
      <c r="I1013" s="65">
        <f>IFERROR(__xludf.DUMMYFUNCTION("IFERROR(GOOGLEFINANCE(A1013,""VOLUME""),)"),31137.0)</f>
        <v>31137</v>
      </c>
      <c r="J1013" s="64" t="str">
        <f>IFERROR(__xludf.DUMMYFUNCTION("IFERROR(INDEX(SPLIT(A1013,"":""),1,2),)"),"OAL")</f>
        <v>OAL</v>
      </c>
      <c r="K1013" s="64" t="str">
        <f t="shared" si="4"/>
        <v/>
      </c>
      <c r="L1013" s="64">
        <f t="shared" si="5"/>
        <v>194</v>
      </c>
      <c r="M1013" s="64">
        <f t="shared" si="6"/>
        <v>1049</v>
      </c>
      <c r="N1013" s="66">
        <f>IFERROR(__xludf.DUMMYFUNCTION("IFERROR(GOOGLEFINANCE(A1013,""TRADETIME""),)"),46086.64583333333)</f>
        <v>46086.64583</v>
      </c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  <row r="1014">
      <c r="A1014" s="67" t="s">
        <v>1060</v>
      </c>
      <c r="B1014" s="60" t="str">
        <f>IFERROR(__xludf.DUMMYFUNCTION("IFERROR(GOOGLEFINANCE(A1014,""NAME""),)"),"Oberoi Realty Ltd")</f>
        <v>Oberoi Realty Ltd</v>
      </c>
      <c r="C1014" s="60">
        <f>IFERROR(__xludf.DUMMYFUNCTION("IFERROR(GOOGLEFINANCE(A1014,""CHANGE""),)"),30.6)</f>
        <v>30.6</v>
      </c>
      <c r="D1014" s="60">
        <f>IFERROR(__xludf.DUMMYFUNCTION("IFERROR(GOOGLEFINANCE(A1014,""CHANGEPCT""),)"),2.1)</f>
        <v>2.1</v>
      </c>
      <c r="E1014" s="60" t="str">
        <f t="shared" si="1"/>
        <v>2.1%</v>
      </c>
      <c r="F1014" s="60">
        <f t="shared" si="2"/>
        <v>2.1</v>
      </c>
      <c r="G1014" s="60" t="str">
        <f t="shared" si="3"/>
        <v/>
      </c>
      <c r="H1014" s="60">
        <f>IFERROR(__xludf.DUMMYFUNCTION("IFERROR(GOOGLEFINANCE(A1014,""PRICE""),)"),1485.0)</f>
        <v>1485</v>
      </c>
      <c r="I1014" s="61">
        <f>IFERROR(__xludf.DUMMYFUNCTION("IFERROR(GOOGLEFINANCE(A1014,""VOLUME""),)"),1232524.0)</f>
        <v>1232524</v>
      </c>
      <c r="J1014" s="60" t="str">
        <f>IFERROR(__xludf.DUMMYFUNCTION("IFERROR(INDEX(SPLIT(A1014,"":""),1,2),)"),"OBEROIRLTY")</f>
        <v>OBEROIRLTY</v>
      </c>
      <c r="K1014" s="60">
        <f t="shared" si="4"/>
        <v>418</v>
      </c>
      <c r="L1014" s="60" t="str">
        <f t="shared" si="5"/>
        <v/>
      </c>
      <c r="M1014" s="60">
        <f t="shared" si="6"/>
        <v>259</v>
      </c>
      <c r="N1014" s="62">
        <f>IFERROR(__xludf.DUMMYFUNCTION("IFERROR(GOOGLEFINANCE(A1014,""TRADETIME""),)"),46086.64061342593)</f>
        <v>46086.64061</v>
      </c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</row>
    <row r="1015">
      <c r="A1015" s="68" t="s">
        <v>1061</v>
      </c>
      <c r="B1015" s="64" t="str">
        <f>IFERROR(__xludf.DUMMYFUNCTION("IFERROR(GOOGLEFINANCE(A1015,""NAME""),)"),"")</f>
        <v/>
      </c>
      <c r="C1015" s="64" t="str">
        <f>IFERROR(__xludf.DUMMYFUNCTION("IFERROR(GOOGLEFINANCE(A1015,""CHANGE""),)"),"")</f>
        <v/>
      </c>
      <c r="D1015" s="64" t="str">
        <f>IFERROR(__xludf.DUMMYFUNCTION("IFERROR(GOOGLEFINANCE(A1015,""CHANGEPCT""),)"),"")</f>
        <v/>
      </c>
      <c r="E1015" s="64" t="str">
        <f t="shared" si="1"/>
        <v>%</v>
      </c>
      <c r="F1015" s="64" t="str">
        <f t="shared" si="2"/>
        <v/>
      </c>
      <c r="G1015" s="64" t="str">
        <f t="shared" si="3"/>
        <v/>
      </c>
      <c r="H1015" s="64" t="str">
        <f>IFERROR(__xludf.DUMMYFUNCTION("IFERROR(GOOGLEFINANCE(A1015,""PRICE""),)"),"")</f>
        <v/>
      </c>
      <c r="I1015" s="65" t="str">
        <f>IFERROR(__xludf.DUMMYFUNCTION("IFERROR(GOOGLEFINANCE(A1015,""VOLUME""),)"),"")</f>
        <v/>
      </c>
      <c r="J1015" s="64" t="str">
        <f>IFERROR(__xludf.DUMMYFUNCTION("IFERROR(INDEX(SPLIT(A1015,"":""),1,2),)"),"OCCL")</f>
        <v>OCCL</v>
      </c>
      <c r="K1015" s="64" t="str">
        <f t="shared" si="4"/>
        <v/>
      </c>
      <c r="L1015" s="64" t="str">
        <f t="shared" si="5"/>
        <v/>
      </c>
      <c r="M1015" s="64" t="str">
        <f t="shared" si="6"/>
        <v/>
      </c>
      <c r="N1015" s="66" t="str">
        <f>IFERROR(__xludf.DUMMYFUNCTION("IFERROR(GOOGLEFINANCE(A1015,""TRADETIME""),)"),"")</f>
        <v/>
      </c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</row>
    <row r="1016">
      <c r="A1016" s="67" t="s">
        <v>1062</v>
      </c>
      <c r="B1016" s="60" t="str">
        <f>IFERROR(__xludf.DUMMYFUNCTION("IFERROR(GOOGLEFINANCE(A1016,""NAME""),)"),"Oracle Financial Services Software Ltd")</f>
        <v>Oracle Financial Services Software Ltd</v>
      </c>
      <c r="C1016" s="60">
        <f>IFERROR(__xludf.DUMMYFUNCTION("IFERROR(GOOGLEFINANCE(A1016,""CHANGE""),)"),-51.0)</f>
        <v>-51</v>
      </c>
      <c r="D1016" s="60">
        <f>IFERROR(__xludf.DUMMYFUNCTION("IFERROR(GOOGLEFINANCE(A1016,""CHANGEPCT""),)"),-0.75)</f>
        <v>-0.75</v>
      </c>
      <c r="E1016" s="60" t="str">
        <f t="shared" si="1"/>
        <v>-0.75%</v>
      </c>
      <c r="F1016" s="60" t="str">
        <f t="shared" si="2"/>
        <v/>
      </c>
      <c r="G1016" s="60">
        <f t="shared" si="3"/>
        <v>-0.75</v>
      </c>
      <c r="H1016" s="60">
        <f>IFERROR(__xludf.DUMMYFUNCTION("IFERROR(GOOGLEFINANCE(A1016,""PRICE""),)"),6780.5)</f>
        <v>6780.5</v>
      </c>
      <c r="I1016" s="61">
        <f>IFERROR(__xludf.DUMMYFUNCTION("IFERROR(GOOGLEFINANCE(A1016,""VOLUME""),)"),102855.0)</f>
        <v>102855</v>
      </c>
      <c r="J1016" s="60" t="str">
        <f>IFERROR(__xludf.DUMMYFUNCTION("IFERROR(INDEX(SPLIT(A1016,"":""),1,2),)"),"OFSS")</f>
        <v>OFSS</v>
      </c>
      <c r="K1016" s="60" t="str">
        <f t="shared" si="4"/>
        <v/>
      </c>
      <c r="L1016" s="60">
        <f t="shared" si="5"/>
        <v>176</v>
      </c>
      <c r="M1016" s="60">
        <f t="shared" si="6"/>
        <v>753</v>
      </c>
      <c r="N1016" s="62">
        <f>IFERROR(__xludf.DUMMYFUNCTION("IFERROR(GOOGLEFINANCE(A1016,""TRADETIME""),)"),46086.640381944446)</f>
        <v>46086.64038</v>
      </c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</row>
    <row r="1017">
      <c r="A1017" s="68" t="s">
        <v>1063</v>
      </c>
      <c r="B1017" s="64" t="str">
        <f>IFERROR(__xludf.DUMMYFUNCTION("IFERROR(GOOGLEFINANCE(A1017,""NAME""),)"),"Oil India Ltd")</f>
        <v>Oil India Ltd</v>
      </c>
      <c r="C1017" s="64">
        <f>IFERROR(__xludf.DUMMYFUNCTION("IFERROR(GOOGLEFINANCE(A1017,""CHANGE""),)"),-10.45)</f>
        <v>-10.45</v>
      </c>
      <c r="D1017" s="64">
        <f>IFERROR(__xludf.DUMMYFUNCTION("IFERROR(GOOGLEFINANCE(A1017,""CHANGEPCT""),)"),-2.06)</f>
        <v>-2.06</v>
      </c>
      <c r="E1017" s="64" t="str">
        <f t="shared" si="1"/>
        <v>-2.06%</v>
      </c>
      <c r="F1017" s="64" t="str">
        <f t="shared" si="2"/>
        <v/>
      </c>
      <c r="G1017" s="64">
        <f t="shared" si="3"/>
        <v>-2.06</v>
      </c>
      <c r="H1017" s="64">
        <f>IFERROR(__xludf.DUMMYFUNCTION("IFERROR(GOOGLEFINANCE(A1017,""PRICE""),)"),481.95)</f>
        <v>481.95</v>
      </c>
      <c r="I1017" s="65">
        <f>IFERROR(__xludf.DUMMYFUNCTION("IFERROR(GOOGLEFINANCE(A1017,""VOLUME""),)"),8662697.0)</f>
        <v>8662697</v>
      </c>
      <c r="J1017" s="64" t="str">
        <f>IFERROR(__xludf.DUMMYFUNCTION("IFERROR(INDEX(SPLIT(A1017,"":""),1,2),)"),"OIL")</f>
        <v>OIL</v>
      </c>
      <c r="K1017" s="64" t="str">
        <f t="shared" si="4"/>
        <v/>
      </c>
      <c r="L1017" s="64">
        <f t="shared" si="5"/>
        <v>361</v>
      </c>
      <c r="M1017" s="64">
        <f t="shared" si="6"/>
        <v>70</v>
      </c>
      <c r="N1017" s="66">
        <f>IFERROR(__xludf.DUMMYFUNCTION("IFERROR(GOOGLEFINANCE(A1017,""TRADETIME""),)"),46086.64584490741)</f>
        <v>46086.64584</v>
      </c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</row>
    <row r="1018">
      <c r="A1018" s="67" t="s">
        <v>1064</v>
      </c>
      <c r="B1018" s="60" t="str">
        <f>IFERROR(__xludf.DUMMYFUNCTION("IFERROR(GOOGLEFINANCE(A1018,""NAME""),)"),"Oil Country Tubular Ltd")</f>
        <v>Oil Country Tubular Ltd</v>
      </c>
      <c r="C1018" s="60">
        <f>IFERROR(__xludf.DUMMYFUNCTION("IFERROR(GOOGLEFINANCE(A1018,""CHANGE""),)"),-1.01)</f>
        <v>-1.01</v>
      </c>
      <c r="D1018" s="60">
        <f>IFERROR(__xludf.DUMMYFUNCTION("IFERROR(GOOGLEFINANCE(A1018,""CHANGEPCT""),)"),-2.83)</f>
        <v>-2.83</v>
      </c>
      <c r="E1018" s="60" t="str">
        <f t="shared" si="1"/>
        <v>-2.83%</v>
      </c>
      <c r="F1018" s="60" t="str">
        <f t="shared" si="2"/>
        <v/>
      </c>
      <c r="G1018" s="60">
        <f t="shared" si="3"/>
        <v>-2.83</v>
      </c>
      <c r="H1018" s="60">
        <f>IFERROR(__xludf.DUMMYFUNCTION("IFERROR(GOOGLEFINANCE(A1018,""PRICE""),)"),46.7)</f>
        <v>46.7</v>
      </c>
      <c r="I1018" s="61">
        <f>IFERROR(__xludf.DUMMYFUNCTION("IFERROR(GOOGLEFINANCE(A1018,""VOLUME""),)"),43809.0)</f>
        <v>43809</v>
      </c>
      <c r="J1018" s="60" t="str">
        <f>IFERROR(__xludf.DUMMYFUNCTION("IFERROR(INDEX(SPLIT(A1018,"":""),1,2),)"),"OILCOUNTUB")</f>
        <v>OILCOUNTUB</v>
      </c>
      <c r="K1018" s="60" t="str">
        <f t="shared" si="4"/>
        <v/>
      </c>
      <c r="L1018" s="60">
        <f t="shared" si="5"/>
        <v>402</v>
      </c>
      <c r="M1018" s="60">
        <f t="shared" si="6"/>
        <v>975</v>
      </c>
      <c r="N1018" s="62">
        <f>IFERROR(__xludf.DUMMYFUNCTION("IFERROR(GOOGLEFINANCE(A1018,""TRADETIME""),)"),46086.64583333333)</f>
        <v>46086.64583</v>
      </c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</row>
    <row r="1019">
      <c r="A1019" s="68" t="s">
        <v>1065</v>
      </c>
      <c r="B1019" s="64" t="str">
        <f>IFERROR(__xludf.DUMMYFUNCTION("IFERROR(GOOGLEFINANCE(A1019,""NAME""),)"),"Olectra Greentech Ltd")</f>
        <v>Olectra Greentech Ltd</v>
      </c>
      <c r="C1019" s="64">
        <f>IFERROR(__xludf.DUMMYFUNCTION("IFERROR(GOOGLEFINANCE(A1019,""CHANGE""),)"),22.3)</f>
        <v>22.3</v>
      </c>
      <c r="D1019" s="64">
        <f>IFERROR(__xludf.DUMMYFUNCTION("IFERROR(GOOGLEFINANCE(A1019,""CHANGEPCT""),)"),2.73)</f>
        <v>2.73</v>
      </c>
      <c r="E1019" s="64" t="str">
        <f t="shared" si="1"/>
        <v>2.73%</v>
      </c>
      <c r="F1019" s="64">
        <f t="shared" si="2"/>
        <v>2.73</v>
      </c>
      <c r="G1019" s="64" t="str">
        <f t="shared" si="3"/>
        <v/>
      </c>
      <c r="H1019" s="64">
        <f>IFERROR(__xludf.DUMMYFUNCTION("IFERROR(GOOGLEFINANCE(A1019,""PRICE""),)"),931.0)</f>
        <v>931</v>
      </c>
      <c r="I1019" s="65">
        <f>IFERROR(__xludf.DUMMYFUNCTION("IFERROR(GOOGLEFINANCE(A1019,""VOLUME""),)"),333148.0)</f>
        <v>333148</v>
      </c>
      <c r="J1019" s="64" t="str">
        <f>IFERROR(__xludf.DUMMYFUNCTION("IFERROR(INDEX(SPLIT(A1019,"":""),1,2),)"),"OLECTRA")</f>
        <v>OLECTRA</v>
      </c>
      <c r="K1019" s="64">
        <f t="shared" si="4"/>
        <v>305</v>
      </c>
      <c r="L1019" s="64" t="str">
        <f t="shared" si="5"/>
        <v/>
      </c>
      <c r="M1019" s="64">
        <f t="shared" si="6"/>
        <v>490</v>
      </c>
      <c r="N1019" s="66">
        <f>IFERROR(__xludf.DUMMYFUNCTION("IFERROR(GOOGLEFINANCE(A1019,""TRADETIME""),)"),46086.64585648148)</f>
        <v>46086.64586</v>
      </c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</row>
    <row r="1020">
      <c r="A1020" s="67" t="s">
        <v>1066</v>
      </c>
      <c r="B1020" s="60" t="str">
        <f>IFERROR(__xludf.DUMMYFUNCTION("IFERROR(GOOGLEFINANCE(A1020,""NAME""),)"),"Omax Autos Ltd")</f>
        <v>Omax Autos Ltd</v>
      </c>
      <c r="C1020" s="60">
        <f>IFERROR(__xludf.DUMMYFUNCTION("IFERROR(GOOGLEFINANCE(A1020,""CHANGE""),)"),0.4)</f>
        <v>0.4</v>
      </c>
      <c r="D1020" s="60">
        <f>IFERROR(__xludf.DUMMYFUNCTION("IFERROR(GOOGLEFINANCE(A1020,""CHANGEPCT""),)"),0.39)</f>
        <v>0.39</v>
      </c>
      <c r="E1020" s="60" t="str">
        <f t="shared" si="1"/>
        <v>0.39%</v>
      </c>
      <c r="F1020" s="60">
        <f t="shared" si="2"/>
        <v>0.39</v>
      </c>
      <c r="G1020" s="60" t="str">
        <f t="shared" si="3"/>
        <v/>
      </c>
      <c r="H1020" s="60">
        <f>IFERROR(__xludf.DUMMYFUNCTION("IFERROR(GOOGLEFINANCE(A1020,""PRICE""),)"),102.1)</f>
        <v>102.1</v>
      </c>
      <c r="I1020" s="61">
        <f>IFERROR(__xludf.DUMMYFUNCTION("IFERROR(GOOGLEFINANCE(A1020,""VOLUME""),)"),20919.0)</f>
        <v>20919</v>
      </c>
      <c r="J1020" s="60" t="str">
        <f>IFERROR(__xludf.DUMMYFUNCTION("IFERROR(INDEX(SPLIT(A1020,"":""),1,2),)"),"OMAXAUTO")</f>
        <v>OMAXAUTO</v>
      </c>
      <c r="K1020" s="60">
        <f t="shared" si="4"/>
        <v>908</v>
      </c>
      <c r="L1020" s="60" t="str">
        <f t="shared" si="5"/>
        <v/>
      </c>
      <c r="M1020" s="60">
        <f t="shared" si="6"/>
        <v>1132</v>
      </c>
      <c r="N1020" s="62">
        <f>IFERROR(__xludf.DUMMYFUNCTION("IFERROR(GOOGLEFINANCE(A1020,""TRADETIME""),)"),46086.64583333333)</f>
        <v>46086.64583</v>
      </c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</row>
    <row r="1021">
      <c r="A1021" s="68" t="s">
        <v>1067</v>
      </c>
      <c r="B1021" s="64" t="str">
        <f>IFERROR(__xludf.DUMMYFUNCTION("IFERROR(GOOGLEFINANCE(A1021,""NAME""),)"),"Omaxe Ltd")</f>
        <v>Omaxe Ltd</v>
      </c>
      <c r="C1021" s="64">
        <f>IFERROR(__xludf.DUMMYFUNCTION("IFERROR(GOOGLEFINANCE(A1021,""CHANGE""),)"),3.68)</f>
        <v>3.68</v>
      </c>
      <c r="D1021" s="64">
        <f>IFERROR(__xludf.DUMMYFUNCTION("IFERROR(GOOGLEFINANCE(A1021,""CHANGEPCT""),)"),4.94)</f>
        <v>4.94</v>
      </c>
      <c r="E1021" s="64" t="str">
        <f t="shared" si="1"/>
        <v>4.94%</v>
      </c>
      <c r="F1021" s="64">
        <f t="shared" si="2"/>
        <v>4.94</v>
      </c>
      <c r="G1021" s="64" t="str">
        <f t="shared" si="3"/>
        <v/>
      </c>
      <c r="H1021" s="64">
        <f>IFERROR(__xludf.DUMMYFUNCTION("IFERROR(GOOGLEFINANCE(A1021,""PRICE""),)"),78.95)</f>
        <v>78.95</v>
      </c>
      <c r="I1021" s="65">
        <f>IFERROR(__xludf.DUMMYFUNCTION("IFERROR(GOOGLEFINANCE(A1021,""VOLUME""),)"),95660.0)</f>
        <v>95660</v>
      </c>
      <c r="J1021" s="64" t="str">
        <f>IFERROR(__xludf.DUMMYFUNCTION("IFERROR(INDEX(SPLIT(A1021,"":""),1,2),)"),"OMAXE")</f>
        <v>OMAXE</v>
      </c>
      <c r="K1021" s="64">
        <f t="shared" si="4"/>
        <v>82</v>
      </c>
      <c r="L1021" s="64" t="str">
        <f t="shared" si="5"/>
        <v/>
      </c>
      <c r="M1021" s="64">
        <f t="shared" si="6"/>
        <v>765</v>
      </c>
      <c r="N1021" s="66">
        <f>IFERROR(__xludf.DUMMYFUNCTION("IFERROR(GOOGLEFINANCE(A1021,""TRADETIME""),)"),46086.64583333333)</f>
        <v>46086.64583</v>
      </c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</row>
    <row r="1022">
      <c r="A1022" s="67" t="s">
        <v>1068</v>
      </c>
      <c r="B1022" s="60" t="str">
        <f>IFERROR(__xludf.DUMMYFUNCTION("IFERROR(GOOGLEFINANCE(A1022,""NAME""),)"),"Omkar Speciality Chemicals Ltd")</f>
        <v>Omkar Speciality Chemicals Ltd</v>
      </c>
      <c r="C1022" s="60">
        <f>IFERROR(__xludf.DUMMYFUNCTION("IFERROR(GOOGLEFINANCE(A1022,""CHANGE""),)"),-0.2)</f>
        <v>-0.2</v>
      </c>
      <c r="D1022" s="60">
        <f>IFERROR(__xludf.DUMMYFUNCTION("IFERROR(GOOGLEFINANCE(A1022,""CHANGEPCT""),)"),-4.59)</f>
        <v>-4.59</v>
      </c>
      <c r="E1022" s="60" t="str">
        <f t="shared" si="1"/>
        <v>-4.59%</v>
      </c>
      <c r="F1022" s="60" t="str">
        <f t="shared" si="2"/>
        <v/>
      </c>
      <c r="G1022" s="60">
        <f t="shared" si="3"/>
        <v>-4.59</v>
      </c>
      <c r="H1022" s="60">
        <f>IFERROR(__xludf.DUMMYFUNCTION("IFERROR(GOOGLEFINANCE(A1022,""PRICE""),)"),4.16)</f>
        <v>4.16</v>
      </c>
      <c r="I1022" s="61">
        <f>IFERROR(__xludf.DUMMYFUNCTION("IFERROR(GOOGLEFINANCE(A1022,""VOLUME""),)"),5988.0)</f>
        <v>5988</v>
      </c>
      <c r="J1022" s="60" t="str">
        <f>IFERROR(__xludf.DUMMYFUNCTION("IFERROR(INDEX(SPLIT(A1022,"":""),1,2),)"),"OMKARCHEM")</f>
        <v>OMKARCHEM</v>
      </c>
      <c r="K1022" s="60" t="str">
        <f t="shared" si="4"/>
        <v/>
      </c>
      <c r="L1022" s="60">
        <f t="shared" si="5"/>
        <v>430</v>
      </c>
      <c r="M1022" s="60">
        <f t="shared" si="6"/>
        <v>1326</v>
      </c>
      <c r="N1022" s="62">
        <f>IFERROR(__xludf.DUMMYFUNCTION("IFERROR(GOOGLEFINANCE(A1022,""TRADETIME""),)"),46086.64583333333)</f>
        <v>46086.64583</v>
      </c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</row>
    <row r="1023">
      <c r="A1023" s="68" t="s">
        <v>1069</v>
      </c>
      <c r="B1023" s="64" t="str">
        <f>IFERROR(__xludf.DUMMYFUNCTION("IFERROR(GOOGLEFINANCE(A1023,""NAME""),)"),"Onelife Capital Advisors Ltd")</f>
        <v>Onelife Capital Advisors Ltd</v>
      </c>
      <c r="C1023" s="64">
        <f>IFERROR(__xludf.DUMMYFUNCTION("IFERROR(GOOGLEFINANCE(A1023,""CHANGE""),)"),0.32)</f>
        <v>0.32</v>
      </c>
      <c r="D1023" s="64">
        <f>IFERROR(__xludf.DUMMYFUNCTION("IFERROR(GOOGLEFINANCE(A1023,""CHANGEPCT""),)"),2.1)</f>
        <v>2.1</v>
      </c>
      <c r="E1023" s="64" t="str">
        <f t="shared" si="1"/>
        <v>2.1%</v>
      </c>
      <c r="F1023" s="64">
        <f t="shared" si="2"/>
        <v>2.1</v>
      </c>
      <c r="G1023" s="64" t="str">
        <f t="shared" si="3"/>
        <v/>
      </c>
      <c r="H1023" s="64">
        <f>IFERROR(__xludf.DUMMYFUNCTION("IFERROR(GOOGLEFINANCE(A1023,""PRICE""),)"),15.55)</f>
        <v>15.55</v>
      </c>
      <c r="I1023" s="65">
        <f>IFERROR(__xludf.DUMMYFUNCTION("IFERROR(GOOGLEFINANCE(A1023,""VOLUME""),)"),4482.0)</f>
        <v>4482</v>
      </c>
      <c r="J1023" s="64" t="str">
        <f>IFERROR(__xludf.DUMMYFUNCTION("IFERROR(INDEX(SPLIT(A1023,"":""),1,2),)"),"ONELIFECAP")</f>
        <v>ONELIFECAP</v>
      </c>
      <c r="K1023" s="64">
        <f t="shared" si="4"/>
        <v>419</v>
      </c>
      <c r="L1023" s="64" t="str">
        <f t="shared" si="5"/>
        <v/>
      </c>
      <c r="M1023" s="64">
        <f t="shared" si="6"/>
        <v>1360</v>
      </c>
      <c r="N1023" s="66">
        <f>IFERROR(__xludf.DUMMYFUNCTION("IFERROR(GOOGLEFINANCE(A1023,""TRADETIME""),)"),46086.64583333333)</f>
        <v>46086.64583</v>
      </c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</row>
    <row r="1024">
      <c r="A1024" s="67" t="s">
        <v>1070</v>
      </c>
      <c r="B1024" s="60" t="str">
        <f>IFERROR(__xludf.DUMMYFUNCTION("IFERROR(GOOGLEFINANCE(A1024,""NAME""),)"),"One Point One Solutions Ltd")</f>
        <v>One Point One Solutions Ltd</v>
      </c>
      <c r="C1024" s="60">
        <f>IFERROR(__xludf.DUMMYFUNCTION("IFERROR(GOOGLEFINANCE(A1024,""CHANGE""),)"),0.02)</f>
        <v>0.02</v>
      </c>
      <c r="D1024" s="60">
        <f>IFERROR(__xludf.DUMMYFUNCTION("IFERROR(GOOGLEFINANCE(A1024,""CHANGEPCT""),)"),0.04)</f>
        <v>0.04</v>
      </c>
      <c r="E1024" s="60" t="str">
        <f t="shared" si="1"/>
        <v>0.04%</v>
      </c>
      <c r="F1024" s="60">
        <f t="shared" si="2"/>
        <v>0.04</v>
      </c>
      <c r="G1024" s="60" t="str">
        <f t="shared" si="3"/>
        <v/>
      </c>
      <c r="H1024" s="60">
        <f>IFERROR(__xludf.DUMMYFUNCTION("IFERROR(GOOGLEFINANCE(A1024,""PRICE""),)"),47.0)</f>
        <v>47</v>
      </c>
      <c r="I1024" s="61">
        <f>IFERROR(__xludf.DUMMYFUNCTION("IFERROR(GOOGLEFINANCE(A1024,""VOLUME""),)"),1187376.0)</f>
        <v>1187376</v>
      </c>
      <c r="J1024" s="60" t="str">
        <f>IFERROR(__xludf.DUMMYFUNCTION("IFERROR(INDEX(SPLIT(A1024,"":""),1,2),)"),"ONEPOINT")</f>
        <v>ONEPOINT</v>
      </c>
      <c r="K1024" s="60">
        <f t="shared" si="4"/>
        <v>990</v>
      </c>
      <c r="L1024" s="60" t="str">
        <f t="shared" si="5"/>
        <v/>
      </c>
      <c r="M1024" s="60">
        <f t="shared" si="6"/>
        <v>263</v>
      </c>
      <c r="N1024" s="62">
        <f>IFERROR(__xludf.DUMMYFUNCTION("IFERROR(GOOGLEFINANCE(A1024,""TRADETIME""),)"),46086.64583333333)</f>
        <v>46086.64583</v>
      </c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</row>
    <row r="1025">
      <c r="A1025" s="68" t="s">
        <v>1071</v>
      </c>
      <c r="B1025" s="64" t="str">
        <f>IFERROR(__xludf.DUMMYFUNCTION("IFERROR(GOOGLEFINANCE(A1025,""NAME""),)"),"Oil and Natural Gas Corporation Ltd")</f>
        <v>Oil and Natural Gas Corporation Ltd</v>
      </c>
      <c r="C1025" s="64">
        <f>IFERROR(__xludf.DUMMYFUNCTION("IFERROR(GOOGLEFINANCE(A1025,""CHANGE""),)"),-0.2)</f>
        <v>-0.2</v>
      </c>
      <c r="D1025" s="64">
        <f>IFERROR(__xludf.DUMMYFUNCTION("IFERROR(GOOGLEFINANCE(A1025,""CHANGEPCT""),)"),-0.07)</f>
        <v>-0.07</v>
      </c>
      <c r="E1025" s="64" t="str">
        <f t="shared" si="1"/>
        <v>-0.07%</v>
      </c>
      <c r="F1025" s="64" t="str">
        <f t="shared" si="2"/>
        <v/>
      </c>
      <c r="G1025" s="64">
        <f t="shared" si="3"/>
        <v>-0.07</v>
      </c>
      <c r="H1025" s="64">
        <f>IFERROR(__xludf.DUMMYFUNCTION("IFERROR(GOOGLEFINANCE(A1025,""PRICE""),)"),276.75)</f>
        <v>276.75</v>
      </c>
      <c r="I1025" s="65">
        <f>IFERROR(__xludf.DUMMYFUNCTION("IFERROR(GOOGLEFINANCE(A1025,""VOLUME""),)"),4.0566322E7)</f>
        <v>40566322</v>
      </c>
      <c r="J1025" s="64" t="str">
        <f>IFERROR(__xludf.DUMMYFUNCTION("IFERROR(INDEX(SPLIT(A1025,"":""),1,2),)"),"ONGC")</f>
        <v>ONGC</v>
      </c>
      <c r="K1025" s="64" t="str">
        <f t="shared" si="4"/>
        <v/>
      </c>
      <c r="L1025" s="64">
        <f t="shared" si="5"/>
        <v>19</v>
      </c>
      <c r="M1025" s="64">
        <f t="shared" si="6"/>
        <v>8</v>
      </c>
      <c r="N1025" s="66">
        <f>IFERROR(__xludf.DUMMYFUNCTION("IFERROR(GOOGLEFINANCE(A1025,""TRADETIME""),)"),46086.64583333333)</f>
        <v>46086.64583</v>
      </c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</row>
    <row r="1026">
      <c r="A1026" s="67" t="s">
        <v>1072</v>
      </c>
      <c r="B1026" s="60" t="str">
        <f>IFERROR(__xludf.DUMMYFUNCTION("IFERROR(GOOGLEFINANCE(A1026,""NAME""),)"),"Onmobile Global Ltd")</f>
        <v>Onmobile Global Ltd</v>
      </c>
      <c r="C1026" s="60">
        <f>IFERROR(__xludf.DUMMYFUNCTION("IFERROR(GOOGLEFINANCE(A1026,""CHANGE""),)"),-0.54)</f>
        <v>-0.54</v>
      </c>
      <c r="D1026" s="60">
        <f>IFERROR(__xludf.DUMMYFUNCTION("IFERROR(GOOGLEFINANCE(A1026,""CHANGEPCT""),)"),-1.11)</f>
        <v>-1.11</v>
      </c>
      <c r="E1026" s="60" t="str">
        <f t="shared" si="1"/>
        <v>-1.11%</v>
      </c>
      <c r="F1026" s="60" t="str">
        <f t="shared" si="2"/>
        <v/>
      </c>
      <c r="G1026" s="60">
        <f t="shared" si="3"/>
        <v>-1.11</v>
      </c>
      <c r="H1026" s="60">
        <f>IFERROR(__xludf.DUMMYFUNCTION("IFERROR(GOOGLEFINANCE(A1026,""PRICE""),)"),48.18)</f>
        <v>48.18</v>
      </c>
      <c r="I1026" s="61">
        <f>IFERROR(__xludf.DUMMYFUNCTION("IFERROR(GOOGLEFINANCE(A1026,""VOLUME""),)"),305078.0)</f>
        <v>305078</v>
      </c>
      <c r="J1026" s="60" t="str">
        <f>IFERROR(__xludf.DUMMYFUNCTION("IFERROR(INDEX(SPLIT(A1026,"":""),1,2),)"),"ONMOBILE")</f>
        <v>ONMOBILE</v>
      </c>
      <c r="K1026" s="60" t="str">
        <f t="shared" si="4"/>
        <v/>
      </c>
      <c r="L1026" s="60">
        <f t="shared" si="5"/>
        <v>229</v>
      </c>
      <c r="M1026" s="60">
        <f t="shared" si="6"/>
        <v>502</v>
      </c>
      <c r="N1026" s="62">
        <f>IFERROR(__xludf.DUMMYFUNCTION("IFERROR(GOOGLEFINANCE(A1026,""TRADETIME""),)"),46086.64583333333)</f>
        <v>46086.64583</v>
      </c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</row>
    <row r="1027">
      <c r="A1027" s="68" t="s">
        <v>1073</v>
      </c>
      <c r="B1027" s="64" t="str">
        <f>IFERROR(__xludf.DUMMYFUNCTION("IFERROR(GOOGLEFINANCE(A1027,""NAME""),)"),"Onward Technologies Ltd")</f>
        <v>Onward Technologies Ltd</v>
      </c>
      <c r="C1027" s="64">
        <f>IFERROR(__xludf.DUMMYFUNCTION("IFERROR(GOOGLEFINANCE(A1027,""CHANGE""),)"),-7.9)</f>
        <v>-7.9</v>
      </c>
      <c r="D1027" s="64">
        <f>IFERROR(__xludf.DUMMYFUNCTION("IFERROR(GOOGLEFINANCE(A1027,""CHANGEPCT""),)"),-3.06)</f>
        <v>-3.06</v>
      </c>
      <c r="E1027" s="64" t="str">
        <f t="shared" si="1"/>
        <v>-3.06%</v>
      </c>
      <c r="F1027" s="64" t="str">
        <f t="shared" si="2"/>
        <v/>
      </c>
      <c r="G1027" s="64">
        <f t="shared" si="3"/>
        <v>-3.06</v>
      </c>
      <c r="H1027" s="64">
        <f>IFERROR(__xludf.DUMMYFUNCTION("IFERROR(GOOGLEFINANCE(A1027,""PRICE""),)"),250.5)</f>
        <v>250.5</v>
      </c>
      <c r="I1027" s="65">
        <f>IFERROR(__xludf.DUMMYFUNCTION("IFERROR(GOOGLEFINANCE(A1027,""VOLUME""),)"),72483.0)</f>
        <v>72483</v>
      </c>
      <c r="J1027" s="64" t="str">
        <f>IFERROR(__xludf.DUMMYFUNCTION("IFERROR(INDEX(SPLIT(A1027,"":""),1,2),)"),"ONWARDTEC")</f>
        <v>ONWARDTEC</v>
      </c>
      <c r="K1027" s="64" t="str">
        <f t="shared" si="4"/>
        <v/>
      </c>
      <c r="L1027" s="64">
        <f t="shared" si="5"/>
        <v>409</v>
      </c>
      <c r="M1027" s="64">
        <f t="shared" si="6"/>
        <v>836</v>
      </c>
      <c r="N1027" s="66">
        <f>IFERROR(__xludf.DUMMYFUNCTION("IFERROR(GOOGLEFINANCE(A1027,""TRADETIME""),)"),46086.64583333333)</f>
        <v>46086.64583</v>
      </c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</row>
    <row r="1028">
      <c r="A1028" s="67" t="s">
        <v>1074</v>
      </c>
      <c r="B1028" s="60" t="str">
        <f>IFERROR(__xludf.DUMMYFUNCTION("IFERROR(GOOGLEFINANCE(A1028,""NAME""),)"),"Optiemus Infracom Ltd")</f>
        <v>Optiemus Infracom Ltd</v>
      </c>
      <c r="C1028" s="60">
        <f>IFERROR(__xludf.DUMMYFUNCTION("IFERROR(GOOGLEFINANCE(A1028,""CHANGE""),)"),-4.9)</f>
        <v>-4.9</v>
      </c>
      <c r="D1028" s="60">
        <f>IFERROR(__xludf.DUMMYFUNCTION("IFERROR(GOOGLEFINANCE(A1028,""CHANGEPCT""),)"),-1.29)</f>
        <v>-1.29</v>
      </c>
      <c r="E1028" s="60" t="str">
        <f t="shared" si="1"/>
        <v>-1.29%</v>
      </c>
      <c r="F1028" s="60" t="str">
        <f t="shared" si="2"/>
        <v/>
      </c>
      <c r="G1028" s="60">
        <f t="shared" si="3"/>
        <v>-1.29</v>
      </c>
      <c r="H1028" s="60">
        <f>IFERROR(__xludf.DUMMYFUNCTION("IFERROR(GOOGLEFINANCE(A1028,""PRICE""),)"),373.65)</f>
        <v>373.65</v>
      </c>
      <c r="I1028" s="61">
        <f>IFERROR(__xludf.DUMMYFUNCTION("IFERROR(GOOGLEFINANCE(A1028,""VOLUME""),)"),193361.0)</f>
        <v>193361</v>
      </c>
      <c r="J1028" s="60" t="str">
        <f>IFERROR(__xludf.DUMMYFUNCTION("IFERROR(INDEX(SPLIT(A1028,"":""),1,2),)"),"OPTIEMUS")</f>
        <v>OPTIEMUS</v>
      </c>
      <c r="K1028" s="60" t="str">
        <f t="shared" si="4"/>
        <v/>
      </c>
      <c r="L1028" s="60">
        <f t="shared" si="5"/>
        <v>262</v>
      </c>
      <c r="M1028" s="60">
        <f t="shared" si="6"/>
        <v>617</v>
      </c>
      <c r="N1028" s="62">
        <f>IFERROR(__xludf.DUMMYFUNCTION("IFERROR(GOOGLEFINANCE(A1028,""TRADETIME""),)"),46086.64583333333)</f>
        <v>46086.64583</v>
      </c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</row>
    <row r="1029">
      <c r="A1029" s="63" t="s">
        <v>1075</v>
      </c>
      <c r="B1029" s="64" t="str">
        <f>IFERROR(__xludf.DUMMYFUNCTION("IFERROR(GOOGLEFINANCE(A1029,""NAME""),)"),"Safari Industries (India) Ltd")</f>
        <v>Safari Industries (India) Ltd</v>
      </c>
      <c r="C1029" s="64">
        <f>IFERROR(__xludf.DUMMYFUNCTION("IFERROR(GOOGLEFINANCE(A1029,""CHANGE""),)"),-10.2)</f>
        <v>-10.2</v>
      </c>
      <c r="D1029" s="64">
        <f>IFERROR(__xludf.DUMMYFUNCTION("IFERROR(GOOGLEFINANCE(A1029,""CHANGEPCT""),)"),-0.62)</f>
        <v>-0.62</v>
      </c>
      <c r="E1029" s="64" t="str">
        <f t="shared" si="1"/>
        <v>-0.62%</v>
      </c>
      <c r="F1029" s="64" t="str">
        <f t="shared" si="2"/>
        <v/>
      </c>
      <c r="G1029" s="64">
        <f t="shared" si="3"/>
        <v>-0.62</v>
      </c>
      <c r="H1029" s="64">
        <f>IFERROR(__xludf.DUMMYFUNCTION("IFERROR(GOOGLEFINANCE(A1029,""PRICE""),)"),1648.0)</f>
        <v>1648</v>
      </c>
      <c r="I1029" s="65">
        <f>IFERROR(__xludf.DUMMYFUNCTION("IFERROR(GOOGLEFINANCE(A1029,""VOLUME""),)"),23920.0)</f>
        <v>23920</v>
      </c>
      <c r="J1029" s="64" t="str">
        <f>IFERROR(__xludf.DUMMYFUNCTION("IFERROR(INDEX(SPLIT(A1029,"":""),1,2),)"),"SAFARI")</f>
        <v>SAFARI</v>
      </c>
      <c r="K1029" s="64" t="str">
        <f t="shared" si="4"/>
        <v/>
      </c>
      <c r="L1029" s="64">
        <f t="shared" si="5"/>
        <v>151</v>
      </c>
      <c r="M1029" s="64">
        <f t="shared" si="6"/>
        <v>1110</v>
      </c>
      <c r="N1029" s="66">
        <f>IFERROR(__xludf.DUMMYFUNCTION("IFERROR(GOOGLEFINANCE(A1029,""TRADETIME""),)"),46086.64585648148)</f>
        <v>46086.64586</v>
      </c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</row>
    <row r="1030">
      <c r="A1030" s="67" t="s">
        <v>1076</v>
      </c>
      <c r="B1030" s="60" t="str">
        <f>IFERROR(__xludf.DUMMYFUNCTION("IFERROR(GOOGLEFINANCE(A1030,""NAME""),)"),"Orbit Exports Ltd")</f>
        <v>Orbit Exports Ltd</v>
      </c>
      <c r="C1030" s="60">
        <f>IFERROR(__xludf.DUMMYFUNCTION("IFERROR(GOOGLEFINANCE(A1030,""CHANGE""),)"),2.0)</f>
        <v>2</v>
      </c>
      <c r="D1030" s="60">
        <f>IFERROR(__xludf.DUMMYFUNCTION("IFERROR(GOOGLEFINANCE(A1030,""CHANGEPCT""),)"),1.27)</f>
        <v>1.27</v>
      </c>
      <c r="E1030" s="60" t="str">
        <f t="shared" si="1"/>
        <v>1.27%</v>
      </c>
      <c r="F1030" s="60">
        <f t="shared" si="2"/>
        <v>1.27</v>
      </c>
      <c r="G1030" s="60" t="str">
        <f t="shared" si="3"/>
        <v/>
      </c>
      <c r="H1030" s="60">
        <f>IFERROR(__xludf.DUMMYFUNCTION("IFERROR(GOOGLEFINANCE(A1030,""PRICE""),)"),158.96)</f>
        <v>158.96</v>
      </c>
      <c r="I1030" s="61">
        <f>IFERROR(__xludf.DUMMYFUNCTION("IFERROR(GOOGLEFINANCE(A1030,""VOLUME""),)"),4215.0)</f>
        <v>4215</v>
      </c>
      <c r="J1030" s="60" t="str">
        <f>IFERROR(__xludf.DUMMYFUNCTION("IFERROR(INDEX(SPLIT(A1030,"":""),1,2),)"),"ORBTEXP")</f>
        <v>ORBTEXP</v>
      </c>
      <c r="K1030" s="60">
        <f t="shared" si="4"/>
        <v>650</v>
      </c>
      <c r="L1030" s="60" t="str">
        <f t="shared" si="5"/>
        <v/>
      </c>
      <c r="M1030" s="60">
        <f t="shared" si="6"/>
        <v>1365</v>
      </c>
      <c r="N1030" s="62">
        <f>IFERROR(__xludf.DUMMYFUNCTION("IFERROR(GOOGLEFINANCE(A1030,""TRADETIME""),)"),46086.64583333333)</f>
        <v>46086.64583</v>
      </c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</row>
    <row r="1031">
      <c r="A1031" s="68" t="s">
        <v>1077</v>
      </c>
      <c r="B1031" s="64" t="str">
        <f>IFERROR(__xludf.DUMMYFUNCTION("IFERROR(GOOGLEFINANCE(A1031,""NAME""),)"),"Orchid Pharma Ltd")</f>
        <v>Orchid Pharma Ltd</v>
      </c>
      <c r="C1031" s="64">
        <f>IFERROR(__xludf.DUMMYFUNCTION("IFERROR(GOOGLEFINANCE(A1031,""CHANGE""),)"),-20.25)</f>
        <v>-20.25</v>
      </c>
      <c r="D1031" s="64">
        <f>IFERROR(__xludf.DUMMYFUNCTION("IFERROR(GOOGLEFINANCE(A1031,""CHANGEPCT""),)"),-3.58)</f>
        <v>-3.58</v>
      </c>
      <c r="E1031" s="64" t="str">
        <f t="shared" si="1"/>
        <v>-3.58%</v>
      </c>
      <c r="F1031" s="64" t="str">
        <f t="shared" si="2"/>
        <v/>
      </c>
      <c r="G1031" s="64">
        <f t="shared" si="3"/>
        <v>-3.58</v>
      </c>
      <c r="H1031" s="64">
        <f>IFERROR(__xludf.DUMMYFUNCTION("IFERROR(GOOGLEFINANCE(A1031,""PRICE""),)"),548.5)</f>
        <v>548.5</v>
      </c>
      <c r="I1031" s="65">
        <f>IFERROR(__xludf.DUMMYFUNCTION("IFERROR(GOOGLEFINANCE(A1031,""VOLUME""),)"),194453.0)</f>
        <v>194453</v>
      </c>
      <c r="J1031" s="64" t="str">
        <f>IFERROR(__xludf.DUMMYFUNCTION("IFERROR(INDEX(SPLIT(A1031,"":""),1,2),)"),"ORCHPHARMA")</f>
        <v>ORCHPHARMA</v>
      </c>
      <c r="K1031" s="64" t="str">
        <f t="shared" si="4"/>
        <v/>
      </c>
      <c r="L1031" s="64">
        <f t="shared" si="5"/>
        <v>421</v>
      </c>
      <c r="M1031" s="64">
        <f t="shared" si="6"/>
        <v>615</v>
      </c>
      <c r="N1031" s="66">
        <f>IFERROR(__xludf.DUMMYFUNCTION("IFERROR(GOOGLEFINANCE(A1031,""TRADETIME""),)"),46086.64583333333)</f>
        <v>46086.64583</v>
      </c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</row>
    <row r="1032">
      <c r="A1032" s="67" t="s">
        <v>1078</v>
      </c>
      <c r="B1032" s="60" t="str">
        <f>IFERROR(__xludf.DUMMYFUNCTION("IFERROR(GOOGLEFINANCE(A1032,""NAME""),)"),"Oricon Enterprises Ltd")</f>
        <v>Oricon Enterprises Ltd</v>
      </c>
      <c r="C1032" s="60">
        <f>IFERROR(__xludf.DUMMYFUNCTION("IFERROR(GOOGLEFINANCE(A1032,""CHANGE""),)"),1.07)</f>
        <v>1.07</v>
      </c>
      <c r="D1032" s="60">
        <f>IFERROR(__xludf.DUMMYFUNCTION("IFERROR(GOOGLEFINANCE(A1032,""CHANGEPCT""),)"),1.02)</f>
        <v>1.02</v>
      </c>
      <c r="E1032" s="60" t="str">
        <f t="shared" si="1"/>
        <v>1.02%</v>
      </c>
      <c r="F1032" s="60">
        <f t="shared" si="2"/>
        <v>1.02</v>
      </c>
      <c r="G1032" s="60" t="str">
        <f t="shared" si="3"/>
        <v/>
      </c>
      <c r="H1032" s="60">
        <f>IFERROR(__xludf.DUMMYFUNCTION("IFERROR(GOOGLEFINANCE(A1032,""PRICE""),)"),67.69)</f>
        <v>67.69</v>
      </c>
      <c r="I1032" s="61">
        <f>IFERROR(__xludf.DUMMYFUNCTION("IFERROR(GOOGLEFINANCE(A1032,""VOLUME""),)"),214037.0)</f>
        <v>214037</v>
      </c>
      <c r="J1032" s="60" t="str">
        <f>IFERROR(__xludf.DUMMYFUNCTION("IFERROR(INDEX(SPLIT(A1032,"":""),1,2),)"),"ORICONENT")</f>
        <v>ORICONENT</v>
      </c>
      <c r="K1032" s="60">
        <f t="shared" si="4"/>
        <v>717</v>
      </c>
      <c r="L1032" s="60" t="str">
        <f t="shared" si="5"/>
        <v/>
      </c>
      <c r="M1032" s="60">
        <f t="shared" si="6"/>
        <v>585</v>
      </c>
      <c r="N1032" s="62">
        <f>IFERROR(__xludf.DUMMYFUNCTION("IFERROR(GOOGLEFINANCE(A1032,""TRADETIME""),)"),46086.64583333333)</f>
        <v>46086.64583</v>
      </c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</row>
    <row r="1033">
      <c r="A1033" s="68" t="s">
        <v>1079</v>
      </c>
      <c r="B1033" s="64" t="str">
        <f>IFERROR(__xludf.DUMMYFUNCTION("IFERROR(GOOGLEFINANCE(A1033,""NAME""),)"),"")</f>
        <v/>
      </c>
      <c r="C1033" s="64" t="str">
        <f>IFERROR(__xludf.DUMMYFUNCTION("IFERROR(GOOGLEFINANCE(A1033,""CHANGE""),)"),"")</f>
        <v/>
      </c>
      <c r="D1033" s="64" t="str">
        <f>IFERROR(__xludf.DUMMYFUNCTION("IFERROR(GOOGLEFINANCE(A1033,""CHANGEPCT""),)"),"")</f>
        <v/>
      </c>
      <c r="E1033" s="64" t="str">
        <f t="shared" si="1"/>
        <v>%</v>
      </c>
      <c r="F1033" s="64" t="str">
        <f t="shared" si="2"/>
        <v/>
      </c>
      <c r="G1033" s="64" t="str">
        <f t="shared" si="3"/>
        <v/>
      </c>
      <c r="H1033" s="64" t="str">
        <f>IFERROR(__xludf.DUMMYFUNCTION("IFERROR(GOOGLEFINANCE(A1033,""PRICE""),)"),"")</f>
        <v/>
      </c>
      <c r="I1033" s="65" t="str">
        <f>IFERROR(__xludf.DUMMYFUNCTION("IFERROR(GOOGLEFINANCE(A1033,""VOLUME""),)"),"")</f>
        <v/>
      </c>
      <c r="J1033" s="64" t="str">
        <f>IFERROR(__xludf.DUMMYFUNCTION("IFERROR(INDEX(SPLIT(A1033,"":""),1,2),)"),"ORIENTABRA")</f>
        <v>ORIENTABRA</v>
      </c>
      <c r="K1033" s="64" t="str">
        <f t="shared" si="4"/>
        <v/>
      </c>
      <c r="L1033" s="64" t="str">
        <f t="shared" si="5"/>
        <v/>
      </c>
      <c r="M1033" s="64" t="str">
        <f t="shared" si="6"/>
        <v/>
      </c>
      <c r="N1033" s="66" t="str">
        <f>IFERROR(__xludf.DUMMYFUNCTION("IFERROR(GOOGLEFINANCE(A1033,""TRADETIME""),)"),"")</f>
        <v/>
      </c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</row>
    <row r="1034">
      <c r="A1034" s="67" t="s">
        <v>1080</v>
      </c>
      <c r="B1034" s="60" t="str">
        <f>IFERROR(__xludf.DUMMYFUNCTION("IFERROR(GOOGLEFINANCE(A1034,""NAME""),)"),"Oriental Trimex Ltd")</f>
        <v>Oriental Trimex Ltd</v>
      </c>
      <c r="C1034" s="60">
        <f>IFERROR(__xludf.DUMMYFUNCTION("IFERROR(GOOGLEFINANCE(A1034,""CHANGE""),)"),0.14)</f>
        <v>0.14</v>
      </c>
      <c r="D1034" s="60">
        <f>IFERROR(__xludf.DUMMYFUNCTION("IFERROR(GOOGLEFINANCE(A1034,""CHANGEPCT""),)"),2.27)</f>
        <v>2.27</v>
      </c>
      <c r="E1034" s="60" t="str">
        <f t="shared" si="1"/>
        <v>2.27%</v>
      </c>
      <c r="F1034" s="60">
        <f t="shared" si="2"/>
        <v>2.27</v>
      </c>
      <c r="G1034" s="60" t="str">
        <f t="shared" si="3"/>
        <v/>
      </c>
      <c r="H1034" s="60">
        <f>IFERROR(__xludf.DUMMYFUNCTION("IFERROR(GOOGLEFINANCE(A1034,""PRICE""),)"),6.31)</f>
        <v>6.31</v>
      </c>
      <c r="I1034" s="61">
        <f>IFERROR(__xludf.DUMMYFUNCTION("IFERROR(GOOGLEFINANCE(A1034,""VOLUME""),)"),117799.0)</f>
        <v>117799</v>
      </c>
      <c r="J1034" s="60" t="str">
        <f>IFERROR(__xludf.DUMMYFUNCTION("IFERROR(INDEX(SPLIT(A1034,"":""),1,2),)"),"ORIENTALTL")</f>
        <v>ORIENTALTL</v>
      </c>
      <c r="K1034" s="60">
        <f t="shared" si="4"/>
        <v>383</v>
      </c>
      <c r="L1034" s="60" t="str">
        <f t="shared" si="5"/>
        <v/>
      </c>
      <c r="M1034" s="60">
        <f t="shared" si="6"/>
        <v>729</v>
      </c>
      <c r="N1034" s="62">
        <f>IFERROR(__xludf.DUMMYFUNCTION("IFERROR(GOOGLEFINANCE(A1034,""TRADETIME""),)"),46086.64583333333)</f>
        <v>46086.64583</v>
      </c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</row>
    <row r="1035">
      <c r="A1035" s="68" t="s">
        <v>1081</v>
      </c>
      <c r="B1035" s="64" t="str">
        <f>IFERROR(__xludf.DUMMYFUNCTION("IFERROR(GOOGLEFINANCE(A1035,""NAME""),)"),"Orient Bell Ltd")</f>
        <v>Orient Bell Ltd</v>
      </c>
      <c r="C1035" s="64">
        <f>IFERROR(__xludf.DUMMYFUNCTION("IFERROR(GOOGLEFINANCE(A1035,""CHANGE""),)"),-16.8)</f>
        <v>-16.8</v>
      </c>
      <c r="D1035" s="64">
        <f>IFERROR(__xludf.DUMMYFUNCTION("IFERROR(GOOGLEFINANCE(A1035,""CHANGEPCT""),)"),-5.69)</f>
        <v>-5.69</v>
      </c>
      <c r="E1035" s="64" t="str">
        <f t="shared" si="1"/>
        <v>-5.69%</v>
      </c>
      <c r="F1035" s="64" t="str">
        <f t="shared" si="2"/>
        <v/>
      </c>
      <c r="G1035" s="64">
        <f t="shared" si="3"/>
        <v>-5.69</v>
      </c>
      <c r="H1035" s="64">
        <f>IFERROR(__xludf.DUMMYFUNCTION("IFERROR(GOOGLEFINANCE(A1035,""PRICE""),)"),278.5)</f>
        <v>278.5</v>
      </c>
      <c r="I1035" s="65">
        <f>IFERROR(__xludf.DUMMYFUNCTION("IFERROR(GOOGLEFINANCE(A1035,""VOLUME""),)"),18576.0)</f>
        <v>18576</v>
      </c>
      <c r="J1035" s="64" t="str">
        <f>IFERROR(__xludf.DUMMYFUNCTION("IFERROR(INDEX(SPLIT(A1035,"":""),1,2),)"),"ORIENTBELL")</f>
        <v>ORIENTBELL</v>
      </c>
      <c r="K1035" s="64" t="str">
        <f t="shared" si="4"/>
        <v/>
      </c>
      <c r="L1035" s="64">
        <f t="shared" si="5"/>
        <v>445</v>
      </c>
      <c r="M1035" s="64">
        <f t="shared" si="6"/>
        <v>1162</v>
      </c>
      <c r="N1035" s="66">
        <f>IFERROR(__xludf.DUMMYFUNCTION("IFERROR(GOOGLEFINANCE(A1035,""TRADETIME""),)"),46086.64583333333)</f>
        <v>46086.64583</v>
      </c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</row>
    <row r="1036">
      <c r="A1036" s="67" t="s">
        <v>1082</v>
      </c>
      <c r="B1036" s="60" t="str">
        <f>IFERROR(__xludf.DUMMYFUNCTION("IFERROR(GOOGLEFINANCE(A1036,""NAME""),)"),"Orient Cement Ltd")</f>
        <v>Orient Cement Ltd</v>
      </c>
      <c r="C1036" s="60">
        <f>IFERROR(__xludf.DUMMYFUNCTION("IFERROR(GOOGLEFINANCE(A1036,""CHANGE""),)"),0.28)</f>
        <v>0.28</v>
      </c>
      <c r="D1036" s="60">
        <f>IFERROR(__xludf.DUMMYFUNCTION("IFERROR(GOOGLEFINANCE(A1036,""CHANGEPCT""),)"),0.19)</f>
        <v>0.19</v>
      </c>
      <c r="E1036" s="60" t="str">
        <f t="shared" si="1"/>
        <v>0.19%</v>
      </c>
      <c r="F1036" s="60">
        <f t="shared" si="2"/>
        <v>0.19</v>
      </c>
      <c r="G1036" s="60" t="str">
        <f t="shared" si="3"/>
        <v/>
      </c>
      <c r="H1036" s="60">
        <f>IFERROR(__xludf.DUMMYFUNCTION("IFERROR(GOOGLEFINANCE(A1036,""PRICE""),)"),148.03)</f>
        <v>148.03</v>
      </c>
      <c r="I1036" s="61">
        <f>IFERROR(__xludf.DUMMYFUNCTION("IFERROR(GOOGLEFINANCE(A1036,""VOLUME""),)"),613865.0)</f>
        <v>613865</v>
      </c>
      <c r="J1036" s="60" t="str">
        <f>IFERROR(__xludf.DUMMYFUNCTION("IFERROR(INDEX(SPLIT(A1036,"":""),1,2),)"),"ORIENTCEM")</f>
        <v>ORIENTCEM</v>
      </c>
      <c r="K1036" s="60">
        <f t="shared" si="4"/>
        <v>954</v>
      </c>
      <c r="L1036" s="60" t="str">
        <f t="shared" si="5"/>
        <v/>
      </c>
      <c r="M1036" s="60">
        <f t="shared" si="6"/>
        <v>360</v>
      </c>
      <c r="N1036" s="62">
        <f>IFERROR(__xludf.DUMMYFUNCTION("IFERROR(GOOGLEFINANCE(A1036,""TRADETIME""),)"),46086.64136574074)</f>
        <v>46086.64137</v>
      </c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</row>
    <row r="1037">
      <c r="A1037" s="68" t="s">
        <v>1083</v>
      </c>
      <c r="B1037" s="64" t="str">
        <f>IFERROR(__xludf.DUMMYFUNCTION("IFERROR(GOOGLEFINANCE(A1037,""NAME""),)"),"Orient Electric Ltd")</f>
        <v>Orient Electric Ltd</v>
      </c>
      <c r="C1037" s="64">
        <f>IFERROR(__xludf.DUMMYFUNCTION("IFERROR(GOOGLEFINANCE(A1037,""CHANGE""),)"),-3.57)</f>
        <v>-3.57</v>
      </c>
      <c r="D1037" s="64">
        <f>IFERROR(__xludf.DUMMYFUNCTION("IFERROR(GOOGLEFINANCE(A1037,""CHANGEPCT""),)"),-1.13)</f>
        <v>-1.13</v>
      </c>
      <c r="E1037" s="64" t="str">
        <f t="shared" si="1"/>
        <v>-1.13%</v>
      </c>
      <c r="F1037" s="64" t="str">
        <f t="shared" si="2"/>
        <v/>
      </c>
      <c r="G1037" s="64">
        <f t="shared" si="3"/>
        <v>-1.13</v>
      </c>
      <c r="H1037" s="64">
        <f>IFERROR(__xludf.DUMMYFUNCTION("IFERROR(GOOGLEFINANCE(A1037,""PRICE""),)"),188.0)</f>
        <v>188</v>
      </c>
      <c r="I1037" s="65">
        <f>IFERROR(__xludf.DUMMYFUNCTION("IFERROR(GOOGLEFINANCE(A1037,""VOLUME""),)"),156859.0)</f>
        <v>156859</v>
      </c>
      <c r="J1037" s="64" t="str">
        <f>IFERROR(__xludf.DUMMYFUNCTION("IFERROR(INDEX(SPLIT(A1037,"":""),1,2),)"),"ORIENTELEC")</f>
        <v>ORIENTELEC</v>
      </c>
      <c r="K1037" s="64" t="str">
        <f t="shared" si="4"/>
        <v/>
      </c>
      <c r="L1037" s="64">
        <f t="shared" si="5"/>
        <v>234</v>
      </c>
      <c r="M1037" s="64">
        <f t="shared" si="6"/>
        <v>665</v>
      </c>
      <c r="N1037" s="66">
        <f>IFERROR(__xludf.DUMMYFUNCTION("IFERROR(GOOGLEFINANCE(A1037,""TRADETIME""),)"),46086.64583333333)</f>
        <v>46086.64583</v>
      </c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</row>
    <row r="1038">
      <c r="A1038" s="67" t="s">
        <v>1084</v>
      </c>
      <c r="B1038" s="60" t="str">
        <f>IFERROR(__xludf.DUMMYFUNCTION("IFERROR(GOOGLEFINANCE(A1038,""NAME""),)"),"Oriental Hotels Ltd")</f>
        <v>Oriental Hotels Ltd</v>
      </c>
      <c r="C1038" s="60">
        <f>IFERROR(__xludf.DUMMYFUNCTION("IFERROR(GOOGLEFINANCE(A1038,""CHANGE""),)"),-2.34)</f>
        <v>-2.34</v>
      </c>
      <c r="D1038" s="60">
        <f>IFERROR(__xludf.DUMMYFUNCTION("IFERROR(GOOGLEFINANCE(A1038,""CHANGEPCT""),)"),-2.47)</f>
        <v>-2.47</v>
      </c>
      <c r="E1038" s="60" t="str">
        <f t="shared" si="1"/>
        <v>-2.47%</v>
      </c>
      <c r="F1038" s="60" t="str">
        <f t="shared" si="2"/>
        <v/>
      </c>
      <c r="G1038" s="60">
        <f t="shared" si="3"/>
        <v>-2.47</v>
      </c>
      <c r="H1038" s="60">
        <f>IFERROR(__xludf.DUMMYFUNCTION("IFERROR(GOOGLEFINANCE(A1038,""PRICE""),)"),92.21)</f>
        <v>92.21</v>
      </c>
      <c r="I1038" s="61">
        <f>IFERROR(__xludf.DUMMYFUNCTION("IFERROR(GOOGLEFINANCE(A1038,""VOLUME""),)"),235833.0)</f>
        <v>235833</v>
      </c>
      <c r="J1038" s="60" t="str">
        <f>IFERROR(__xludf.DUMMYFUNCTION("IFERROR(INDEX(SPLIT(A1038,"":""),1,2),)"),"ORIENTHOT")</f>
        <v>ORIENTHOT</v>
      </c>
      <c r="K1038" s="60" t="str">
        <f t="shared" si="4"/>
        <v/>
      </c>
      <c r="L1038" s="60">
        <f t="shared" si="5"/>
        <v>388</v>
      </c>
      <c r="M1038" s="60">
        <f t="shared" si="6"/>
        <v>570</v>
      </c>
      <c r="N1038" s="62">
        <f>IFERROR(__xludf.DUMMYFUNCTION("IFERROR(GOOGLEFINANCE(A1038,""TRADETIME""),)"),46086.64583333333)</f>
        <v>46086.64583</v>
      </c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</row>
    <row r="1039">
      <c r="A1039" s="68" t="s">
        <v>1085</v>
      </c>
      <c r="B1039" s="64" t="str">
        <f>IFERROR(__xludf.DUMMYFUNCTION("IFERROR(GOOGLEFINANCE(A1039,""NAME""),)"),"Orient Press Ltd")</f>
        <v>Orient Press Ltd</v>
      </c>
      <c r="C1039" s="64">
        <f>IFERROR(__xludf.DUMMYFUNCTION("IFERROR(GOOGLEFINANCE(A1039,""CHANGE""),)"),4.43)</f>
        <v>4.43</v>
      </c>
      <c r="D1039" s="64">
        <f>IFERROR(__xludf.DUMMYFUNCTION("IFERROR(GOOGLEFINANCE(A1039,""CHANGEPCT""),)"),7.07)</f>
        <v>7.07</v>
      </c>
      <c r="E1039" s="64" t="str">
        <f t="shared" si="1"/>
        <v>7.07%</v>
      </c>
      <c r="F1039" s="64">
        <f t="shared" si="2"/>
        <v>7.07</v>
      </c>
      <c r="G1039" s="64" t="str">
        <f t="shared" si="3"/>
        <v/>
      </c>
      <c r="H1039" s="64">
        <f>IFERROR(__xludf.DUMMYFUNCTION("IFERROR(GOOGLEFINANCE(A1039,""PRICE""),)"),67.0)</f>
        <v>67</v>
      </c>
      <c r="I1039" s="65">
        <f>IFERROR(__xludf.DUMMYFUNCTION("IFERROR(GOOGLEFINANCE(A1039,""VOLUME""),)"),9002.0)</f>
        <v>9002</v>
      </c>
      <c r="J1039" s="64" t="str">
        <f>IFERROR(__xludf.DUMMYFUNCTION("IFERROR(INDEX(SPLIT(A1039,"":""),1,2),)"),"ORIENTLTD")</f>
        <v>ORIENTLTD</v>
      </c>
      <c r="K1039" s="64">
        <f t="shared" si="4"/>
        <v>27</v>
      </c>
      <c r="L1039" s="64" t="str">
        <f t="shared" si="5"/>
        <v/>
      </c>
      <c r="M1039" s="64">
        <f t="shared" si="6"/>
        <v>1276</v>
      </c>
      <c r="N1039" s="66">
        <f>IFERROR(__xludf.DUMMYFUNCTION("IFERROR(GOOGLEFINANCE(A1039,""TRADETIME""),)"),46086.64583333333)</f>
        <v>46086.64583</v>
      </c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</row>
    <row r="1040">
      <c r="A1040" s="67" t="s">
        <v>1086</v>
      </c>
      <c r="B1040" s="60" t="str">
        <f>IFERROR(__xludf.DUMMYFUNCTION("IFERROR(GOOGLEFINANCE(A1040,""NAME""),)"),"Orient Paper and Industries Ltd")</f>
        <v>Orient Paper and Industries Ltd</v>
      </c>
      <c r="C1040" s="60">
        <f>IFERROR(__xludf.DUMMYFUNCTION("IFERROR(GOOGLEFINANCE(A1040,""CHANGE""),)"),0.02)</f>
        <v>0.02</v>
      </c>
      <c r="D1040" s="60">
        <f>IFERROR(__xludf.DUMMYFUNCTION("IFERROR(GOOGLEFINANCE(A1040,""CHANGEPCT""),)"),0.11)</f>
        <v>0.11</v>
      </c>
      <c r="E1040" s="60" t="str">
        <f t="shared" si="1"/>
        <v>0.11%</v>
      </c>
      <c r="F1040" s="60">
        <f t="shared" si="2"/>
        <v>0.11</v>
      </c>
      <c r="G1040" s="60" t="str">
        <f t="shared" si="3"/>
        <v/>
      </c>
      <c r="H1040" s="60">
        <f>IFERROR(__xludf.DUMMYFUNCTION("IFERROR(GOOGLEFINANCE(A1040,""PRICE""),)"),17.93)</f>
        <v>17.93</v>
      </c>
      <c r="I1040" s="61">
        <f>IFERROR(__xludf.DUMMYFUNCTION("IFERROR(GOOGLEFINANCE(A1040,""VOLUME""),)"),430683.0)</f>
        <v>430683</v>
      </c>
      <c r="J1040" s="60" t="str">
        <f>IFERROR(__xludf.DUMMYFUNCTION("IFERROR(INDEX(SPLIT(A1040,"":""),1,2),)"),"ORIENTPPR")</f>
        <v>ORIENTPPR</v>
      </c>
      <c r="K1040" s="60">
        <f t="shared" si="4"/>
        <v>974</v>
      </c>
      <c r="L1040" s="60" t="str">
        <f t="shared" si="5"/>
        <v/>
      </c>
      <c r="M1040" s="60">
        <f t="shared" si="6"/>
        <v>428</v>
      </c>
      <c r="N1040" s="62">
        <f>IFERROR(__xludf.DUMMYFUNCTION("IFERROR(GOOGLEFINANCE(A1040,""TRADETIME""),)"),46086.64583333333)</f>
        <v>46086.64583</v>
      </c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</row>
    <row r="1041">
      <c r="A1041" s="68" t="s">
        <v>1087</v>
      </c>
      <c r="B1041" s="64" t="str">
        <f>IFERROR(__xludf.DUMMYFUNCTION("IFERROR(GOOGLEFINANCE(A1041,""NAME""),)"),"RHI Magnesita India Ltd")</f>
        <v>RHI Magnesita India Ltd</v>
      </c>
      <c r="C1041" s="64">
        <f>IFERROR(__xludf.DUMMYFUNCTION("IFERROR(GOOGLEFINANCE(A1041,""CHANGE""),)"),-1.75)</f>
        <v>-1.75</v>
      </c>
      <c r="D1041" s="64">
        <f>IFERROR(__xludf.DUMMYFUNCTION("IFERROR(GOOGLEFINANCE(A1041,""CHANGEPCT""),)"),-0.44)</f>
        <v>-0.44</v>
      </c>
      <c r="E1041" s="64" t="str">
        <f t="shared" si="1"/>
        <v>-0.44%</v>
      </c>
      <c r="F1041" s="64" t="str">
        <f t="shared" si="2"/>
        <v/>
      </c>
      <c r="G1041" s="64">
        <f t="shared" si="3"/>
        <v>-0.44</v>
      </c>
      <c r="H1041" s="64">
        <f>IFERROR(__xludf.DUMMYFUNCTION("IFERROR(GOOGLEFINANCE(A1041,""PRICE""),)"),397.85)</f>
        <v>397.85</v>
      </c>
      <c r="I1041" s="65">
        <f>IFERROR(__xludf.DUMMYFUNCTION("IFERROR(GOOGLEFINANCE(A1041,""VOLUME""),)"),182081.0)</f>
        <v>182081</v>
      </c>
      <c r="J1041" s="64" t="str">
        <f>IFERROR(__xludf.DUMMYFUNCTION("IFERROR(INDEX(SPLIT(A1041,"":""),1,2),)"),"RHIM")</f>
        <v>RHIM</v>
      </c>
      <c r="K1041" s="64" t="str">
        <f t="shared" si="4"/>
        <v/>
      </c>
      <c r="L1041" s="64">
        <f t="shared" si="5"/>
        <v>108</v>
      </c>
      <c r="M1041" s="64">
        <f t="shared" si="6"/>
        <v>627</v>
      </c>
      <c r="N1041" s="66">
        <f>IFERROR(__xludf.DUMMYFUNCTION("IFERROR(GOOGLEFINANCE(A1041,""TRADETIME""),)"),46086.6396875)</f>
        <v>46086.63969</v>
      </c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</row>
    <row r="1042">
      <c r="A1042" s="67" t="s">
        <v>1088</v>
      </c>
      <c r="B1042" s="60" t="str">
        <f>IFERROR(__xludf.DUMMYFUNCTION("IFERROR(GOOGLEFINANCE(A1042,""NAME""),)"),"Orissa Minerals Development Company Ltd")</f>
        <v>Orissa Minerals Development Company Ltd</v>
      </c>
      <c r="C1042" s="60">
        <f>IFERROR(__xludf.DUMMYFUNCTION("IFERROR(GOOGLEFINANCE(A1042,""CHANGE""),)"),-38.2)</f>
        <v>-38.2</v>
      </c>
      <c r="D1042" s="60">
        <f>IFERROR(__xludf.DUMMYFUNCTION("IFERROR(GOOGLEFINANCE(A1042,""CHANGEPCT""),)"),-0.98)</f>
        <v>-0.98</v>
      </c>
      <c r="E1042" s="60" t="str">
        <f t="shared" si="1"/>
        <v>-0.98%</v>
      </c>
      <c r="F1042" s="60" t="str">
        <f t="shared" si="2"/>
        <v/>
      </c>
      <c r="G1042" s="60">
        <f t="shared" si="3"/>
        <v>-0.98</v>
      </c>
      <c r="H1042" s="60">
        <f>IFERROR(__xludf.DUMMYFUNCTION("IFERROR(GOOGLEFINANCE(A1042,""PRICE""),)"),3850.0)</f>
        <v>3850</v>
      </c>
      <c r="I1042" s="61">
        <f>IFERROR(__xludf.DUMMYFUNCTION("IFERROR(GOOGLEFINANCE(A1042,""VOLUME""),)"),6283.0)</f>
        <v>6283</v>
      </c>
      <c r="J1042" s="60" t="str">
        <f>IFERROR(__xludf.DUMMYFUNCTION("IFERROR(INDEX(SPLIT(A1042,"":""),1,2),)"),"ORISSAMINE")</f>
        <v>ORISSAMINE</v>
      </c>
      <c r="K1042" s="60" t="str">
        <f t="shared" si="4"/>
        <v/>
      </c>
      <c r="L1042" s="60">
        <f t="shared" si="5"/>
        <v>215</v>
      </c>
      <c r="M1042" s="60">
        <f t="shared" si="6"/>
        <v>1320</v>
      </c>
      <c r="N1042" s="62">
        <f>IFERROR(__xludf.DUMMYFUNCTION("IFERROR(GOOGLEFINANCE(A1042,""TRADETIME""),)"),46086.64583333333)</f>
        <v>46086.64583</v>
      </c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</row>
    <row r="1043">
      <c r="A1043" s="68" t="s">
        <v>1089</v>
      </c>
      <c r="B1043" s="64" t="str">
        <f>IFERROR(__xludf.DUMMYFUNCTION("IFERROR(GOOGLEFINANCE(A1043,""NAME""),)"),"Ortel Communications Ltd")</f>
        <v>Ortel Communications Ltd</v>
      </c>
      <c r="C1043" s="64">
        <f>IFERROR(__xludf.DUMMYFUNCTION("IFERROR(GOOGLEFINANCE(A1043,""CHANGE""),)"),0.06)</f>
        <v>0.06</v>
      </c>
      <c r="D1043" s="64">
        <f>IFERROR(__xludf.DUMMYFUNCTION("IFERROR(GOOGLEFINANCE(A1043,""CHANGEPCT""),)"),4.0)</f>
        <v>4</v>
      </c>
      <c r="E1043" s="64" t="str">
        <f t="shared" si="1"/>
        <v>4%</v>
      </c>
      <c r="F1043" s="64">
        <f t="shared" si="2"/>
        <v>4</v>
      </c>
      <c r="G1043" s="64" t="str">
        <f t="shared" si="3"/>
        <v/>
      </c>
      <c r="H1043" s="64">
        <f>IFERROR(__xludf.DUMMYFUNCTION("IFERROR(GOOGLEFINANCE(A1043,""PRICE""),)"),1.56)</f>
        <v>1.56</v>
      </c>
      <c r="I1043" s="65">
        <f>IFERROR(__xludf.DUMMYFUNCTION("IFERROR(GOOGLEFINANCE(A1043,""VOLUME""),)"),22790.0)</f>
        <v>22790</v>
      </c>
      <c r="J1043" s="64" t="str">
        <f>IFERROR(__xludf.DUMMYFUNCTION("IFERROR(INDEX(SPLIT(A1043,"":""),1,2),)"),"ORTEL")</f>
        <v>ORTEL</v>
      </c>
      <c r="K1043" s="64">
        <f t="shared" si="4"/>
        <v>141</v>
      </c>
      <c r="L1043" s="64" t="str">
        <f t="shared" si="5"/>
        <v/>
      </c>
      <c r="M1043" s="64">
        <f t="shared" si="6"/>
        <v>1118</v>
      </c>
      <c r="N1043" s="66">
        <f>IFERROR(__xludf.DUMMYFUNCTION("IFERROR(GOOGLEFINANCE(A1043,""TRADETIME""),)"),46086.64583333333)</f>
        <v>46086.64583</v>
      </c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</row>
    <row r="1044">
      <c r="A1044" s="67" t="s">
        <v>1090</v>
      </c>
      <c r="B1044" s="60" t="str">
        <f>IFERROR(__xludf.DUMMYFUNCTION("IFERROR(GOOGLEFINANCE(A1044,""NAME""),)"),"Oswal Agro Mills Ltd")</f>
        <v>Oswal Agro Mills Ltd</v>
      </c>
      <c r="C1044" s="60">
        <f>IFERROR(__xludf.DUMMYFUNCTION("IFERROR(GOOGLEFINANCE(A1044,""CHANGE""),)"),1.12)</f>
        <v>1.12</v>
      </c>
      <c r="D1044" s="60">
        <f>IFERROR(__xludf.DUMMYFUNCTION("IFERROR(GOOGLEFINANCE(A1044,""CHANGEPCT""),)"),2.58)</f>
        <v>2.58</v>
      </c>
      <c r="E1044" s="60" t="str">
        <f t="shared" si="1"/>
        <v>2.58%</v>
      </c>
      <c r="F1044" s="60">
        <f t="shared" si="2"/>
        <v>2.58</v>
      </c>
      <c r="G1044" s="60" t="str">
        <f t="shared" si="3"/>
        <v/>
      </c>
      <c r="H1044" s="60">
        <f>IFERROR(__xludf.DUMMYFUNCTION("IFERROR(GOOGLEFINANCE(A1044,""PRICE""),)"),44.1)</f>
        <v>44.1</v>
      </c>
      <c r="I1044" s="61">
        <f>IFERROR(__xludf.DUMMYFUNCTION("IFERROR(GOOGLEFINANCE(A1044,""VOLUME""),)"),53544.0)</f>
        <v>53544</v>
      </c>
      <c r="J1044" s="60" t="str">
        <f>IFERROR(__xludf.DUMMYFUNCTION("IFERROR(INDEX(SPLIT(A1044,"":""),1,2),)"),"OSWALAGRO")</f>
        <v>OSWALAGRO</v>
      </c>
      <c r="K1044" s="60">
        <f t="shared" si="4"/>
        <v>327</v>
      </c>
      <c r="L1044" s="60" t="str">
        <f t="shared" si="5"/>
        <v/>
      </c>
      <c r="M1044" s="60">
        <f t="shared" si="6"/>
        <v>912</v>
      </c>
      <c r="N1044" s="62">
        <f>IFERROR(__xludf.DUMMYFUNCTION("IFERROR(GOOGLEFINANCE(A1044,""TRADETIME""),)"),46086.64583333333)</f>
        <v>46086.64583</v>
      </c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</row>
    <row r="1045">
      <c r="A1045" s="68" t="s">
        <v>1091</v>
      </c>
      <c r="B1045" s="64" t="str">
        <f>IFERROR(__xludf.DUMMYFUNCTION("IFERROR(GOOGLEFINANCE(A1045,""NAME""),)"),"Page Industries Ltd")</f>
        <v>Page Industries Ltd</v>
      </c>
      <c r="C1045" s="64">
        <f>IFERROR(__xludf.DUMMYFUNCTION("IFERROR(GOOGLEFINANCE(A1045,""CHANGE""),)"),505.0)</f>
        <v>505</v>
      </c>
      <c r="D1045" s="64">
        <f>IFERROR(__xludf.DUMMYFUNCTION("IFERROR(GOOGLEFINANCE(A1045,""CHANGEPCT""),)"),1.63)</f>
        <v>1.63</v>
      </c>
      <c r="E1045" s="64" t="str">
        <f t="shared" si="1"/>
        <v>1.63%</v>
      </c>
      <c r="F1045" s="64">
        <f t="shared" si="2"/>
        <v>1.63</v>
      </c>
      <c r="G1045" s="64" t="str">
        <f t="shared" si="3"/>
        <v/>
      </c>
      <c r="H1045" s="64">
        <f>IFERROR(__xludf.DUMMYFUNCTION("IFERROR(GOOGLEFINANCE(A1045,""PRICE""),)"),31485.0)</f>
        <v>31485</v>
      </c>
      <c r="I1045" s="65">
        <f>IFERROR(__xludf.DUMMYFUNCTION("IFERROR(GOOGLEFINANCE(A1045,""VOLUME""),)"),31871.0)</f>
        <v>31871</v>
      </c>
      <c r="J1045" s="64" t="str">
        <f>IFERROR(__xludf.DUMMYFUNCTION("IFERROR(INDEX(SPLIT(A1045,"":""),1,2),)"),"PAGEIND")</f>
        <v>PAGEIND</v>
      </c>
      <c r="K1045" s="64">
        <f t="shared" si="4"/>
        <v>535</v>
      </c>
      <c r="L1045" s="64" t="str">
        <f t="shared" si="5"/>
        <v/>
      </c>
      <c r="M1045" s="64">
        <f t="shared" si="6"/>
        <v>1043</v>
      </c>
      <c r="N1045" s="66">
        <f>IFERROR(__xludf.DUMMYFUNCTION("IFERROR(GOOGLEFINANCE(A1045,""TRADETIME""),)"),46086.643912037034)</f>
        <v>46086.64391</v>
      </c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</row>
    <row r="1046">
      <c r="A1046" s="67" t="s">
        <v>1092</v>
      </c>
      <c r="B1046" s="60" t="str">
        <f>IFERROR(__xludf.DUMMYFUNCTION("IFERROR(GOOGLEFINANCE(A1046,""NAME""),)"),"Paisalo Digital Ltd")</f>
        <v>Paisalo Digital Ltd</v>
      </c>
      <c r="C1046" s="60">
        <f>IFERROR(__xludf.DUMMYFUNCTION("IFERROR(GOOGLEFINANCE(A1046,""CHANGE""),)"),-0.63)</f>
        <v>-0.63</v>
      </c>
      <c r="D1046" s="60">
        <f>IFERROR(__xludf.DUMMYFUNCTION("IFERROR(GOOGLEFINANCE(A1046,""CHANGEPCT""),)"),-1.82)</f>
        <v>-1.82</v>
      </c>
      <c r="E1046" s="60" t="str">
        <f t="shared" si="1"/>
        <v>-1.82%</v>
      </c>
      <c r="F1046" s="60" t="str">
        <f t="shared" si="2"/>
        <v/>
      </c>
      <c r="G1046" s="60">
        <f t="shared" si="3"/>
        <v>-1.82</v>
      </c>
      <c r="H1046" s="60">
        <f>IFERROR(__xludf.DUMMYFUNCTION("IFERROR(GOOGLEFINANCE(A1046,""PRICE""),)"),33.95)</f>
        <v>33.95</v>
      </c>
      <c r="I1046" s="61">
        <f>IFERROR(__xludf.DUMMYFUNCTION("IFERROR(GOOGLEFINANCE(A1046,""VOLUME""),)"),2104732.0)</f>
        <v>2104732</v>
      </c>
      <c r="J1046" s="60" t="str">
        <f>IFERROR(__xludf.DUMMYFUNCTION("IFERROR(INDEX(SPLIT(A1046,"":""),1,2),)"),"PAISALO")</f>
        <v>PAISALO</v>
      </c>
      <c r="K1046" s="60" t="str">
        <f t="shared" si="4"/>
        <v/>
      </c>
      <c r="L1046" s="60">
        <f t="shared" si="5"/>
        <v>328</v>
      </c>
      <c r="M1046" s="60">
        <f t="shared" si="6"/>
        <v>190</v>
      </c>
      <c r="N1046" s="62">
        <f>IFERROR(__xludf.DUMMYFUNCTION("IFERROR(GOOGLEFINANCE(A1046,""TRADETIME""),)"),46086.63984953704)</f>
        <v>46086.63985</v>
      </c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</row>
    <row r="1047">
      <c r="A1047" s="68" t="s">
        <v>1093</v>
      </c>
      <c r="B1047" s="64" t="str">
        <f>IFERROR(__xludf.DUMMYFUNCTION("IFERROR(GOOGLEFINANCE(A1047,""NAME""),)"),"Palash Securities Ltd")</f>
        <v>Palash Securities Ltd</v>
      </c>
      <c r="C1047" s="64">
        <f>IFERROR(__xludf.DUMMYFUNCTION("IFERROR(GOOGLEFINANCE(A1047,""CHANGE""),)"),-1.76)</f>
        <v>-1.76</v>
      </c>
      <c r="D1047" s="64">
        <f>IFERROR(__xludf.DUMMYFUNCTION("IFERROR(GOOGLEFINANCE(A1047,""CHANGEPCT""),)"),-1.93)</f>
        <v>-1.93</v>
      </c>
      <c r="E1047" s="64" t="str">
        <f t="shared" si="1"/>
        <v>-1.93%</v>
      </c>
      <c r="F1047" s="64" t="str">
        <f t="shared" si="2"/>
        <v/>
      </c>
      <c r="G1047" s="64">
        <f t="shared" si="3"/>
        <v>-1.93</v>
      </c>
      <c r="H1047" s="64">
        <f>IFERROR(__xludf.DUMMYFUNCTION("IFERROR(GOOGLEFINANCE(A1047,""PRICE""),)"),89.2)</f>
        <v>89.2</v>
      </c>
      <c r="I1047" s="65">
        <f>IFERROR(__xludf.DUMMYFUNCTION("IFERROR(GOOGLEFINANCE(A1047,""VOLUME""),)"),788.0)</f>
        <v>788</v>
      </c>
      <c r="J1047" s="64" t="str">
        <f>IFERROR(__xludf.DUMMYFUNCTION("IFERROR(INDEX(SPLIT(A1047,"":""),1,2),)"),"PALASHSECU")</f>
        <v>PALASHSECU</v>
      </c>
      <c r="K1047" s="64" t="str">
        <f t="shared" si="4"/>
        <v/>
      </c>
      <c r="L1047" s="64">
        <f t="shared" si="5"/>
        <v>342</v>
      </c>
      <c r="M1047" s="64">
        <f t="shared" si="6"/>
        <v>1435</v>
      </c>
      <c r="N1047" s="66">
        <f>IFERROR(__xludf.DUMMYFUNCTION("IFERROR(GOOGLEFINANCE(A1047,""TRADETIME""),)"),46086.64583333333)</f>
        <v>46086.64583</v>
      </c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</row>
    <row r="1048">
      <c r="A1048" s="67" t="s">
        <v>1094</v>
      </c>
      <c r="B1048" s="60" t="str">
        <f>IFERROR(__xludf.DUMMYFUNCTION("IFERROR(GOOGLEFINANCE(A1048,""NAME""),)"),"Palred Technologies Ltd")</f>
        <v>Palred Technologies Ltd</v>
      </c>
      <c r="C1048" s="60">
        <f>IFERROR(__xludf.DUMMYFUNCTION("IFERROR(GOOGLEFINANCE(A1048,""CHANGE""),)"),-0.7)</f>
        <v>-0.7</v>
      </c>
      <c r="D1048" s="60">
        <f>IFERROR(__xludf.DUMMYFUNCTION("IFERROR(GOOGLEFINANCE(A1048,""CHANGEPCT""),)"),-2.3)</f>
        <v>-2.3</v>
      </c>
      <c r="E1048" s="60" t="str">
        <f t="shared" si="1"/>
        <v>-2.3%</v>
      </c>
      <c r="F1048" s="60" t="str">
        <f t="shared" si="2"/>
        <v/>
      </c>
      <c r="G1048" s="60">
        <f t="shared" si="3"/>
        <v>-2.3</v>
      </c>
      <c r="H1048" s="60">
        <f>IFERROR(__xludf.DUMMYFUNCTION("IFERROR(GOOGLEFINANCE(A1048,""PRICE""),)"),29.7)</f>
        <v>29.7</v>
      </c>
      <c r="I1048" s="61">
        <f>IFERROR(__xludf.DUMMYFUNCTION("IFERROR(GOOGLEFINANCE(A1048,""VOLUME""),)"),6561.0)</f>
        <v>6561</v>
      </c>
      <c r="J1048" s="60" t="str">
        <f>IFERROR(__xludf.DUMMYFUNCTION("IFERROR(INDEX(SPLIT(A1048,"":""),1,2),)"),"PALREDTEC")</f>
        <v>PALREDTEC</v>
      </c>
      <c r="K1048" s="60" t="str">
        <f t="shared" si="4"/>
        <v/>
      </c>
      <c r="L1048" s="60">
        <f t="shared" si="5"/>
        <v>375</v>
      </c>
      <c r="M1048" s="60">
        <f t="shared" si="6"/>
        <v>1316</v>
      </c>
      <c r="N1048" s="62">
        <f>IFERROR(__xludf.DUMMYFUNCTION("IFERROR(GOOGLEFINANCE(A1048,""TRADETIME""),)"),46086.64583333333)</f>
        <v>46086.64583</v>
      </c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</row>
    <row r="1049">
      <c r="A1049" s="68" t="s">
        <v>1095</v>
      </c>
      <c r="B1049" s="64" t="str">
        <f>IFERROR(__xludf.DUMMYFUNCTION("IFERROR(GOOGLEFINANCE(A1049,""NAME""),)"),"Panacea Biotec Ltd")</f>
        <v>Panacea Biotec Ltd</v>
      </c>
      <c r="C1049" s="64">
        <f>IFERROR(__xludf.DUMMYFUNCTION("IFERROR(GOOGLEFINANCE(A1049,""CHANGE""),)"),1.6)</f>
        <v>1.6</v>
      </c>
      <c r="D1049" s="64">
        <f>IFERROR(__xludf.DUMMYFUNCTION("IFERROR(GOOGLEFINANCE(A1049,""CHANGEPCT""),)"),0.34)</f>
        <v>0.34</v>
      </c>
      <c r="E1049" s="64" t="str">
        <f t="shared" si="1"/>
        <v>0.34%</v>
      </c>
      <c r="F1049" s="64">
        <f t="shared" si="2"/>
        <v>0.34</v>
      </c>
      <c r="G1049" s="64" t="str">
        <f t="shared" si="3"/>
        <v/>
      </c>
      <c r="H1049" s="64">
        <f>IFERROR(__xludf.DUMMYFUNCTION("IFERROR(GOOGLEFINANCE(A1049,""PRICE""),)"),322.0)</f>
        <v>322</v>
      </c>
      <c r="I1049" s="65">
        <f>IFERROR(__xludf.DUMMYFUNCTION("IFERROR(GOOGLEFINANCE(A1049,""VOLUME""),)"),87133.0)</f>
        <v>87133</v>
      </c>
      <c r="J1049" s="64" t="str">
        <f>IFERROR(__xludf.DUMMYFUNCTION("IFERROR(INDEX(SPLIT(A1049,"":""),1,2),)"),"PANACEABIO")</f>
        <v>PANACEABIO</v>
      </c>
      <c r="K1049" s="64">
        <f t="shared" si="4"/>
        <v>918</v>
      </c>
      <c r="L1049" s="64" t="str">
        <f t="shared" si="5"/>
        <v/>
      </c>
      <c r="M1049" s="64">
        <f t="shared" si="6"/>
        <v>790</v>
      </c>
      <c r="N1049" s="66">
        <f>IFERROR(__xludf.DUMMYFUNCTION("IFERROR(GOOGLEFINANCE(A1049,""TRADETIME""),)"),46086.64583333333)</f>
        <v>46086.64583</v>
      </c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</row>
    <row r="1050">
      <c r="A1050" s="67" t="s">
        <v>1096</v>
      </c>
      <c r="B1050" s="60" t="str">
        <f>IFERROR(__xludf.DUMMYFUNCTION("IFERROR(GOOGLEFINANCE(A1050,""NAME""),)"),"Panache Digilife Ltd")</f>
        <v>Panache Digilife Ltd</v>
      </c>
      <c r="C1050" s="60">
        <f>IFERROR(__xludf.DUMMYFUNCTION("IFERROR(GOOGLEFINANCE(A1050,""CHANGE""),)"),-0.85)</f>
        <v>-0.85</v>
      </c>
      <c r="D1050" s="60">
        <f>IFERROR(__xludf.DUMMYFUNCTION("IFERROR(GOOGLEFINANCE(A1050,""CHANGEPCT""),)"),-0.26)</f>
        <v>-0.26</v>
      </c>
      <c r="E1050" s="60" t="str">
        <f t="shared" si="1"/>
        <v>-0.26%</v>
      </c>
      <c r="F1050" s="60" t="str">
        <f t="shared" si="2"/>
        <v/>
      </c>
      <c r="G1050" s="60">
        <f t="shared" si="3"/>
        <v>-0.26</v>
      </c>
      <c r="H1050" s="60">
        <f>IFERROR(__xludf.DUMMYFUNCTION("IFERROR(GOOGLEFINANCE(A1050,""PRICE""),)"),320.0)</f>
        <v>320</v>
      </c>
      <c r="I1050" s="61">
        <f>IFERROR(__xludf.DUMMYFUNCTION("IFERROR(GOOGLEFINANCE(A1050,""VOLUME""),)"),8205.0)</f>
        <v>8205</v>
      </c>
      <c r="J1050" s="60" t="str">
        <f>IFERROR(__xludf.DUMMYFUNCTION("IFERROR(INDEX(SPLIT(A1050,"":""),1,2),)"),"PANACHE")</f>
        <v>PANACHE</v>
      </c>
      <c r="K1050" s="60" t="str">
        <f t="shared" si="4"/>
        <v/>
      </c>
      <c r="L1050" s="60">
        <f t="shared" si="5"/>
        <v>69</v>
      </c>
      <c r="M1050" s="60">
        <f t="shared" si="6"/>
        <v>1296</v>
      </c>
      <c r="N1050" s="62">
        <f>IFERROR(__xludf.DUMMYFUNCTION("IFERROR(GOOGLEFINANCE(A1050,""TRADETIME""),)"),46086.64583333333)</f>
        <v>46086.64583</v>
      </c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</row>
    <row r="1051">
      <c r="A1051" s="68" t="s">
        <v>1097</v>
      </c>
      <c r="B1051" s="64" t="str">
        <f>IFERROR(__xludf.DUMMYFUNCTION("IFERROR(GOOGLEFINANCE(A1051,""NAME""),)"),"Panama Petrochem Ltd")</f>
        <v>Panama Petrochem Ltd</v>
      </c>
      <c r="C1051" s="64">
        <f>IFERROR(__xludf.DUMMYFUNCTION("IFERROR(GOOGLEFINANCE(A1051,""CHANGE""),)"),0.0)</f>
        <v>0</v>
      </c>
      <c r="D1051" s="64">
        <f>IFERROR(__xludf.DUMMYFUNCTION("IFERROR(GOOGLEFINANCE(A1051,""CHANGEPCT""),)"),0.0)</f>
        <v>0</v>
      </c>
      <c r="E1051" s="64" t="str">
        <f t="shared" si="1"/>
        <v>0%</v>
      </c>
      <c r="F1051" s="64" t="str">
        <f t="shared" si="2"/>
        <v/>
      </c>
      <c r="G1051" s="64" t="str">
        <f t="shared" si="3"/>
        <v/>
      </c>
      <c r="H1051" s="64">
        <f>IFERROR(__xludf.DUMMYFUNCTION("IFERROR(GOOGLEFINANCE(A1051,""PRICE""),)"),273.35)</f>
        <v>273.35</v>
      </c>
      <c r="I1051" s="65">
        <f>IFERROR(__xludf.DUMMYFUNCTION("IFERROR(GOOGLEFINANCE(A1051,""VOLUME""),)"),24977.0)</f>
        <v>24977</v>
      </c>
      <c r="J1051" s="64" t="str">
        <f>IFERROR(__xludf.DUMMYFUNCTION("IFERROR(INDEX(SPLIT(A1051,"":""),1,2),)"),"PANAMAPET")</f>
        <v>PANAMAPET</v>
      </c>
      <c r="K1051" s="64" t="str">
        <f t="shared" si="4"/>
        <v/>
      </c>
      <c r="L1051" s="64" t="str">
        <f t="shared" si="5"/>
        <v/>
      </c>
      <c r="M1051" s="64">
        <f t="shared" si="6"/>
        <v>1096</v>
      </c>
      <c r="N1051" s="66">
        <f>IFERROR(__xludf.DUMMYFUNCTION("IFERROR(GOOGLEFINANCE(A1051,""TRADETIME""),)"),46086.64583333333)</f>
        <v>46086.64583</v>
      </c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</row>
    <row r="1052">
      <c r="A1052" s="67" t="s">
        <v>1098</v>
      </c>
      <c r="B1052" s="60" t="str">
        <f>IFERROR(__xludf.DUMMYFUNCTION("IFERROR(GOOGLEFINANCE(A1052,""NAME""),)"),"Paramount Communications Ltd")</f>
        <v>Paramount Communications Ltd</v>
      </c>
      <c r="C1052" s="60">
        <f>IFERROR(__xludf.DUMMYFUNCTION("IFERROR(GOOGLEFINANCE(A1052,""CHANGE""),)"),0.38)</f>
        <v>0.38</v>
      </c>
      <c r="D1052" s="60">
        <f>IFERROR(__xludf.DUMMYFUNCTION("IFERROR(GOOGLEFINANCE(A1052,""CHANGEPCT""),)"),0.24)</f>
        <v>0.24</v>
      </c>
      <c r="E1052" s="60" t="str">
        <f t="shared" si="1"/>
        <v>0.24%</v>
      </c>
      <c r="F1052" s="60">
        <f t="shared" si="2"/>
        <v>0.24</v>
      </c>
      <c r="G1052" s="60" t="str">
        <f t="shared" si="3"/>
        <v/>
      </c>
      <c r="H1052" s="60">
        <f>IFERROR(__xludf.DUMMYFUNCTION("IFERROR(GOOGLEFINANCE(A1052,""PRICE""),)"),33.67)</f>
        <v>33.67</v>
      </c>
      <c r="I1052" s="61">
        <f>IFERROR(__xludf.DUMMYFUNCTION("IFERROR(GOOGLEFINANCE(A1052,""VOLUME""),)"),614796.0)</f>
        <v>614796</v>
      </c>
      <c r="J1052" s="60" t="str">
        <f>IFERROR(__xludf.DUMMYFUNCTION("IFERROR(INDEX(SPLIT(A1052,"":""),1,2),)"),"PARACABLES")</f>
        <v>PARACABLES</v>
      </c>
      <c r="K1052" s="60">
        <f t="shared" si="4"/>
        <v>940</v>
      </c>
      <c r="L1052" s="60" t="str">
        <f t="shared" si="5"/>
        <v/>
      </c>
      <c r="M1052" s="60">
        <f t="shared" si="6"/>
        <v>357</v>
      </c>
      <c r="N1052" s="62">
        <f>IFERROR(__xludf.DUMMYFUNCTION("IFERROR(GOOGLEFINANCE(A1052,""TRADETIME""),)"),46086.64583333333)</f>
        <v>46086.64583</v>
      </c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</row>
    <row r="1053">
      <c r="A1053" s="68" t="s">
        <v>1099</v>
      </c>
      <c r="B1053" s="64" t="str">
        <f>IFERROR(__xludf.DUMMYFUNCTION("IFERROR(GOOGLEFINANCE(A1053,""NAME""),)"),"Parag Milk Foods Ltd")</f>
        <v>Parag Milk Foods Ltd</v>
      </c>
      <c r="C1053" s="64">
        <f>IFERROR(__xludf.DUMMYFUNCTION("IFERROR(GOOGLEFINANCE(A1053,""CHANGE""),)"),-3.16)</f>
        <v>-3.16</v>
      </c>
      <c r="D1053" s="64">
        <f>IFERROR(__xludf.DUMMYFUNCTION("IFERROR(GOOGLEFINANCE(A1053,""CHANGEPCT""),)"),-1.59)</f>
        <v>-1.59</v>
      </c>
      <c r="E1053" s="64" t="str">
        <f t="shared" si="1"/>
        <v>-1.59%</v>
      </c>
      <c r="F1053" s="64" t="str">
        <f t="shared" si="2"/>
        <v/>
      </c>
      <c r="G1053" s="64">
        <f t="shared" si="3"/>
        <v>-1.59</v>
      </c>
      <c r="H1053" s="64">
        <f>IFERROR(__xludf.DUMMYFUNCTION("IFERROR(GOOGLEFINANCE(A1053,""PRICE""),)"),197.0)</f>
        <v>197</v>
      </c>
      <c r="I1053" s="65">
        <f>IFERROR(__xludf.DUMMYFUNCTION("IFERROR(GOOGLEFINANCE(A1053,""VOLUME""),)"),787778.0)</f>
        <v>787778</v>
      </c>
      <c r="J1053" s="64" t="str">
        <f>IFERROR(__xludf.DUMMYFUNCTION("IFERROR(INDEX(SPLIT(A1053,"":""),1,2),)"),"PARAGMILK")</f>
        <v>PARAGMILK</v>
      </c>
      <c r="K1053" s="64" t="str">
        <f t="shared" si="4"/>
        <v/>
      </c>
      <c r="L1053" s="64">
        <f t="shared" si="5"/>
        <v>300</v>
      </c>
      <c r="M1053" s="64">
        <f t="shared" si="6"/>
        <v>320</v>
      </c>
      <c r="N1053" s="66">
        <f>IFERROR(__xludf.DUMMYFUNCTION("IFERROR(GOOGLEFINANCE(A1053,""TRADETIME""),)"),46086.64583333333)</f>
        <v>46086.64583</v>
      </c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</row>
    <row r="1054">
      <c r="A1054" s="67" t="s">
        <v>1100</v>
      </c>
      <c r="B1054" s="60" t="str">
        <f>IFERROR(__xludf.DUMMYFUNCTION("IFERROR(GOOGLEFINANCE(A1054,""NAME""),)"),"Parsvnath Developers Ltd")</f>
        <v>Parsvnath Developers Ltd</v>
      </c>
      <c r="C1054" s="60">
        <f>IFERROR(__xludf.DUMMYFUNCTION("IFERROR(GOOGLEFINANCE(A1054,""CHANGE""),)"),0.38)</f>
        <v>0.38</v>
      </c>
      <c r="D1054" s="60">
        <f>IFERROR(__xludf.DUMMYFUNCTION("IFERROR(GOOGLEFINANCE(A1054,""CHANGEPCT""),)"),5.76)</f>
        <v>5.76</v>
      </c>
      <c r="E1054" s="60" t="str">
        <f t="shared" si="1"/>
        <v>5.76%</v>
      </c>
      <c r="F1054" s="60">
        <f t="shared" si="2"/>
        <v>5.76</v>
      </c>
      <c r="G1054" s="60" t="str">
        <f t="shared" si="3"/>
        <v/>
      </c>
      <c r="H1054" s="60">
        <f>IFERROR(__xludf.DUMMYFUNCTION("IFERROR(GOOGLEFINANCE(A1054,""PRICE""),)"),7.35)</f>
        <v>7.35</v>
      </c>
      <c r="I1054" s="61">
        <f>IFERROR(__xludf.DUMMYFUNCTION("IFERROR(GOOGLEFINANCE(A1054,""VOLUME""),)"),3353687.0)</f>
        <v>3353687</v>
      </c>
      <c r="J1054" s="60" t="str">
        <f>IFERROR(__xludf.DUMMYFUNCTION("IFERROR(INDEX(SPLIT(A1054,"":""),1,2),)"),"PARSVNATH")</f>
        <v>PARSVNATH</v>
      </c>
      <c r="K1054" s="60">
        <f t="shared" si="4"/>
        <v>47</v>
      </c>
      <c r="L1054" s="60" t="str">
        <f t="shared" si="5"/>
        <v/>
      </c>
      <c r="M1054" s="60">
        <f t="shared" si="6"/>
        <v>138</v>
      </c>
      <c r="N1054" s="62">
        <f>IFERROR(__xludf.DUMMYFUNCTION("IFERROR(GOOGLEFINANCE(A1054,""TRADETIME""),)"),46086.64583333333)</f>
        <v>46086.64583</v>
      </c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</row>
    <row r="1055">
      <c r="A1055" s="68" t="s">
        <v>1101</v>
      </c>
      <c r="B1055" s="64" t="str">
        <f>IFERROR(__xludf.DUMMYFUNCTION("IFERROR(GOOGLEFINANCE(A1055,""NAME""),)"),"Patel Engineering Ltd")</f>
        <v>Patel Engineering Ltd</v>
      </c>
      <c r="C1055" s="64">
        <f>IFERROR(__xludf.DUMMYFUNCTION("IFERROR(GOOGLEFINANCE(A1055,""CHANGE""),)"),0.47)</f>
        <v>0.47</v>
      </c>
      <c r="D1055" s="64">
        <f>IFERROR(__xludf.DUMMYFUNCTION("IFERROR(GOOGLEFINANCE(A1055,""CHANGEPCT""),)"),2.14)</f>
        <v>2.14</v>
      </c>
      <c r="E1055" s="64" t="str">
        <f t="shared" si="1"/>
        <v>2.14%</v>
      </c>
      <c r="F1055" s="64">
        <f t="shared" si="2"/>
        <v>2.14</v>
      </c>
      <c r="G1055" s="64" t="str">
        <f t="shared" si="3"/>
        <v/>
      </c>
      <c r="H1055" s="64">
        <f>IFERROR(__xludf.DUMMYFUNCTION("IFERROR(GOOGLEFINANCE(A1055,""PRICE""),)"),26.2)</f>
        <v>26.2</v>
      </c>
      <c r="I1055" s="65">
        <f>IFERROR(__xludf.DUMMYFUNCTION("IFERROR(GOOGLEFINANCE(A1055,""VOLUME""),)"),4650463.0)</f>
        <v>4650463</v>
      </c>
      <c r="J1055" s="64" t="str">
        <f>IFERROR(__xludf.DUMMYFUNCTION("IFERROR(INDEX(SPLIT(A1055,"":""),1,2),)"),"PATELENG")</f>
        <v>PATELENG</v>
      </c>
      <c r="K1055" s="64">
        <f t="shared" si="4"/>
        <v>410</v>
      </c>
      <c r="L1055" s="64" t="str">
        <f t="shared" si="5"/>
        <v/>
      </c>
      <c r="M1055" s="64">
        <f t="shared" si="6"/>
        <v>116</v>
      </c>
      <c r="N1055" s="66">
        <f>IFERROR(__xludf.DUMMYFUNCTION("IFERROR(GOOGLEFINANCE(A1055,""TRADETIME""),)"),46086.64584490741)</f>
        <v>46086.64584</v>
      </c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</row>
    <row r="1056">
      <c r="A1056" s="67" t="s">
        <v>1102</v>
      </c>
      <c r="B1056" s="60" t="str">
        <f>IFERROR(__xludf.DUMMYFUNCTION("IFERROR(GOOGLEFINANCE(A1056,""NAME""),)"),"Patel Integrated Logistics Ltd")</f>
        <v>Patel Integrated Logistics Ltd</v>
      </c>
      <c r="C1056" s="60">
        <f>IFERROR(__xludf.DUMMYFUNCTION("IFERROR(GOOGLEFINANCE(A1056,""CHANGE""),)"),0.12)</f>
        <v>0.12</v>
      </c>
      <c r="D1056" s="60">
        <f>IFERROR(__xludf.DUMMYFUNCTION("IFERROR(GOOGLEFINANCE(A1056,""CHANGEPCT""),)"),0.99)</f>
        <v>0.99</v>
      </c>
      <c r="E1056" s="60" t="str">
        <f t="shared" si="1"/>
        <v>0.99%</v>
      </c>
      <c r="F1056" s="60">
        <f t="shared" si="2"/>
        <v>0.99</v>
      </c>
      <c r="G1056" s="60" t="str">
        <f t="shared" si="3"/>
        <v/>
      </c>
      <c r="H1056" s="60">
        <f>IFERROR(__xludf.DUMMYFUNCTION("IFERROR(GOOGLEFINANCE(A1056,""PRICE""),)"),10.18)</f>
        <v>10.18</v>
      </c>
      <c r="I1056" s="61">
        <f>IFERROR(__xludf.DUMMYFUNCTION("IFERROR(GOOGLEFINANCE(A1056,""VOLUME""),)"),97031.0)</f>
        <v>97031</v>
      </c>
      <c r="J1056" s="60" t="str">
        <f>IFERROR(__xludf.DUMMYFUNCTION("IFERROR(INDEX(SPLIT(A1056,"":""),1,2),)"),"PATINTLOG")</f>
        <v>PATINTLOG</v>
      </c>
      <c r="K1056" s="60">
        <f t="shared" si="4"/>
        <v>726</v>
      </c>
      <c r="L1056" s="60" t="str">
        <f t="shared" si="5"/>
        <v/>
      </c>
      <c r="M1056" s="60">
        <f t="shared" si="6"/>
        <v>762</v>
      </c>
      <c r="N1056" s="62">
        <f>IFERROR(__xludf.DUMMYFUNCTION("IFERROR(GOOGLEFINANCE(A1056,""TRADETIME""),)"),46086.64583333333)</f>
        <v>46086.64583</v>
      </c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</row>
    <row r="1057">
      <c r="A1057" s="68" t="s">
        <v>1103</v>
      </c>
      <c r="B1057" s="64" t="str">
        <f>IFERROR(__xludf.DUMMYFUNCTION("IFERROR(GOOGLEFINANCE(A1057,""NAME""),)"),"PC Jeweller Ltd")</f>
        <v>PC Jeweller Ltd</v>
      </c>
      <c r="C1057" s="64">
        <f>IFERROR(__xludf.DUMMYFUNCTION("IFERROR(GOOGLEFINANCE(A1057,""CHANGE""),)"),0.05)</f>
        <v>0.05</v>
      </c>
      <c r="D1057" s="64">
        <f>IFERROR(__xludf.DUMMYFUNCTION("IFERROR(GOOGLEFINANCE(A1057,""CHANGEPCT""),)"),0.55)</f>
        <v>0.55</v>
      </c>
      <c r="E1057" s="64" t="str">
        <f t="shared" si="1"/>
        <v>0.55%</v>
      </c>
      <c r="F1057" s="64">
        <f t="shared" si="2"/>
        <v>0.55</v>
      </c>
      <c r="G1057" s="64" t="str">
        <f t="shared" si="3"/>
        <v/>
      </c>
      <c r="H1057" s="64">
        <f>IFERROR(__xludf.DUMMYFUNCTION("IFERROR(GOOGLEFINANCE(A1057,""PRICE""),)"),9.08)</f>
        <v>9.08</v>
      </c>
      <c r="I1057" s="65">
        <f>IFERROR(__xludf.DUMMYFUNCTION("IFERROR(GOOGLEFINANCE(A1057,""VOLUME""),)"),2.7134972E7)</f>
        <v>27134972</v>
      </c>
      <c r="J1057" s="64" t="str">
        <f>IFERROR(__xludf.DUMMYFUNCTION("IFERROR(INDEX(SPLIT(A1057,"":""),1,2),)"),"PCJEWELLER")</f>
        <v>PCJEWELLER</v>
      </c>
      <c r="K1057" s="64">
        <f t="shared" si="4"/>
        <v>862</v>
      </c>
      <c r="L1057" s="64" t="str">
        <f t="shared" si="5"/>
        <v/>
      </c>
      <c r="M1057" s="64">
        <f t="shared" si="6"/>
        <v>15</v>
      </c>
      <c r="N1057" s="66">
        <f>IFERROR(__xludf.DUMMYFUNCTION("IFERROR(GOOGLEFINANCE(A1057,""TRADETIME""),)"),46086.6381712963)</f>
        <v>46086.63817</v>
      </c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</row>
    <row r="1058">
      <c r="A1058" s="67" t="s">
        <v>1104</v>
      </c>
      <c r="B1058" s="60" t="str">
        <f>IFERROR(__xludf.DUMMYFUNCTION("IFERROR(GOOGLEFINANCE(A1058,""NAME""),)"),"Pudumjee Paper Products Ltd")</f>
        <v>Pudumjee Paper Products Ltd</v>
      </c>
      <c r="C1058" s="60">
        <f>IFERROR(__xludf.DUMMYFUNCTION("IFERROR(GOOGLEFINANCE(A1058,""CHANGE""),)"),0.7)</f>
        <v>0.7</v>
      </c>
      <c r="D1058" s="60">
        <f>IFERROR(__xludf.DUMMYFUNCTION("IFERROR(GOOGLEFINANCE(A1058,""CHANGEPCT""),)"),0.91)</f>
        <v>0.91</v>
      </c>
      <c r="E1058" s="60" t="str">
        <f t="shared" si="1"/>
        <v>0.91%</v>
      </c>
      <c r="F1058" s="60">
        <f t="shared" si="2"/>
        <v>0.91</v>
      </c>
      <c r="G1058" s="60" t="str">
        <f t="shared" si="3"/>
        <v/>
      </c>
      <c r="H1058" s="60">
        <f>IFERROR(__xludf.DUMMYFUNCTION("IFERROR(GOOGLEFINANCE(A1058,""PRICE""),)"),77.89)</f>
        <v>77.89</v>
      </c>
      <c r="I1058" s="61">
        <f>IFERROR(__xludf.DUMMYFUNCTION("IFERROR(GOOGLEFINANCE(A1058,""VOLUME""),)"),93400.0)</f>
        <v>93400</v>
      </c>
      <c r="J1058" s="60" t="str">
        <f>IFERROR(__xludf.DUMMYFUNCTION("IFERROR(INDEX(SPLIT(A1058,"":""),1,2),)"),"PDMJEPAPER")</f>
        <v>PDMJEPAPER</v>
      </c>
      <c r="K1058" s="60">
        <f t="shared" si="4"/>
        <v>750</v>
      </c>
      <c r="L1058" s="60" t="str">
        <f t="shared" si="5"/>
        <v/>
      </c>
      <c r="M1058" s="60">
        <f t="shared" si="6"/>
        <v>772</v>
      </c>
      <c r="N1058" s="62">
        <f>IFERROR(__xludf.DUMMYFUNCTION("IFERROR(GOOGLEFINANCE(A1058,""TRADETIME""),)"),46086.64583333333)</f>
        <v>46086.64583</v>
      </c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</row>
    <row r="1059">
      <c r="A1059" s="68" t="s">
        <v>1105</v>
      </c>
      <c r="B1059" s="64" t="str">
        <f>IFERROR(__xludf.DUMMYFUNCTION("IFERROR(GOOGLEFINANCE(A1059,""NAME""),)"),"PDS Ltd")</f>
        <v>PDS Ltd</v>
      </c>
      <c r="C1059" s="64">
        <f>IFERROR(__xludf.DUMMYFUNCTION("IFERROR(GOOGLEFINANCE(A1059,""CHANGE""),)"),2.9)</f>
        <v>2.9</v>
      </c>
      <c r="D1059" s="64">
        <f>IFERROR(__xludf.DUMMYFUNCTION("IFERROR(GOOGLEFINANCE(A1059,""CHANGEPCT""),)"),0.97)</f>
        <v>0.97</v>
      </c>
      <c r="E1059" s="64" t="str">
        <f t="shared" si="1"/>
        <v>0.97%</v>
      </c>
      <c r="F1059" s="64">
        <f t="shared" si="2"/>
        <v>0.97</v>
      </c>
      <c r="G1059" s="64" t="str">
        <f t="shared" si="3"/>
        <v/>
      </c>
      <c r="H1059" s="64">
        <f>IFERROR(__xludf.DUMMYFUNCTION("IFERROR(GOOGLEFINANCE(A1059,""PRICE""),)"),302.0)</f>
        <v>302</v>
      </c>
      <c r="I1059" s="65">
        <f>IFERROR(__xludf.DUMMYFUNCTION("IFERROR(GOOGLEFINANCE(A1059,""VOLUME""),)"),99640.0)</f>
        <v>99640</v>
      </c>
      <c r="J1059" s="64" t="str">
        <f>IFERROR(__xludf.DUMMYFUNCTION("IFERROR(INDEX(SPLIT(A1059,"":""),1,2),)"),"PDSL")</f>
        <v>PDSL</v>
      </c>
      <c r="K1059" s="64">
        <f t="shared" si="4"/>
        <v>729</v>
      </c>
      <c r="L1059" s="64" t="str">
        <f t="shared" si="5"/>
        <v/>
      </c>
      <c r="M1059" s="64">
        <f t="shared" si="6"/>
        <v>757</v>
      </c>
      <c r="N1059" s="66">
        <f>IFERROR(__xludf.DUMMYFUNCTION("IFERROR(GOOGLEFINANCE(A1059,""TRADETIME""),)"),46086.64585648148)</f>
        <v>46086.64586</v>
      </c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</row>
    <row r="1060">
      <c r="A1060" s="67" t="s">
        <v>1106</v>
      </c>
      <c r="B1060" s="60" t="str">
        <f>IFERROR(__xludf.DUMMYFUNCTION("IFERROR(GOOGLEFINANCE(A1060,""NAME""),)"),"Pearl Polymers Ltd")</f>
        <v>Pearl Polymers Ltd</v>
      </c>
      <c r="C1060" s="60">
        <f>IFERROR(__xludf.DUMMYFUNCTION("IFERROR(GOOGLEFINANCE(A1060,""CHANGE""),)"),0.21)</f>
        <v>0.21</v>
      </c>
      <c r="D1060" s="60">
        <f>IFERROR(__xludf.DUMMYFUNCTION("IFERROR(GOOGLEFINANCE(A1060,""CHANGEPCT""),)"),-1.57)</f>
        <v>-1.57</v>
      </c>
      <c r="E1060" s="60" t="str">
        <f t="shared" si="1"/>
        <v>-1.57%</v>
      </c>
      <c r="F1060" s="60" t="str">
        <f t="shared" si="2"/>
        <v/>
      </c>
      <c r="G1060" s="60">
        <f t="shared" si="3"/>
        <v>-1.57</v>
      </c>
      <c r="H1060" s="60">
        <f>IFERROR(__xludf.DUMMYFUNCTION("IFERROR(GOOGLEFINANCE(A1060,""PRICE""),)"),17.5)</f>
        <v>17.5</v>
      </c>
      <c r="I1060" s="61">
        <f>IFERROR(__xludf.DUMMYFUNCTION("IFERROR(GOOGLEFINANCE(A1060,""VOLUME""),)"),7750.0)</f>
        <v>7750</v>
      </c>
      <c r="J1060" s="60" t="str">
        <f>IFERROR(__xludf.DUMMYFUNCTION("IFERROR(INDEX(SPLIT(A1060,"":""),1,2),)"),"PEARLPOLY")</f>
        <v>PEARLPOLY</v>
      </c>
      <c r="K1060" s="60" t="str">
        <f t="shared" si="4"/>
        <v/>
      </c>
      <c r="L1060" s="60">
        <f t="shared" si="5"/>
        <v>297</v>
      </c>
      <c r="M1060" s="60">
        <f t="shared" si="6"/>
        <v>1303</v>
      </c>
      <c r="N1060" s="62">
        <f>IFERROR(__xludf.DUMMYFUNCTION("IFERROR(GOOGLEFINANCE(A1060,""TRADETIME""),)"),46086.64583333333)</f>
        <v>46086.64583</v>
      </c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</row>
    <row r="1061">
      <c r="A1061" s="68" t="s">
        <v>1107</v>
      </c>
      <c r="B1061" s="64" t="str">
        <f>IFERROR(__xludf.DUMMYFUNCTION("IFERROR(GOOGLEFINANCE(A1061,""NAME""),)"),"")</f>
        <v/>
      </c>
      <c r="C1061" s="64" t="str">
        <f>IFERROR(__xludf.DUMMYFUNCTION("IFERROR(GOOGLEFINANCE(A1061,""CHANGE""),)"),"")</f>
        <v/>
      </c>
      <c r="D1061" s="64" t="str">
        <f>IFERROR(__xludf.DUMMYFUNCTION("IFERROR(GOOGLEFINANCE(A1061,""CHANGEPCT""),)"),"")</f>
        <v/>
      </c>
      <c r="E1061" s="64" t="str">
        <f t="shared" si="1"/>
        <v>%</v>
      </c>
      <c r="F1061" s="64" t="str">
        <f t="shared" si="2"/>
        <v/>
      </c>
      <c r="G1061" s="64" t="str">
        <f t="shared" si="3"/>
        <v/>
      </c>
      <c r="H1061" s="64" t="str">
        <f>IFERROR(__xludf.DUMMYFUNCTION("IFERROR(GOOGLEFINANCE(A1061,""PRICE""),)"),"")</f>
        <v/>
      </c>
      <c r="I1061" s="65" t="str">
        <f>IFERROR(__xludf.DUMMYFUNCTION("IFERROR(GOOGLEFINANCE(A1061,""VOLUME""),)"),"")</f>
        <v/>
      </c>
      <c r="J1061" s="64" t="str">
        <f>IFERROR(__xludf.DUMMYFUNCTION("IFERROR(INDEX(SPLIT(A1061,"":""),1,2),)"),"PEL")</f>
        <v>PEL</v>
      </c>
      <c r="K1061" s="64" t="str">
        <f t="shared" si="4"/>
        <v/>
      </c>
      <c r="L1061" s="64" t="str">
        <f t="shared" si="5"/>
        <v/>
      </c>
      <c r="M1061" s="64" t="str">
        <f t="shared" si="6"/>
        <v/>
      </c>
      <c r="N1061" s="66" t="str">
        <f>IFERROR(__xludf.DUMMYFUNCTION("IFERROR(GOOGLEFINANCE(A1061,""TRADETIME""),)"),"")</f>
        <v/>
      </c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</row>
    <row r="1062">
      <c r="A1062" s="67" t="s">
        <v>1108</v>
      </c>
      <c r="B1062" s="60" t="str">
        <f>IFERROR(__xludf.DUMMYFUNCTION("IFERROR(GOOGLEFINANCE(A1062,""NAME""),)"),"Pennar Industries Ltd")</f>
        <v>Pennar Industries Ltd</v>
      </c>
      <c r="C1062" s="60">
        <f>IFERROR(__xludf.DUMMYFUNCTION("IFERROR(GOOGLEFINANCE(A1062,""CHANGE""),)"),0.34)</f>
        <v>0.34</v>
      </c>
      <c r="D1062" s="60">
        <f>IFERROR(__xludf.DUMMYFUNCTION("IFERROR(GOOGLEFINANCE(A1062,""CHANGEPCT""),)"),0.16)</f>
        <v>0.16</v>
      </c>
      <c r="E1062" s="60" t="str">
        <f t="shared" si="1"/>
        <v>0.16%</v>
      </c>
      <c r="F1062" s="60">
        <f t="shared" si="2"/>
        <v>0.16</v>
      </c>
      <c r="G1062" s="60" t="str">
        <f t="shared" si="3"/>
        <v/>
      </c>
      <c r="H1062" s="60">
        <f>IFERROR(__xludf.DUMMYFUNCTION("IFERROR(GOOGLEFINANCE(A1062,""PRICE""),)"),142.11)</f>
        <v>142.11</v>
      </c>
      <c r="I1062" s="61">
        <f>IFERROR(__xludf.DUMMYFUNCTION("IFERROR(GOOGLEFINANCE(A1062,""VOLUME""),)"),573445.0)</f>
        <v>573445</v>
      </c>
      <c r="J1062" s="60" t="str">
        <f>IFERROR(__xludf.DUMMYFUNCTION("IFERROR(INDEX(SPLIT(A1062,"":""),1,2),)"),"PENIND")</f>
        <v>PENIND</v>
      </c>
      <c r="K1062" s="60">
        <f t="shared" si="4"/>
        <v>961</v>
      </c>
      <c r="L1062" s="60" t="str">
        <f t="shared" si="5"/>
        <v/>
      </c>
      <c r="M1062" s="60">
        <f t="shared" si="6"/>
        <v>380</v>
      </c>
      <c r="N1062" s="62">
        <f>IFERROR(__xludf.DUMMYFUNCTION("IFERROR(GOOGLEFINANCE(A1062,""TRADETIME""),)"),46086.64583333333)</f>
        <v>46086.64583</v>
      </c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</row>
    <row r="1063">
      <c r="A1063" s="68" t="s">
        <v>1109</v>
      </c>
      <c r="B1063" s="64" t="str">
        <f>IFERROR(__xludf.DUMMYFUNCTION("IFERROR(GOOGLEFINANCE(A1063,""NAME""),)"),"Peninsula Land Ltd")</f>
        <v>Peninsula Land Ltd</v>
      </c>
      <c r="C1063" s="64">
        <f>IFERROR(__xludf.DUMMYFUNCTION("IFERROR(GOOGLEFINANCE(A1063,""CHANGE""),)"),-0.35)</f>
        <v>-0.35</v>
      </c>
      <c r="D1063" s="64">
        <f>IFERROR(__xludf.DUMMYFUNCTION("IFERROR(GOOGLEFINANCE(A1063,""CHANGEPCT""),)"),-2.01)</f>
        <v>-2.01</v>
      </c>
      <c r="E1063" s="64" t="str">
        <f t="shared" si="1"/>
        <v>-2.01%</v>
      </c>
      <c r="F1063" s="64" t="str">
        <f t="shared" si="2"/>
        <v/>
      </c>
      <c r="G1063" s="64">
        <f t="shared" si="3"/>
        <v>-2.01</v>
      </c>
      <c r="H1063" s="64">
        <f>IFERROR(__xludf.DUMMYFUNCTION("IFERROR(GOOGLEFINANCE(A1063,""PRICE""),)"),17.02)</f>
        <v>17.02</v>
      </c>
      <c r="I1063" s="65">
        <f>IFERROR(__xludf.DUMMYFUNCTION("IFERROR(GOOGLEFINANCE(A1063,""VOLUME""),)"),276529.0)</f>
        <v>276529</v>
      </c>
      <c r="J1063" s="64" t="str">
        <f>IFERROR(__xludf.DUMMYFUNCTION("IFERROR(INDEX(SPLIT(A1063,"":""),1,2),)"),"PENINLAND")</f>
        <v>PENINLAND</v>
      </c>
      <c r="K1063" s="64" t="str">
        <f t="shared" si="4"/>
        <v/>
      </c>
      <c r="L1063" s="64">
        <f t="shared" si="5"/>
        <v>356</v>
      </c>
      <c r="M1063" s="64">
        <f t="shared" si="6"/>
        <v>532</v>
      </c>
      <c r="N1063" s="66">
        <f>IFERROR(__xludf.DUMMYFUNCTION("IFERROR(GOOGLEFINANCE(A1063,""TRADETIME""),)"),46086.64584490741)</f>
        <v>46086.64584</v>
      </c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</row>
    <row r="1064">
      <c r="A1064" s="67" t="s">
        <v>1110</v>
      </c>
      <c r="B1064" s="60" t="str">
        <f>IFERROR(__xludf.DUMMYFUNCTION("IFERROR(GOOGLEFINANCE(A1064,""NAME""),)"),"Persistent Systems Ltd")</f>
        <v>Persistent Systems Ltd</v>
      </c>
      <c r="C1064" s="60">
        <f>IFERROR(__xludf.DUMMYFUNCTION("IFERROR(GOOGLEFINANCE(A1064,""CHANGE""),)"),-73.1)</f>
        <v>-73.1</v>
      </c>
      <c r="D1064" s="60">
        <f>IFERROR(__xludf.DUMMYFUNCTION("IFERROR(GOOGLEFINANCE(A1064,""CHANGEPCT""),)"),-1.55)</f>
        <v>-1.55</v>
      </c>
      <c r="E1064" s="60" t="str">
        <f t="shared" si="1"/>
        <v>-1.55%</v>
      </c>
      <c r="F1064" s="60" t="str">
        <f t="shared" si="2"/>
        <v/>
      </c>
      <c r="G1064" s="60">
        <f t="shared" si="3"/>
        <v>-1.55</v>
      </c>
      <c r="H1064" s="60">
        <f>IFERROR(__xludf.DUMMYFUNCTION("IFERROR(GOOGLEFINANCE(A1064,""PRICE""),)"),4636.0)</f>
        <v>4636</v>
      </c>
      <c r="I1064" s="61">
        <f>IFERROR(__xludf.DUMMYFUNCTION("IFERROR(GOOGLEFINANCE(A1064,""VOLUME""),)"),614706.0)</f>
        <v>614706</v>
      </c>
      <c r="J1064" s="60" t="str">
        <f>IFERROR(__xludf.DUMMYFUNCTION("IFERROR(INDEX(SPLIT(A1064,"":""),1,2),)"),"PERSISTENT")</f>
        <v>PERSISTENT</v>
      </c>
      <c r="K1064" s="60" t="str">
        <f t="shared" si="4"/>
        <v/>
      </c>
      <c r="L1064" s="60">
        <f t="shared" si="5"/>
        <v>293</v>
      </c>
      <c r="M1064" s="60">
        <f t="shared" si="6"/>
        <v>358</v>
      </c>
      <c r="N1064" s="62">
        <f>IFERROR(__xludf.DUMMYFUNCTION("IFERROR(GOOGLEFINANCE(A1064,""TRADETIME""),)"),46086.64583333333)</f>
        <v>46086.64583</v>
      </c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</row>
    <row r="1065">
      <c r="A1065" s="68" t="s">
        <v>1111</v>
      </c>
      <c r="B1065" s="64" t="str">
        <f>IFERROR(__xludf.DUMMYFUNCTION("IFERROR(GOOGLEFINANCE(A1065,""NAME""),)"),"Petronet LNG Ltd")</f>
        <v>Petronet LNG Ltd</v>
      </c>
      <c r="C1065" s="64">
        <f>IFERROR(__xludf.DUMMYFUNCTION("IFERROR(GOOGLEFINANCE(A1065,""CHANGE""),)"),15.0)</f>
        <v>15</v>
      </c>
      <c r="D1065" s="64">
        <f>IFERROR(__xludf.DUMMYFUNCTION("IFERROR(GOOGLEFINANCE(A1065,""CHANGEPCT""),)"),5.36)</f>
        <v>5.36</v>
      </c>
      <c r="E1065" s="64" t="str">
        <f t="shared" si="1"/>
        <v>5.36%</v>
      </c>
      <c r="F1065" s="64">
        <f t="shared" si="2"/>
        <v>5.36</v>
      </c>
      <c r="G1065" s="64" t="str">
        <f t="shared" si="3"/>
        <v/>
      </c>
      <c r="H1065" s="64">
        <f>IFERROR(__xludf.DUMMYFUNCTION("IFERROR(GOOGLEFINANCE(A1065,""PRICE""),)"),295.0)</f>
        <v>295</v>
      </c>
      <c r="I1065" s="65">
        <f>IFERROR(__xludf.DUMMYFUNCTION("IFERROR(GOOGLEFINANCE(A1065,""VOLUME""),)"),1.3896709E7)</f>
        <v>13896709</v>
      </c>
      <c r="J1065" s="64" t="str">
        <f>IFERROR(__xludf.DUMMYFUNCTION("IFERROR(INDEX(SPLIT(A1065,"":""),1,2),)"),"PETRONET")</f>
        <v>PETRONET</v>
      </c>
      <c r="K1065" s="64">
        <f t="shared" si="4"/>
        <v>56</v>
      </c>
      <c r="L1065" s="64" t="str">
        <f t="shared" si="5"/>
        <v/>
      </c>
      <c r="M1065" s="64">
        <f t="shared" si="6"/>
        <v>47</v>
      </c>
      <c r="N1065" s="66">
        <f>IFERROR(__xludf.DUMMYFUNCTION("IFERROR(GOOGLEFINANCE(A1065,""TRADETIME""),)"),46086.64583333333)</f>
        <v>46086.64583</v>
      </c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</row>
    <row r="1066">
      <c r="A1066" s="67" t="s">
        <v>1112</v>
      </c>
      <c r="B1066" s="60" t="str">
        <f>IFERROR(__xludf.DUMMYFUNCTION("IFERROR(GOOGLEFINANCE(A1066,""NAME""),)"),"Power Finance Corporation Ltd")</f>
        <v>Power Finance Corporation Ltd</v>
      </c>
      <c r="C1066" s="60">
        <f>IFERROR(__xludf.DUMMYFUNCTION("IFERROR(GOOGLEFINANCE(A1066,""CHANGE""),)"),18.85)</f>
        <v>18.85</v>
      </c>
      <c r="D1066" s="60">
        <f>IFERROR(__xludf.DUMMYFUNCTION("IFERROR(GOOGLEFINANCE(A1066,""CHANGEPCT""),)"),4.75)</f>
        <v>4.75</v>
      </c>
      <c r="E1066" s="60" t="str">
        <f t="shared" si="1"/>
        <v>4.75%</v>
      </c>
      <c r="F1066" s="60">
        <f t="shared" si="2"/>
        <v>4.75</v>
      </c>
      <c r="G1066" s="60" t="str">
        <f t="shared" si="3"/>
        <v/>
      </c>
      <c r="H1066" s="60">
        <f>IFERROR(__xludf.DUMMYFUNCTION("IFERROR(GOOGLEFINANCE(A1066,""PRICE""),)"),415.4)</f>
        <v>415.4</v>
      </c>
      <c r="I1066" s="61">
        <f>IFERROR(__xludf.DUMMYFUNCTION("IFERROR(GOOGLEFINANCE(A1066,""VOLUME""),)"),9972408.0)</f>
        <v>9972408</v>
      </c>
      <c r="J1066" s="60" t="str">
        <f>IFERROR(__xludf.DUMMYFUNCTION("IFERROR(INDEX(SPLIT(A1066,"":""),1,2),)"),"PFC")</f>
        <v>PFC</v>
      </c>
      <c r="K1066" s="60">
        <f t="shared" si="4"/>
        <v>93</v>
      </c>
      <c r="L1066" s="60" t="str">
        <f t="shared" si="5"/>
        <v/>
      </c>
      <c r="M1066" s="60">
        <f t="shared" si="6"/>
        <v>63</v>
      </c>
      <c r="N1066" s="62">
        <f>IFERROR(__xludf.DUMMYFUNCTION("IFERROR(GOOGLEFINANCE(A1066,""TRADETIME""),)"),46086.64583333333)</f>
        <v>46086.64583</v>
      </c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</row>
    <row r="1067">
      <c r="A1067" s="68" t="s">
        <v>1113</v>
      </c>
      <c r="B1067" s="64" t="str">
        <f>IFERROR(__xludf.DUMMYFUNCTION("IFERROR(GOOGLEFINANCE(A1067,""NAME""),)"),"Pfizer Ltd")</f>
        <v>Pfizer Ltd</v>
      </c>
      <c r="C1067" s="64">
        <f>IFERROR(__xludf.DUMMYFUNCTION("IFERROR(GOOGLEFINANCE(A1067,""CHANGE""),)"),-42.5)</f>
        <v>-42.5</v>
      </c>
      <c r="D1067" s="64">
        <f>IFERROR(__xludf.DUMMYFUNCTION("IFERROR(GOOGLEFINANCE(A1067,""CHANGEPCT""),)"),-1.1)</f>
        <v>-1.1</v>
      </c>
      <c r="E1067" s="64" t="str">
        <f t="shared" si="1"/>
        <v>-1.1%</v>
      </c>
      <c r="F1067" s="64" t="str">
        <f t="shared" si="2"/>
        <v/>
      </c>
      <c r="G1067" s="64">
        <f t="shared" si="3"/>
        <v>-1.1</v>
      </c>
      <c r="H1067" s="64">
        <f>IFERROR(__xludf.DUMMYFUNCTION("IFERROR(GOOGLEFINANCE(A1067,""PRICE""),)"),4824.0)</f>
        <v>4824</v>
      </c>
      <c r="I1067" s="65">
        <f>IFERROR(__xludf.DUMMYFUNCTION("IFERROR(GOOGLEFINANCE(A1067,""VOLUME""),)"),17331.0)</f>
        <v>17331</v>
      </c>
      <c r="J1067" s="64" t="str">
        <f>IFERROR(__xludf.DUMMYFUNCTION("IFERROR(INDEX(SPLIT(A1067,"":""),1,2),)"),"PFIZER")</f>
        <v>PFIZER</v>
      </c>
      <c r="K1067" s="64" t="str">
        <f t="shared" si="4"/>
        <v/>
      </c>
      <c r="L1067" s="64">
        <f t="shared" si="5"/>
        <v>227</v>
      </c>
      <c r="M1067" s="64">
        <f t="shared" si="6"/>
        <v>1172</v>
      </c>
      <c r="N1067" s="66">
        <f>IFERROR(__xludf.DUMMYFUNCTION("IFERROR(GOOGLEFINANCE(A1067,""TRADETIME""),)"),46086.643414351856)</f>
        <v>46086.64341</v>
      </c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</row>
    <row r="1068">
      <c r="A1068" s="67" t="s">
        <v>1114</v>
      </c>
      <c r="B1068" s="60" t="str">
        <f>IFERROR(__xludf.DUMMYFUNCTION("IFERROR(GOOGLEFINANCE(A1068,""NAME""),)"),"Prime Focus Limited")</f>
        <v>Prime Focus Limited</v>
      </c>
      <c r="C1068" s="60">
        <f>IFERROR(__xludf.DUMMYFUNCTION("IFERROR(GOOGLEFINANCE(A1068,""CHANGE""),)"),-0.8)</f>
        <v>-0.8</v>
      </c>
      <c r="D1068" s="60">
        <f>IFERROR(__xludf.DUMMYFUNCTION("IFERROR(GOOGLEFINANCE(A1068,""CHANGEPCT""),)"),-0.29)</f>
        <v>-0.29</v>
      </c>
      <c r="E1068" s="60" t="str">
        <f t="shared" si="1"/>
        <v>-0.29%</v>
      </c>
      <c r="F1068" s="60" t="str">
        <f t="shared" si="2"/>
        <v/>
      </c>
      <c r="G1068" s="60">
        <f t="shared" si="3"/>
        <v>-0.29</v>
      </c>
      <c r="H1068" s="60">
        <f>IFERROR(__xludf.DUMMYFUNCTION("IFERROR(GOOGLEFINANCE(A1068,""PRICE""),)"),278.0)</f>
        <v>278</v>
      </c>
      <c r="I1068" s="61">
        <f>IFERROR(__xludf.DUMMYFUNCTION("IFERROR(GOOGLEFINANCE(A1068,""VOLUME""),)"),6519323.0)</f>
        <v>6519323</v>
      </c>
      <c r="J1068" s="60" t="str">
        <f>IFERROR(__xludf.DUMMYFUNCTION("IFERROR(INDEX(SPLIT(A1068,"":""),1,2),)"),"PFOCUS")</f>
        <v>PFOCUS</v>
      </c>
      <c r="K1068" s="60" t="str">
        <f t="shared" si="4"/>
        <v/>
      </c>
      <c r="L1068" s="60">
        <f t="shared" si="5"/>
        <v>75</v>
      </c>
      <c r="M1068" s="60">
        <f t="shared" si="6"/>
        <v>85</v>
      </c>
      <c r="N1068" s="62">
        <f>IFERROR(__xludf.DUMMYFUNCTION("IFERROR(GOOGLEFINANCE(A1068,""TRADETIME""),)"),46086.64585648148)</f>
        <v>46086.64586</v>
      </c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</row>
    <row r="1069">
      <c r="A1069" s="68" t="s">
        <v>1115</v>
      </c>
      <c r="B1069" s="64" t="str">
        <f>IFERROR(__xludf.DUMMYFUNCTION("IFERROR(GOOGLEFINANCE(A1069,""NAME""),)"),"PTC India Financial Services Ltd")</f>
        <v>PTC India Financial Services Ltd</v>
      </c>
      <c r="C1069" s="64">
        <f>IFERROR(__xludf.DUMMYFUNCTION("IFERROR(GOOGLEFINANCE(A1069,""CHANGE""),)"),0.56)</f>
        <v>0.56</v>
      </c>
      <c r="D1069" s="64">
        <f>IFERROR(__xludf.DUMMYFUNCTION("IFERROR(GOOGLEFINANCE(A1069,""CHANGEPCT""),)"),1.98)</f>
        <v>1.98</v>
      </c>
      <c r="E1069" s="64" t="str">
        <f t="shared" si="1"/>
        <v>1.98%</v>
      </c>
      <c r="F1069" s="64">
        <f t="shared" si="2"/>
        <v>1.98</v>
      </c>
      <c r="G1069" s="64" t="str">
        <f t="shared" si="3"/>
        <v/>
      </c>
      <c r="H1069" s="64">
        <f>IFERROR(__xludf.DUMMYFUNCTION("IFERROR(GOOGLEFINANCE(A1069,""PRICE""),)"),28.85)</f>
        <v>28.85</v>
      </c>
      <c r="I1069" s="65">
        <f>IFERROR(__xludf.DUMMYFUNCTION("IFERROR(GOOGLEFINANCE(A1069,""VOLUME""),)"),803843.0)</f>
        <v>803843</v>
      </c>
      <c r="J1069" s="64" t="str">
        <f>IFERROR(__xludf.DUMMYFUNCTION("IFERROR(INDEX(SPLIT(A1069,"":""),1,2),)"),"PFS")</f>
        <v>PFS</v>
      </c>
      <c r="K1069" s="64">
        <f t="shared" si="4"/>
        <v>447</v>
      </c>
      <c r="L1069" s="64" t="str">
        <f t="shared" si="5"/>
        <v/>
      </c>
      <c r="M1069" s="64">
        <f t="shared" si="6"/>
        <v>314</v>
      </c>
      <c r="N1069" s="66">
        <f>IFERROR(__xludf.DUMMYFUNCTION("IFERROR(GOOGLEFINANCE(A1069,""TRADETIME""),)"),46086.64583333333)</f>
        <v>46086.64583</v>
      </c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</row>
    <row r="1070">
      <c r="A1070" s="67" t="s">
        <v>1116</v>
      </c>
      <c r="B1070" s="60" t="str">
        <f>IFERROR(__xludf.DUMMYFUNCTION("IFERROR(GOOGLEFINANCE(A1070,""NAME""),)"),"PG Electroplast Ltd")</f>
        <v>PG Electroplast Ltd</v>
      </c>
      <c r="C1070" s="60">
        <f>IFERROR(__xludf.DUMMYFUNCTION("IFERROR(GOOGLEFINANCE(A1070,""CHANGE""),)"),22.05)</f>
        <v>22.05</v>
      </c>
      <c r="D1070" s="60">
        <f>IFERROR(__xludf.DUMMYFUNCTION("IFERROR(GOOGLEFINANCE(A1070,""CHANGEPCT""),)"),3.72)</f>
        <v>3.72</v>
      </c>
      <c r="E1070" s="60" t="str">
        <f t="shared" si="1"/>
        <v>3.72%</v>
      </c>
      <c r="F1070" s="60">
        <f t="shared" si="2"/>
        <v>3.72</v>
      </c>
      <c r="G1070" s="60" t="str">
        <f t="shared" si="3"/>
        <v/>
      </c>
      <c r="H1070" s="60">
        <f>IFERROR(__xludf.DUMMYFUNCTION("IFERROR(GOOGLEFINANCE(A1070,""PRICE""),)"),615.0)</f>
        <v>615</v>
      </c>
      <c r="I1070" s="61">
        <f>IFERROR(__xludf.DUMMYFUNCTION("IFERROR(GOOGLEFINANCE(A1070,""VOLUME""),)"),2091523.0)</f>
        <v>2091523</v>
      </c>
      <c r="J1070" s="60" t="str">
        <f>IFERROR(__xludf.DUMMYFUNCTION("IFERROR(INDEX(SPLIT(A1070,"":""),1,2),)"),"PGEL")</f>
        <v>PGEL</v>
      </c>
      <c r="K1070" s="60">
        <f t="shared" si="4"/>
        <v>170</v>
      </c>
      <c r="L1070" s="60" t="str">
        <f t="shared" si="5"/>
        <v/>
      </c>
      <c r="M1070" s="60">
        <f t="shared" si="6"/>
        <v>192</v>
      </c>
      <c r="N1070" s="62">
        <f>IFERROR(__xludf.DUMMYFUNCTION("IFERROR(GOOGLEFINANCE(A1070,""TRADETIME""),)"),46086.64585648148)</f>
        <v>46086.64586</v>
      </c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</row>
    <row r="1071">
      <c r="A1071" s="68" t="s">
        <v>1117</v>
      </c>
      <c r="B1071" s="64" t="str">
        <f>IFERROR(__xludf.DUMMYFUNCTION("IFERROR(GOOGLEFINANCE(A1071,""NAME""),)"),"Procter &amp; Gamble Hygiene &amp; Health Care")</f>
        <v>Procter &amp; Gamble Hygiene &amp; Health Care</v>
      </c>
      <c r="C1071" s="64">
        <f>IFERROR(__xludf.DUMMYFUNCTION("IFERROR(GOOGLEFINANCE(A1071,""CHANGE""),)"),1.0)</f>
        <v>1</v>
      </c>
      <c r="D1071" s="64">
        <f>IFERROR(__xludf.DUMMYFUNCTION("IFERROR(GOOGLEFINANCE(A1071,""CHANGEPCT""),)"),0.01)</f>
        <v>0.01</v>
      </c>
      <c r="E1071" s="64" t="str">
        <f t="shared" si="1"/>
        <v>0.01%</v>
      </c>
      <c r="F1071" s="64">
        <f t="shared" si="2"/>
        <v>0.01</v>
      </c>
      <c r="G1071" s="64" t="str">
        <f t="shared" si="3"/>
        <v/>
      </c>
      <c r="H1071" s="64">
        <f>IFERROR(__xludf.DUMMYFUNCTION("IFERROR(GOOGLEFINANCE(A1071,""PRICE""),)"),11227.0)</f>
        <v>11227</v>
      </c>
      <c r="I1071" s="65">
        <f>IFERROR(__xludf.DUMMYFUNCTION("IFERROR(GOOGLEFINANCE(A1071,""VOLUME""),)"),8780.0)</f>
        <v>8780</v>
      </c>
      <c r="J1071" s="64" t="str">
        <f>IFERROR(__xludf.DUMMYFUNCTION("IFERROR(INDEX(SPLIT(A1071,"":""),1,2),)"),"PGHH")</f>
        <v>PGHH</v>
      </c>
      <c r="K1071" s="64">
        <f t="shared" si="4"/>
        <v>1005</v>
      </c>
      <c r="L1071" s="64" t="str">
        <f t="shared" si="5"/>
        <v/>
      </c>
      <c r="M1071" s="64">
        <f t="shared" si="6"/>
        <v>1281</v>
      </c>
      <c r="N1071" s="66">
        <f>IFERROR(__xludf.DUMMYFUNCTION("IFERROR(GOOGLEFINANCE(A1071,""TRADETIME""),)"),46086.643900462965)</f>
        <v>46086.6439</v>
      </c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</row>
    <row r="1072">
      <c r="A1072" s="67" t="s">
        <v>1118</v>
      </c>
      <c r="B1072" s="60" t="str">
        <f>IFERROR(__xludf.DUMMYFUNCTION("IFERROR(GOOGLEFINANCE(A1072,""NAME""),)"),"Procter &amp; Gamble Health Ltd")</f>
        <v>Procter &amp; Gamble Health Ltd</v>
      </c>
      <c r="C1072" s="60">
        <f>IFERROR(__xludf.DUMMYFUNCTION("IFERROR(GOOGLEFINANCE(A1072,""CHANGE""),)"),11.0)</f>
        <v>11</v>
      </c>
      <c r="D1072" s="60">
        <f>IFERROR(__xludf.DUMMYFUNCTION("IFERROR(GOOGLEFINANCE(A1072,""CHANGEPCT""),)"),0.23)</f>
        <v>0.23</v>
      </c>
      <c r="E1072" s="60" t="str">
        <f t="shared" si="1"/>
        <v>0.23%</v>
      </c>
      <c r="F1072" s="60">
        <f t="shared" si="2"/>
        <v>0.23</v>
      </c>
      <c r="G1072" s="60" t="str">
        <f t="shared" si="3"/>
        <v/>
      </c>
      <c r="H1072" s="60">
        <f>IFERROR(__xludf.DUMMYFUNCTION("IFERROR(GOOGLEFINANCE(A1072,""PRICE""),)"),4870.0)</f>
        <v>4870</v>
      </c>
      <c r="I1072" s="61">
        <f>IFERROR(__xludf.DUMMYFUNCTION("IFERROR(GOOGLEFINANCE(A1072,""VOLUME""),)"),8093.0)</f>
        <v>8093</v>
      </c>
      <c r="J1072" s="60" t="str">
        <f>IFERROR(__xludf.DUMMYFUNCTION("IFERROR(INDEX(SPLIT(A1072,"":""),1,2),)"),"PGHL")</f>
        <v>PGHL</v>
      </c>
      <c r="K1072" s="60">
        <f t="shared" si="4"/>
        <v>945</v>
      </c>
      <c r="L1072" s="60" t="str">
        <f t="shared" si="5"/>
        <v/>
      </c>
      <c r="M1072" s="60">
        <f t="shared" si="6"/>
        <v>1299</v>
      </c>
      <c r="N1072" s="62">
        <f>IFERROR(__xludf.DUMMYFUNCTION("IFERROR(GOOGLEFINANCE(A1072,""TRADETIME""),)"),46086.64583333333)</f>
        <v>46086.64583</v>
      </c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</row>
    <row r="1073">
      <c r="A1073" s="68" t="s">
        <v>1119</v>
      </c>
      <c r="B1073" s="64" t="str">
        <f>IFERROR(__xludf.DUMMYFUNCTION("IFERROR(GOOGLEFINANCE(A1073,""NAME""),)"),"Pearl Global Industries Ltd")</f>
        <v>Pearl Global Industries Ltd</v>
      </c>
      <c r="C1073" s="64">
        <f>IFERROR(__xludf.DUMMYFUNCTION("IFERROR(GOOGLEFINANCE(A1073,""CHANGE""),)"),5.1)</f>
        <v>5.1</v>
      </c>
      <c r="D1073" s="64">
        <f>IFERROR(__xludf.DUMMYFUNCTION("IFERROR(GOOGLEFINANCE(A1073,""CHANGEPCT""),)"),0.33)</f>
        <v>0.33</v>
      </c>
      <c r="E1073" s="64" t="str">
        <f t="shared" si="1"/>
        <v>0.33%</v>
      </c>
      <c r="F1073" s="64">
        <f t="shared" si="2"/>
        <v>0.33</v>
      </c>
      <c r="G1073" s="64" t="str">
        <f t="shared" si="3"/>
        <v/>
      </c>
      <c r="H1073" s="64">
        <f>IFERROR(__xludf.DUMMYFUNCTION("IFERROR(GOOGLEFINANCE(A1073,""PRICE""),)"),1554.0)</f>
        <v>1554</v>
      </c>
      <c r="I1073" s="65">
        <f>IFERROR(__xludf.DUMMYFUNCTION("IFERROR(GOOGLEFINANCE(A1073,""VOLUME""),)"),33613.0)</f>
        <v>33613</v>
      </c>
      <c r="J1073" s="64" t="str">
        <f>IFERROR(__xludf.DUMMYFUNCTION("IFERROR(INDEX(SPLIT(A1073,"":""),1,2),)"),"PGIL")</f>
        <v>PGIL</v>
      </c>
      <c r="K1073" s="64">
        <f t="shared" si="4"/>
        <v>922</v>
      </c>
      <c r="L1073" s="64" t="str">
        <f t="shared" si="5"/>
        <v/>
      </c>
      <c r="M1073" s="64">
        <f t="shared" si="6"/>
        <v>1028</v>
      </c>
      <c r="N1073" s="66">
        <f>IFERROR(__xludf.DUMMYFUNCTION("IFERROR(GOOGLEFINANCE(A1073,""TRADETIME""),)"),46086.64583333333)</f>
        <v>46086.64583</v>
      </c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</row>
    <row r="1074">
      <c r="A1074" s="67" t="s">
        <v>1120</v>
      </c>
      <c r="B1074" s="60" t="str">
        <f>IFERROR(__xludf.DUMMYFUNCTION("IFERROR(GOOGLEFINANCE(A1074,""NAME""),)"),"PCBL Chemical Ltd")</f>
        <v>PCBL Chemical Ltd</v>
      </c>
      <c r="C1074" s="60">
        <f>IFERROR(__xludf.DUMMYFUNCTION("IFERROR(GOOGLEFINANCE(A1074,""CHANGE""),)"),-1.3)</f>
        <v>-1.3</v>
      </c>
      <c r="D1074" s="60">
        <f>IFERROR(__xludf.DUMMYFUNCTION("IFERROR(GOOGLEFINANCE(A1074,""CHANGEPCT""),)"),-0.65)</f>
        <v>-0.65</v>
      </c>
      <c r="E1074" s="60" t="str">
        <f t="shared" si="1"/>
        <v>-0.65%</v>
      </c>
      <c r="F1074" s="60" t="str">
        <f t="shared" si="2"/>
        <v/>
      </c>
      <c r="G1074" s="60">
        <f t="shared" si="3"/>
        <v>-0.65</v>
      </c>
      <c r="H1074" s="60">
        <f>IFERROR(__xludf.DUMMYFUNCTION("IFERROR(GOOGLEFINANCE(A1074,""PRICE""),)"),284.7)</f>
        <v>284.7</v>
      </c>
      <c r="I1074" s="61">
        <f>IFERROR(__xludf.DUMMYFUNCTION("IFERROR(GOOGLEFINANCE(A1074,""VOLUME""),)"),1078305.0)</f>
        <v>1078305</v>
      </c>
      <c r="J1074" s="60" t="str">
        <f>IFERROR(__xludf.DUMMYFUNCTION("IFERROR(INDEX(SPLIT(A1074,"":""),1,2),)"),"PCBL")</f>
        <v>PCBL</v>
      </c>
      <c r="K1074" s="60" t="str">
        <f t="shared" si="4"/>
        <v/>
      </c>
      <c r="L1074" s="60">
        <f t="shared" si="5"/>
        <v>159</v>
      </c>
      <c r="M1074" s="60">
        <f t="shared" si="6"/>
        <v>275</v>
      </c>
      <c r="N1074" s="62">
        <f>IFERROR(__xludf.DUMMYFUNCTION("IFERROR(GOOGLEFINANCE(A1074,""TRADETIME""),)"),46086.64585648148)</f>
        <v>46086.64586</v>
      </c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</row>
    <row r="1075">
      <c r="A1075" s="68" t="s">
        <v>1121</v>
      </c>
      <c r="B1075" s="64" t="str">
        <f>IFERROR(__xludf.DUMMYFUNCTION("IFERROR(GOOGLEFINANCE(A1075,""NAME""),)"),"Phoenix Mills Ltd")</f>
        <v>Phoenix Mills Ltd</v>
      </c>
      <c r="C1075" s="64">
        <f>IFERROR(__xludf.DUMMYFUNCTION("IFERROR(GOOGLEFINANCE(A1075,""CHANGE""),)"),-1.1)</f>
        <v>-1.1</v>
      </c>
      <c r="D1075" s="64">
        <f>IFERROR(__xludf.DUMMYFUNCTION("IFERROR(GOOGLEFINANCE(A1075,""CHANGEPCT""),)"),-0.07)</f>
        <v>-0.07</v>
      </c>
      <c r="E1075" s="64" t="str">
        <f t="shared" si="1"/>
        <v>-0.07%</v>
      </c>
      <c r="F1075" s="64" t="str">
        <f t="shared" si="2"/>
        <v/>
      </c>
      <c r="G1075" s="64">
        <f t="shared" si="3"/>
        <v>-0.07</v>
      </c>
      <c r="H1075" s="64">
        <f>IFERROR(__xludf.DUMMYFUNCTION("IFERROR(GOOGLEFINANCE(A1075,""PRICE""),)"),1609.9)</f>
        <v>1609.9</v>
      </c>
      <c r="I1075" s="65">
        <f>IFERROR(__xludf.DUMMYFUNCTION("IFERROR(GOOGLEFINANCE(A1075,""VOLUME""),)"),619771.0)</f>
        <v>619771</v>
      </c>
      <c r="J1075" s="64" t="str">
        <f>IFERROR(__xludf.DUMMYFUNCTION("IFERROR(INDEX(SPLIT(A1075,"":""),1,2),)"),"PHOENIXLTD")</f>
        <v>PHOENIXLTD</v>
      </c>
      <c r="K1075" s="64" t="str">
        <f t="shared" si="4"/>
        <v/>
      </c>
      <c r="L1075" s="64">
        <f t="shared" si="5"/>
        <v>20</v>
      </c>
      <c r="M1075" s="64">
        <f t="shared" si="6"/>
        <v>354</v>
      </c>
      <c r="N1075" s="66">
        <f>IFERROR(__xludf.DUMMYFUNCTION("IFERROR(GOOGLEFINANCE(A1075,""TRADETIME""),)"),46086.64583333333)</f>
        <v>46086.64583</v>
      </c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</row>
    <row r="1076">
      <c r="A1076" s="67" t="s">
        <v>1122</v>
      </c>
      <c r="B1076" s="60" t="str">
        <f>IFERROR(__xludf.DUMMYFUNCTION("IFERROR(GOOGLEFINANCE(A1076,""NAME""),)"),"Pidilite Industries Ltd")</f>
        <v>Pidilite Industries Ltd</v>
      </c>
      <c r="C1076" s="60">
        <f>IFERROR(__xludf.DUMMYFUNCTION("IFERROR(GOOGLEFINANCE(A1076,""CHANGE""),)"),2.9)</f>
        <v>2.9</v>
      </c>
      <c r="D1076" s="60">
        <f>IFERROR(__xludf.DUMMYFUNCTION("IFERROR(GOOGLEFINANCE(A1076,""CHANGEPCT""),)"),0.2)</f>
        <v>0.2</v>
      </c>
      <c r="E1076" s="60" t="str">
        <f t="shared" si="1"/>
        <v>0.2%</v>
      </c>
      <c r="F1076" s="60">
        <f t="shared" si="2"/>
        <v>0.2</v>
      </c>
      <c r="G1076" s="60" t="str">
        <f t="shared" si="3"/>
        <v/>
      </c>
      <c r="H1076" s="60">
        <f>IFERROR(__xludf.DUMMYFUNCTION("IFERROR(GOOGLEFINANCE(A1076,""PRICE""),)"),1442.0)</f>
        <v>1442</v>
      </c>
      <c r="I1076" s="61">
        <f>IFERROR(__xludf.DUMMYFUNCTION("IFERROR(GOOGLEFINANCE(A1076,""VOLUME""),)"),571560.0)</f>
        <v>571560</v>
      </c>
      <c r="J1076" s="60" t="str">
        <f>IFERROR(__xludf.DUMMYFUNCTION("IFERROR(INDEX(SPLIT(A1076,"":""),1,2),)"),"PIDILITIND")</f>
        <v>PIDILITIND</v>
      </c>
      <c r="K1076" s="60">
        <f t="shared" si="4"/>
        <v>952</v>
      </c>
      <c r="L1076" s="60" t="str">
        <f t="shared" si="5"/>
        <v/>
      </c>
      <c r="M1076" s="60">
        <f t="shared" si="6"/>
        <v>381</v>
      </c>
      <c r="N1076" s="62">
        <f>IFERROR(__xludf.DUMMYFUNCTION("IFERROR(GOOGLEFINANCE(A1076,""TRADETIME""),)"),46086.64583333333)</f>
        <v>46086.64583</v>
      </c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</row>
    <row r="1077">
      <c r="A1077" s="68" t="s">
        <v>1123</v>
      </c>
      <c r="B1077" s="64" t="str">
        <f>IFERROR(__xludf.DUMMYFUNCTION("IFERROR(GOOGLEFINANCE(A1077,""NAME""),)"),"PI Industries Ltd")</f>
        <v>PI Industries Ltd</v>
      </c>
      <c r="C1077" s="64">
        <f>IFERROR(__xludf.DUMMYFUNCTION("IFERROR(GOOGLEFINANCE(A1077,""CHANGE""),)"),6.5)</f>
        <v>6.5</v>
      </c>
      <c r="D1077" s="64">
        <f>IFERROR(__xludf.DUMMYFUNCTION("IFERROR(GOOGLEFINANCE(A1077,""CHANGEPCT""),)"),0.21)</f>
        <v>0.21</v>
      </c>
      <c r="E1077" s="64" t="str">
        <f t="shared" si="1"/>
        <v>0.21%</v>
      </c>
      <c r="F1077" s="64">
        <f t="shared" si="2"/>
        <v>0.21</v>
      </c>
      <c r="G1077" s="64" t="str">
        <f t="shared" si="3"/>
        <v/>
      </c>
      <c r="H1077" s="64">
        <f>IFERROR(__xludf.DUMMYFUNCTION("IFERROR(GOOGLEFINANCE(A1077,""PRICE""),)"),3070.0)</f>
        <v>3070</v>
      </c>
      <c r="I1077" s="65">
        <f>IFERROR(__xludf.DUMMYFUNCTION("IFERROR(GOOGLEFINANCE(A1077,""VOLUME""),)"),126881.0)</f>
        <v>126881</v>
      </c>
      <c r="J1077" s="64" t="str">
        <f>IFERROR(__xludf.DUMMYFUNCTION("IFERROR(INDEX(SPLIT(A1077,"":""),1,2),)"),"PIIND")</f>
        <v>PIIND</v>
      </c>
      <c r="K1077" s="64">
        <f t="shared" si="4"/>
        <v>948</v>
      </c>
      <c r="L1077" s="64" t="str">
        <f t="shared" si="5"/>
        <v/>
      </c>
      <c r="M1077" s="64">
        <f t="shared" si="6"/>
        <v>708</v>
      </c>
      <c r="N1077" s="66">
        <f>IFERROR(__xludf.DUMMYFUNCTION("IFERROR(GOOGLEFINANCE(A1077,""TRADETIME""),)"),46086.64583333333)</f>
        <v>46086.64583</v>
      </c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</row>
    <row r="1078">
      <c r="A1078" s="67" t="s">
        <v>1124</v>
      </c>
      <c r="B1078" s="60" t="str">
        <f>IFERROR(__xludf.DUMMYFUNCTION("IFERROR(GOOGLEFINANCE(A1078,""NAME""),)"),"Pilani Investment &amp; Industries Corp Ltd")</f>
        <v>Pilani Investment &amp; Industries Corp Ltd</v>
      </c>
      <c r="C1078" s="60">
        <f>IFERROR(__xludf.DUMMYFUNCTION("IFERROR(GOOGLEFINANCE(A1078,""CHANGE""),)"),1.8)</f>
        <v>1.8</v>
      </c>
      <c r="D1078" s="60">
        <f>IFERROR(__xludf.DUMMYFUNCTION("IFERROR(GOOGLEFINANCE(A1078,""CHANGEPCT""),)"),0.04)</f>
        <v>0.04</v>
      </c>
      <c r="E1078" s="60" t="str">
        <f t="shared" si="1"/>
        <v>0.04%</v>
      </c>
      <c r="F1078" s="60">
        <f t="shared" si="2"/>
        <v>0.04</v>
      </c>
      <c r="G1078" s="60" t="str">
        <f t="shared" si="3"/>
        <v/>
      </c>
      <c r="H1078" s="60">
        <f>IFERROR(__xludf.DUMMYFUNCTION("IFERROR(GOOGLEFINANCE(A1078,""PRICE""),)"),4418.0)</f>
        <v>4418</v>
      </c>
      <c r="I1078" s="61">
        <f>IFERROR(__xludf.DUMMYFUNCTION("IFERROR(GOOGLEFINANCE(A1078,""VOLUME""),)"),1785.0)</f>
        <v>1785</v>
      </c>
      <c r="J1078" s="60" t="str">
        <f>IFERROR(__xludf.DUMMYFUNCTION("IFERROR(INDEX(SPLIT(A1078,"":""),1,2),)"),"PILANIINVS")</f>
        <v>PILANIINVS</v>
      </c>
      <c r="K1078" s="60">
        <f t="shared" si="4"/>
        <v>991</v>
      </c>
      <c r="L1078" s="60" t="str">
        <f t="shared" si="5"/>
        <v/>
      </c>
      <c r="M1078" s="60">
        <f t="shared" si="6"/>
        <v>1413</v>
      </c>
      <c r="N1078" s="62">
        <f>IFERROR(__xludf.DUMMYFUNCTION("IFERROR(GOOGLEFINANCE(A1078,""TRADETIME""),)"),46086.64583333333)</f>
        <v>46086.64583</v>
      </c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</row>
    <row r="1079">
      <c r="A1079" s="68" t="s">
        <v>1125</v>
      </c>
      <c r="B1079" s="64" t="str">
        <f>IFERROR(__xludf.DUMMYFUNCTION("IFERROR(GOOGLEFINANCE(A1079,""NAME""),)"),"Pil Italica Lifestyle Ltd")</f>
        <v>Pil Italica Lifestyle Ltd</v>
      </c>
      <c r="C1079" s="64">
        <f>IFERROR(__xludf.DUMMYFUNCTION("IFERROR(GOOGLEFINANCE(A1079,""CHANGE""),)"),0.58)</f>
        <v>0.58</v>
      </c>
      <c r="D1079" s="64">
        <f>IFERROR(__xludf.DUMMYFUNCTION("IFERROR(GOOGLEFINANCE(A1079,""CHANGEPCT""),)"),7.52)</f>
        <v>7.52</v>
      </c>
      <c r="E1079" s="64" t="str">
        <f t="shared" si="1"/>
        <v>7.52%</v>
      </c>
      <c r="F1079" s="64">
        <f t="shared" si="2"/>
        <v>7.52</v>
      </c>
      <c r="G1079" s="64" t="str">
        <f t="shared" si="3"/>
        <v/>
      </c>
      <c r="H1079" s="64">
        <f>IFERROR(__xludf.DUMMYFUNCTION("IFERROR(GOOGLEFINANCE(A1079,""PRICE""),)"),8.29)</f>
        <v>8.29</v>
      </c>
      <c r="I1079" s="65">
        <f>IFERROR(__xludf.DUMMYFUNCTION("IFERROR(GOOGLEFINANCE(A1079,""VOLUME""),)"),63776.0)</f>
        <v>63776</v>
      </c>
      <c r="J1079" s="64" t="str">
        <f>IFERROR(__xludf.DUMMYFUNCTION("IFERROR(INDEX(SPLIT(A1079,"":""),1,2),)"),"PILITA")</f>
        <v>PILITA</v>
      </c>
      <c r="K1079" s="64">
        <f t="shared" si="4"/>
        <v>24</v>
      </c>
      <c r="L1079" s="64" t="str">
        <f t="shared" si="5"/>
        <v/>
      </c>
      <c r="M1079" s="64">
        <f t="shared" si="6"/>
        <v>865</v>
      </c>
      <c r="N1079" s="66">
        <f>IFERROR(__xludf.DUMMYFUNCTION("IFERROR(GOOGLEFINANCE(A1079,""TRADETIME""),)"),46086.64583333333)</f>
        <v>46086.64583</v>
      </c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</row>
    <row r="1080">
      <c r="A1080" s="67" t="s">
        <v>1126</v>
      </c>
      <c r="B1080" s="60" t="str">
        <f>IFERROR(__xludf.DUMMYFUNCTION("IFERROR(GOOGLEFINANCE(A1080,""NAME""),)"),"Pioneer Embroideries Ltd")</f>
        <v>Pioneer Embroideries Ltd</v>
      </c>
      <c r="C1080" s="60">
        <f>IFERROR(__xludf.DUMMYFUNCTION("IFERROR(GOOGLEFINANCE(A1080,""CHANGE""),)"),-0.18)</f>
        <v>-0.18</v>
      </c>
      <c r="D1080" s="60">
        <f>IFERROR(__xludf.DUMMYFUNCTION("IFERROR(GOOGLEFINANCE(A1080,""CHANGEPCT""),)"),-0.69)</f>
        <v>-0.69</v>
      </c>
      <c r="E1080" s="60" t="str">
        <f t="shared" si="1"/>
        <v>-0.69%</v>
      </c>
      <c r="F1080" s="60" t="str">
        <f t="shared" si="2"/>
        <v/>
      </c>
      <c r="G1080" s="60">
        <f t="shared" si="3"/>
        <v>-0.69</v>
      </c>
      <c r="H1080" s="60">
        <f>IFERROR(__xludf.DUMMYFUNCTION("IFERROR(GOOGLEFINANCE(A1080,""PRICE""),)"),25.94)</f>
        <v>25.94</v>
      </c>
      <c r="I1080" s="61">
        <f>IFERROR(__xludf.DUMMYFUNCTION("IFERROR(GOOGLEFINANCE(A1080,""VOLUME""),)"),24642.0)</f>
        <v>24642</v>
      </c>
      <c r="J1080" s="60" t="str">
        <f>IFERROR(__xludf.DUMMYFUNCTION("IFERROR(INDEX(SPLIT(A1080,"":""),1,2),)"),"PIONEEREMB")</f>
        <v>PIONEEREMB</v>
      </c>
      <c r="K1080" s="60" t="str">
        <f t="shared" si="4"/>
        <v/>
      </c>
      <c r="L1080" s="60">
        <f t="shared" si="5"/>
        <v>167</v>
      </c>
      <c r="M1080" s="60">
        <f t="shared" si="6"/>
        <v>1100</v>
      </c>
      <c r="N1080" s="62">
        <f>IFERROR(__xludf.DUMMYFUNCTION("IFERROR(GOOGLEFINANCE(A1080,""TRADETIME""),)"),46086.64583333333)</f>
        <v>46086.64583</v>
      </c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</row>
    <row r="1081">
      <c r="A1081" s="68" t="s">
        <v>1127</v>
      </c>
      <c r="B1081" s="64" t="str">
        <f>IFERROR(__xludf.DUMMYFUNCTION("IFERROR(GOOGLEFINANCE(A1081,""NAME""),)"),"Pitti Engineering Ltd")</f>
        <v>Pitti Engineering Ltd</v>
      </c>
      <c r="C1081" s="64">
        <f>IFERROR(__xludf.DUMMYFUNCTION("IFERROR(GOOGLEFINANCE(A1081,""CHANGE""),)"),17.45)</f>
        <v>17.45</v>
      </c>
      <c r="D1081" s="64">
        <f>IFERROR(__xludf.DUMMYFUNCTION("IFERROR(GOOGLEFINANCE(A1081,""CHANGEPCT""),)"),2.02)</f>
        <v>2.02</v>
      </c>
      <c r="E1081" s="64" t="str">
        <f t="shared" si="1"/>
        <v>2.02%</v>
      </c>
      <c r="F1081" s="64">
        <f t="shared" si="2"/>
        <v>2.02</v>
      </c>
      <c r="G1081" s="64" t="str">
        <f t="shared" si="3"/>
        <v/>
      </c>
      <c r="H1081" s="64">
        <f>IFERROR(__xludf.DUMMYFUNCTION("IFERROR(GOOGLEFINANCE(A1081,""PRICE""),)"),882.0)</f>
        <v>882</v>
      </c>
      <c r="I1081" s="65">
        <f>IFERROR(__xludf.DUMMYFUNCTION("IFERROR(GOOGLEFINANCE(A1081,""VOLUME""),)"),33661.0)</f>
        <v>33661</v>
      </c>
      <c r="J1081" s="64" t="str">
        <f>IFERROR(__xludf.DUMMYFUNCTION("IFERROR(INDEX(SPLIT(A1081,"":""),1,2),)"),"PITTIENG")</f>
        <v>PITTIENG</v>
      </c>
      <c r="K1081" s="64">
        <f t="shared" si="4"/>
        <v>435</v>
      </c>
      <c r="L1081" s="64" t="str">
        <f t="shared" si="5"/>
        <v/>
      </c>
      <c r="M1081" s="64">
        <f t="shared" si="6"/>
        <v>1027</v>
      </c>
      <c r="N1081" s="66">
        <f>IFERROR(__xludf.DUMMYFUNCTION("IFERROR(GOOGLEFINANCE(A1081,""TRADETIME""),)"),46086.64583333333)</f>
        <v>46086.64583</v>
      </c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</row>
    <row r="1082">
      <c r="A1082" s="67" t="s">
        <v>1128</v>
      </c>
      <c r="B1082" s="60" t="str">
        <f>IFERROR(__xludf.DUMMYFUNCTION("IFERROR(GOOGLEFINANCE(A1082,""NAME""),)"),"Peria Karamalai Tea and Produc Cmpny Ltd")</f>
        <v>Peria Karamalai Tea and Produc Cmpny Ltd</v>
      </c>
      <c r="C1082" s="60">
        <f>IFERROR(__xludf.DUMMYFUNCTION("IFERROR(GOOGLEFINANCE(A1082,""CHANGE""),)"),19.5)</f>
        <v>19.5</v>
      </c>
      <c r="D1082" s="60">
        <f>IFERROR(__xludf.DUMMYFUNCTION("IFERROR(GOOGLEFINANCE(A1082,""CHANGEPCT""),)"),1.32)</f>
        <v>1.32</v>
      </c>
      <c r="E1082" s="60" t="str">
        <f t="shared" si="1"/>
        <v>1.32%</v>
      </c>
      <c r="F1082" s="60">
        <f t="shared" si="2"/>
        <v>1.32</v>
      </c>
      <c r="G1082" s="60" t="str">
        <f t="shared" si="3"/>
        <v/>
      </c>
      <c r="H1082" s="60">
        <f>IFERROR(__xludf.DUMMYFUNCTION("IFERROR(GOOGLEFINANCE(A1082,""PRICE""),)"),770.5)</f>
        <v>770.5</v>
      </c>
      <c r="I1082" s="61">
        <f>IFERROR(__xludf.DUMMYFUNCTION("IFERROR(GOOGLEFINANCE(A1082,""VOLUME""),)"),167.0)</f>
        <v>167</v>
      </c>
      <c r="J1082" s="60" t="str">
        <f>IFERROR(__xludf.DUMMYFUNCTION("IFERROR(INDEX(SPLIT(A1082,"":""),1,2),)"),"PKTEA")</f>
        <v>PKTEA</v>
      </c>
      <c r="K1082" s="60">
        <f t="shared" si="4"/>
        <v>633</v>
      </c>
      <c r="L1082" s="60" t="str">
        <f t="shared" si="5"/>
        <v/>
      </c>
      <c r="M1082" s="60">
        <f t="shared" si="6"/>
        <v>1456</v>
      </c>
      <c r="N1082" s="62">
        <f>IFERROR(__xludf.DUMMYFUNCTION("IFERROR(GOOGLEFINANCE(A1082,""TRADETIME""),)"),46086.64583333333)</f>
        <v>46086.64583</v>
      </c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</row>
    <row r="1083">
      <c r="A1083" s="68" t="s">
        <v>1129</v>
      </c>
      <c r="B1083" s="64" t="str">
        <f>IFERROR(__xludf.DUMMYFUNCTION("IFERROR(GOOGLEFINANCE(A1083,""NAME""),)"),"Plastiblends India Ltd")</f>
        <v>Plastiblends India Ltd</v>
      </c>
      <c r="C1083" s="64">
        <f>IFERROR(__xludf.DUMMYFUNCTION("IFERROR(GOOGLEFINANCE(A1083,""CHANGE""),)"),2.91)</f>
        <v>2.91</v>
      </c>
      <c r="D1083" s="64">
        <f>IFERROR(__xludf.DUMMYFUNCTION("IFERROR(GOOGLEFINANCE(A1083,""CHANGEPCT""),)"),3.2)</f>
        <v>3.2</v>
      </c>
      <c r="E1083" s="64" t="str">
        <f t="shared" si="1"/>
        <v>3.2%</v>
      </c>
      <c r="F1083" s="64">
        <f t="shared" si="2"/>
        <v>3.2</v>
      </c>
      <c r="G1083" s="64" t="str">
        <f t="shared" si="3"/>
        <v/>
      </c>
      <c r="H1083" s="64">
        <f>IFERROR(__xludf.DUMMYFUNCTION("IFERROR(GOOGLEFINANCE(A1083,""PRICE""),)"),140.75)</f>
        <v>140.75</v>
      </c>
      <c r="I1083" s="65">
        <f>IFERROR(__xludf.DUMMYFUNCTION("IFERROR(GOOGLEFINANCE(A1083,""VOLUME""),)"),13323.0)</f>
        <v>13323</v>
      </c>
      <c r="J1083" s="64" t="str">
        <f>IFERROR(__xludf.DUMMYFUNCTION("IFERROR(INDEX(SPLIT(A1083,"":""),1,2),)"),"PLASTIBLEN")</f>
        <v>PLASTIBLEN</v>
      </c>
      <c r="K1083" s="64">
        <f t="shared" si="4"/>
        <v>225</v>
      </c>
      <c r="L1083" s="64" t="str">
        <f t="shared" si="5"/>
        <v/>
      </c>
      <c r="M1083" s="64">
        <f t="shared" si="6"/>
        <v>1210</v>
      </c>
      <c r="N1083" s="66">
        <f>IFERROR(__xludf.DUMMYFUNCTION("IFERROR(GOOGLEFINANCE(A1083,""TRADETIME""),)"),46086.64586805555)</f>
        <v>46086.64587</v>
      </c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</row>
    <row r="1084">
      <c r="A1084" s="67" t="s">
        <v>1130</v>
      </c>
      <c r="B1084" s="60" t="str">
        <f>IFERROR(__xludf.DUMMYFUNCTION("IFERROR(GOOGLEFINANCE(A1084,""NAME""),)"),"Punjab National Bank")</f>
        <v>Punjab National Bank</v>
      </c>
      <c r="C1084" s="60">
        <f>IFERROR(__xludf.DUMMYFUNCTION("IFERROR(GOOGLEFINANCE(A1084,""CHANGE""),)"),0.65)</f>
        <v>0.65</v>
      </c>
      <c r="D1084" s="60">
        <f>IFERROR(__xludf.DUMMYFUNCTION("IFERROR(GOOGLEFINANCE(A1084,""CHANGEPCT""),)"),0.54)</f>
        <v>0.54</v>
      </c>
      <c r="E1084" s="60" t="str">
        <f t="shared" si="1"/>
        <v>0.54%</v>
      </c>
      <c r="F1084" s="60">
        <f t="shared" si="2"/>
        <v>0.54</v>
      </c>
      <c r="G1084" s="60" t="str">
        <f t="shared" si="3"/>
        <v/>
      </c>
      <c r="H1084" s="60">
        <f>IFERROR(__xludf.DUMMYFUNCTION("IFERROR(GOOGLEFINANCE(A1084,""PRICE""),)"),122.02)</f>
        <v>122.02</v>
      </c>
      <c r="I1084" s="61">
        <f>IFERROR(__xludf.DUMMYFUNCTION("IFERROR(GOOGLEFINANCE(A1084,""VOLUME""),)"),1.4982338E7)</f>
        <v>14982338</v>
      </c>
      <c r="J1084" s="60" t="str">
        <f>IFERROR(__xludf.DUMMYFUNCTION("IFERROR(INDEX(SPLIT(A1084,"":""),1,2),)"),"PNB")</f>
        <v>PNB</v>
      </c>
      <c r="K1084" s="60">
        <f t="shared" si="4"/>
        <v>867</v>
      </c>
      <c r="L1084" s="60" t="str">
        <f t="shared" si="5"/>
        <v/>
      </c>
      <c r="M1084" s="60">
        <f t="shared" si="6"/>
        <v>45</v>
      </c>
      <c r="N1084" s="62">
        <f>IFERROR(__xludf.DUMMYFUNCTION("IFERROR(GOOGLEFINANCE(A1084,""TRADETIME""),)"),46086.63983796297)</f>
        <v>46086.63984</v>
      </c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</row>
    <row r="1085">
      <c r="A1085" s="68" t="s">
        <v>1131</v>
      </c>
      <c r="B1085" s="64" t="str">
        <f>IFERROR(__xludf.DUMMYFUNCTION("IFERROR(GOOGLEFINANCE(A1085,""NAME""),)"),"PNB Gilts Ltd")</f>
        <v>PNB Gilts Ltd</v>
      </c>
      <c r="C1085" s="64">
        <f>IFERROR(__xludf.DUMMYFUNCTION("IFERROR(GOOGLEFINANCE(A1085,""CHANGE""),)"),0.06)</f>
        <v>0.06</v>
      </c>
      <c r="D1085" s="64">
        <f>IFERROR(__xludf.DUMMYFUNCTION("IFERROR(GOOGLEFINANCE(A1085,""CHANGEPCT""),)"),0.21)</f>
        <v>0.21</v>
      </c>
      <c r="E1085" s="64" t="str">
        <f t="shared" si="1"/>
        <v>0.21%</v>
      </c>
      <c r="F1085" s="64">
        <f t="shared" si="2"/>
        <v>0.21</v>
      </c>
      <c r="G1085" s="64" t="str">
        <f t="shared" si="3"/>
        <v/>
      </c>
      <c r="H1085" s="64">
        <f>IFERROR(__xludf.DUMMYFUNCTION("IFERROR(GOOGLEFINANCE(A1085,""PRICE""),)"),77.39)</f>
        <v>77.39</v>
      </c>
      <c r="I1085" s="65">
        <f>IFERROR(__xludf.DUMMYFUNCTION("IFERROR(GOOGLEFINANCE(A1085,""VOLUME""),)"),234152.0)</f>
        <v>234152</v>
      </c>
      <c r="J1085" s="64" t="str">
        <f>IFERROR(__xludf.DUMMYFUNCTION("IFERROR(INDEX(SPLIT(A1085,"":""),1,2),)"),"PNBGILTS")</f>
        <v>PNBGILTS</v>
      </c>
      <c r="K1085" s="64">
        <f t="shared" si="4"/>
        <v>949</v>
      </c>
      <c r="L1085" s="64" t="str">
        <f t="shared" si="5"/>
        <v/>
      </c>
      <c r="M1085" s="64">
        <f t="shared" si="6"/>
        <v>571</v>
      </c>
      <c r="N1085" s="66">
        <f>IFERROR(__xludf.DUMMYFUNCTION("IFERROR(GOOGLEFINANCE(A1085,""TRADETIME""),)"),46086.63984953704)</f>
        <v>46086.63985</v>
      </c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</row>
    <row r="1086">
      <c r="A1086" s="67" t="s">
        <v>1132</v>
      </c>
      <c r="B1086" s="60" t="str">
        <f>IFERROR(__xludf.DUMMYFUNCTION("IFERROR(GOOGLEFINANCE(A1086,""NAME""),)"),"PNB Housing Finance Ltd.")</f>
        <v>PNB Housing Finance Ltd.</v>
      </c>
      <c r="C1086" s="60">
        <f>IFERROR(__xludf.DUMMYFUNCTION("IFERROR(GOOGLEFINANCE(A1086,""CHANGE""),)"),5.2)</f>
        <v>5.2</v>
      </c>
      <c r="D1086" s="60">
        <f>IFERROR(__xludf.DUMMYFUNCTION("IFERROR(GOOGLEFINANCE(A1086,""CHANGEPCT""),)"),0.79)</f>
        <v>0.79</v>
      </c>
      <c r="E1086" s="60" t="str">
        <f t="shared" si="1"/>
        <v>0.79%</v>
      </c>
      <c r="F1086" s="60">
        <f t="shared" si="2"/>
        <v>0.79</v>
      </c>
      <c r="G1086" s="60" t="str">
        <f t="shared" si="3"/>
        <v/>
      </c>
      <c r="H1086" s="60">
        <f>IFERROR(__xludf.DUMMYFUNCTION("IFERROR(GOOGLEFINANCE(A1086,""PRICE""),)"),789.35)</f>
        <v>789.35</v>
      </c>
      <c r="I1086" s="61">
        <f>IFERROR(__xludf.DUMMYFUNCTION("IFERROR(GOOGLEFINANCE(A1086,""VOLUME""),)"),860250.0)</f>
        <v>860250</v>
      </c>
      <c r="J1086" s="60" t="str">
        <f>IFERROR(__xludf.DUMMYFUNCTION("IFERROR(INDEX(SPLIT(A1086,"":""),1,2),)"),"PNBHOUSING")</f>
        <v>PNBHOUSING</v>
      </c>
      <c r="K1086" s="60">
        <f t="shared" si="4"/>
        <v>789</v>
      </c>
      <c r="L1086" s="60" t="str">
        <f t="shared" si="5"/>
        <v/>
      </c>
      <c r="M1086" s="60">
        <f t="shared" si="6"/>
        <v>308</v>
      </c>
      <c r="N1086" s="62">
        <f>IFERROR(__xludf.DUMMYFUNCTION("IFERROR(GOOGLEFINANCE(A1086,""TRADETIME""),)"),46086.64583333333)</f>
        <v>46086.64583</v>
      </c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</row>
    <row r="1087">
      <c r="A1087" s="68" t="s">
        <v>1133</v>
      </c>
      <c r="B1087" s="64" t="str">
        <f>IFERROR(__xludf.DUMMYFUNCTION("IFERROR(GOOGLEFINANCE(A1087,""NAME""),)"),"Pritish Nandy Communications Ltd")</f>
        <v>Pritish Nandy Communications Ltd</v>
      </c>
      <c r="C1087" s="64">
        <f>IFERROR(__xludf.DUMMYFUNCTION("IFERROR(GOOGLEFINANCE(A1087,""CHANGE""),)"),0.15)</f>
        <v>0.15</v>
      </c>
      <c r="D1087" s="64">
        <f>IFERROR(__xludf.DUMMYFUNCTION("IFERROR(GOOGLEFINANCE(A1087,""CHANGEPCT""),)"),0.63)</f>
        <v>0.63</v>
      </c>
      <c r="E1087" s="64" t="str">
        <f t="shared" si="1"/>
        <v>0.63%</v>
      </c>
      <c r="F1087" s="64">
        <f t="shared" si="2"/>
        <v>0.63</v>
      </c>
      <c r="G1087" s="64" t="str">
        <f t="shared" si="3"/>
        <v/>
      </c>
      <c r="H1087" s="64">
        <f>IFERROR(__xludf.DUMMYFUNCTION("IFERROR(GOOGLEFINANCE(A1087,""PRICE""),)"),23.9)</f>
        <v>23.9</v>
      </c>
      <c r="I1087" s="65">
        <f>IFERROR(__xludf.DUMMYFUNCTION("IFERROR(GOOGLEFINANCE(A1087,""VOLUME""),)"),1780.0)</f>
        <v>1780</v>
      </c>
      <c r="J1087" s="64" t="str">
        <f>IFERROR(__xludf.DUMMYFUNCTION("IFERROR(INDEX(SPLIT(A1087,"":""),1,2),)"),"PNC")</f>
        <v>PNC</v>
      </c>
      <c r="K1087" s="64">
        <f t="shared" si="4"/>
        <v>840</v>
      </c>
      <c r="L1087" s="64" t="str">
        <f t="shared" si="5"/>
        <v/>
      </c>
      <c r="M1087" s="64">
        <f t="shared" si="6"/>
        <v>1414</v>
      </c>
      <c r="N1087" s="66">
        <f>IFERROR(__xludf.DUMMYFUNCTION("IFERROR(GOOGLEFINANCE(A1087,""TRADETIME""),)"),46086.64583333333)</f>
        <v>46086.64583</v>
      </c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</row>
    <row r="1088">
      <c r="A1088" s="67" t="s">
        <v>1134</v>
      </c>
      <c r="B1088" s="60" t="str">
        <f>IFERROR(__xludf.DUMMYFUNCTION("IFERROR(GOOGLEFINANCE(A1088,""NAME""),)"),"PNC Infratech Ltd")</f>
        <v>PNC Infratech Ltd</v>
      </c>
      <c r="C1088" s="60">
        <f>IFERROR(__xludf.DUMMYFUNCTION("IFERROR(GOOGLEFINANCE(A1088,""CHANGE""),)"),-0.39)</f>
        <v>-0.39</v>
      </c>
      <c r="D1088" s="60">
        <f>IFERROR(__xludf.DUMMYFUNCTION("IFERROR(GOOGLEFINANCE(A1088,""CHANGEPCT""),)"),-0.2)</f>
        <v>-0.2</v>
      </c>
      <c r="E1088" s="60" t="str">
        <f t="shared" si="1"/>
        <v>-0.2%</v>
      </c>
      <c r="F1088" s="60" t="str">
        <f t="shared" si="2"/>
        <v/>
      </c>
      <c r="G1088" s="60">
        <f t="shared" si="3"/>
        <v>-0.2</v>
      </c>
      <c r="H1088" s="60">
        <f>IFERROR(__xludf.DUMMYFUNCTION("IFERROR(GOOGLEFINANCE(A1088,""PRICE""),)"),197.0)</f>
        <v>197</v>
      </c>
      <c r="I1088" s="61">
        <f>IFERROR(__xludf.DUMMYFUNCTION("IFERROR(GOOGLEFINANCE(A1088,""VOLUME""),)"),538845.0)</f>
        <v>538845</v>
      </c>
      <c r="J1088" s="60" t="str">
        <f>IFERROR(__xludf.DUMMYFUNCTION("IFERROR(INDEX(SPLIT(A1088,"":""),1,2),)"),"PNCINFRA")</f>
        <v>PNCINFRA</v>
      </c>
      <c r="K1088" s="60" t="str">
        <f t="shared" si="4"/>
        <v/>
      </c>
      <c r="L1088" s="60">
        <f t="shared" si="5"/>
        <v>54</v>
      </c>
      <c r="M1088" s="60">
        <f t="shared" si="6"/>
        <v>387</v>
      </c>
      <c r="N1088" s="62">
        <f>IFERROR(__xludf.DUMMYFUNCTION("IFERROR(GOOGLEFINANCE(A1088,""TRADETIME""),)"),46086.64583333333)</f>
        <v>46086.64583</v>
      </c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</row>
    <row r="1089">
      <c r="A1089" s="68" t="s">
        <v>1135</v>
      </c>
      <c r="B1089" s="64" t="str">
        <f>IFERROR(__xludf.DUMMYFUNCTION("IFERROR(GOOGLEFINANCE(A1089,""NAME""),)"),"")</f>
        <v/>
      </c>
      <c r="C1089" s="64" t="str">
        <f>IFERROR(__xludf.DUMMYFUNCTION("IFERROR(GOOGLEFINANCE(A1089,""CHANGE""),)"),"")</f>
        <v/>
      </c>
      <c r="D1089" s="64" t="str">
        <f>IFERROR(__xludf.DUMMYFUNCTION("IFERROR(GOOGLEFINANCE(A1089,""CHANGEPCT""),)"),"")</f>
        <v/>
      </c>
      <c r="E1089" s="64" t="str">
        <f t="shared" si="1"/>
        <v>%</v>
      </c>
      <c r="F1089" s="64" t="str">
        <f t="shared" si="2"/>
        <v/>
      </c>
      <c r="G1089" s="64" t="str">
        <f t="shared" si="3"/>
        <v/>
      </c>
      <c r="H1089" s="64" t="str">
        <f>IFERROR(__xludf.DUMMYFUNCTION("IFERROR(GOOGLEFINANCE(A1089,""PRICE""),)"),"")</f>
        <v/>
      </c>
      <c r="I1089" s="65" t="str">
        <f>IFERROR(__xludf.DUMMYFUNCTION("IFERROR(GOOGLEFINANCE(A1089,""VOLUME""),)"),"")</f>
        <v/>
      </c>
      <c r="J1089" s="64" t="str">
        <f>IFERROR(__xludf.DUMMYFUNCTION("IFERROR(INDEX(SPLIT(A1089,"":""),1,2),)"),"PODDARHOUS")</f>
        <v>PODDARHOUS</v>
      </c>
      <c r="K1089" s="64" t="str">
        <f t="shared" si="4"/>
        <v/>
      </c>
      <c r="L1089" s="64" t="str">
        <f t="shared" si="5"/>
        <v/>
      </c>
      <c r="M1089" s="64" t="str">
        <f t="shared" si="6"/>
        <v/>
      </c>
      <c r="N1089" s="66" t="str">
        <f>IFERROR(__xludf.DUMMYFUNCTION("IFERROR(GOOGLEFINANCE(A1089,""TRADETIME""),)"),"")</f>
        <v/>
      </c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</row>
    <row r="1090">
      <c r="A1090" s="67" t="s">
        <v>1136</v>
      </c>
      <c r="B1090" s="60" t="str">
        <f>IFERROR(__xludf.DUMMYFUNCTION("IFERROR(GOOGLEFINANCE(A1090,""NAME""),)"),"Poddar Pigments Ltd")</f>
        <v>Poddar Pigments Ltd</v>
      </c>
      <c r="C1090" s="60">
        <f>IFERROR(__xludf.DUMMYFUNCTION("IFERROR(GOOGLEFINANCE(A1090,""CHANGE""),)"),5.79)</f>
        <v>5.79</v>
      </c>
      <c r="D1090" s="60">
        <f>IFERROR(__xludf.DUMMYFUNCTION("IFERROR(GOOGLEFINANCE(A1090,""CHANGEPCT""),)"),4.02)</f>
        <v>4.02</v>
      </c>
      <c r="E1090" s="60" t="str">
        <f t="shared" si="1"/>
        <v>4.02%</v>
      </c>
      <c r="F1090" s="60">
        <f t="shared" si="2"/>
        <v>4.02</v>
      </c>
      <c r="G1090" s="60" t="str">
        <f t="shared" si="3"/>
        <v/>
      </c>
      <c r="H1090" s="60">
        <f>IFERROR(__xludf.DUMMYFUNCTION("IFERROR(GOOGLEFINANCE(A1090,""PRICE""),)"),231.9)</f>
        <v>231.9</v>
      </c>
      <c r="I1090" s="61">
        <f>IFERROR(__xludf.DUMMYFUNCTION("IFERROR(GOOGLEFINANCE(A1090,""VOLUME""),)"),1837.0)</f>
        <v>1837</v>
      </c>
      <c r="J1090" s="60" t="str">
        <f>IFERROR(__xludf.DUMMYFUNCTION("IFERROR(INDEX(SPLIT(A1090,"":""),1,2),)"),"PODDARMENT")</f>
        <v>PODDARMENT</v>
      </c>
      <c r="K1090" s="60">
        <f t="shared" si="4"/>
        <v>139</v>
      </c>
      <c r="L1090" s="60" t="str">
        <f t="shared" si="5"/>
        <v/>
      </c>
      <c r="M1090" s="60">
        <f t="shared" si="6"/>
        <v>1411</v>
      </c>
      <c r="N1090" s="62">
        <f>IFERROR(__xludf.DUMMYFUNCTION("IFERROR(GOOGLEFINANCE(A1090,""TRADETIME""),)"),46086.64583333333)</f>
        <v>46086.64583</v>
      </c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</row>
    <row r="1091">
      <c r="A1091" s="68" t="s">
        <v>1137</v>
      </c>
      <c r="B1091" s="64" t="str">
        <f>IFERROR(__xludf.DUMMYFUNCTION("IFERROR(GOOGLEFINANCE(A1091,""NAME""),)"),"Pokarna Ltd")</f>
        <v>Pokarna Ltd</v>
      </c>
      <c r="C1091" s="64">
        <f>IFERROR(__xludf.DUMMYFUNCTION("IFERROR(GOOGLEFINANCE(A1091,""CHANGE""),)"),2.8)</f>
        <v>2.8</v>
      </c>
      <c r="D1091" s="64">
        <f>IFERROR(__xludf.DUMMYFUNCTION("IFERROR(GOOGLEFINANCE(A1091,""CHANGEPCT""),)"),0.32)</f>
        <v>0.32</v>
      </c>
      <c r="E1091" s="64" t="str">
        <f t="shared" si="1"/>
        <v>0.32%</v>
      </c>
      <c r="F1091" s="64">
        <f t="shared" si="2"/>
        <v>0.32</v>
      </c>
      <c r="G1091" s="64" t="str">
        <f t="shared" si="3"/>
        <v/>
      </c>
      <c r="H1091" s="64">
        <f>IFERROR(__xludf.DUMMYFUNCTION("IFERROR(GOOGLEFINANCE(A1091,""PRICE""),)"),876.55)</f>
        <v>876.55</v>
      </c>
      <c r="I1091" s="65">
        <f>IFERROR(__xludf.DUMMYFUNCTION("IFERROR(GOOGLEFINANCE(A1091,""VOLUME""),)"),41917.0)</f>
        <v>41917</v>
      </c>
      <c r="J1091" s="64" t="str">
        <f>IFERROR(__xludf.DUMMYFUNCTION("IFERROR(INDEX(SPLIT(A1091,"":""),1,2),)"),"POKARNA")</f>
        <v>POKARNA</v>
      </c>
      <c r="K1091" s="64">
        <f t="shared" si="4"/>
        <v>927</v>
      </c>
      <c r="L1091" s="64" t="str">
        <f t="shared" si="5"/>
        <v/>
      </c>
      <c r="M1091" s="64">
        <f t="shared" si="6"/>
        <v>982</v>
      </c>
      <c r="N1091" s="66">
        <f>IFERROR(__xludf.DUMMYFUNCTION("IFERROR(GOOGLEFINANCE(A1091,""TRADETIME""),)"),46086.64021990741)</f>
        <v>46086.64022</v>
      </c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</row>
    <row r="1092">
      <c r="A1092" s="67" t="s">
        <v>1138</v>
      </c>
      <c r="B1092" s="60" t="str">
        <f>IFERROR(__xludf.DUMMYFUNCTION("IFERROR(GOOGLEFINANCE(A1092,""NAME""),)"),"Polycab India Ltd")</f>
        <v>Polycab India Ltd</v>
      </c>
      <c r="C1092" s="60">
        <f>IFERROR(__xludf.DUMMYFUNCTION("IFERROR(GOOGLEFINANCE(A1092,""CHANGE""),)"),286.5)</f>
        <v>286.5</v>
      </c>
      <c r="D1092" s="60">
        <f>IFERROR(__xludf.DUMMYFUNCTION("IFERROR(GOOGLEFINANCE(A1092,""CHANGEPCT""),)"),3.46)</f>
        <v>3.46</v>
      </c>
      <c r="E1092" s="60" t="str">
        <f t="shared" si="1"/>
        <v>3.46%</v>
      </c>
      <c r="F1092" s="60">
        <f t="shared" si="2"/>
        <v>3.46</v>
      </c>
      <c r="G1092" s="60" t="str">
        <f t="shared" si="3"/>
        <v/>
      </c>
      <c r="H1092" s="60">
        <f>IFERROR(__xludf.DUMMYFUNCTION("IFERROR(GOOGLEFINANCE(A1092,""PRICE""),)"),8570.5)</f>
        <v>8570.5</v>
      </c>
      <c r="I1092" s="61">
        <f>IFERROR(__xludf.DUMMYFUNCTION("IFERROR(GOOGLEFINANCE(A1092,""VOLUME""),)"),504433.0)</f>
        <v>504433</v>
      </c>
      <c r="J1092" s="60" t="str">
        <f>IFERROR(__xludf.DUMMYFUNCTION("IFERROR(INDEX(SPLIT(A1092,"":""),1,2),)"),"POLYCAB")</f>
        <v>POLYCAB</v>
      </c>
      <c r="K1092" s="60">
        <f t="shared" si="4"/>
        <v>197</v>
      </c>
      <c r="L1092" s="60" t="str">
        <f t="shared" si="5"/>
        <v/>
      </c>
      <c r="M1092" s="60">
        <f t="shared" si="6"/>
        <v>401</v>
      </c>
      <c r="N1092" s="62">
        <f>IFERROR(__xludf.DUMMYFUNCTION("IFERROR(GOOGLEFINANCE(A1092,""TRADETIME""),)"),46086.64583333333)</f>
        <v>46086.64583</v>
      </c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</row>
    <row r="1093">
      <c r="A1093" s="68" t="s">
        <v>1139</v>
      </c>
      <c r="B1093" s="64" t="str">
        <f>IFERROR(__xludf.DUMMYFUNCTION("IFERROR(GOOGLEFINANCE(A1093,""NAME""),)"),"Poly Medicure Ltd.")</f>
        <v>Poly Medicure Ltd.</v>
      </c>
      <c r="C1093" s="64">
        <f>IFERROR(__xludf.DUMMYFUNCTION("IFERROR(GOOGLEFINANCE(A1093,""CHANGE""),)"),-41.9)</f>
        <v>-41.9</v>
      </c>
      <c r="D1093" s="64">
        <f>IFERROR(__xludf.DUMMYFUNCTION("IFERROR(GOOGLEFINANCE(A1093,""CHANGEPCT""),)"),-2.03)</f>
        <v>-2.03</v>
      </c>
      <c r="E1093" s="64" t="str">
        <f t="shared" si="1"/>
        <v>-2.03%</v>
      </c>
      <c r="F1093" s="64" t="str">
        <f t="shared" si="2"/>
        <v/>
      </c>
      <c r="G1093" s="64">
        <f t="shared" si="3"/>
        <v>-2.03</v>
      </c>
      <c r="H1093" s="64">
        <f>IFERROR(__xludf.DUMMYFUNCTION("IFERROR(GOOGLEFINANCE(A1093,""PRICE""),)"),1370.0)</f>
        <v>1370</v>
      </c>
      <c r="I1093" s="65">
        <f>IFERROR(__xludf.DUMMYFUNCTION("IFERROR(GOOGLEFINANCE(A1093,""VOLUME""),)"),334411.0)</f>
        <v>334411</v>
      </c>
      <c r="J1093" s="64" t="str">
        <f>IFERROR(__xludf.DUMMYFUNCTION("IFERROR(INDEX(SPLIT(A1093,"":""),1,2),)"),"POLYMED")</f>
        <v>POLYMED</v>
      </c>
      <c r="K1093" s="64" t="str">
        <f t="shared" si="4"/>
        <v/>
      </c>
      <c r="L1093" s="64">
        <f t="shared" si="5"/>
        <v>358</v>
      </c>
      <c r="M1093" s="64">
        <f t="shared" si="6"/>
        <v>489</v>
      </c>
      <c r="N1093" s="66">
        <f>IFERROR(__xludf.DUMMYFUNCTION("IFERROR(GOOGLEFINANCE(A1093,""TRADETIME""),)"),46086.64584490741)</f>
        <v>46086.64584</v>
      </c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</row>
    <row r="1094">
      <c r="A1094" s="67" t="s">
        <v>1140</v>
      </c>
      <c r="B1094" s="60" t="str">
        <f>IFERROR(__xludf.DUMMYFUNCTION("IFERROR(GOOGLEFINANCE(A1094,""NAME""),)"),"Polyplex Corp Ltd")</f>
        <v>Polyplex Corp Ltd</v>
      </c>
      <c r="C1094" s="60">
        <f>IFERROR(__xludf.DUMMYFUNCTION("IFERROR(GOOGLEFINANCE(A1094,""CHANGE""),)"),13.55)</f>
        <v>13.55</v>
      </c>
      <c r="D1094" s="60">
        <f>IFERROR(__xludf.DUMMYFUNCTION("IFERROR(GOOGLEFINANCE(A1094,""CHANGEPCT""),)"),1.68)</f>
        <v>1.68</v>
      </c>
      <c r="E1094" s="60" t="str">
        <f t="shared" si="1"/>
        <v>1.68%</v>
      </c>
      <c r="F1094" s="60">
        <f t="shared" si="2"/>
        <v>1.68</v>
      </c>
      <c r="G1094" s="60" t="str">
        <f t="shared" si="3"/>
        <v/>
      </c>
      <c r="H1094" s="60">
        <f>IFERROR(__xludf.DUMMYFUNCTION("IFERROR(GOOGLEFINANCE(A1094,""PRICE""),)"),822.5)</f>
        <v>822.5</v>
      </c>
      <c r="I1094" s="61">
        <f>IFERROR(__xludf.DUMMYFUNCTION("IFERROR(GOOGLEFINANCE(A1094,""VOLUME""),)"),47766.0)</f>
        <v>47766</v>
      </c>
      <c r="J1094" s="60" t="str">
        <f>IFERROR(__xludf.DUMMYFUNCTION("IFERROR(INDEX(SPLIT(A1094,"":""),1,2),)"),"POLYPLEX")</f>
        <v>POLYPLEX</v>
      </c>
      <c r="K1094" s="60">
        <f t="shared" si="4"/>
        <v>521</v>
      </c>
      <c r="L1094" s="60" t="str">
        <f t="shared" si="5"/>
        <v/>
      </c>
      <c r="M1094" s="60">
        <f t="shared" si="6"/>
        <v>949</v>
      </c>
      <c r="N1094" s="62">
        <f>IFERROR(__xludf.DUMMYFUNCTION("IFERROR(GOOGLEFINANCE(A1094,""TRADETIME""),)"),46086.64583333333)</f>
        <v>46086.64583</v>
      </c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</row>
    <row r="1095">
      <c r="A1095" s="63" t="s">
        <v>1141</v>
      </c>
      <c r="B1095" s="64" t="str">
        <f>IFERROR(__xludf.DUMMYFUNCTION("IFERROR(GOOGLEFINANCE(A1095,""NAME""),)"),"Ponni Sugars (Erode) Ltd")</f>
        <v>Ponni Sugars (Erode) Ltd</v>
      </c>
      <c r="C1095" s="64">
        <f>IFERROR(__xludf.DUMMYFUNCTION("IFERROR(GOOGLEFINANCE(A1095,""CHANGE""),)"),-9.75)</f>
        <v>-9.75</v>
      </c>
      <c r="D1095" s="64">
        <f>IFERROR(__xludf.DUMMYFUNCTION("IFERROR(GOOGLEFINANCE(A1095,""CHANGEPCT""),)"),-3.37)</f>
        <v>-3.37</v>
      </c>
      <c r="E1095" s="64" t="str">
        <f t="shared" si="1"/>
        <v>-3.37%</v>
      </c>
      <c r="F1095" s="64" t="str">
        <f t="shared" si="2"/>
        <v/>
      </c>
      <c r="G1095" s="64">
        <f t="shared" si="3"/>
        <v>-3.37</v>
      </c>
      <c r="H1095" s="64">
        <f>IFERROR(__xludf.DUMMYFUNCTION("IFERROR(GOOGLEFINANCE(A1095,""PRICE""),)"),279.85)</f>
        <v>279.85</v>
      </c>
      <c r="I1095" s="65">
        <f>IFERROR(__xludf.DUMMYFUNCTION("IFERROR(GOOGLEFINANCE(A1095,""VOLUME""),)"),32702.0)</f>
        <v>32702</v>
      </c>
      <c r="J1095" s="64" t="str">
        <f>IFERROR(__xludf.DUMMYFUNCTION("IFERROR(INDEX(SPLIT(A1095,"":""),1,2),)"),"PONNIERODE")</f>
        <v>PONNIERODE</v>
      </c>
      <c r="K1095" s="64" t="str">
        <f t="shared" si="4"/>
        <v/>
      </c>
      <c r="L1095" s="64">
        <f t="shared" si="5"/>
        <v>416</v>
      </c>
      <c r="M1095" s="64">
        <f t="shared" si="6"/>
        <v>1035</v>
      </c>
      <c r="N1095" s="66">
        <f>IFERROR(__xludf.DUMMYFUNCTION("IFERROR(GOOGLEFINANCE(A1095,""TRADETIME""),)"),46086.64583333333)</f>
        <v>46086.64583</v>
      </c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</row>
    <row r="1096">
      <c r="A1096" s="67" t="s">
        <v>1142</v>
      </c>
      <c r="B1096" s="60" t="str">
        <f>IFERROR(__xludf.DUMMYFUNCTION("IFERROR(GOOGLEFINANCE(A1096,""NAME""),)"),"Power Grid Corporation of India Ltd")</f>
        <v>Power Grid Corporation of India Ltd</v>
      </c>
      <c r="C1096" s="60">
        <f>IFERROR(__xludf.DUMMYFUNCTION("IFERROR(GOOGLEFINANCE(A1096,""CHANGE""),)"),7.05)</f>
        <v>7.05</v>
      </c>
      <c r="D1096" s="60">
        <f>IFERROR(__xludf.DUMMYFUNCTION("IFERROR(GOOGLEFINANCE(A1096,""CHANGEPCT""),)"),2.41)</f>
        <v>2.41</v>
      </c>
      <c r="E1096" s="60" t="str">
        <f t="shared" si="1"/>
        <v>2.41%</v>
      </c>
      <c r="F1096" s="60">
        <f t="shared" si="2"/>
        <v>2.41</v>
      </c>
      <c r="G1096" s="60" t="str">
        <f t="shared" si="3"/>
        <v/>
      </c>
      <c r="H1096" s="60">
        <f>IFERROR(__xludf.DUMMYFUNCTION("IFERROR(GOOGLEFINANCE(A1096,""PRICE""),)"),299.0)</f>
        <v>299</v>
      </c>
      <c r="I1096" s="61">
        <f>IFERROR(__xludf.DUMMYFUNCTION("IFERROR(GOOGLEFINANCE(A1096,""VOLUME""),)"),1.8895633E7)</f>
        <v>18895633</v>
      </c>
      <c r="J1096" s="60" t="str">
        <f>IFERROR(__xludf.DUMMYFUNCTION("IFERROR(INDEX(SPLIT(A1096,"":""),1,2),)"),"POWERGRID")</f>
        <v>POWERGRID</v>
      </c>
      <c r="K1096" s="60">
        <f t="shared" si="4"/>
        <v>354</v>
      </c>
      <c r="L1096" s="60" t="str">
        <f t="shared" si="5"/>
        <v/>
      </c>
      <c r="M1096" s="60">
        <f t="shared" si="6"/>
        <v>31</v>
      </c>
      <c r="N1096" s="62">
        <f>IFERROR(__xludf.DUMMYFUNCTION("IFERROR(GOOGLEFINANCE(A1096,""TRADETIME""),)"),46086.639803240745)</f>
        <v>46086.6398</v>
      </c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</row>
    <row r="1097">
      <c r="A1097" s="68" t="s">
        <v>1143</v>
      </c>
      <c r="B1097" s="64" t="str">
        <f>IFERROR(__xludf.DUMMYFUNCTION("IFERROR(GOOGLEFINANCE(A1097,""NAME""),)"),"Hitachi Energy India Ltd")</f>
        <v>Hitachi Energy India Ltd</v>
      </c>
      <c r="C1097" s="64">
        <f>IFERROR(__xludf.DUMMYFUNCTION("IFERROR(GOOGLEFINANCE(A1097,""CHANGE""),)"),900.0)</f>
        <v>900</v>
      </c>
      <c r="D1097" s="64">
        <f>IFERROR(__xludf.DUMMYFUNCTION("IFERROR(GOOGLEFINANCE(A1097,""CHANGEPCT""),)"),3.67)</f>
        <v>3.67</v>
      </c>
      <c r="E1097" s="64" t="str">
        <f t="shared" si="1"/>
        <v>3.67%</v>
      </c>
      <c r="F1097" s="64">
        <f t="shared" si="2"/>
        <v>3.67</v>
      </c>
      <c r="G1097" s="64" t="str">
        <f t="shared" si="3"/>
        <v/>
      </c>
      <c r="H1097" s="64">
        <f>IFERROR(__xludf.DUMMYFUNCTION("IFERROR(GOOGLEFINANCE(A1097,""PRICE""),)"),25400.0)</f>
        <v>25400</v>
      </c>
      <c r="I1097" s="65">
        <f>IFERROR(__xludf.DUMMYFUNCTION("IFERROR(GOOGLEFINANCE(A1097,""VOLUME""),)"),111078.0)</f>
        <v>111078</v>
      </c>
      <c r="J1097" s="64" t="str">
        <f>IFERROR(__xludf.DUMMYFUNCTION("IFERROR(INDEX(SPLIT(A1097,"":""),1,2),)"),"POWERINDIA")</f>
        <v>POWERINDIA</v>
      </c>
      <c r="K1097" s="64">
        <f t="shared" si="4"/>
        <v>177</v>
      </c>
      <c r="L1097" s="64" t="str">
        <f t="shared" si="5"/>
        <v/>
      </c>
      <c r="M1097" s="64">
        <f t="shared" si="6"/>
        <v>737</v>
      </c>
      <c r="N1097" s="66">
        <f>IFERROR(__xludf.DUMMYFUNCTION("IFERROR(GOOGLEFINANCE(A1097,""TRADETIME""),)"),46086.64585648148)</f>
        <v>46086.64586</v>
      </c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</row>
    <row r="1098">
      <c r="A1098" s="67" t="s">
        <v>1144</v>
      </c>
      <c r="B1098" s="60" t="str">
        <f>IFERROR(__xludf.DUMMYFUNCTION("IFERROR(GOOGLEFINANCE(A1098,""NAME""),)"),"Power Mech Projects Ltd")</f>
        <v>Power Mech Projects Ltd</v>
      </c>
      <c r="C1098" s="60">
        <f>IFERROR(__xludf.DUMMYFUNCTION("IFERROR(GOOGLEFINANCE(A1098,""CHANGE""),)"),98.3)</f>
        <v>98.3</v>
      </c>
      <c r="D1098" s="60">
        <f>IFERROR(__xludf.DUMMYFUNCTION("IFERROR(GOOGLEFINANCE(A1098,""CHANGEPCT""),)"),5.01)</f>
        <v>5.01</v>
      </c>
      <c r="E1098" s="60" t="str">
        <f t="shared" si="1"/>
        <v>5.01%</v>
      </c>
      <c r="F1098" s="60">
        <f t="shared" si="2"/>
        <v>5.01</v>
      </c>
      <c r="G1098" s="60" t="str">
        <f t="shared" si="3"/>
        <v/>
      </c>
      <c r="H1098" s="60">
        <f>IFERROR(__xludf.DUMMYFUNCTION("IFERROR(GOOGLEFINANCE(A1098,""PRICE""),)"),2061.9)</f>
        <v>2061.9</v>
      </c>
      <c r="I1098" s="61">
        <f>IFERROR(__xludf.DUMMYFUNCTION("IFERROR(GOOGLEFINANCE(A1098,""VOLUME""),)"),58981.0)</f>
        <v>58981</v>
      </c>
      <c r="J1098" s="60" t="str">
        <f>IFERROR(__xludf.DUMMYFUNCTION("IFERROR(INDEX(SPLIT(A1098,"":""),1,2),)"),"POWERMECH")</f>
        <v>POWERMECH</v>
      </c>
      <c r="K1098" s="60">
        <f t="shared" si="4"/>
        <v>68</v>
      </c>
      <c r="L1098" s="60" t="str">
        <f t="shared" si="5"/>
        <v/>
      </c>
      <c r="M1098" s="60">
        <f t="shared" si="6"/>
        <v>885</v>
      </c>
      <c r="N1098" s="62">
        <f>IFERROR(__xludf.DUMMYFUNCTION("IFERROR(GOOGLEFINANCE(A1098,""TRADETIME""),)"),46086.64583333333)</f>
        <v>46086.64583</v>
      </c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</row>
    <row r="1099">
      <c r="A1099" s="68" t="s">
        <v>1145</v>
      </c>
      <c r="B1099" s="64" t="str">
        <f>IFERROR(__xludf.DUMMYFUNCTION("IFERROR(GOOGLEFINANCE(A1099,""NAME""),)"),"PPAP Automotive Ltd")</f>
        <v>PPAP Automotive Ltd</v>
      </c>
      <c r="C1099" s="64">
        <f>IFERROR(__xludf.DUMMYFUNCTION("IFERROR(GOOGLEFINANCE(A1099,""CHANGE""),)"),-2.87)</f>
        <v>-2.87</v>
      </c>
      <c r="D1099" s="64">
        <f>IFERROR(__xludf.DUMMYFUNCTION("IFERROR(GOOGLEFINANCE(A1099,""CHANGEPCT""),)"),-2.26)</f>
        <v>-2.26</v>
      </c>
      <c r="E1099" s="64" t="str">
        <f t="shared" si="1"/>
        <v>-2.26%</v>
      </c>
      <c r="F1099" s="64" t="str">
        <f t="shared" si="2"/>
        <v/>
      </c>
      <c r="G1099" s="64">
        <f t="shared" si="3"/>
        <v>-2.26</v>
      </c>
      <c r="H1099" s="64">
        <f>IFERROR(__xludf.DUMMYFUNCTION("IFERROR(GOOGLEFINANCE(A1099,""PRICE""),)"),213.0)</f>
        <v>213</v>
      </c>
      <c r="I1099" s="65">
        <f>IFERROR(__xludf.DUMMYFUNCTION("IFERROR(GOOGLEFINANCE(A1099,""VOLUME""),)"),9495.0)</f>
        <v>9495</v>
      </c>
      <c r="J1099" s="64" t="str">
        <f>IFERROR(__xludf.DUMMYFUNCTION("IFERROR(INDEX(SPLIT(A1099,"":""),1,2),)"),"PPAP")</f>
        <v>PPAP</v>
      </c>
      <c r="K1099" s="64" t="str">
        <f t="shared" si="4"/>
        <v/>
      </c>
      <c r="L1099" s="64">
        <f t="shared" si="5"/>
        <v>372</v>
      </c>
      <c r="M1099" s="64">
        <f t="shared" si="6"/>
        <v>1271</v>
      </c>
      <c r="N1099" s="66">
        <f>IFERROR(__xludf.DUMMYFUNCTION("IFERROR(GOOGLEFINANCE(A1099,""TRADETIME""),)"),46086.64583333333)</f>
        <v>46086.64583</v>
      </c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</row>
    <row r="1100">
      <c r="A1100" s="67" t="s">
        <v>1146</v>
      </c>
      <c r="B1100" s="60" t="str">
        <f>IFERROR(__xludf.DUMMYFUNCTION("IFERROR(GOOGLEFINANCE(A1100,""NAME""),)"),"Prakash Pipes Ltd")</f>
        <v>Prakash Pipes Ltd</v>
      </c>
      <c r="C1100" s="60">
        <f>IFERROR(__xludf.DUMMYFUNCTION("IFERROR(GOOGLEFINANCE(A1100,""CHANGE""),)"),3.41)</f>
        <v>3.41</v>
      </c>
      <c r="D1100" s="60">
        <f>IFERROR(__xludf.DUMMYFUNCTION("IFERROR(GOOGLEFINANCE(A1100,""CHANGEPCT""),)"),1.73)</f>
        <v>1.73</v>
      </c>
      <c r="E1100" s="60" t="str">
        <f t="shared" si="1"/>
        <v>1.73%</v>
      </c>
      <c r="F1100" s="60">
        <f t="shared" si="2"/>
        <v>1.73</v>
      </c>
      <c r="G1100" s="60" t="str">
        <f t="shared" si="3"/>
        <v/>
      </c>
      <c r="H1100" s="60">
        <f>IFERROR(__xludf.DUMMYFUNCTION("IFERROR(GOOGLEFINANCE(A1100,""PRICE""),)"),198.9)</f>
        <v>198.9</v>
      </c>
      <c r="I1100" s="61">
        <f>IFERROR(__xludf.DUMMYFUNCTION("IFERROR(GOOGLEFINANCE(A1100,""VOLUME""),)"),42606.0)</f>
        <v>42606</v>
      </c>
      <c r="J1100" s="60" t="str">
        <f>IFERROR(__xludf.DUMMYFUNCTION("IFERROR(INDEX(SPLIT(A1100,"":""),1,2),)"),"PPL")</f>
        <v>PPL</v>
      </c>
      <c r="K1100" s="60">
        <f t="shared" si="4"/>
        <v>512</v>
      </c>
      <c r="L1100" s="60" t="str">
        <f t="shared" si="5"/>
        <v/>
      </c>
      <c r="M1100" s="60">
        <f t="shared" si="6"/>
        <v>980</v>
      </c>
      <c r="N1100" s="62">
        <f>IFERROR(__xludf.DUMMYFUNCTION("IFERROR(GOOGLEFINANCE(A1100,""TRADETIME""),)"),46086.64583333333)</f>
        <v>46086.64583</v>
      </c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</row>
    <row r="1101">
      <c r="A1101" s="68" t="s">
        <v>1147</v>
      </c>
      <c r="B1101" s="64" t="str">
        <f>IFERROR(__xludf.DUMMYFUNCTION("IFERROR(GOOGLEFINANCE(A1101,""NAME""),)"),"Prajay Engineers Syndicate Ltd")</f>
        <v>Prajay Engineers Syndicate Ltd</v>
      </c>
      <c r="C1101" s="64">
        <f>IFERROR(__xludf.DUMMYFUNCTION("IFERROR(GOOGLEFINANCE(A1101,""CHANGE""),)"),1.02)</f>
        <v>1.02</v>
      </c>
      <c r="D1101" s="64">
        <f>IFERROR(__xludf.DUMMYFUNCTION("IFERROR(GOOGLEFINANCE(A1101,""CHANGEPCT""),)"),4.69)</f>
        <v>4.69</v>
      </c>
      <c r="E1101" s="64" t="str">
        <f t="shared" si="1"/>
        <v>4.69%</v>
      </c>
      <c r="F1101" s="64">
        <f t="shared" si="2"/>
        <v>4.69</v>
      </c>
      <c r="G1101" s="64" t="str">
        <f t="shared" si="3"/>
        <v/>
      </c>
      <c r="H1101" s="64">
        <f>IFERROR(__xludf.DUMMYFUNCTION("IFERROR(GOOGLEFINANCE(A1101,""PRICE""),)"),22.75)</f>
        <v>22.75</v>
      </c>
      <c r="I1101" s="65">
        <f>IFERROR(__xludf.DUMMYFUNCTION("IFERROR(GOOGLEFINANCE(A1101,""VOLUME""),)"),18181.0)</f>
        <v>18181</v>
      </c>
      <c r="J1101" s="64" t="str">
        <f>IFERROR(__xludf.DUMMYFUNCTION("IFERROR(INDEX(SPLIT(A1101,"":""),1,2),)"),"PRAENG")</f>
        <v>PRAENG</v>
      </c>
      <c r="K1101" s="64">
        <f t="shared" si="4"/>
        <v>97</v>
      </c>
      <c r="L1101" s="64" t="str">
        <f t="shared" si="5"/>
        <v/>
      </c>
      <c r="M1101" s="64">
        <f t="shared" si="6"/>
        <v>1165</v>
      </c>
      <c r="N1101" s="66">
        <f>IFERROR(__xludf.DUMMYFUNCTION("IFERROR(GOOGLEFINANCE(A1101,""TRADETIME""),)"),46086.63780092592)</f>
        <v>46086.6378</v>
      </c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</row>
    <row r="1102">
      <c r="A1102" s="67" t="s">
        <v>1148</v>
      </c>
      <c r="B1102" s="60" t="str">
        <f>IFERROR(__xludf.DUMMYFUNCTION("IFERROR(GOOGLEFINANCE(A1102,""NAME""),)"),"Praj Industries Ltd")</f>
        <v>Praj Industries Ltd</v>
      </c>
      <c r="C1102" s="60">
        <f>IFERROR(__xludf.DUMMYFUNCTION("IFERROR(GOOGLEFINANCE(A1102,""CHANGE""),)"),-7.6)</f>
        <v>-7.6</v>
      </c>
      <c r="D1102" s="60">
        <f>IFERROR(__xludf.DUMMYFUNCTION("IFERROR(GOOGLEFINANCE(A1102,""CHANGEPCT""),)"),-2.41)</f>
        <v>-2.41</v>
      </c>
      <c r="E1102" s="60" t="str">
        <f t="shared" si="1"/>
        <v>-2.41%</v>
      </c>
      <c r="F1102" s="60" t="str">
        <f t="shared" si="2"/>
        <v/>
      </c>
      <c r="G1102" s="60">
        <f t="shared" si="3"/>
        <v>-2.41</v>
      </c>
      <c r="H1102" s="60">
        <f>IFERROR(__xludf.DUMMYFUNCTION("IFERROR(GOOGLEFINANCE(A1102,""PRICE""),)"),308.0)</f>
        <v>308</v>
      </c>
      <c r="I1102" s="61">
        <f>IFERROR(__xludf.DUMMYFUNCTION("IFERROR(GOOGLEFINANCE(A1102,""VOLUME""),)"),2557038.0)</f>
        <v>2557038</v>
      </c>
      <c r="J1102" s="60" t="str">
        <f>IFERROR(__xludf.DUMMYFUNCTION("IFERROR(INDEX(SPLIT(A1102,"":""),1,2),)"),"PRAJIND")</f>
        <v>PRAJIND</v>
      </c>
      <c r="K1102" s="60" t="str">
        <f t="shared" si="4"/>
        <v/>
      </c>
      <c r="L1102" s="60">
        <f t="shared" si="5"/>
        <v>385</v>
      </c>
      <c r="M1102" s="60">
        <f t="shared" si="6"/>
        <v>168</v>
      </c>
      <c r="N1102" s="62">
        <f>IFERROR(__xludf.DUMMYFUNCTION("IFERROR(GOOGLEFINANCE(A1102,""TRADETIME""),)"),46086.64585648148)</f>
        <v>46086.64586</v>
      </c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</row>
    <row r="1103">
      <c r="A1103" s="68" t="s">
        <v>1149</v>
      </c>
      <c r="B1103" s="64" t="str">
        <f>IFERROR(__xludf.DUMMYFUNCTION("IFERROR(GOOGLEFINANCE(A1103,""NAME""),)"),"Prakash Industries Ltd")</f>
        <v>Prakash Industries Ltd</v>
      </c>
      <c r="C1103" s="64">
        <f>IFERROR(__xludf.DUMMYFUNCTION("IFERROR(GOOGLEFINANCE(A1103,""CHANGE""),)"),2.95)</f>
        <v>2.95</v>
      </c>
      <c r="D1103" s="64">
        <f>IFERROR(__xludf.DUMMYFUNCTION("IFERROR(GOOGLEFINANCE(A1103,""CHANGEPCT""),)"),2.37)</f>
        <v>2.37</v>
      </c>
      <c r="E1103" s="64" t="str">
        <f t="shared" si="1"/>
        <v>2.37%</v>
      </c>
      <c r="F1103" s="64">
        <f t="shared" si="2"/>
        <v>2.37</v>
      </c>
      <c r="G1103" s="64" t="str">
        <f t="shared" si="3"/>
        <v/>
      </c>
      <c r="H1103" s="64">
        <f>IFERROR(__xludf.DUMMYFUNCTION("IFERROR(GOOGLEFINANCE(A1103,""PRICE""),)"),126.38)</f>
        <v>126.38</v>
      </c>
      <c r="I1103" s="65">
        <f>IFERROR(__xludf.DUMMYFUNCTION("IFERROR(GOOGLEFINANCE(A1103,""VOLUME""),)"),440354.0)</f>
        <v>440354</v>
      </c>
      <c r="J1103" s="64" t="str">
        <f>IFERROR(__xludf.DUMMYFUNCTION("IFERROR(INDEX(SPLIT(A1103,"":""),1,2),)"),"PRAKASH")</f>
        <v>PRAKASH</v>
      </c>
      <c r="K1103" s="64">
        <f t="shared" si="4"/>
        <v>363</v>
      </c>
      <c r="L1103" s="64" t="str">
        <f t="shared" si="5"/>
        <v/>
      </c>
      <c r="M1103" s="64">
        <f t="shared" si="6"/>
        <v>422</v>
      </c>
      <c r="N1103" s="66">
        <f>IFERROR(__xludf.DUMMYFUNCTION("IFERROR(GOOGLEFINANCE(A1103,""TRADETIME""),)"),46086.64583333333)</f>
        <v>46086.64583</v>
      </c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</row>
    <row r="1104">
      <c r="A1104" s="67" t="s">
        <v>1150</v>
      </c>
      <c r="B1104" s="60" t="str">
        <f>IFERROR(__xludf.DUMMYFUNCTION("IFERROR(GOOGLEFINANCE(A1104,""NAME""),)"),"Prakash Steelage Limited")</f>
        <v>Prakash Steelage Limited</v>
      </c>
      <c r="C1104" s="60">
        <f>IFERROR(__xludf.DUMMYFUNCTION("IFERROR(GOOGLEFINANCE(A1104,""CHANGE""),)"),-0.03)</f>
        <v>-0.03</v>
      </c>
      <c r="D1104" s="60">
        <f>IFERROR(__xludf.DUMMYFUNCTION("IFERROR(GOOGLEFINANCE(A1104,""CHANGEPCT""),)"),-0.72)</f>
        <v>-0.72</v>
      </c>
      <c r="E1104" s="60" t="str">
        <f t="shared" si="1"/>
        <v>-0.72%</v>
      </c>
      <c r="F1104" s="60" t="str">
        <f t="shared" si="2"/>
        <v/>
      </c>
      <c r="G1104" s="60">
        <f t="shared" si="3"/>
        <v>-0.72</v>
      </c>
      <c r="H1104" s="60">
        <f>IFERROR(__xludf.DUMMYFUNCTION("IFERROR(GOOGLEFINANCE(A1104,""PRICE""),)"),4.12)</f>
        <v>4.12</v>
      </c>
      <c r="I1104" s="61">
        <f>IFERROR(__xludf.DUMMYFUNCTION("IFERROR(GOOGLEFINANCE(A1104,""VOLUME""),)"),130719.0)</f>
        <v>130719</v>
      </c>
      <c r="J1104" s="60" t="str">
        <f>IFERROR(__xludf.DUMMYFUNCTION("IFERROR(INDEX(SPLIT(A1104,"":""),1,2),)"),"PRAKASHSTL")</f>
        <v>PRAKASHSTL</v>
      </c>
      <c r="K1104" s="60" t="str">
        <f t="shared" si="4"/>
        <v/>
      </c>
      <c r="L1104" s="60">
        <f t="shared" si="5"/>
        <v>171</v>
      </c>
      <c r="M1104" s="60">
        <f t="shared" si="6"/>
        <v>700</v>
      </c>
      <c r="N1104" s="62">
        <f>IFERROR(__xludf.DUMMYFUNCTION("IFERROR(GOOGLEFINANCE(A1104,""TRADETIME""),)"),46086.64583333333)</f>
        <v>46086.64583</v>
      </c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</row>
    <row r="1105">
      <c r="A1105" s="68" t="s">
        <v>1151</v>
      </c>
      <c r="B1105" s="64" t="str">
        <f>IFERROR(__xludf.DUMMYFUNCTION("IFERROR(GOOGLEFINANCE(A1105,""NAME""),)"),"Praxis Home Retail Ltd")</f>
        <v>Praxis Home Retail Ltd</v>
      </c>
      <c r="C1105" s="64">
        <f>IFERROR(__xludf.DUMMYFUNCTION("IFERROR(GOOGLEFINANCE(A1105,""CHANGE""),)"),-0.16)</f>
        <v>-0.16</v>
      </c>
      <c r="D1105" s="64">
        <f>IFERROR(__xludf.DUMMYFUNCTION("IFERROR(GOOGLEFINANCE(A1105,""CHANGEPCT""),)"),-2.27)</f>
        <v>-2.27</v>
      </c>
      <c r="E1105" s="64" t="str">
        <f t="shared" si="1"/>
        <v>-2.27%</v>
      </c>
      <c r="F1105" s="64" t="str">
        <f t="shared" si="2"/>
        <v/>
      </c>
      <c r="G1105" s="64">
        <f t="shared" si="3"/>
        <v>-2.27</v>
      </c>
      <c r="H1105" s="64">
        <f>IFERROR(__xludf.DUMMYFUNCTION("IFERROR(GOOGLEFINANCE(A1105,""PRICE""),)"),6.9)</f>
        <v>6.9</v>
      </c>
      <c r="I1105" s="65">
        <f>IFERROR(__xludf.DUMMYFUNCTION("IFERROR(GOOGLEFINANCE(A1105,""VOLUME""),)"),118628.0)</f>
        <v>118628</v>
      </c>
      <c r="J1105" s="64" t="str">
        <f>IFERROR(__xludf.DUMMYFUNCTION("IFERROR(INDEX(SPLIT(A1105,"":""),1,2),)"),"PRAXIS")</f>
        <v>PRAXIS</v>
      </c>
      <c r="K1105" s="64" t="str">
        <f t="shared" si="4"/>
        <v/>
      </c>
      <c r="L1105" s="64">
        <f t="shared" si="5"/>
        <v>374</v>
      </c>
      <c r="M1105" s="64">
        <f t="shared" si="6"/>
        <v>725</v>
      </c>
      <c r="N1105" s="66">
        <f>IFERROR(__xludf.DUMMYFUNCTION("IFERROR(GOOGLEFINANCE(A1105,""TRADETIME""),)"),46086.63935185185)</f>
        <v>46086.63935</v>
      </c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</row>
    <row r="1106">
      <c r="A1106" s="67" t="s">
        <v>1152</v>
      </c>
      <c r="B1106" s="60" t="str">
        <f>IFERROR(__xludf.DUMMYFUNCTION("IFERROR(GOOGLEFINANCE(A1106,""NAME""),)"),"Precision Camshafts Ltd")</f>
        <v>Precision Camshafts Ltd</v>
      </c>
      <c r="C1106" s="60">
        <f>IFERROR(__xludf.DUMMYFUNCTION("IFERROR(GOOGLEFINANCE(A1106,""CHANGE""),)"),6.21)</f>
        <v>6.21</v>
      </c>
      <c r="D1106" s="60">
        <f>IFERROR(__xludf.DUMMYFUNCTION("IFERROR(GOOGLEFINANCE(A1106,""CHANGEPCT""),)"),4.91)</f>
        <v>4.91</v>
      </c>
      <c r="E1106" s="60" t="str">
        <f t="shared" si="1"/>
        <v>4.91%</v>
      </c>
      <c r="F1106" s="60">
        <f t="shared" si="2"/>
        <v>4.91</v>
      </c>
      <c r="G1106" s="60" t="str">
        <f t="shared" si="3"/>
        <v/>
      </c>
      <c r="H1106" s="60">
        <f>IFERROR(__xludf.DUMMYFUNCTION("IFERROR(GOOGLEFINANCE(A1106,""PRICE""),)"),132.7)</f>
        <v>132.7</v>
      </c>
      <c r="I1106" s="61">
        <f>IFERROR(__xludf.DUMMYFUNCTION("IFERROR(GOOGLEFINANCE(A1106,""VOLUME""),)"),373044.0)</f>
        <v>373044</v>
      </c>
      <c r="J1106" s="60" t="str">
        <f>IFERROR(__xludf.DUMMYFUNCTION("IFERROR(INDEX(SPLIT(A1106,"":""),1,2),)"),"PRECAM")</f>
        <v>PRECAM</v>
      </c>
      <c r="K1106" s="60">
        <f t="shared" si="4"/>
        <v>84</v>
      </c>
      <c r="L1106" s="60" t="str">
        <f t="shared" si="5"/>
        <v/>
      </c>
      <c r="M1106" s="60">
        <f t="shared" si="6"/>
        <v>460</v>
      </c>
      <c r="N1106" s="62">
        <f>IFERROR(__xludf.DUMMYFUNCTION("IFERROR(GOOGLEFINANCE(A1106,""TRADETIME""),)"),46086.64583333333)</f>
        <v>46086.64583</v>
      </c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</row>
    <row r="1107">
      <c r="A1107" s="68" t="s">
        <v>1153</v>
      </c>
      <c r="B1107" s="64" t="str">
        <f>IFERROR(__xludf.DUMMYFUNCTION("IFERROR(GOOGLEFINANCE(A1107,""NAME""),)"),"Precot Ltd")</f>
        <v>Precot Ltd</v>
      </c>
      <c r="C1107" s="64">
        <f>IFERROR(__xludf.DUMMYFUNCTION("IFERROR(GOOGLEFINANCE(A1107,""CHANGE""),)"),18.5)</f>
        <v>18.5</v>
      </c>
      <c r="D1107" s="64">
        <f>IFERROR(__xludf.DUMMYFUNCTION("IFERROR(GOOGLEFINANCE(A1107,""CHANGEPCT""),)"),4.44)</f>
        <v>4.44</v>
      </c>
      <c r="E1107" s="64" t="str">
        <f t="shared" si="1"/>
        <v>4.44%</v>
      </c>
      <c r="F1107" s="64">
        <f t="shared" si="2"/>
        <v>4.44</v>
      </c>
      <c r="G1107" s="64" t="str">
        <f t="shared" si="3"/>
        <v/>
      </c>
      <c r="H1107" s="64">
        <f>IFERROR(__xludf.DUMMYFUNCTION("IFERROR(GOOGLEFINANCE(A1107,""PRICE""),)"),422.5)</f>
        <v>422.5</v>
      </c>
      <c r="I1107" s="65">
        <f>IFERROR(__xludf.DUMMYFUNCTION("IFERROR(GOOGLEFINANCE(A1107,""VOLUME""),)"),5892.0)</f>
        <v>5892</v>
      </c>
      <c r="J1107" s="64" t="str">
        <f>IFERROR(__xludf.DUMMYFUNCTION("IFERROR(INDEX(SPLIT(A1107,"":""),1,2),)"),"PRECOT")</f>
        <v>PRECOT</v>
      </c>
      <c r="K1107" s="64">
        <f t="shared" si="4"/>
        <v>114</v>
      </c>
      <c r="L1107" s="64" t="str">
        <f t="shared" si="5"/>
        <v/>
      </c>
      <c r="M1107" s="64">
        <f t="shared" si="6"/>
        <v>1328</v>
      </c>
      <c r="N1107" s="66">
        <f>IFERROR(__xludf.DUMMYFUNCTION("IFERROR(GOOGLEFINANCE(A1107,""TRADETIME""),)"),46086.64583333333)</f>
        <v>46086.64583</v>
      </c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</row>
    <row r="1108">
      <c r="A1108" s="67" t="s">
        <v>1154</v>
      </c>
      <c r="B1108" s="60" t="str">
        <f>IFERROR(__xludf.DUMMYFUNCTION("IFERROR(GOOGLEFINANCE(A1108,""NAME""),)"),"Precision Wires India Ltd")</f>
        <v>Precision Wires India Ltd</v>
      </c>
      <c r="C1108" s="60">
        <f>IFERROR(__xludf.DUMMYFUNCTION("IFERROR(GOOGLEFINANCE(A1108,""CHANGE""),)"),14.15)</f>
        <v>14.15</v>
      </c>
      <c r="D1108" s="60">
        <f>IFERROR(__xludf.DUMMYFUNCTION("IFERROR(GOOGLEFINANCE(A1108,""CHANGEPCT""),)"),4.41)</f>
        <v>4.41</v>
      </c>
      <c r="E1108" s="60" t="str">
        <f t="shared" si="1"/>
        <v>4.41%</v>
      </c>
      <c r="F1108" s="60">
        <f t="shared" si="2"/>
        <v>4.41</v>
      </c>
      <c r="G1108" s="60" t="str">
        <f t="shared" si="3"/>
        <v/>
      </c>
      <c r="H1108" s="60">
        <f>IFERROR(__xludf.DUMMYFUNCTION("IFERROR(GOOGLEFINANCE(A1108,""PRICE""),)"),334.9)</f>
        <v>334.9</v>
      </c>
      <c r="I1108" s="61">
        <f>IFERROR(__xludf.DUMMYFUNCTION("IFERROR(GOOGLEFINANCE(A1108,""VOLUME""),)"),1453796.0)</f>
        <v>1453796</v>
      </c>
      <c r="J1108" s="60" t="str">
        <f>IFERROR(__xludf.DUMMYFUNCTION("IFERROR(INDEX(SPLIT(A1108,"":""),1,2),)"),"PRECWIRE")</f>
        <v>PRECWIRE</v>
      </c>
      <c r="K1108" s="60">
        <f t="shared" si="4"/>
        <v>116</v>
      </c>
      <c r="L1108" s="60" t="str">
        <f t="shared" si="5"/>
        <v/>
      </c>
      <c r="M1108" s="60">
        <f t="shared" si="6"/>
        <v>243</v>
      </c>
      <c r="N1108" s="62">
        <f>IFERROR(__xludf.DUMMYFUNCTION("IFERROR(GOOGLEFINANCE(A1108,""TRADETIME""),)"),46086.64583333333)</f>
        <v>46086.64583</v>
      </c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</row>
    <row r="1109">
      <c r="A1109" s="68" t="s">
        <v>1155</v>
      </c>
      <c r="B1109" s="64" t="str">
        <f>IFERROR(__xludf.DUMMYFUNCTION("IFERROR(GOOGLEFINANCE(A1109,""NAME""),)"),"Premier Explosives Ltd")</f>
        <v>Premier Explosives Ltd</v>
      </c>
      <c r="C1109" s="64">
        <f>IFERROR(__xludf.DUMMYFUNCTION("IFERROR(GOOGLEFINANCE(A1109,""CHANGE""),)"),3.65)</f>
        <v>3.65</v>
      </c>
      <c r="D1109" s="64">
        <f>IFERROR(__xludf.DUMMYFUNCTION("IFERROR(GOOGLEFINANCE(A1109,""CHANGEPCT""),)"),0.65)</f>
        <v>0.65</v>
      </c>
      <c r="E1109" s="64" t="str">
        <f t="shared" si="1"/>
        <v>0.65%</v>
      </c>
      <c r="F1109" s="64">
        <f t="shared" si="2"/>
        <v>0.65</v>
      </c>
      <c r="G1109" s="64" t="str">
        <f t="shared" si="3"/>
        <v/>
      </c>
      <c r="H1109" s="64">
        <f>IFERROR(__xludf.DUMMYFUNCTION("IFERROR(GOOGLEFINANCE(A1109,""PRICE""),)"),507.1)</f>
        <v>507.1</v>
      </c>
      <c r="I1109" s="65">
        <f>IFERROR(__xludf.DUMMYFUNCTION("IFERROR(GOOGLEFINANCE(A1109,""VOLUME""),)"),256889.0)</f>
        <v>256889</v>
      </c>
      <c r="J1109" s="64" t="str">
        <f>IFERROR(__xludf.DUMMYFUNCTION("IFERROR(INDEX(SPLIT(A1109,"":""),1,2),)"),"PREMEXPLN")</f>
        <v>PREMEXPLN</v>
      </c>
      <c r="K1109" s="64">
        <f t="shared" si="4"/>
        <v>835</v>
      </c>
      <c r="L1109" s="64" t="str">
        <f t="shared" si="5"/>
        <v/>
      </c>
      <c r="M1109" s="64">
        <f t="shared" si="6"/>
        <v>549</v>
      </c>
      <c r="N1109" s="66">
        <f>IFERROR(__xludf.DUMMYFUNCTION("IFERROR(GOOGLEFINANCE(A1109,""TRADETIME""),)"),46086.64583333333)</f>
        <v>46086.64583</v>
      </c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</row>
    <row r="1110">
      <c r="A1110" s="67" t="s">
        <v>1156</v>
      </c>
      <c r="B1110" s="60" t="str">
        <f>IFERROR(__xludf.DUMMYFUNCTION("IFERROR(GOOGLEFINANCE(A1110,""NAME""),)"),"Premier Ltd")</f>
        <v>Premier Ltd</v>
      </c>
      <c r="C1110" s="60">
        <f>IFERROR(__xludf.DUMMYFUNCTION("IFERROR(GOOGLEFINANCE(A1110,""CHANGE""),)"),0.09)</f>
        <v>0.09</v>
      </c>
      <c r="D1110" s="60">
        <f>IFERROR(__xludf.DUMMYFUNCTION("IFERROR(GOOGLEFINANCE(A1110,""CHANGEPCT""),)"),3.05)</f>
        <v>3.05</v>
      </c>
      <c r="E1110" s="60" t="str">
        <f t="shared" si="1"/>
        <v>3.05%</v>
      </c>
      <c r="F1110" s="60">
        <f t="shared" si="2"/>
        <v>3.05</v>
      </c>
      <c r="G1110" s="60" t="str">
        <f t="shared" si="3"/>
        <v/>
      </c>
      <c r="H1110" s="60">
        <f>IFERROR(__xludf.DUMMYFUNCTION("IFERROR(GOOGLEFINANCE(A1110,""PRICE""),)"),3.04)</f>
        <v>3.04</v>
      </c>
      <c r="I1110" s="61">
        <f>IFERROR(__xludf.DUMMYFUNCTION("IFERROR(GOOGLEFINANCE(A1110,""VOLUME""),)"),8262.0)</f>
        <v>8262</v>
      </c>
      <c r="J1110" s="60" t="str">
        <f>IFERROR(__xludf.DUMMYFUNCTION("IFERROR(INDEX(SPLIT(A1110,"":""),1,2),)"),"PREMIER")</f>
        <v>PREMIER</v>
      </c>
      <c r="K1110" s="60">
        <f t="shared" si="4"/>
        <v>251</v>
      </c>
      <c r="L1110" s="60" t="str">
        <f t="shared" si="5"/>
        <v/>
      </c>
      <c r="M1110" s="60">
        <f t="shared" si="6"/>
        <v>1294</v>
      </c>
      <c r="N1110" s="62">
        <f>IFERROR(__xludf.DUMMYFUNCTION("IFERROR(GOOGLEFINANCE(A1110,""TRADETIME""),)"),46086.64583333333)</f>
        <v>46086.64583</v>
      </c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</row>
    <row r="1111">
      <c r="A1111" s="68" t="s">
        <v>1157</v>
      </c>
      <c r="B1111" s="64" t="str">
        <f>IFERROR(__xludf.DUMMYFUNCTION("IFERROR(GOOGLEFINANCE(A1111,""NAME""),)"),"Premier Polyfilm Ltd(NDA)")</f>
        <v>Premier Polyfilm Ltd(NDA)</v>
      </c>
      <c r="C1111" s="64">
        <f>IFERROR(__xludf.DUMMYFUNCTION("IFERROR(GOOGLEFINANCE(A1111,""CHANGE""),)"),1.43)</f>
        <v>1.43</v>
      </c>
      <c r="D1111" s="64">
        <f>IFERROR(__xludf.DUMMYFUNCTION("IFERROR(GOOGLEFINANCE(A1111,""CHANGEPCT""),)"),2.49)</f>
        <v>2.49</v>
      </c>
      <c r="E1111" s="64" t="str">
        <f t="shared" si="1"/>
        <v>2.49%</v>
      </c>
      <c r="F1111" s="64">
        <f t="shared" si="2"/>
        <v>2.49</v>
      </c>
      <c r="G1111" s="64" t="str">
        <f t="shared" si="3"/>
        <v/>
      </c>
      <c r="H1111" s="64">
        <f>IFERROR(__xludf.DUMMYFUNCTION("IFERROR(GOOGLEFINANCE(A1111,""PRICE""),)"),58.3)</f>
        <v>58.3</v>
      </c>
      <c r="I1111" s="65">
        <f>IFERROR(__xludf.DUMMYFUNCTION("IFERROR(GOOGLEFINANCE(A1111,""VOLUME""),)"),468403.0)</f>
        <v>468403</v>
      </c>
      <c r="J1111" s="64" t="str">
        <f>IFERROR(__xludf.DUMMYFUNCTION("IFERROR(INDEX(SPLIT(A1111,"":""),1,2),)"),"PREMIERPOL")</f>
        <v>PREMIERPOL</v>
      </c>
      <c r="K1111" s="64">
        <f t="shared" si="4"/>
        <v>342</v>
      </c>
      <c r="L1111" s="64" t="str">
        <f t="shared" si="5"/>
        <v/>
      </c>
      <c r="M1111" s="64">
        <f t="shared" si="6"/>
        <v>409</v>
      </c>
      <c r="N1111" s="66">
        <f>IFERROR(__xludf.DUMMYFUNCTION("IFERROR(GOOGLEFINANCE(A1111,""TRADETIME""),)"),46086.64583333333)</f>
        <v>46086.64583</v>
      </c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</row>
    <row r="1112">
      <c r="A1112" s="67" t="s">
        <v>1158</v>
      </c>
      <c r="B1112" s="60" t="str">
        <f>IFERROR(__xludf.DUMMYFUNCTION("IFERROR(GOOGLEFINANCE(A1112,""NAME""),)"),"")</f>
        <v/>
      </c>
      <c r="C1112" s="60" t="str">
        <f>IFERROR(__xludf.DUMMYFUNCTION("IFERROR(GOOGLEFINANCE(A1112,""CHANGE""),)"),"")</f>
        <v/>
      </c>
      <c r="D1112" s="60" t="str">
        <f>IFERROR(__xludf.DUMMYFUNCTION("IFERROR(GOOGLEFINANCE(A1112,""CHANGEPCT""),)"),"")</f>
        <v/>
      </c>
      <c r="E1112" s="60" t="str">
        <f t="shared" si="1"/>
        <v>%</v>
      </c>
      <c r="F1112" s="60" t="str">
        <f t="shared" si="2"/>
        <v/>
      </c>
      <c r="G1112" s="60" t="str">
        <f t="shared" si="3"/>
        <v/>
      </c>
      <c r="H1112" s="60" t="str">
        <f>IFERROR(__xludf.DUMMYFUNCTION("IFERROR(GOOGLEFINANCE(A1112,""PRICE""),)"),"")</f>
        <v/>
      </c>
      <c r="I1112" s="61" t="str">
        <f>IFERROR(__xludf.DUMMYFUNCTION("IFERROR(GOOGLEFINANCE(A1112,""VOLUME""),)"),"")</f>
        <v/>
      </c>
      <c r="J1112" s="60" t="str">
        <f>IFERROR(__xludf.DUMMYFUNCTION("IFERROR(INDEX(SPLIT(A1112,"":""),1,2),)"),"PRESSMN")</f>
        <v>PRESSMN</v>
      </c>
      <c r="K1112" s="60" t="str">
        <f t="shared" si="4"/>
        <v/>
      </c>
      <c r="L1112" s="60" t="str">
        <f t="shared" si="5"/>
        <v/>
      </c>
      <c r="M1112" s="60" t="str">
        <f t="shared" si="6"/>
        <v/>
      </c>
      <c r="N1112" s="62" t="str">
        <f>IFERROR(__xludf.DUMMYFUNCTION("IFERROR(GOOGLEFINANCE(A1112,""TRADETIME""),)"),"")</f>
        <v/>
      </c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</row>
    <row r="1113">
      <c r="A1113" s="68" t="s">
        <v>1159</v>
      </c>
      <c r="B1113" s="64" t="str">
        <f>IFERROR(__xludf.DUMMYFUNCTION("IFERROR(GOOGLEFINANCE(A1113,""NAME""),)"),"Prestige Estates Projects Limited")</f>
        <v>Prestige Estates Projects Limited</v>
      </c>
      <c r="C1113" s="64">
        <f>IFERROR(__xludf.DUMMYFUNCTION("IFERROR(GOOGLEFINANCE(A1113,""CHANGE""),)"),19.7)</f>
        <v>19.7</v>
      </c>
      <c r="D1113" s="64">
        <f>IFERROR(__xludf.DUMMYFUNCTION("IFERROR(GOOGLEFINANCE(A1113,""CHANGEPCT""),)"),1.46)</f>
        <v>1.46</v>
      </c>
      <c r="E1113" s="64" t="str">
        <f t="shared" si="1"/>
        <v>1.46%</v>
      </c>
      <c r="F1113" s="64">
        <f t="shared" si="2"/>
        <v>1.46</v>
      </c>
      <c r="G1113" s="64" t="str">
        <f t="shared" si="3"/>
        <v/>
      </c>
      <c r="H1113" s="64">
        <f>IFERROR(__xludf.DUMMYFUNCTION("IFERROR(GOOGLEFINANCE(A1113,""PRICE""),)"),1370.5)</f>
        <v>1370.5</v>
      </c>
      <c r="I1113" s="65">
        <f>IFERROR(__xludf.DUMMYFUNCTION("IFERROR(GOOGLEFINANCE(A1113,""VOLUME""),)"),369592.0)</f>
        <v>369592</v>
      </c>
      <c r="J1113" s="64" t="str">
        <f>IFERROR(__xludf.DUMMYFUNCTION("IFERROR(INDEX(SPLIT(A1113,"":""),1,2),)"),"PRESTIGE")</f>
        <v>PRESTIGE</v>
      </c>
      <c r="K1113" s="64">
        <f t="shared" si="4"/>
        <v>585</v>
      </c>
      <c r="L1113" s="64" t="str">
        <f t="shared" si="5"/>
        <v/>
      </c>
      <c r="M1113" s="64">
        <f t="shared" si="6"/>
        <v>462</v>
      </c>
      <c r="N1113" s="66">
        <f>IFERROR(__xludf.DUMMYFUNCTION("IFERROR(GOOGLEFINANCE(A1113,""TRADETIME""),)"),46086.64583333333)</f>
        <v>46086.64583</v>
      </c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</row>
    <row r="1114">
      <c r="A1114" s="67" t="s">
        <v>1160</v>
      </c>
      <c r="B1114" s="60" t="str">
        <f>IFERROR(__xludf.DUMMYFUNCTION("IFERROR(GOOGLEFINANCE(A1114,""NAME""),)"),"Pricol Ltd")</f>
        <v>Pricol Ltd</v>
      </c>
      <c r="C1114" s="60">
        <f>IFERROR(__xludf.DUMMYFUNCTION("IFERROR(GOOGLEFINANCE(A1114,""CHANGE""),)"),-1.4)</f>
        <v>-1.4</v>
      </c>
      <c r="D1114" s="60">
        <f>IFERROR(__xludf.DUMMYFUNCTION("IFERROR(GOOGLEFINANCE(A1114,""CHANGEPCT""),)"),-0.25)</f>
        <v>-0.25</v>
      </c>
      <c r="E1114" s="60" t="str">
        <f t="shared" si="1"/>
        <v>-0.25%</v>
      </c>
      <c r="F1114" s="60" t="str">
        <f t="shared" si="2"/>
        <v/>
      </c>
      <c r="G1114" s="60">
        <f t="shared" si="3"/>
        <v>-0.25</v>
      </c>
      <c r="H1114" s="60">
        <f>IFERROR(__xludf.DUMMYFUNCTION("IFERROR(GOOGLEFINANCE(A1114,""PRICE""),)"),563.3)</f>
        <v>563.3</v>
      </c>
      <c r="I1114" s="61">
        <f>IFERROR(__xludf.DUMMYFUNCTION("IFERROR(GOOGLEFINANCE(A1114,""VOLUME""),)"),285130.0)</f>
        <v>285130</v>
      </c>
      <c r="J1114" s="60" t="str">
        <f>IFERROR(__xludf.DUMMYFUNCTION("IFERROR(INDEX(SPLIT(A1114,"":""),1,2),)"),"PRICOLLTD")</f>
        <v>PRICOLLTD</v>
      </c>
      <c r="K1114" s="60" t="str">
        <f t="shared" si="4"/>
        <v/>
      </c>
      <c r="L1114" s="60">
        <f t="shared" si="5"/>
        <v>65</v>
      </c>
      <c r="M1114" s="60">
        <f t="shared" si="6"/>
        <v>521</v>
      </c>
      <c r="N1114" s="62">
        <f>IFERROR(__xludf.DUMMYFUNCTION("IFERROR(GOOGLEFINANCE(A1114,""TRADETIME""),)"),46086.64585648148)</f>
        <v>46086.64586</v>
      </c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</row>
    <row r="1115">
      <c r="A1115" s="68" t="s">
        <v>1161</v>
      </c>
      <c r="B1115" s="64" t="str">
        <f>IFERROR(__xludf.DUMMYFUNCTION("IFERROR(GOOGLEFINANCE(A1115,""NAME""),)"),"Prime Securities Ltd")</f>
        <v>Prime Securities Ltd</v>
      </c>
      <c r="C1115" s="64">
        <f>IFERROR(__xludf.DUMMYFUNCTION("IFERROR(GOOGLEFINANCE(A1115,""CHANGE""),)"),7.65)</f>
        <v>7.65</v>
      </c>
      <c r="D1115" s="64">
        <f>IFERROR(__xludf.DUMMYFUNCTION("IFERROR(GOOGLEFINANCE(A1115,""CHANGEPCT""),)"),2.82)</f>
        <v>2.82</v>
      </c>
      <c r="E1115" s="64" t="str">
        <f t="shared" si="1"/>
        <v>2.82%</v>
      </c>
      <c r="F1115" s="64">
        <f t="shared" si="2"/>
        <v>2.82</v>
      </c>
      <c r="G1115" s="64" t="str">
        <f t="shared" si="3"/>
        <v/>
      </c>
      <c r="H1115" s="64">
        <f>IFERROR(__xludf.DUMMYFUNCTION("IFERROR(GOOGLEFINANCE(A1115,""PRICE""),)"),279.25)</f>
        <v>279.25</v>
      </c>
      <c r="I1115" s="65">
        <f>IFERROR(__xludf.DUMMYFUNCTION("IFERROR(GOOGLEFINANCE(A1115,""VOLUME""),)"),20124.0)</f>
        <v>20124</v>
      </c>
      <c r="J1115" s="64" t="str">
        <f>IFERROR(__xludf.DUMMYFUNCTION("IFERROR(INDEX(SPLIT(A1115,"":""),1,2),)"),"PRIMESECU")</f>
        <v>PRIMESECU</v>
      </c>
      <c r="K1115" s="64">
        <f t="shared" si="4"/>
        <v>285</v>
      </c>
      <c r="L1115" s="64" t="str">
        <f t="shared" si="5"/>
        <v/>
      </c>
      <c r="M1115" s="64">
        <f t="shared" si="6"/>
        <v>1139</v>
      </c>
      <c r="N1115" s="66">
        <f>IFERROR(__xludf.DUMMYFUNCTION("IFERROR(GOOGLEFINANCE(A1115,""TRADETIME""),)"),46086.64256944445)</f>
        <v>46086.64257</v>
      </c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</row>
    <row r="1116">
      <c r="A1116" s="67" t="s">
        <v>1162</v>
      </c>
      <c r="B1116" s="60" t="str">
        <f>IFERROR(__xludf.DUMMYFUNCTION("IFERROR(GOOGLEFINANCE(A1116,""NAME""),)"),"Prince Pipes and Fittings Ltd")</f>
        <v>Prince Pipes and Fittings Ltd</v>
      </c>
      <c r="C1116" s="60">
        <f>IFERROR(__xludf.DUMMYFUNCTION("IFERROR(GOOGLEFINANCE(A1116,""CHANGE""),)"),3.95)</f>
        <v>3.95</v>
      </c>
      <c r="D1116" s="60">
        <f>IFERROR(__xludf.DUMMYFUNCTION("IFERROR(GOOGLEFINANCE(A1116,""CHANGEPCT""),)"),1.67)</f>
        <v>1.67</v>
      </c>
      <c r="E1116" s="60" t="str">
        <f t="shared" si="1"/>
        <v>1.67%</v>
      </c>
      <c r="F1116" s="60">
        <f t="shared" si="2"/>
        <v>1.67</v>
      </c>
      <c r="G1116" s="60" t="str">
        <f t="shared" si="3"/>
        <v/>
      </c>
      <c r="H1116" s="60">
        <f>IFERROR(__xludf.DUMMYFUNCTION("IFERROR(GOOGLEFINANCE(A1116,""PRICE""),)"),239.95)</f>
        <v>239.95</v>
      </c>
      <c r="I1116" s="61">
        <f>IFERROR(__xludf.DUMMYFUNCTION("IFERROR(GOOGLEFINANCE(A1116,""VOLUME""),)"),102020.0)</f>
        <v>102020</v>
      </c>
      <c r="J1116" s="60" t="str">
        <f>IFERROR(__xludf.DUMMYFUNCTION("IFERROR(INDEX(SPLIT(A1116,"":""),1,2),)"),"PRINCEPIPE")</f>
        <v>PRINCEPIPE</v>
      </c>
      <c r="K1116" s="60">
        <f t="shared" si="4"/>
        <v>523</v>
      </c>
      <c r="L1116" s="60" t="str">
        <f t="shared" si="5"/>
        <v/>
      </c>
      <c r="M1116" s="60">
        <f t="shared" si="6"/>
        <v>754</v>
      </c>
      <c r="N1116" s="62">
        <f>IFERROR(__xludf.DUMMYFUNCTION("IFERROR(GOOGLEFINANCE(A1116,""TRADETIME""),)"),46086.64583333333)</f>
        <v>46086.64583</v>
      </c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</row>
    <row r="1117">
      <c r="A1117" s="68" t="s">
        <v>1163</v>
      </c>
      <c r="B1117" s="64" t="str">
        <f>IFERROR(__xludf.DUMMYFUNCTION("IFERROR(GOOGLEFINANCE(A1117,""NAME""),)"),"Privi Speciality Chemicals Ltd")</f>
        <v>Privi Speciality Chemicals Ltd</v>
      </c>
      <c r="C1117" s="64">
        <f>IFERROR(__xludf.DUMMYFUNCTION("IFERROR(GOOGLEFINANCE(A1117,""CHANGE""),)"),86.9)</f>
        <v>86.9</v>
      </c>
      <c r="D1117" s="64">
        <f>IFERROR(__xludf.DUMMYFUNCTION("IFERROR(GOOGLEFINANCE(A1117,""CHANGEPCT""),)"),3.06)</f>
        <v>3.06</v>
      </c>
      <c r="E1117" s="64" t="str">
        <f t="shared" si="1"/>
        <v>3.06%</v>
      </c>
      <c r="F1117" s="64">
        <f t="shared" si="2"/>
        <v>3.06</v>
      </c>
      <c r="G1117" s="64" t="str">
        <f t="shared" si="3"/>
        <v/>
      </c>
      <c r="H1117" s="64">
        <f>IFERROR(__xludf.DUMMYFUNCTION("IFERROR(GOOGLEFINANCE(A1117,""PRICE""),)"),2915.6)</f>
        <v>2915.6</v>
      </c>
      <c r="I1117" s="65">
        <f>IFERROR(__xludf.DUMMYFUNCTION("IFERROR(GOOGLEFINANCE(A1117,""VOLUME""),)"),81078.0)</f>
        <v>81078</v>
      </c>
      <c r="J1117" s="64" t="str">
        <f>IFERROR(__xludf.DUMMYFUNCTION("IFERROR(INDEX(SPLIT(A1117,"":""),1,2),)"),"PRIVISCL")</f>
        <v>PRIVISCL</v>
      </c>
      <c r="K1117" s="64">
        <f t="shared" si="4"/>
        <v>247</v>
      </c>
      <c r="L1117" s="64" t="str">
        <f t="shared" si="5"/>
        <v/>
      </c>
      <c r="M1117" s="64">
        <f t="shared" si="6"/>
        <v>810</v>
      </c>
      <c r="N1117" s="66">
        <f>IFERROR(__xludf.DUMMYFUNCTION("IFERROR(GOOGLEFINANCE(A1117,""TRADETIME""),)"),46086.64583333333)</f>
        <v>46086.64583</v>
      </c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</row>
    <row r="1118">
      <c r="A1118" s="67" t="s">
        <v>1164</v>
      </c>
      <c r="B1118" s="60" t="str">
        <f>IFERROR(__xludf.DUMMYFUNCTION("IFERROR(GOOGLEFINANCE(A1118,""NAME""),)"),"")</f>
        <v/>
      </c>
      <c r="C1118" s="60" t="str">
        <f>IFERROR(__xludf.DUMMYFUNCTION("IFERROR(GOOGLEFINANCE(A1118,""CHANGE""),)"),"")</f>
        <v/>
      </c>
      <c r="D1118" s="60" t="str">
        <f>IFERROR(__xludf.DUMMYFUNCTION("IFERROR(GOOGLEFINANCE(A1118,""CHANGEPCT""),)"),"")</f>
        <v/>
      </c>
      <c r="E1118" s="60" t="str">
        <f t="shared" si="1"/>
        <v>%</v>
      </c>
      <c r="F1118" s="60" t="str">
        <f t="shared" si="2"/>
        <v/>
      </c>
      <c r="G1118" s="60" t="str">
        <f t="shared" si="3"/>
        <v/>
      </c>
      <c r="H1118" s="60" t="str">
        <f>IFERROR(__xludf.DUMMYFUNCTION("IFERROR(GOOGLEFINANCE(A1118,""PRICE""),)"),"")</f>
        <v/>
      </c>
      <c r="I1118" s="61" t="str">
        <f>IFERROR(__xludf.DUMMYFUNCTION("IFERROR(GOOGLEFINANCE(A1118,""VOLUME""),)"),"")</f>
        <v/>
      </c>
      <c r="J1118" s="60" t="str">
        <f>IFERROR(__xludf.DUMMYFUNCTION("IFERROR(INDEX(SPLIT(A1118,"":""),1,2),)"),"PROZONINTU")</f>
        <v>PROZONINTU</v>
      </c>
      <c r="K1118" s="60" t="str">
        <f t="shared" si="4"/>
        <v/>
      </c>
      <c r="L1118" s="60" t="str">
        <f t="shared" si="5"/>
        <v/>
      </c>
      <c r="M1118" s="60" t="str">
        <f t="shared" si="6"/>
        <v/>
      </c>
      <c r="N1118" s="62" t="str">
        <f>IFERROR(__xludf.DUMMYFUNCTION("IFERROR(GOOGLEFINANCE(A1118,""TRADETIME""),)"),"")</f>
        <v/>
      </c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</row>
    <row r="1119">
      <c r="A1119" s="68" t="s">
        <v>1165</v>
      </c>
      <c r="B1119" s="64" t="str">
        <f>IFERROR(__xludf.DUMMYFUNCTION("IFERROR(GOOGLEFINANCE(A1119,""NAME""),)"),"Prism Johnson Ltd")</f>
        <v>Prism Johnson Ltd</v>
      </c>
      <c r="C1119" s="64">
        <f>IFERROR(__xludf.DUMMYFUNCTION("IFERROR(GOOGLEFINANCE(A1119,""CHANGE""),)"),-0.09)</f>
        <v>-0.09</v>
      </c>
      <c r="D1119" s="64">
        <f>IFERROR(__xludf.DUMMYFUNCTION("IFERROR(GOOGLEFINANCE(A1119,""CHANGEPCT""),)"),-0.07)</f>
        <v>-0.07</v>
      </c>
      <c r="E1119" s="64" t="str">
        <f t="shared" si="1"/>
        <v>-0.07%</v>
      </c>
      <c r="F1119" s="64" t="str">
        <f t="shared" si="2"/>
        <v/>
      </c>
      <c r="G1119" s="64">
        <f t="shared" si="3"/>
        <v>-0.07</v>
      </c>
      <c r="H1119" s="64">
        <f>IFERROR(__xludf.DUMMYFUNCTION("IFERROR(GOOGLEFINANCE(A1119,""PRICE""),)"),125.5)</f>
        <v>125.5</v>
      </c>
      <c r="I1119" s="65">
        <f>IFERROR(__xludf.DUMMYFUNCTION("IFERROR(GOOGLEFINANCE(A1119,""VOLUME""),)"),87741.0)</f>
        <v>87741</v>
      </c>
      <c r="J1119" s="64" t="str">
        <f>IFERROR(__xludf.DUMMYFUNCTION("IFERROR(INDEX(SPLIT(A1119,"":""),1,2),)"),"PRSMJOHNSN")</f>
        <v>PRSMJOHNSN</v>
      </c>
      <c r="K1119" s="64" t="str">
        <f t="shared" si="4"/>
        <v/>
      </c>
      <c r="L1119" s="64">
        <f t="shared" si="5"/>
        <v>21</v>
      </c>
      <c r="M1119" s="64">
        <f t="shared" si="6"/>
        <v>789</v>
      </c>
      <c r="N1119" s="66">
        <f>IFERROR(__xludf.DUMMYFUNCTION("IFERROR(GOOGLEFINANCE(A1119,""TRADETIME""),)"),46086.64583333333)</f>
        <v>46086.64583</v>
      </c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</row>
    <row r="1120">
      <c r="A1120" s="67" t="s">
        <v>1166</v>
      </c>
      <c r="B1120" s="60" t="str">
        <f>IFERROR(__xludf.DUMMYFUNCTION("IFERROR(GOOGLEFINANCE(A1120,""NAME""),)"),"Punjab &amp; Sind Bank")</f>
        <v>Punjab &amp; Sind Bank</v>
      </c>
      <c r="C1120" s="60">
        <f>IFERROR(__xludf.DUMMYFUNCTION("IFERROR(GOOGLEFINANCE(A1120,""CHANGE""),)"),0.15)</f>
        <v>0.15</v>
      </c>
      <c r="D1120" s="60">
        <f>IFERROR(__xludf.DUMMYFUNCTION("IFERROR(GOOGLEFINANCE(A1120,""CHANGEPCT""),)"),1.44)</f>
        <v>1.44</v>
      </c>
      <c r="E1120" s="60" t="str">
        <f t="shared" si="1"/>
        <v>1.44%</v>
      </c>
      <c r="F1120" s="60">
        <f t="shared" si="2"/>
        <v>1.44</v>
      </c>
      <c r="G1120" s="60" t="str">
        <f t="shared" si="3"/>
        <v/>
      </c>
      <c r="H1120" s="60">
        <f>IFERROR(__xludf.DUMMYFUNCTION("IFERROR(GOOGLEFINANCE(A1120,""PRICE""),)"),25.1)</f>
        <v>25.1</v>
      </c>
      <c r="I1120" s="61">
        <f>IFERROR(__xludf.DUMMYFUNCTION("IFERROR(GOOGLEFINANCE(A1120,""VOLUME""),)"),1999055.0)</f>
        <v>1999055</v>
      </c>
      <c r="J1120" s="60" t="str">
        <f>IFERROR(__xludf.DUMMYFUNCTION("IFERROR(INDEX(SPLIT(A1120,"":""),1,2),)"),"PSB")</f>
        <v>PSB</v>
      </c>
      <c r="K1120" s="60">
        <f t="shared" si="4"/>
        <v>590</v>
      </c>
      <c r="L1120" s="60" t="str">
        <f t="shared" si="5"/>
        <v/>
      </c>
      <c r="M1120" s="60">
        <f t="shared" si="6"/>
        <v>204</v>
      </c>
      <c r="N1120" s="62">
        <f>IFERROR(__xludf.DUMMYFUNCTION("IFERROR(GOOGLEFINANCE(A1120,""TRADETIME""),)"),46086.64583333333)</f>
        <v>46086.64583</v>
      </c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</row>
    <row r="1121">
      <c r="A1121" s="68" t="s">
        <v>1167</v>
      </c>
      <c r="B1121" s="64" t="str">
        <f>IFERROR(__xludf.DUMMYFUNCTION("IFERROR(GOOGLEFINANCE(A1121,""NAME""),)"),"Psp Projects Ltd")</f>
        <v>Psp Projects Ltd</v>
      </c>
      <c r="C1121" s="64">
        <f>IFERROR(__xludf.DUMMYFUNCTION("IFERROR(GOOGLEFINANCE(A1121,""CHANGE""),)"),15.9)</f>
        <v>15.9</v>
      </c>
      <c r="D1121" s="64">
        <f>IFERROR(__xludf.DUMMYFUNCTION("IFERROR(GOOGLEFINANCE(A1121,""CHANGEPCT""),)"),2.3)</f>
        <v>2.3</v>
      </c>
      <c r="E1121" s="64" t="str">
        <f t="shared" si="1"/>
        <v>2.3%</v>
      </c>
      <c r="F1121" s="64">
        <f t="shared" si="2"/>
        <v>2.3</v>
      </c>
      <c r="G1121" s="64" t="str">
        <f t="shared" si="3"/>
        <v/>
      </c>
      <c r="H1121" s="64">
        <f>IFERROR(__xludf.DUMMYFUNCTION("IFERROR(GOOGLEFINANCE(A1121,""PRICE""),)"),706.1)</f>
        <v>706.1</v>
      </c>
      <c r="I1121" s="65">
        <f>IFERROR(__xludf.DUMMYFUNCTION("IFERROR(GOOGLEFINANCE(A1121,""VOLUME""),)"),75849.0)</f>
        <v>75849</v>
      </c>
      <c r="J1121" s="64" t="str">
        <f>IFERROR(__xludf.DUMMYFUNCTION("IFERROR(INDEX(SPLIT(A1121,"":""),1,2),)"),"PSPPROJECT")</f>
        <v>PSPPROJECT</v>
      </c>
      <c r="K1121" s="64">
        <f t="shared" si="4"/>
        <v>376</v>
      </c>
      <c r="L1121" s="64" t="str">
        <f t="shared" si="5"/>
        <v/>
      </c>
      <c r="M1121" s="64">
        <f t="shared" si="6"/>
        <v>825</v>
      </c>
      <c r="N1121" s="66">
        <f>IFERROR(__xludf.DUMMYFUNCTION("IFERROR(GOOGLEFINANCE(A1121,""TRADETIME""),)"),46086.64583333333)</f>
        <v>46086.64583</v>
      </c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</row>
    <row r="1122">
      <c r="A1122" s="67" t="s">
        <v>1168</v>
      </c>
      <c r="B1122" s="60" t="str">
        <f>IFERROR(__xludf.DUMMYFUNCTION("IFERROR(GOOGLEFINANCE(A1122,""NAME""),)"),"PTC India Ltd")</f>
        <v>PTC India Ltd</v>
      </c>
      <c r="C1122" s="60">
        <f>IFERROR(__xludf.DUMMYFUNCTION("IFERROR(GOOGLEFINANCE(A1122,""CHANGE""),)"),2.06)</f>
        <v>2.06</v>
      </c>
      <c r="D1122" s="60">
        <f>IFERROR(__xludf.DUMMYFUNCTION("IFERROR(GOOGLEFINANCE(A1122,""CHANGEPCT""),)"),1.31)</f>
        <v>1.31</v>
      </c>
      <c r="E1122" s="60" t="str">
        <f t="shared" si="1"/>
        <v>1.31%</v>
      </c>
      <c r="F1122" s="60">
        <f t="shared" si="2"/>
        <v>1.31</v>
      </c>
      <c r="G1122" s="60" t="str">
        <f t="shared" si="3"/>
        <v/>
      </c>
      <c r="H1122" s="60">
        <f>IFERROR(__xludf.DUMMYFUNCTION("IFERROR(GOOGLEFINANCE(A1122,""PRICE""),)"),159.36)</f>
        <v>159.36</v>
      </c>
      <c r="I1122" s="61">
        <f>IFERROR(__xludf.DUMMYFUNCTION("IFERROR(GOOGLEFINANCE(A1122,""VOLUME""),)"),1201074.0)</f>
        <v>1201074</v>
      </c>
      <c r="J1122" s="60" t="str">
        <f>IFERROR(__xludf.DUMMYFUNCTION("IFERROR(INDEX(SPLIT(A1122,"":""),1,2),)"),"PTC")</f>
        <v>PTC</v>
      </c>
      <c r="K1122" s="60">
        <f t="shared" si="4"/>
        <v>637</v>
      </c>
      <c r="L1122" s="60" t="str">
        <f t="shared" si="5"/>
        <v/>
      </c>
      <c r="M1122" s="60">
        <f t="shared" si="6"/>
        <v>262</v>
      </c>
      <c r="N1122" s="62">
        <f>IFERROR(__xludf.DUMMYFUNCTION("IFERROR(GOOGLEFINANCE(A1122,""TRADETIME""),)"),46086.64583333333)</f>
        <v>46086.64583</v>
      </c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</row>
    <row r="1123">
      <c r="A1123" s="68" t="s">
        <v>1169</v>
      </c>
      <c r="B1123" s="64" t="str">
        <f>IFERROR(__xludf.DUMMYFUNCTION("IFERROR(GOOGLEFINANCE(A1123,""NAME""),)"),"PTL Enterprises Ltd")</f>
        <v>PTL Enterprises Ltd</v>
      </c>
      <c r="C1123" s="64">
        <f>IFERROR(__xludf.DUMMYFUNCTION("IFERROR(GOOGLEFINANCE(A1123,""CHANGE""),)"),0.22)</f>
        <v>0.22</v>
      </c>
      <c r="D1123" s="64">
        <f>IFERROR(__xludf.DUMMYFUNCTION("IFERROR(GOOGLEFINANCE(A1123,""CHANGEPCT""),)"),0.58)</f>
        <v>0.58</v>
      </c>
      <c r="E1123" s="64" t="str">
        <f t="shared" si="1"/>
        <v>0.58%</v>
      </c>
      <c r="F1123" s="64">
        <f t="shared" si="2"/>
        <v>0.58</v>
      </c>
      <c r="G1123" s="64" t="str">
        <f t="shared" si="3"/>
        <v/>
      </c>
      <c r="H1123" s="64">
        <f>IFERROR(__xludf.DUMMYFUNCTION("IFERROR(GOOGLEFINANCE(A1123,""PRICE""),)"),38.1)</f>
        <v>38.1</v>
      </c>
      <c r="I1123" s="65">
        <f>IFERROR(__xludf.DUMMYFUNCTION("IFERROR(GOOGLEFINANCE(A1123,""VOLUME""),)"),33365.0)</f>
        <v>33365</v>
      </c>
      <c r="J1123" s="64" t="str">
        <f>IFERROR(__xludf.DUMMYFUNCTION("IFERROR(INDEX(SPLIT(A1123,"":""),1,2),)"),"PTL")</f>
        <v>PTL</v>
      </c>
      <c r="K1123" s="64">
        <f t="shared" si="4"/>
        <v>852</v>
      </c>
      <c r="L1123" s="64" t="str">
        <f t="shared" si="5"/>
        <v/>
      </c>
      <c r="M1123" s="64">
        <f t="shared" si="6"/>
        <v>1030</v>
      </c>
      <c r="N1123" s="66">
        <f>IFERROR(__xludf.DUMMYFUNCTION("IFERROR(GOOGLEFINANCE(A1123,""TRADETIME""),)"),46086.64583333333)</f>
        <v>46086.64583</v>
      </c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</row>
    <row r="1124">
      <c r="A1124" s="67" t="s">
        <v>1170</v>
      </c>
      <c r="B1124" s="60" t="str">
        <f>IFERROR(__xludf.DUMMYFUNCTION("IFERROR(GOOGLEFINANCE(A1124,""NAME""),)"),"Punjab Chemicals and Crop Protection Ltd")</f>
        <v>Punjab Chemicals and Crop Protection Ltd</v>
      </c>
      <c r="C1124" s="60">
        <f>IFERROR(__xludf.DUMMYFUNCTION("IFERROR(GOOGLEFINANCE(A1124,""CHANGE""),)"),5.4)</f>
        <v>5.4</v>
      </c>
      <c r="D1124" s="60">
        <f>IFERROR(__xludf.DUMMYFUNCTION("IFERROR(GOOGLEFINANCE(A1124,""CHANGEPCT""),)"),0.51)</f>
        <v>0.51</v>
      </c>
      <c r="E1124" s="60" t="str">
        <f t="shared" si="1"/>
        <v>0.51%</v>
      </c>
      <c r="F1124" s="60">
        <f t="shared" si="2"/>
        <v>0.51</v>
      </c>
      <c r="G1124" s="60" t="str">
        <f t="shared" si="3"/>
        <v/>
      </c>
      <c r="H1124" s="60">
        <f>IFERROR(__xludf.DUMMYFUNCTION("IFERROR(GOOGLEFINANCE(A1124,""PRICE""),)"),1061.4)</f>
        <v>1061.4</v>
      </c>
      <c r="I1124" s="61">
        <f>IFERROR(__xludf.DUMMYFUNCTION("IFERROR(GOOGLEFINANCE(A1124,""VOLUME""),)"),6040.0)</f>
        <v>6040</v>
      </c>
      <c r="J1124" s="60" t="str">
        <f>IFERROR(__xludf.DUMMYFUNCTION("IFERROR(INDEX(SPLIT(A1124,"":""),1,2),)"),"PUNJABCHEM")</f>
        <v>PUNJABCHEM</v>
      </c>
      <c r="K1124" s="60">
        <f t="shared" si="4"/>
        <v>877</v>
      </c>
      <c r="L1124" s="60" t="str">
        <f t="shared" si="5"/>
        <v/>
      </c>
      <c r="M1124" s="60">
        <f t="shared" si="6"/>
        <v>1324</v>
      </c>
      <c r="N1124" s="62">
        <f>IFERROR(__xludf.DUMMYFUNCTION("IFERROR(GOOGLEFINANCE(A1124,""TRADETIME""),)"),46086.64349537037)</f>
        <v>46086.6435</v>
      </c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</row>
    <row r="1125">
      <c r="A1125" s="68" t="s">
        <v>1171</v>
      </c>
      <c r="B1125" s="64" t="str">
        <f>IFERROR(__xludf.DUMMYFUNCTION("IFERROR(GOOGLEFINANCE(A1125,""NAME""),)"),"Puravankara Ltd")</f>
        <v>Puravankara Ltd</v>
      </c>
      <c r="C1125" s="64">
        <f>IFERROR(__xludf.DUMMYFUNCTION("IFERROR(GOOGLEFINANCE(A1125,""CHANGE""),)"),-2.67)</f>
        <v>-2.67</v>
      </c>
      <c r="D1125" s="64">
        <f>IFERROR(__xludf.DUMMYFUNCTION("IFERROR(GOOGLEFINANCE(A1125,""CHANGEPCT""),)"),-1.48)</f>
        <v>-1.48</v>
      </c>
      <c r="E1125" s="64" t="str">
        <f t="shared" si="1"/>
        <v>-1.48%</v>
      </c>
      <c r="F1125" s="64" t="str">
        <f t="shared" si="2"/>
        <v/>
      </c>
      <c r="G1125" s="64">
        <f t="shared" si="3"/>
        <v>-1.48</v>
      </c>
      <c r="H1125" s="64">
        <f>IFERROR(__xludf.DUMMYFUNCTION("IFERROR(GOOGLEFINANCE(A1125,""PRICE""),)"),177.72)</f>
        <v>177.72</v>
      </c>
      <c r="I1125" s="65">
        <f>IFERROR(__xludf.DUMMYFUNCTION("IFERROR(GOOGLEFINANCE(A1125,""VOLUME""),)"),592137.0)</f>
        <v>592137</v>
      </c>
      <c r="J1125" s="64" t="str">
        <f>IFERROR(__xludf.DUMMYFUNCTION("IFERROR(INDEX(SPLIT(A1125,"":""),1,2),)"),"PURVA")</f>
        <v>PURVA</v>
      </c>
      <c r="K1125" s="64" t="str">
        <f t="shared" si="4"/>
        <v/>
      </c>
      <c r="L1125" s="64">
        <f t="shared" si="5"/>
        <v>289</v>
      </c>
      <c r="M1125" s="64">
        <f t="shared" si="6"/>
        <v>369</v>
      </c>
      <c r="N1125" s="66">
        <f>IFERROR(__xludf.DUMMYFUNCTION("IFERROR(GOOGLEFINANCE(A1125,""TRADETIME""),)"),46086.64584490741)</f>
        <v>46086.64584</v>
      </c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</row>
    <row r="1126">
      <c r="A1126" s="67" t="s">
        <v>1172</v>
      </c>
      <c r="B1126" s="60" t="str">
        <f>IFERROR(__xludf.DUMMYFUNCTION("IFERROR(GOOGLEFINANCE(A1126,""NAME""),)"),"")</f>
        <v/>
      </c>
      <c r="C1126" s="60" t="str">
        <f>IFERROR(__xludf.DUMMYFUNCTION("IFERROR(GOOGLEFINANCE(A1126,""CHANGE""),)"),"")</f>
        <v/>
      </c>
      <c r="D1126" s="60" t="str">
        <f>IFERROR(__xludf.DUMMYFUNCTION("IFERROR(GOOGLEFINANCE(A1126,""CHANGEPCT""),)"),"")</f>
        <v/>
      </c>
      <c r="E1126" s="60" t="str">
        <f t="shared" si="1"/>
        <v>%</v>
      </c>
      <c r="F1126" s="60" t="str">
        <f t="shared" si="2"/>
        <v/>
      </c>
      <c r="G1126" s="60" t="str">
        <f t="shared" si="3"/>
        <v/>
      </c>
      <c r="H1126" s="60" t="str">
        <f>IFERROR(__xludf.DUMMYFUNCTION("IFERROR(GOOGLEFINANCE(A1126,""PRICE""),)"),"")</f>
        <v/>
      </c>
      <c r="I1126" s="61" t="str">
        <f>IFERROR(__xludf.DUMMYFUNCTION("IFERROR(GOOGLEFINANCE(A1126,""VOLUME""),)"),"")</f>
        <v/>
      </c>
      <c r="J1126" s="60" t="str">
        <f>IFERROR(__xludf.DUMMYFUNCTION("IFERROR(INDEX(SPLIT(A1126,"":""),1,2),)"),"PVR")</f>
        <v>PVR</v>
      </c>
      <c r="K1126" s="60" t="str">
        <f t="shared" si="4"/>
        <v/>
      </c>
      <c r="L1126" s="60" t="str">
        <f t="shared" si="5"/>
        <v/>
      </c>
      <c r="M1126" s="60" t="str">
        <f t="shared" si="6"/>
        <v/>
      </c>
      <c r="N1126" s="62" t="str">
        <f>IFERROR(__xludf.DUMMYFUNCTION("IFERROR(GOOGLEFINANCE(A1126,""TRADETIME""),)"),"")</f>
        <v/>
      </c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</row>
    <row r="1127">
      <c r="A1127" s="68" t="s">
        <v>1173</v>
      </c>
      <c r="B1127" s="64" t="str">
        <f>IFERROR(__xludf.DUMMYFUNCTION("IFERROR(GOOGLEFINANCE(A1127,""NAME""),)"),"Quess Corp Ltd")</f>
        <v>Quess Corp Ltd</v>
      </c>
      <c r="C1127" s="64">
        <f>IFERROR(__xludf.DUMMYFUNCTION("IFERROR(GOOGLEFINANCE(A1127,""CHANGE""),)"),2.99)</f>
        <v>2.99</v>
      </c>
      <c r="D1127" s="64">
        <f>IFERROR(__xludf.DUMMYFUNCTION("IFERROR(GOOGLEFINANCE(A1127,""CHANGEPCT""),)"),1.43)</f>
        <v>1.43</v>
      </c>
      <c r="E1127" s="64" t="str">
        <f t="shared" si="1"/>
        <v>1.43%</v>
      </c>
      <c r="F1127" s="64">
        <f t="shared" si="2"/>
        <v>1.43</v>
      </c>
      <c r="G1127" s="64" t="str">
        <f t="shared" si="3"/>
        <v/>
      </c>
      <c r="H1127" s="64">
        <f>IFERROR(__xludf.DUMMYFUNCTION("IFERROR(GOOGLEFINANCE(A1127,""PRICE""),)"),191.35)</f>
        <v>191.35</v>
      </c>
      <c r="I1127" s="65">
        <f>IFERROR(__xludf.DUMMYFUNCTION("IFERROR(GOOGLEFINANCE(A1127,""VOLUME""),)"),119918.0)</f>
        <v>119918</v>
      </c>
      <c r="J1127" s="64" t="str">
        <f>IFERROR(__xludf.DUMMYFUNCTION("IFERROR(INDEX(SPLIT(A1127,"":""),1,2),)"),"QUESS")</f>
        <v>QUESS</v>
      </c>
      <c r="K1127" s="64">
        <f t="shared" si="4"/>
        <v>599</v>
      </c>
      <c r="L1127" s="64" t="str">
        <f t="shared" si="5"/>
        <v/>
      </c>
      <c r="M1127" s="64">
        <f t="shared" si="6"/>
        <v>723</v>
      </c>
      <c r="N1127" s="66">
        <f>IFERROR(__xludf.DUMMYFUNCTION("IFERROR(GOOGLEFINANCE(A1127,""TRADETIME""),)"),46086.64583333333)</f>
        <v>46086.64583</v>
      </c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</row>
    <row r="1128">
      <c r="A1128" s="67" t="s">
        <v>1174</v>
      </c>
      <c r="B1128" s="60" t="str">
        <f>IFERROR(__xludf.DUMMYFUNCTION("IFERROR(GOOGLEFINANCE(A1128,""NAME""),)"),"Quick Heal Technologies Ltd")</f>
        <v>Quick Heal Technologies Ltd</v>
      </c>
      <c r="C1128" s="60">
        <f>IFERROR(__xludf.DUMMYFUNCTION("IFERROR(GOOGLEFINANCE(A1128,""CHANGE""),)"),-1.48)</f>
        <v>-1.48</v>
      </c>
      <c r="D1128" s="60">
        <f>IFERROR(__xludf.DUMMYFUNCTION("IFERROR(GOOGLEFINANCE(A1128,""CHANGEPCT""),)"),-0.94)</f>
        <v>-0.94</v>
      </c>
      <c r="E1128" s="60" t="str">
        <f t="shared" si="1"/>
        <v>-0.94%</v>
      </c>
      <c r="F1128" s="60" t="str">
        <f t="shared" si="2"/>
        <v/>
      </c>
      <c r="G1128" s="60">
        <f t="shared" si="3"/>
        <v>-0.94</v>
      </c>
      <c r="H1128" s="60">
        <f>IFERROR(__xludf.DUMMYFUNCTION("IFERROR(GOOGLEFINANCE(A1128,""PRICE""),)"),154.76)</f>
        <v>154.76</v>
      </c>
      <c r="I1128" s="61">
        <f>IFERROR(__xludf.DUMMYFUNCTION("IFERROR(GOOGLEFINANCE(A1128,""VOLUME""),)"),122658.0)</f>
        <v>122658</v>
      </c>
      <c r="J1128" s="60" t="str">
        <f>IFERROR(__xludf.DUMMYFUNCTION("IFERROR(INDEX(SPLIT(A1128,"":""),1,2),)"),"QUICKHEAL")</f>
        <v>QUICKHEAL</v>
      </c>
      <c r="K1128" s="60" t="str">
        <f t="shared" si="4"/>
        <v/>
      </c>
      <c r="L1128" s="60">
        <f t="shared" si="5"/>
        <v>209</v>
      </c>
      <c r="M1128" s="60">
        <f t="shared" si="6"/>
        <v>717</v>
      </c>
      <c r="N1128" s="62">
        <f>IFERROR(__xludf.DUMMYFUNCTION("IFERROR(GOOGLEFINANCE(A1128,""TRADETIME""),)"),46086.64584490741)</f>
        <v>46086.64584</v>
      </c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</row>
    <row r="1129">
      <c r="A1129" s="68" t="s">
        <v>1175</v>
      </c>
      <c r="B1129" s="64" t="str">
        <f>IFERROR(__xludf.DUMMYFUNCTION("IFERROR(GOOGLEFINANCE(A1129,""NAME""),)"),"Radaan Media Works India Ltd")</f>
        <v>Radaan Media Works India Ltd</v>
      </c>
      <c r="C1129" s="64">
        <f>IFERROR(__xludf.DUMMYFUNCTION("IFERROR(GOOGLEFINANCE(A1129,""CHANGE""),)"),0.02)</f>
        <v>0.02</v>
      </c>
      <c r="D1129" s="64">
        <f>IFERROR(__xludf.DUMMYFUNCTION("IFERROR(GOOGLEFINANCE(A1129,""CHANGEPCT""),)"),0.68)</f>
        <v>0.68</v>
      </c>
      <c r="E1129" s="64" t="str">
        <f t="shared" si="1"/>
        <v>0.68%</v>
      </c>
      <c r="F1129" s="64">
        <f t="shared" si="2"/>
        <v>0.68</v>
      </c>
      <c r="G1129" s="64" t="str">
        <f t="shared" si="3"/>
        <v/>
      </c>
      <c r="H1129" s="64">
        <f>IFERROR(__xludf.DUMMYFUNCTION("IFERROR(GOOGLEFINANCE(A1129,""PRICE""),)"),2.96)</f>
        <v>2.96</v>
      </c>
      <c r="I1129" s="65">
        <f>IFERROR(__xludf.DUMMYFUNCTION("IFERROR(GOOGLEFINANCE(A1129,""VOLUME""),)"),6644.0)</f>
        <v>6644</v>
      </c>
      <c r="J1129" s="64" t="str">
        <f>IFERROR(__xludf.DUMMYFUNCTION("IFERROR(INDEX(SPLIT(A1129,"":""),1,2),)"),"RADAAN")</f>
        <v>RADAAN</v>
      </c>
      <c r="K1129" s="64">
        <f t="shared" si="4"/>
        <v>825</v>
      </c>
      <c r="L1129" s="64" t="str">
        <f t="shared" si="5"/>
        <v/>
      </c>
      <c r="M1129" s="64">
        <f t="shared" si="6"/>
        <v>1313</v>
      </c>
      <c r="N1129" s="66">
        <f>IFERROR(__xludf.DUMMYFUNCTION("IFERROR(GOOGLEFINANCE(A1129,""TRADETIME""),)"),46086.64583333333)</f>
        <v>46086.64583</v>
      </c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</row>
    <row r="1130">
      <c r="A1130" s="67" t="s">
        <v>1176</v>
      </c>
      <c r="B1130" s="60" t="str">
        <f>IFERROR(__xludf.DUMMYFUNCTION("IFERROR(GOOGLEFINANCE(A1130,""NAME""),)"),"Radico Khaitan Ltd")</f>
        <v>Radico Khaitan Ltd</v>
      </c>
      <c r="C1130" s="60">
        <f>IFERROR(__xludf.DUMMYFUNCTION("IFERROR(GOOGLEFINANCE(A1130,""CHANGE""),)"),21.2)</f>
        <v>21.2</v>
      </c>
      <c r="D1130" s="60">
        <f>IFERROR(__xludf.DUMMYFUNCTION("IFERROR(GOOGLEFINANCE(A1130,""CHANGEPCT""),)"),0.74)</f>
        <v>0.74</v>
      </c>
      <c r="E1130" s="60" t="str">
        <f t="shared" si="1"/>
        <v>0.74%</v>
      </c>
      <c r="F1130" s="60">
        <f t="shared" si="2"/>
        <v>0.74</v>
      </c>
      <c r="G1130" s="60" t="str">
        <f t="shared" si="3"/>
        <v/>
      </c>
      <c r="H1130" s="60">
        <f>IFERROR(__xludf.DUMMYFUNCTION("IFERROR(GOOGLEFINANCE(A1130,""PRICE""),)"),2560.0)</f>
        <v>2560</v>
      </c>
      <c r="I1130" s="61">
        <f>IFERROR(__xludf.DUMMYFUNCTION("IFERROR(GOOGLEFINANCE(A1130,""VOLUME""),)"),253867.0)</f>
        <v>253867</v>
      </c>
      <c r="J1130" s="60" t="str">
        <f>IFERROR(__xludf.DUMMYFUNCTION("IFERROR(INDEX(SPLIT(A1130,"":""),1,2),)"),"RADICO")</f>
        <v>RADICO</v>
      </c>
      <c r="K1130" s="60">
        <f t="shared" si="4"/>
        <v>810</v>
      </c>
      <c r="L1130" s="60" t="str">
        <f t="shared" si="5"/>
        <v/>
      </c>
      <c r="M1130" s="60">
        <f t="shared" si="6"/>
        <v>550</v>
      </c>
      <c r="N1130" s="62">
        <f>IFERROR(__xludf.DUMMYFUNCTION("IFERROR(GOOGLEFINANCE(A1130,""TRADETIME""),)"),46086.64584490741)</f>
        <v>46086.64584</v>
      </c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</row>
    <row r="1131">
      <c r="A1131" s="68" t="s">
        <v>1177</v>
      </c>
      <c r="B1131" s="64" t="str">
        <f>IFERROR(__xludf.DUMMYFUNCTION("IFERROR(GOOGLEFINANCE(A1131,""NAME""),)"),"Music Broadcast Ltd")</f>
        <v>Music Broadcast Ltd</v>
      </c>
      <c r="C1131" s="64">
        <f>IFERROR(__xludf.DUMMYFUNCTION("IFERROR(GOOGLEFINANCE(A1131,""CHANGE""),)"),0.11)</f>
        <v>0.11</v>
      </c>
      <c r="D1131" s="64">
        <f>IFERROR(__xludf.DUMMYFUNCTION("IFERROR(GOOGLEFINANCE(A1131,""CHANGEPCT""),)"),1.87)</f>
        <v>1.87</v>
      </c>
      <c r="E1131" s="64" t="str">
        <f t="shared" si="1"/>
        <v>1.87%</v>
      </c>
      <c r="F1131" s="64">
        <f t="shared" si="2"/>
        <v>1.87</v>
      </c>
      <c r="G1131" s="64" t="str">
        <f t="shared" si="3"/>
        <v/>
      </c>
      <c r="H1131" s="64">
        <f>IFERROR(__xludf.DUMMYFUNCTION("IFERROR(GOOGLEFINANCE(A1131,""PRICE""),)"),5.98)</f>
        <v>5.98</v>
      </c>
      <c r="I1131" s="65">
        <f>IFERROR(__xludf.DUMMYFUNCTION("IFERROR(GOOGLEFINANCE(A1131,""VOLUME""),)"),220798.0)</f>
        <v>220798</v>
      </c>
      <c r="J1131" s="64" t="str">
        <f>IFERROR(__xludf.DUMMYFUNCTION("IFERROR(INDEX(SPLIT(A1131,"":""),1,2),)"),"RADIOCITY")</f>
        <v>RADIOCITY</v>
      </c>
      <c r="K1131" s="64">
        <f t="shared" si="4"/>
        <v>470</v>
      </c>
      <c r="L1131" s="64" t="str">
        <f t="shared" si="5"/>
        <v/>
      </c>
      <c r="M1131" s="64">
        <f t="shared" si="6"/>
        <v>582</v>
      </c>
      <c r="N1131" s="66">
        <f>IFERROR(__xludf.DUMMYFUNCTION("IFERROR(GOOGLEFINANCE(A1131,""TRADETIME""),)"),46086.64583333333)</f>
        <v>46086.64583</v>
      </c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</row>
    <row r="1132">
      <c r="A1132" s="67" t="s">
        <v>1178</v>
      </c>
      <c r="B1132" s="60" t="str">
        <f>IFERROR(__xludf.DUMMYFUNCTION("IFERROR(GOOGLEFINANCE(A1132,""NAME""),)"),"Rain Industries Ltd")</f>
        <v>Rain Industries Ltd</v>
      </c>
      <c r="C1132" s="60">
        <f>IFERROR(__xludf.DUMMYFUNCTION("IFERROR(GOOGLEFINANCE(A1132,""CHANGE""),)"),-1.62)</f>
        <v>-1.62</v>
      </c>
      <c r="D1132" s="60">
        <f>IFERROR(__xludf.DUMMYFUNCTION("IFERROR(GOOGLEFINANCE(A1132,""CHANGEPCT""),)"),-1.2)</f>
        <v>-1.2</v>
      </c>
      <c r="E1132" s="60" t="str">
        <f t="shared" si="1"/>
        <v>-1.2%</v>
      </c>
      <c r="F1132" s="60" t="str">
        <f t="shared" si="2"/>
        <v/>
      </c>
      <c r="G1132" s="60">
        <f t="shared" si="3"/>
        <v>-1.2</v>
      </c>
      <c r="H1132" s="60">
        <f>IFERROR(__xludf.DUMMYFUNCTION("IFERROR(GOOGLEFINANCE(A1132,""PRICE""),)"),133.9)</f>
        <v>133.9</v>
      </c>
      <c r="I1132" s="61">
        <f>IFERROR(__xludf.DUMMYFUNCTION("IFERROR(GOOGLEFINANCE(A1132,""VOLUME""),)"),3299418.0)</f>
        <v>3299418</v>
      </c>
      <c r="J1132" s="60" t="str">
        <f>IFERROR(__xludf.DUMMYFUNCTION("IFERROR(INDEX(SPLIT(A1132,"":""),1,2),)"),"RAIN")</f>
        <v>RAIN</v>
      </c>
      <c r="K1132" s="60" t="str">
        <f t="shared" si="4"/>
        <v/>
      </c>
      <c r="L1132" s="60">
        <f t="shared" si="5"/>
        <v>250</v>
      </c>
      <c r="M1132" s="60">
        <f t="shared" si="6"/>
        <v>141</v>
      </c>
      <c r="N1132" s="62">
        <f>IFERROR(__xludf.DUMMYFUNCTION("IFERROR(GOOGLEFINANCE(A1132,""TRADETIME""),)"),46086.64584490741)</f>
        <v>46086.64584</v>
      </c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</row>
    <row r="1133">
      <c r="A1133" s="68" t="s">
        <v>1179</v>
      </c>
      <c r="B1133" s="64" t="str">
        <f>IFERROR(__xludf.DUMMYFUNCTION("IFERROR(GOOGLEFINANCE(A1133,""NAME""),)"),"Rajesh Exports Ltd")</f>
        <v>Rajesh Exports Ltd</v>
      </c>
      <c r="C1133" s="64">
        <f>IFERROR(__xludf.DUMMYFUNCTION("IFERROR(GOOGLEFINANCE(A1133,""CHANGE""),)"),-6.58)</f>
        <v>-6.58</v>
      </c>
      <c r="D1133" s="64">
        <f>IFERROR(__xludf.DUMMYFUNCTION("IFERROR(GOOGLEFINANCE(A1133,""CHANGEPCT""),)"),-5.0)</f>
        <v>-5</v>
      </c>
      <c r="E1133" s="64" t="str">
        <f t="shared" si="1"/>
        <v>-5%</v>
      </c>
      <c r="F1133" s="64" t="str">
        <f t="shared" si="2"/>
        <v/>
      </c>
      <c r="G1133" s="64">
        <f t="shared" si="3"/>
        <v>-5</v>
      </c>
      <c r="H1133" s="64">
        <f>IFERROR(__xludf.DUMMYFUNCTION("IFERROR(GOOGLEFINANCE(A1133,""PRICE""),)"),125.11)</f>
        <v>125.11</v>
      </c>
      <c r="I1133" s="65">
        <f>IFERROR(__xludf.DUMMYFUNCTION("IFERROR(GOOGLEFINANCE(A1133,""VOLUME""),)"),417302.0)</f>
        <v>417302</v>
      </c>
      <c r="J1133" s="64" t="str">
        <f>IFERROR(__xludf.DUMMYFUNCTION("IFERROR(INDEX(SPLIT(A1133,"":""),1,2),)"),"RAJESHEXPO")</f>
        <v>RAJESHEXPO</v>
      </c>
      <c r="K1133" s="64" t="str">
        <f t="shared" si="4"/>
        <v/>
      </c>
      <c r="L1133" s="64">
        <f t="shared" si="5"/>
        <v>442</v>
      </c>
      <c r="M1133" s="64">
        <f t="shared" si="6"/>
        <v>435</v>
      </c>
      <c r="N1133" s="66">
        <f>IFERROR(__xludf.DUMMYFUNCTION("IFERROR(GOOGLEFINANCE(A1133,""TRADETIME""),)"),46086.64583333333)</f>
        <v>46086.64583</v>
      </c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</row>
    <row r="1134">
      <c r="A1134" s="67" t="s">
        <v>1180</v>
      </c>
      <c r="B1134" s="60" t="str">
        <f>IFERROR(__xludf.DUMMYFUNCTION("IFERROR(GOOGLEFINANCE(A1134,""NAME""),)"),"Rajnandini Metal Ltd")</f>
        <v>Rajnandini Metal Ltd</v>
      </c>
      <c r="C1134" s="60">
        <f>IFERROR(__xludf.DUMMYFUNCTION("IFERROR(GOOGLEFINANCE(A1134,""CHANGE""),)"),0.06)</f>
        <v>0.06</v>
      </c>
      <c r="D1134" s="60">
        <f>IFERROR(__xludf.DUMMYFUNCTION("IFERROR(GOOGLEFINANCE(A1134,""CHANGEPCT""),)"),1.67)</f>
        <v>1.67</v>
      </c>
      <c r="E1134" s="60" t="str">
        <f t="shared" si="1"/>
        <v>1.67%</v>
      </c>
      <c r="F1134" s="60">
        <f t="shared" si="2"/>
        <v>1.67</v>
      </c>
      <c r="G1134" s="60" t="str">
        <f t="shared" si="3"/>
        <v/>
      </c>
      <c r="H1134" s="60">
        <f>IFERROR(__xludf.DUMMYFUNCTION("IFERROR(GOOGLEFINANCE(A1134,""PRICE""),)"),3.65)</f>
        <v>3.65</v>
      </c>
      <c r="I1134" s="61">
        <f>IFERROR(__xludf.DUMMYFUNCTION("IFERROR(GOOGLEFINANCE(A1134,""VOLUME""),)"),352960.0)</f>
        <v>352960</v>
      </c>
      <c r="J1134" s="60" t="str">
        <f>IFERROR(__xludf.DUMMYFUNCTION("IFERROR(INDEX(SPLIT(A1134,"":""),1,2),)"),"RAJMET")</f>
        <v>RAJMET</v>
      </c>
      <c r="K1134" s="60">
        <f t="shared" si="4"/>
        <v>524</v>
      </c>
      <c r="L1134" s="60" t="str">
        <f t="shared" si="5"/>
        <v/>
      </c>
      <c r="M1134" s="60">
        <f t="shared" si="6"/>
        <v>477</v>
      </c>
      <c r="N1134" s="62">
        <f>IFERROR(__xludf.DUMMYFUNCTION("IFERROR(GOOGLEFINANCE(A1134,""TRADETIME""),)"),46086.64583333333)</f>
        <v>46086.64583</v>
      </c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</row>
    <row r="1135">
      <c r="A1135" s="68" t="s">
        <v>1181</v>
      </c>
      <c r="B1135" s="64" t="str">
        <f>IFERROR(__xludf.DUMMYFUNCTION("IFERROR(GOOGLEFINANCE(A1135,""NAME""),)"),"Rajratan Global Wire Ltd")</f>
        <v>Rajratan Global Wire Ltd</v>
      </c>
      <c r="C1135" s="64">
        <f>IFERROR(__xludf.DUMMYFUNCTION("IFERROR(GOOGLEFINANCE(A1135,""CHANGE""),)"),4.15)</f>
        <v>4.15</v>
      </c>
      <c r="D1135" s="64">
        <f>IFERROR(__xludf.DUMMYFUNCTION("IFERROR(GOOGLEFINANCE(A1135,""CHANGEPCT""),)"),1.32)</f>
        <v>1.32</v>
      </c>
      <c r="E1135" s="64" t="str">
        <f t="shared" si="1"/>
        <v>1.32%</v>
      </c>
      <c r="F1135" s="64">
        <f t="shared" si="2"/>
        <v>1.32</v>
      </c>
      <c r="G1135" s="64" t="str">
        <f t="shared" si="3"/>
        <v/>
      </c>
      <c r="H1135" s="64">
        <f>IFERROR(__xludf.DUMMYFUNCTION("IFERROR(GOOGLEFINANCE(A1135,""PRICE""),)"),406.0)</f>
        <v>406</v>
      </c>
      <c r="I1135" s="65">
        <f>IFERROR(__xludf.DUMMYFUNCTION("IFERROR(GOOGLEFINANCE(A1135,""VOLUME""),)"),57613.0)</f>
        <v>57613</v>
      </c>
      <c r="J1135" s="64" t="str">
        <f>IFERROR(__xludf.DUMMYFUNCTION("IFERROR(INDEX(SPLIT(A1135,"":""),1,2),)"),"RAJRATAN")</f>
        <v>RAJRATAN</v>
      </c>
      <c r="K1135" s="64">
        <f t="shared" si="4"/>
        <v>634</v>
      </c>
      <c r="L1135" s="64" t="str">
        <f t="shared" si="5"/>
        <v/>
      </c>
      <c r="M1135" s="64">
        <f t="shared" si="6"/>
        <v>891</v>
      </c>
      <c r="N1135" s="66">
        <f>IFERROR(__xludf.DUMMYFUNCTION("IFERROR(GOOGLEFINANCE(A1135,""TRADETIME""),)"),46086.64583333333)</f>
        <v>46086.64583</v>
      </c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</row>
    <row r="1136">
      <c r="A1136" s="67" t="s">
        <v>1182</v>
      </c>
      <c r="B1136" s="60" t="str">
        <f>IFERROR(__xludf.DUMMYFUNCTION("IFERROR(GOOGLEFINANCE(A1136,""NAME""),)"),"Rajshree Sugars &amp; Chemicals Ltd")</f>
        <v>Rajshree Sugars &amp; Chemicals Ltd</v>
      </c>
      <c r="C1136" s="60">
        <f>IFERROR(__xludf.DUMMYFUNCTION("IFERROR(GOOGLEFINANCE(A1136,""CHANGE""),)"),-0.16)</f>
        <v>-0.16</v>
      </c>
      <c r="D1136" s="60">
        <f>IFERROR(__xludf.DUMMYFUNCTION("IFERROR(GOOGLEFINANCE(A1136,""CHANGEPCT""),)"),-0.56)</f>
        <v>-0.56</v>
      </c>
      <c r="E1136" s="60" t="str">
        <f t="shared" si="1"/>
        <v>-0.56%</v>
      </c>
      <c r="F1136" s="60" t="str">
        <f t="shared" si="2"/>
        <v/>
      </c>
      <c r="G1136" s="60">
        <f t="shared" si="3"/>
        <v>-0.56</v>
      </c>
      <c r="H1136" s="60">
        <f>IFERROR(__xludf.DUMMYFUNCTION("IFERROR(GOOGLEFINANCE(A1136,""PRICE""),)"),28.18)</f>
        <v>28.18</v>
      </c>
      <c r="I1136" s="61">
        <f>IFERROR(__xludf.DUMMYFUNCTION("IFERROR(GOOGLEFINANCE(A1136,""VOLUME""),)"),15084.0)</f>
        <v>15084</v>
      </c>
      <c r="J1136" s="60" t="str">
        <f>IFERROR(__xludf.DUMMYFUNCTION("IFERROR(INDEX(SPLIT(A1136,"":""),1,2),)"),"RAJSREESUG")</f>
        <v>RAJSREESUG</v>
      </c>
      <c r="K1136" s="60" t="str">
        <f t="shared" si="4"/>
        <v/>
      </c>
      <c r="L1136" s="60">
        <f t="shared" si="5"/>
        <v>132</v>
      </c>
      <c r="M1136" s="60">
        <f t="shared" si="6"/>
        <v>1194</v>
      </c>
      <c r="N1136" s="62">
        <f>IFERROR(__xludf.DUMMYFUNCTION("IFERROR(GOOGLEFINANCE(A1136,""TRADETIME""),)"),46086.64583333333)</f>
        <v>46086.64583</v>
      </c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</row>
    <row r="1137">
      <c r="A1137" s="68" t="s">
        <v>1183</v>
      </c>
      <c r="B1137" s="64" t="str">
        <f>IFERROR(__xludf.DUMMYFUNCTION("IFERROR(GOOGLEFINANCE(A1137,""NAME""),)"),"Raj Television Network Ltd")</f>
        <v>Raj Television Network Ltd</v>
      </c>
      <c r="C1137" s="64">
        <f>IFERROR(__xludf.DUMMYFUNCTION("IFERROR(GOOGLEFINANCE(A1137,""CHANGE""),)"),-0.16)</f>
        <v>-0.16</v>
      </c>
      <c r="D1137" s="64">
        <f>IFERROR(__xludf.DUMMYFUNCTION("IFERROR(GOOGLEFINANCE(A1137,""CHANGEPCT""),)"),-0.43)</f>
        <v>-0.43</v>
      </c>
      <c r="E1137" s="64" t="str">
        <f t="shared" si="1"/>
        <v>-0.43%</v>
      </c>
      <c r="F1137" s="64" t="str">
        <f t="shared" si="2"/>
        <v/>
      </c>
      <c r="G1137" s="64">
        <f t="shared" si="3"/>
        <v>-0.43</v>
      </c>
      <c r="H1137" s="64">
        <f>IFERROR(__xludf.DUMMYFUNCTION("IFERROR(GOOGLEFINANCE(A1137,""PRICE""),)"),37.15)</f>
        <v>37.15</v>
      </c>
      <c r="I1137" s="65">
        <f>IFERROR(__xludf.DUMMYFUNCTION("IFERROR(GOOGLEFINANCE(A1137,""VOLUME""),)"),430.0)</f>
        <v>430</v>
      </c>
      <c r="J1137" s="64" t="str">
        <f>IFERROR(__xludf.DUMMYFUNCTION("IFERROR(INDEX(SPLIT(A1137,"":""),1,2),)"),"RAJTV")</f>
        <v>RAJTV</v>
      </c>
      <c r="K1137" s="64" t="str">
        <f t="shared" si="4"/>
        <v/>
      </c>
      <c r="L1137" s="64">
        <f t="shared" si="5"/>
        <v>106</v>
      </c>
      <c r="M1137" s="64">
        <f t="shared" si="6"/>
        <v>1445</v>
      </c>
      <c r="N1137" s="66">
        <f>IFERROR(__xludf.DUMMYFUNCTION("IFERROR(GOOGLEFINANCE(A1137,""TRADETIME""),)"),46086.64583333333)</f>
        <v>46086.64583</v>
      </c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</row>
    <row r="1138">
      <c r="A1138" s="67" t="s">
        <v>1184</v>
      </c>
      <c r="B1138" s="60" t="str">
        <f>IFERROR(__xludf.DUMMYFUNCTION("IFERROR(GOOGLEFINANCE(A1138,""NAME""),)"),"Rallis India Ltd")</f>
        <v>Rallis India Ltd</v>
      </c>
      <c r="C1138" s="60">
        <f>IFERROR(__xludf.DUMMYFUNCTION("IFERROR(GOOGLEFINANCE(A1138,""CHANGE""),)"),6.0)</f>
        <v>6</v>
      </c>
      <c r="D1138" s="60">
        <f>IFERROR(__xludf.DUMMYFUNCTION("IFERROR(GOOGLEFINANCE(A1138,""CHANGEPCT""),)"),0.95)</f>
        <v>0.95</v>
      </c>
      <c r="E1138" s="60" t="str">
        <f t="shared" si="1"/>
        <v>0.95%</v>
      </c>
      <c r="F1138" s="60">
        <f t="shared" si="2"/>
        <v>0.95</v>
      </c>
      <c r="G1138" s="60" t="str">
        <f t="shared" si="3"/>
        <v/>
      </c>
      <c r="H1138" s="60">
        <f>IFERROR(__xludf.DUMMYFUNCTION("IFERROR(GOOGLEFINANCE(A1138,""PRICE""),)"),258.15)</f>
        <v>258.15</v>
      </c>
      <c r="I1138" s="61">
        <f>IFERROR(__xludf.DUMMYFUNCTION("IFERROR(GOOGLEFINANCE(A1138,""VOLUME""),)"),463057.0)</f>
        <v>463057</v>
      </c>
      <c r="J1138" s="60" t="str">
        <f>IFERROR(__xludf.DUMMYFUNCTION("IFERROR(INDEX(SPLIT(A1138,"":""),1,2),)"),"RALLIS")</f>
        <v>RALLIS</v>
      </c>
      <c r="K1138" s="60">
        <f t="shared" si="4"/>
        <v>735</v>
      </c>
      <c r="L1138" s="60" t="str">
        <f t="shared" si="5"/>
        <v/>
      </c>
      <c r="M1138" s="60">
        <f t="shared" si="6"/>
        <v>413</v>
      </c>
      <c r="N1138" s="62">
        <f>IFERROR(__xludf.DUMMYFUNCTION("IFERROR(GOOGLEFINANCE(A1138,""TRADETIME""),)"),46086.63976851852)</f>
        <v>46086.63977</v>
      </c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</row>
    <row r="1139">
      <c r="A1139" s="68" t="s">
        <v>1185</v>
      </c>
      <c r="B1139" s="64" t="str">
        <f>IFERROR(__xludf.DUMMYFUNCTION("IFERROR(GOOGLEFINANCE(A1139,""NAME""),)"),"Shree Rama Newsprint Ltd")</f>
        <v>Shree Rama Newsprint Ltd</v>
      </c>
      <c r="C1139" s="64">
        <f>IFERROR(__xludf.DUMMYFUNCTION("IFERROR(GOOGLEFINANCE(A1139,""CHANGE""),)"),0.93)</f>
        <v>0.93</v>
      </c>
      <c r="D1139" s="64">
        <f>IFERROR(__xludf.DUMMYFUNCTION("IFERROR(GOOGLEFINANCE(A1139,""CHANGEPCT""),)"),2.75)</f>
        <v>2.75</v>
      </c>
      <c r="E1139" s="64" t="str">
        <f t="shared" si="1"/>
        <v>2.75%</v>
      </c>
      <c r="F1139" s="64">
        <f t="shared" si="2"/>
        <v>2.75</v>
      </c>
      <c r="G1139" s="64" t="str">
        <f t="shared" si="3"/>
        <v/>
      </c>
      <c r="H1139" s="64">
        <f>IFERROR(__xludf.DUMMYFUNCTION("IFERROR(GOOGLEFINANCE(A1139,""PRICE""),)"),34.8)</f>
        <v>34.8</v>
      </c>
      <c r="I1139" s="65">
        <f>IFERROR(__xludf.DUMMYFUNCTION("IFERROR(GOOGLEFINANCE(A1139,""VOLUME""),)"),51194.0)</f>
        <v>51194</v>
      </c>
      <c r="J1139" s="64" t="str">
        <f>IFERROR(__xludf.DUMMYFUNCTION("IFERROR(INDEX(SPLIT(A1139,"":""),1,2),)"),"RAMANEWS")</f>
        <v>RAMANEWS</v>
      </c>
      <c r="K1139" s="64">
        <f t="shared" si="4"/>
        <v>301</v>
      </c>
      <c r="L1139" s="64" t="str">
        <f t="shared" si="5"/>
        <v/>
      </c>
      <c r="M1139" s="64">
        <f t="shared" si="6"/>
        <v>929</v>
      </c>
      <c r="N1139" s="66">
        <f>IFERROR(__xludf.DUMMYFUNCTION("IFERROR(GOOGLEFINANCE(A1139,""TRADETIME""),)"),46086.64583333333)</f>
        <v>46086.64583</v>
      </c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</row>
    <row r="1140">
      <c r="A1140" s="67" t="s">
        <v>1186</v>
      </c>
      <c r="B1140" s="60" t="str">
        <f>IFERROR(__xludf.DUMMYFUNCTION("IFERROR(GOOGLEFINANCE(A1140,""NAME""),)"),"Rama Steel Tubes Ltd")</f>
        <v>Rama Steel Tubes Ltd</v>
      </c>
      <c r="C1140" s="60">
        <f>IFERROR(__xludf.DUMMYFUNCTION("IFERROR(GOOGLEFINANCE(A1140,""CHANGE""),)"),-0.38)</f>
        <v>-0.38</v>
      </c>
      <c r="D1140" s="60">
        <f>IFERROR(__xludf.DUMMYFUNCTION("IFERROR(GOOGLEFINANCE(A1140,""CHANGEPCT""),)"),-5.71)</f>
        <v>-5.71</v>
      </c>
      <c r="E1140" s="60" t="str">
        <f t="shared" si="1"/>
        <v>-5.71%</v>
      </c>
      <c r="F1140" s="60" t="str">
        <f t="shared" si="2"/>
        <v/>
      </c>
      <c r="G1140" s="60">
        <f t="shared" si="3"/>
        <v>-5.71</v>
      </c>
      <c r="H1140" s="60">
        <f>IFERROR(__xludf.DUMMYFUNCTION("IFERROR(GOOGLEFINANCE(A1140,""PRICE""),)"),6.28)</f>
        <v>6.28</v>
      </c>
      <c r="I1140" s="61">
        <f>IFERROR(__xludf.DUMMYFUNCTION("IFERROR(GOOGLEFINANCE(A1140,""VOLUME""),)"),1.5744376E7)</f>
        <v>15744376</v>
      </c>
      <c r="J1140" s="60" t="str">
        <f>IFERROR(__xludf.DUMMYFUNCTION("IFERROR(INDEX(SPLIT(A1140,"":""),1,2),)"),"RAMASTEEL")</f>
        <v>RAMASTEEL</v>
      </c>
      <c r="K1140" s="60" t="str">
        <f t="shared" si="4"/>
        <v/>
      </c>
      <c r="L1140" s="60">
        <f t="shared" si="5"/>
        <v>446</v>
      </c>
      <c r="M1140" s="60">
        <f t="shared" si="6"/>
        <v>42</v>
      </c>
      <c r="N1140" s="62">
        <f>IFERROR(__xludf.DUMMYFUNCTION("IFERROR(GOOGLEFINANCE(A1140,""TRADETIME""),)"),46086.642534722225)</f>
        <v>46086.64253</v>
      </c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</row>
    <row r="1141">
      <c r="A1141" s="68" t="s">
        <v>1187</v>
      </c>
      <c r="B1141" s="64" t="str">
        <f>IFERROR(__xludf.DUMMYFUNCTION("IFERROR(GOOGLEFINANCE(A1141,""NAME""),)"),"Ramco Cements Limited")</f>
        <v>Ramco Cements Limited</v>
      </c>
      <c r="C1141" s="64">
        <f>IFERROR(__xludf.DUMMYFUNCTION("IFERROR(GOOGLEFINANCE(A1141,""CHANGE""),)"),21.7)</f>
        <v>21.7</v>
      </c>
      <c r="D1141" s="64">
        <f>IFERROR(__xludf.DUMMYFUNCTION("IFERROR(GOOGLEFINANCE(A1141,""CHANGEPCT""),)"),2.0)</f>
        <v>2</v>
      </c>
      <c r="E1141" s="64" t="str">
        <f t="shared" si="1"/>
        <v>2%</v>
      </c>
      <c r="F1141" s="64">
        <f t="shared" si="2"/>
        <v>2</v>
      </c>
      <c r="G1141" s="64" t="str">
        <f t="shared" si="3"/>
        <v/>
      </c>
      <c r="H1141" s="64">
        <f>IFERROR(__xludf.DUMMYFUNCTION("IFERROR(GOOGLEFINANCE(A1141,""PRICE""),)"),1106.9)</f>
        <v>1106.9</v>
      </c>
      <c r="I1141" s="65">
        <f>IFERROR(__xludf.DUMMYFUNCTION("IFERROR(GOOGLEFINANCE(A1141,""VOLUME""),)"),187382.0)</f>
        <v>187382</v>
      </c>
      <c r="J1141" s="64" t="str">
        <f>IFERROR(__xludf.DUMMYFUNCTION("IFERROR(INDEX(SPLIT(A1141,"":""),1,2),)"),"RAMCOCEM")</f>
        <v>RAMCOCEM</v>
      </c>
      <c r="K1141" s="64">
        <f t="shared" si="4"/>
        <v>441</v>
      </c>
      <c r="L1141" s="64" t="str">
        <f t="shared" si="5"/>
        <v/>
      </c>
      <c r="M1141" s="64">
        <f t="shared" si="6"/>
        <v>623</v>
      </c>
      <c r="N1141" s="66">
        <f>IFERROR(__xludf.DUMMYFUNCTION("IFERROR(GOOGLEFINANCE(A1141,""TRADETIME""),)"),46086.64583333333)</f>
        <v>46086.64583</v>
      </c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</row>
    <row r="1142">
      <c r="A1142" s="67" t="s">
        <v>1188</v>
      </c>
      <c r="B1142" s="60" t="str">
        <f>IFERROR(__xludf.DUMMYFUNCTION("IFERROR(GOOGLEFINANCE(A1142,""NAME""),)"),"Ramco Industries Ltd")</f>
        <v>Ramco Industries Ltd</v>
      </c>
      <c r="C1142" s="60">
        <f>IFERROR(__xludf.DUMMYFUNCTION("IFERROR(GOOGLEFINANCE(A1142,""CHANGE""),)"),0.95)</f>
        <v>0.95</v>
      </c>
      <c r="D1142" s="60">
        <f>IFERROR(__xludf.DUMMYFUNCTION("IFERROR(GOOGLEFINANCE(A1142,""CHANGEPCT""),)"),0.34)</f>
        <v>0.34</v>
      </c>
      <c r="E1142" s="60" t="str">
        <f t="shared" si="1"/>
        <v>0.34%</v>
      </c>
      <c r="F1142" s="60">
        <f t="shared" si="2"/>
        <v>0.34</v>
      </c>
      <c r="G1142" s="60" t="str">
        <f t="shared" si="3"/>
        <v/>
      </c>
      <c r="H1142" s="60">
        <f>IFERROR(__xludf.DUMMYFUNCTION("IFERROR(GOOGLEFINANCE(A1142,""PRICE""),)"),279.85)</f>
        <v>279.85</v>
      </c>
      <c r="I1142" s="61">
        <f>IFERROR(__xludf.DUMMYFUNCTION("IFERROR(GOOGLEFINANCE(A1142,""VOLUME""),)"),55911.0)</f>
        <v>55911</v>
      </c>
      <c r="J1142" s="60" t="str">
        <f>IFERROR(__xludf.DUMMYFUNCTION("IFERROR(INDEX(SPLIT(A1142,"":""),1,2),)"),"RAMCOIND")</f>
        <v>RAMCOIND</v>
      </c>
      <c r="K1142" s="60">
        <f t="shared" si="4"/>
        <v>919</v>
      </c>
      <c r="L1142" s="60" t="str">
        <f t="shared" si="5"/>
        <v/>
      </c>
      <c r="M1142" s="60">
        <f t="shared" si="6"/>
        <v>897</v>
      </c>
      <c r="N1142" s="62">
        <f>IFERROR(__xludf.DUMMYFUNCTION("IFERROR(GOOGLEFINANCE(A1142,""TRADETIME""),)"),46086.64583333333)</f>
        <v>46086.64583</v>
      </c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</row>
    <row r="1143">
      <c r="A1143" s="68" t="s">
        <v>1189</v>
      </c>
      <c r="B1143" s="64" t="str">
        <f>IFERROR(__xludf.DUMMYFUNCTION("IFERROR(GOOGLEFINANCE(A1143,""NAME""),)"),"Ramco Systems Ltd")</f>
        <v>Ramco Systems Ltd</v>
      </c>
      <c r="C1143" s="64">
        <f>IFERROR(__xludf.DUMMYFUNCTION("IFERROR(GOOGLEFINANCE(A1143,""CHANGE""),)"),-20.4)</f>
        <v>-20.4</v>
      </c>
      <c r="D1143" s="64">
        <f>IFERROR(__xludf.DUMMYFUNCTION("IFERROR(GOOGLEFINANCE(A1143,""CHANGEPCT""),)"),-4.69)</f>
        <v>-4.69</v>
      </c>
      <c r="E1143" s="64" t="str">
        <f t="shared" si="1"/>
        <v>-4.69%</v>
      </c>
      <c r="F1143" s="64" t="str">
        <f t="shared" si="2"/>
        <v/>
      </c>
      <c r="G1143" s="64">
        <f t="shared" si="3"/>
        <v>-4.69</v>
      </c>
      <c r="H1143" s="64">
        <f>IFERROR(__xludf.DUMMYFUNCTION("IFERROR(GOOGLEFINANCE(A1143,""PRICE""),)"),415.0)</f>
        <v>415</v>
      </c>
      <c r="I1143" s="65">
        <f>IFERROR(__xludf.DUMMYFUNCTION("IFERROR(GOOGLEFINANCE(A1143,""VOLUME""),)"),150452.0)</f>
        <v>150452</v>
      </c>
      <c r="J1143" s="64" t="str">
        <f>IFERROR(__xludf.DUMMYFUNCTION("IFERROR(INDEX(SPLIT(A1143,"":""),1,2),)"),"RAMCOSYS")</f>
        <v>RAMCOSYS</v>
      </c>
      <c r="K1143" s="64" t="str">
        <f t="shared" si="4"/>
        <v/>
      </c>
      <c r="L1143" s="64">
        <f t="shared" si="5"/>
        <v>431</v>
      </c>
      <c r="M1143" s="64">
        <f t="shared" si="6"/>
        <v>674</v>
      </c>
      <c r="N1143" s="66">
        <f>IFERROR(__xludf.DUMMYFUNCTION("IFERROR(GOOGLEFINANCE(A1143,""TRADETIME""),)"),46086.64583333333)</f>
        <v>46086.64583</v>
      </c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</row>
    <row r="1144">
      <c r="A1144" s="67" t="s">
        <v>1190</v>
      </c>
      <c r="B1144" s="60" t="str">
        <f>IFERROR(__xludf.DUMMYFUNCTION("IFERROR(GOOGLEFINANCE(A1144,""NAME""),)"),"Ramky Infrastructure Ltd")</f>
        <v>Ramky Infrastructure Ltd</v>
      </c>
      <c r="C1144" s="60">
        <f>IFERROR(__xludf.DUMMYFUNCTION("IFERROR(GOOGLEFINANCE(A1144,""CHANGE""),)"),49.5)</f>
        <v>49.5</v>
      </c>
      <c r="D1144" s="60">
        <f>IFERROR(__xludf.DUMMYFUNCTION("IFERROR(GOOGLEFINANCE(A1144,""CHANGEPCT""),)"),11.5)</f>
        <v>11.5</v>
      </c>
      <c r="E1144" s="60" t="str">
        <f t="shared" si="1"/>
        <v>11.5%</v>
      </c>
      <c r="F1144" s="60">
        <f t="shared" si="2"/>
        <v>11.5</v>
      </c>
      <c r="G1144" s="60" t="str">
        <f t="shared" si="3"/>
        <v/>
      </c>
      <c r="H1144" s="60">
        <f>IFERROR(__xludf.DUMMYFUNCTION("IFERROR(GOOGLEFINANCE(A1144,""PRICE""),)"),480.0)</f>
        <v>480</v>
      </c>
      <c r="I1144" s="61">
        <f>IFERROR(__xludf.DUMMYFUNCTION("IFERROR(GOOGLEFINANCE(A1144,""VOLUME""),)"),1.8446383E7)</f>
        <v>18446383</v>
      </c>
      <c r="J1144" s="60" t="str">
        <f>IFERROR(__xludf.DUMMYFUNCTION("IFERROR(INDEX(SPLIT(A1144,"":""),1,2),)"),"RAMKY")</f>
        <v>RAMKY</v>
      </c>
      <c r="K1144" s="60">
        <f t="shared" si="4"/>
        <v>8</v>
      </c>
      <c r="L1144" s="60" t="str">
        <f t="shared" si="5"/>
        <v/>
      </c>
      <c r="M1144" s="60">
        <f t="shared" si="6"/>
        <v>33</v>
      </c>
      <c r="N1144" s="62">
        <f>IFERROR(__xludf.DUMMYFUNCTION("IFERROR(GOOGLEFINANCE(A1144,""TRADETIME""),)"),46086.64583333333)</f>
        <v>46086.64583</v>
      </c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</row>
    <row r="1145">
      <c r="A1145" s="68" t="s">
        <v>1191</v>
      </c>
      <c r="B1145" s="64" t="str">
        <f>IFERROR(__xludf.DUMMYFUNCTION("IFERROR(GOOGLEFINANCE(A1145,""NAME""),)"),"Rana Sugars Ltd")</f>
        <v>Rana Sugars Ltd</v>
      </c>
      <c r="C1145" s="64">
        <f>IFERROR(__xludf.DUMMYFUNCTION("IFERROR(GOOGLEFINANCE(A1145,""CHANGE""),)"),-0.03)</f>
        <v>-0.03</v>
      </c>
      <c r="D1145" s="64">
        <f>IFERROR(__xludf.DUMMYFUNCTION("IFERROR(GOOGLEFINANCE(A1145,""CHANGEPCT""),)"),-0.25)</f>
        <v>-0.25</v>
      </c>
      <c r="E1145" s="64" t="str">
        <f t="shared" si="1"/>
        <v>-0.25%</v>
      </c>
      <c r="F1145" s="64" t="str">
        <f t="shared" si="2"/>
        <v/>
      </c>
      <c r="G1145" s="64">
        <f t="shared" si="3"/>
        <v>-0.25</v>
      </c>
      <c r="H1145" s="64">
        <f>IFERROR(__xludf.DUMMYFUNCTION("IFERROR(GOOGLEFINANCE(A1145,""PRICE""),)"),11.8)</f>
        <v>11.8</v>
      </c>
      <c r="I1145" s="65">
        <f>IFERROR(__xludf.DUMMYFUNCTION("IFERROR(GOOGLEFINANCE(A1145,""VOLUME""),)"),365513.0)</f>
        <v>365513</v>
      </c>
      <c r="J1145" s="64" t="str">
        <f>IFERROR(__xludf.DUMMYFUNCTION("IFERROR(INDEX(SPLIT(A1145,"":""),1,2),)"),"RANASUG")</f>
        <v>RANASUG</v>
      </c>
      <c r="K1145" s="64" t="str">
        <f t="shared" si="4"/>
        <v/>
      </c>
      <c r="L1145" s="64">
        <f t="shared" si="5"/>
        <v>66</v>
      </c>
      <c r="M1145" s="64">
        <f t="shared" si="6"/>
        <v>469</v>
      </c>
      <c r="N1145" s="66">
        <f>IFERROR(__xludf.DUMMYFUNCTION("IFERROR(GOOGLEFINANCE(A1145,""TRADETIME""),)"),46086.64583333333)</f>
        <v>46086.64583</v>
      </c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</row>
    <row r="1146">
      <c r="A1146" s="67" t="s">
        <v>1192</v>
      </c>
      <c r="B1146" s="60" t="str">
        <f>IFERROR(__xludf.DUMMYFUNCTION("IFERROR(GOOGLEFINANCE(A1146,""NAME""),)"),"")</f>
        <v/>
      </c>
      <c r="C1146" s="60" t="str">
        <f>IFERROR(__xludf.DUMMYFUNCTION("IFERROR(GOOGLEFINANCE(A1146,""CHANGE""),)"),"")</f>
        <v/>
      </c>
      <c r="D1146" s="60" t="str">
        <f>IFERROR(__xludf.DUMMYFUNCTION("IFERROR(GOOGLEFINANCE(A1146,""CHANGEPCT""),)"),"")</f>
        <v/>
      </c>
      <c r="E1146" s="60" t="str">
        <f t="shared" si="1"/>
        <v>%</v>
      </c>
      <c r="F1146" s="60" t="str">
        <f t="shared" si="2"/>
        <v/>
      </c>
      <c r="G1146" s="60" t="str">
        <f t="shared" si="3"/>
        <v/>
      </c>
      <c r="H1146" s="60" t="str">
        <f>IFERROR(__xludf.DUMMYFUNCTION("IFERROR(GOOGLEFINANCE(A1146,""PRICE""),)"),"")</f>
        <v/>
      </c>
      <c r="I1146" s="61" t="str">
        <f>IFERROR(__xludf.DUMMYFUNCTION("IFERROR(GOOGLEFINANCE(A1146,""VOLUME""),)"),"")</f>
        <v/>
      </c>
      <c r="J1146" s="60" t="str">
        <f>IFERROR(__xludf.DUMMYFUNCTION("IFERROR(INDEX(SPLIT(A1146,"":""),1,2),)"),"RANEENGINE")</f>
        <v>RANEENGINE</v>
      </c>
      <c r="K1146" s="60" t="str">
        <f t="shared" si="4"/>
        <v/>
      </c>
      <c r="L1146" s="60" t="str">
        <f t="shared" si="5"/>
        <v/>
      </c>
      <c r="M1146" s="60" t="str">
        <f t="shared" si="6"/>
        <v/>
      </c>
      <c r="N1146" s="62" t="str">
        <f>IFERROR(__xludf.DUMMYFUNCTION("IFERROR(GOOGLEFINANCE(A1146,""TRADETIME""),)"),"")</f>
        <v/>
      </c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</row>
    <row r="1147">
      <c r="A1147" s="68" t="s">
        <v>1193</v>
      </c>
      <c r="B1147" s="64" t="str">
        <f>IFERROR(__xludf.DUMMYFUNCTION("IFERROR(GOOGLEFINANCE(A1147,""NAME""),)"),"Rane Holdings Ltd")</f>
        <v>Rane Holdings Ltd</v>
      </c>
      <c r="C1147" s="64">
        <f>IFERROR(__xludf.DUMMYFUNCTION("IFERROR(GOOGLEFINANCE(A1147,""CHANGE""),)"),66.6)</f>
        <v>66.6</v>
      </c>
      <c r="D1147" s="64">
        <f>IFERROR(__xludf.DUMMYFUNCTION("IFERROR(GOOGLEFINANCE(A1147,""CHANGEPCT""),)"),5.76)</f>
        <v>5.76</v>
      </c>
      <c r="E1147" s="64" t="str">
        <f t="shared" si="1"/>
        <v>5.76%</v>
      </c>
      <c r="F1147" s="64">
        <f t="shared" si="2"/>
        <v>5.76</v>
      </c>
      <c r="G1147" s="64" t="str">
        <f t="shared" si="3"/>
        <v/>
      </c>
      <c r="H1147" s="64">
        <f>IFERROR(__xludf.DUMMYFUNCTION("IFERROR(GOOGLEFINANCE(A1147,""PRICE""),)"),1222.0)</f>
        <v>1222</v>
      </c>
      <c r="I1147" s="65">
        <f>IFERROR(__xludf.DUMMYFUNCTION("IFERROR(GOOGLEFINANCE(A1147,""VOLUME""),)"),8529.0)</f>
        <v>8529</v>
      </c>
      <c r="J1147" s="64" t="str">
        <f>IFERROR(__xludf.DUMMYFUNCTION("IFERROR(INDEX(SPLIT(A1147,"":""),1,2),)"),"RANEHOLDIN")</f>
        <v>RANEHOLDIN</v>
      </c>
      <c r="K1147" s="64">
        <f t="shared" si="4"/>
        <v>48</v>
      </c>
      <c r="L1147" s="64" t="str">
        <f t="shared" si="5"/>
        <v/>
      </c>
      <c r="M1147" s="64">
        <f t="shared" si="6"/>
        <v>1288</v>
      </c>
      <c r="N1147" s="66">
        <f>IFERROR(__xludf.DUMMYFUNCTION("IFERROR(GOOGLEFINANCE(A1147,""TRADETIME""),)"),46086.64583333333)</f>
        <v>46086.64583</v>
      </c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</row>
    <row r="1148">
      <c r="A1148" s="67" t="s">
        <v>1194</v>
      </c>
      <c r="B1148" s="60" t="str">
        <f>IFERROR(__xludf.DUMMYFUNCTION("IFERROR(GOOGLEFINANCE(A1148,""NAME""),)"),"Ratnamani Metals and Tubes Ltd")</f>
        <v>Ratnamani Metals and Tubes Ltd</v>
      </c>
      <c r="C1148" s="60">
        <f>IFERROR(__xludf.DUMMYFUNCTION("IFERROR(GOOGLEFINANCE(A1148,""CHANGE""),)"),-24.4)</f>
        <v>-24.4</v>
      </c>
      <c r="D1148" s="60">
        <f>IFERROR(__xludf.DUMMYFUNCTION("IFERROR(GOOGLEFINANCE(A1148,""CHANGEPCT""),)"),-0.97)</f>
        <v>-0.97</v>
      </c>
      <c r="E1148" s="60" t="str">
        <f t="shared" si="1"/>
        <v>-0.97%</v>
      </c>
      <c r="F1148" s="60" t="str">
        <f t="shared" si="2"/>
        <v/>
      </c>
      <c r="G1148" s="60">
        <f t="shared" si="3"/>
        <v>-0.97</v>
      </c>
      <c r="H1148" s="60">
        <f>IFERROR(__xludf.DUMMYFUNCTION("IFERROR(GOOGLEFINANCE(A1148,""PRICE""),)"),2375.0)</f>
        <v>2375</v>
      </c>
      <c r="I1148" s="61">
        <f>IFERROR(__xludf.DUMMYFUNCTION("IFERROR(GOOGLEFINANCE(A1148,""VOLUME""),)"),16432.0)</f>
        <v>16432</v>
      </c>
      <c r="J1148" s="60" t="str">
        <f>IFERROR(__xludf.DUMMYFUNCTION("IFERROR(INDEX(SPLIT(A1148,"":""),1,2),)"),"RATNAMANI")</f>
        <v>RATNAMANI</v>
      </c>
      <c r="K1148" s="60" t="str">
        <f t="shared" si="4"/>
        <v/>
      </c>
      <c r="L1148" s="60">
        <f t="shared" si="5"/>
        <v>214</v>
      </c>
      <c r="M1148" s="60">
        <f t="shared" si="6"/>
        <v>1182</v>
      </c>
      <c r="N1148" s="62">
        <f>IFERROR(__xludf.DUMMYFUNCTION("IFERROR(GOOGLEFINANCE(A1148,""TRADETIME""),)"),46086.64583333333)</f>
        <v>46086.64583</v>
      </c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</row>
    <row r="1149">
      <c r="A1149" s="68" t="s">
        <v>1195</v>
      </c>
      <c r="B1149" s="64" t="str">
        <f>IFERROR(__xludf.DUMMYFUNCTION("IFERROR(GOOGLEFINANCE(A1149,""NAME""),)"),"Raymond Ltd")</f>
        <v>Raymond Ltd</v>
      </c>
      <c r="C1149" s="64">
        <f>IFERROR(__xludf.DUMMYFUNCTION("IFERROR(GOOGLEFINANCE(A1149,""CHANGE""),)"),10.05)</f>
        <v>10.05</v>
      </c>
      <c r="D1149" s="64">
        <f>IFERROR(__xludf.DUMMYFUNCTION("IFERROR(GOOGLEFINANCE(A1149,""CHANGEPCT""),)"),2.64)</f>
        <v>2.64</v>
      </c>
      <c r="E1149" s="64" t="str">
        <f t="shared" si="1"/>
        <v>2.64%</v>
      </c>
      <c r="F1149" s="64">
        <f t="shared" si="2"/>
        <v>2.64</v>
      </c>
      <c r="G1149" s="64" t="str">
        <f t="shared" si="3"/>
        <v/>
      </c>
      <c r="H1149" s="64">
        <f>IFERROR(__xludf.DUMMYFUNCTION("IFERROR(GOOGLEFINANCE(A1149,""PRICE""),)"),390.4)</f>
        <v>390.4</v>
      </c>
      <c r="I1149" s="65">
        <f>IFERROR(__xludf.DUMMYFUNCTION("IFERROR(GOOGLEFINANCE(A1149,""VOLUME""),)"),377825.0)</f>
        <v>377825</v>
      </c>
      <c r="J1149" s="64" t="str">
        <f>IFERROR(__xludf.DUMMYFUNCTION("IFERROR(INDEX(SPLIT(A1149,"":""),1,2),)"),"RAYMOND")</f>
        <v>RAYMOND</v>
      </c>
      <c r="K1149" s="64">
        <f t="shared" si="4"/>
        <v>317</v>
      </c>
      <c r="L1149" s="64" t="str">
        <f t="shared" si="5"/>
        <v/>
      </c>
      <c r="M1149" s="64">
        <f t="shared" si="6"/>
        <v>456</v>
      </c>
      <c r="N1149" s="66">
        <f>IFERROR(__xludf.DUMMYFUNCTION("IFERROR(GOOGLEFINANCE(A1149,""TRADETIME""),)"),46086.64585648148)</f>
        <v>46086.64586</v>
      </c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</row>
    <row r="1150">
      <c r="A1150" s="67" t="s">
        <v>1196</v>
      </c>
      <c r="B1150" s="60" t="str">
        <f>IFERROR(__xludf.DUMMYFUNCTION("IFERROR(GOOGLEFINANCE(A1150,""NAME""),)"),"")</f>
        <v/>
      </c>
      <c r="C1150" s="60" t="str">
        <f>IFERROR(__xludf.DUMMYFUNCTION("IFERROR(GOOGLEFINANCE(A1150,""CHANGE""),)"),"")</f>
        <v/>
      </c>
      <c r="D1150" s="60" t="str">
        <f>IFERROR(__xludf.DUMMYFUNCTION("IFERROR(GOOGLEFINANCE(A1150,""CHANGEPCT""),)"),"")</f>
        <v/>
      </c>
      <c r="E1150" s="60" t="str">
        <f t="shared" si="1"/>
        <v>%</v>
      </c>
      <c r="F1150" s="60" t="str">
        <f t="shared" si="2"/>
        <v/>
      </c>
      <c r="G1150" s="60" t="str">
        <f t="shared" si="3"/>
        <v/>
      </c>
      <c r="H1150" s="60" t="str">
        <f>IFERROR(__xludf.DUMMYFUNCTION("IFERROR(GOOGLEFINANCE(A1150,""PRICE""),)"),"")</f>
        <v/>
      </c>
      <c r="I1150" s="61" t="str">
        <f>IFERROR(__xludf.DUMMYFUNCTION("IFERROR(GOOGLEFINANCE(A1150,""VOLUME""),)"),"")</f>
        <v/>
      </c>
      <c r="J1150" s="60" t="str">
        <f>IFERROR(__xludf.DUMMYFUNCTION("IFERROR(INDEX(SPLIT(A1150,"":""),1,2),)"),"RBL")</f>
        <v>RBL</v>
      </c>
      <c r="K1150" s="60" t="str">
        <f t="shared" si="4"/>
        <v/>
      </c>
      <c r="L1150" s="60" t="str">
        <f t="shared" si="5"/>
        <v/>
      </c>
      <c r="M1150" s="60" t="str">
        <f t="shared" si="6"/>
        <v/>
      </c>
      <c r="N1150" s="62" t="str">
        <f>IFERROR(__xludf.DUMMYFUNCTION("IFERROR(GOOGLEFINANCE(A1150,""TRADETIME""),)"),"")</f>
        <v/>
      </c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</row>
    <row r="1151">
      <c r="A1151" s="68" t="s">
        <v>1197</v>
      </c>
      <c r="B1151" s="64" t="str">
        <f>IFERROR(__xludf.DUMMYFUNCTION("IFERROR(GOOGLEFINANCE(A1151,""NAME""),)"),"RBL Bank Ltd")</f>
        <v>RBL Bank Ltd</v>
      </c>
      <c r="C1151" s="64">
        <f>IFERROR(__xludf.DUMMYFUNCTION("IFERROR(GOOGLEFINANCE(A1151,""CHANGE""),)"),4.35)</f>
        <v>4.35</v>
      </c>
      <c r="D1151" s="64">
        <f>IFERROR(__xludf.DUMMYFUNCTION("IFERROR(GOOGLEFINANCE(A1151,""CHANGEPCT""),)"),1.32)</f>
        <v>1.32</v>
      </c>
      <c r="E1151" s="64" t="str">
        <f t="shared" si="1"/>
        <v>1.32%</v>
      </c>
      <c r="F1151" s="64">
        <f t="shared" si="2"/>
        <v>1.32</v>
      </c>
      <c r="G1151" s="64" t="str">
        <f t="shared" si="3"/>
        <v/>
      </c>
      <c r="H1151" s="64">
        <f>IFERROR(__xludf.DUMMYFUNCTION("IFERROR(GOOGLEFINANCE(A1151,""PRICE""),)"),309.5)</f>
        <v>309.5</v>
      </c>
      <c r="I1151" s="65">
        <f>IFERROR(__xludf.DUMMYFUNCTION("IFERROR(GOOGLEFINANCE(A1151,""VOLUME""),)"),7471006.0)</f>
        <v>7471006</v>
      </c>
      <c r="J1151" s="64" t="str">
        <f>IFERROR(__xludf.DUMMYFUNCTION("IFERROR(INDEX(SPLIT(A1151,"":""),1,2),)"),"RBLBANK")</f>
        <v>RBLBANK</v>
      </c>
      <c r="K1151" s="64">
        <f t="shared" si="4"/>
        <v>635</v>
      </c>
      <c r="L1151" s="64" t="str">
        <f t="shared" si="5"/>
        <v/>
      </c>
      <c r="M1151" s="64">
        <f t="shared" si="6"/>
        <v>78</v>
      </c>
      <c r="N1151" s="66">
        <f>IFERROR(__xludf.DUMMYFUNCTION("IFERROR(GOOGLEFINANCE(A1151,""TRADETIME""),)"),46086.64583333333)</f>
        <v>46086.64583</v>
      </c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</row>
    <row r="1152">
      <c r="A1152" s="67" t="s">
        <v>1198</v>
      </c>
      <c r="B1152" s="60" t="str">
        <f>IFERROR(__xludf.DUMMYFUNCTION("IFERROR(GOOGLEFINANCE(A1152,""NAME""),)"),"Rashtriya Chemicals and Fertilizers Ltd")</f>
        <v>Rashtriya Chemicals and Fertilizers Ltd</v>
      </c>
      <c r="C1152" s="60">
        <f>IFERROR(__xludf.DUMMYFUNCTION("IFERROR(GOOGLEFINANCE(A1152,""CHANGE""),)"),-1.95)</f>
        <v>-1.95</v>
      </c>
      <c r="D1152" s="60">
        <f>IFERROR(__xludf.DUMMYFUNCTION("IFERROR(GOOGLEFINANCE(A1152,""CHANGEPCT""),)"),-1.68)</f>
        <v>-1.68</v>
      </c>
      <c r="E1152" s="60" t="str">
        <f t="shared" si="1"/>
        <v>-1.68%</v>
      </c>
      <c r="F1152" s="60" t="str">
        <f t="shared" si="2"/>
        <v/>
      </c>
      <c r="G1152" s="60">
        <f t="shared" si="3"/>
        <v>-1.68</v>
      </c>
      <c r="H1152" s="60">
        <f>IFERROR(__xludf.DUMMYFUNCTION("IFERROR(GOOGLEFINANCE(A1152,""PRICE""),)"),114.0)</f>
        <v>114</v>
      </c>
      <c r="I1152" s="61">
        <f>IFERROR(__xludf.DUMMYFUNCTION("IFERROR(GOOGLEFINANCE(A1152,""VOLUME""),)"),2194061.0)</f>
        <v>2194061</v>
      </c>
      <c r="J1152" s="60" t="str">
        <f>IFERROR(__xludf.DUMMYFUNCTION("IFERROR(INDEX(SPLIT(A1152,"":""),1,2),)"),"RCF")</f>
        <v>RCF</v>
      </c>
      <c r="K1152" s="60" t="str">
        <f t="shared" si="4"/>
        <v/>
      </c>
      <c r="L1152" s="60">
        <f t="shared" si="5"/>
        <v>308</v>
      </c>
      <c r="M1152" s="60">
        <f t="shared" si="6"/>
        <v>187</v>
      </c>
      <c r="N1152" s="62">
        <f>IFERROR(__xludf.DUMMYFUNCTION("IFERROR(GOOGLEFINANCE(A1152,""TRADETIME""),)"),46086.64583333333)</f>
        <v>46086.64583</v>
      </c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</row>
    <row r="1153">
      <c r="A1153" s="68" t="s">
        <v>1199</v>
      </c>
      <c r="B1153" s="64" t="str">
        <f>IFERROR(__xludf.DUMMYFUNCTION("IFERROR(GOOGLEFINANCE(A1153,""NAME""),)"),"Reliance Communications Ltd")</f>
        <v>Reliance Communications Ltd</v>
      </c>
      <c r="C1153" s="64">
        <f>IFERROR(__xludf.DUMMYFUNCTION("IFERROR(GOOGLEFINANCE(A1153,""CHANGE""),)"),0.03)</f>
        <v>0.03</v>
      </c>
      <c r="D1153" s="64">
        <f>IFERROR(__xludf.DUMMYFUNCTION("IFERROR(GOOGLEFINANCE(A1153,""CHANGEPCT""),)"),3.85)</f>
        <v>3.85</v>
      </c>
      <c r="E1153" s="64" t="str">
        <f t="shared" si="1"/>
        <v>3.85%</v>
      </c>
      <c r="F1153" s="64">
        <f t="shared" si="2"/>
        <v>3.85</v>
      </c>
      <c r="G1153" s="64" t="str">
        <f t="shared" si="3"/>
        <v/>
      </c>
      <c r="H1153" s="64">
        <f>IFERROR(__xludf.DUMMYFUNCTION("IFERROR(GOOGLEFINANCE(A1153,""PRICE""),)"),0.81)</f>
        <v>0.81</v>
      </c>
      <c r="I1153" s="65">
        <f>IFERROR(__xludf.DUMMYFUNCTION("IFERROR(GOOGLEFINANCE(A1153,""VOLUME""),)"),5954530.0)</f>
        <v>5954530</v>
      </c>
      <c r="J1153" s="64" t="str">
        <f>IFERROR(__xludf.DUMMYFUNCTION("IFERROR(INDEX(SPLIT(A1153,"":""),1,2),)"),"RCOM")</f>
        <v>RCOM</v>
      </c>
      <c r="K1153" s="64">
        <f t="shared" si="4"/>
        <v>153</v>
      </c>
      <c r="L1153" s="64" t="str">
        <f t="shared" si="5"/>
        <v/>
      </c>
      <c r="M1153" s="64">
        <f t="shared" si="6"/>
        <v>94</v>
      </c>
      <c r="N1153" s="66">
        <f>IFERROR(__xludf.DUMMYFUNCTION("IFERROR(GOOGLEFINANCE(A1153,""TRADETIME""),)"),46086.64583333333)</f>
        <v>46086.64583</v>
      </c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</row>
    <row r="1154">
      <c r="A1154" s="67" t="s">
        <v>1200</v>
      </c>
      <c r="B1154" s="60" t="str">
        <f>IFERROR(__xludf.DUMMYFUNCTION("IFERROR(GOOGLEFINANCE(A1154,""NAME""),)"),"REC Limited")</f>
        <v>REC Limited</v>
      </c>
      <c r="C1154" s="60">
        <f>IFERROR(__xludf.DUMMYFUNCTION("IFERROR(GOOGLEFINANCE(A1154,""CHANGE""),)"),14.05)</f>
        <v>14.05</v>
      </c>
      <c r="D1154" s="60">
        <f>IFERROR(__xludf.DUMMYFUNCTION("IFERROR(GOOGLEFINANCE(A1154,""CHANGEPCT""),)"),4.27)</f>
        <v>4.27</v>
      </c>
      <c r="E1154" s="60" t="str">
        <f t="shared" si="1"/>
        <v>4.27%</v>
      </c>
      <c r="F1154" s="60">
        <f t="shared" si="2"/>
        <v>4.27</v>
      </c>
      <c r="G1154" s="60" t="str">
        <f t="shared" si="3"/>
        <v/>
      </c>
      <c r="H1154" s="60">
        <f>IFERROR(__xludf.DUMMYFUNCTION("IFERROR(GOOGLEFINANCE(A1154,""PRICE""),)"),342.8)</f>
        <v>342.8</v>
      </c>
      <c r="I1154" s="61">
        <f>IFERROR(__xludf.DUMMYFUNCTION("IFERROR(GOOGLEFINANCE(A1154,""VOLUME""),)"),1.1652667E7)</f>
        <v>11652667</v>
      </c>
      <c r="J1154" s="60" t="str">
        <f>IFERROR(__xludf.DUMMYFUNCTION("IFERROR(INDEX(SPLIT(A1154,"":""),1,2),)"),"RECLTD")</f>
        <v>RECLTD</v>
      </c>
      <c r="K1154" s="60">
        <f t="shared" si="4"/>
        <v>125</v>
      </c>
      <c r="L1154" s="60" t="str">
        <f t="shared" si="5"/>
        <v/>
      </c>
      <c r="M1154" s="60">
        <f t="shared" si="6"/>
        <v>52</v>
      </c>
      <c r="N1154" s="62">
        <f>IFERROR(__xludf.DUMMYFUNCTION("IFERROR(GOOGLEFINANCE(A1154,""TRADETIME""),)"),46086.64583333333)</f>
        <v>46086.64583</v>
      </c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</row>
    <row r="1155">
      <c r="A1155" s="68" t="s">
        <v>1201</v>
      </c>
      <c r="B1155" s="64" t="str">
        <f>IFERROR(__xludf.DUMMYFUNCTION("IFERROR(GOOGLEFINANCE(A1155,""NAME""),)"),"Redington Ltd")</f>
        <v>Redington Ltd</v>
      </c>
      <c r="C1155" s="64">
        <f>IFERROR(__xludf.DUMMYFUNCTION("IFERROR(GOOGLEFINANCE(A1155,""CHANGE""),)"),0.1)</f>
        <v>0.1</v>
      </c>
      <c r="D1155" s="64">
        <f>IFERROR(__xludf.DUMMYFUNCTION("IFERROR(GOOGLEFINANCE(A1155,""CHANGEPCT""),)"),0.18)</f>
        <v>0.18</v>
      </c>
      <c r="E1155" s="64" t="str">
        <f t="shared" si="1"/>
        <v>0.18%</v>
      </c>
      <c r="F1155" s="64">
        <f t="shared" si="2"/>
        <v>0.18</v>
      </c>
      <c r="G1155" s="64" t="str">
        <f t="shared" si="3"/>
        <v/>
      </c>
      <c r="H1155" s="64">
        <f>IFERROR(__xludf.DUMMYFUNCTION("IFERROR(GOOGLEFINANCE(A1155,""PRICE""),)"),250.0)</f>
        <v>250</v>
      </c>
      <c r="I1155" s="65">
        <f>IFERROR(__xludf.DUMMYFUNCTION("IFERROR(GOOGLEFINANCE(A1155,""VOLUME""),)"),2655472.0)</f>
        <v>2655472</v>
      </c>
      <c r="J1155" s="64" t="str">
        <f>IFERROR(__xludf.DUMMYFUNCTION("IFERROR(INDEX(SPLIT(A1155,"":""),1,2),)"),"REDINGTON")</f>
        <v>REDINGTON</v>
      </c>
      <c r="K1155" s="64">
        <f t="shared" si="4"/>
        <v>958</v>
      </c>
      <c r="L1155" s="64" t="str">
        <f t="shared" si="5"/>
        <v/>
      </c>
      <c r="M1155" s="64">
        <f t="shared" si="6"/>
        <v>165</v>
      </c>
      <c r="N1155" s="66">
        <f>IFERROR(__xludf.DUMMYFUNCTION("IFERROR(GOOGLEFINANCE(A1155,""TRADETIME""),)"),46086.64584490741)</f>
        <v>46086.64584</v>
      </c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</row>
    <row r="1156">
      <c r="A1156" s="67" t="s">
        <v>1202</v>
      </c>
      <c r="B1156" s="60" t="str">
        <f>IFERROR(__xludf.DUMMYFUNCTION("IFERROR(GOOGLEFINANCE(A1156,""NAME""),)"),"Refex Industries Ltd")</f>
        <v>Refex Industries Ltd</v>
      </c>
      <c r="C1156" s="60">
        <f>IFERROR(__xludf.DUMMYFUNCTION("IFERROR(GOOGLEFINANCE(A1156,""CHANGE""),)"),13.55)</f>
        <v>13.55</v>
      </c>
      <c r="D1156" s="60">
        <f>IFERROR(__xludf.DUMMYFUNCTION("IFERROR(GOOGLEFINANCE(A1156,""CHANGEPCT""),)"),6.69)</f>
        <v>6.69</v>
      </c>
      <c r="E1156" s="60" t="str">
        <f t="shared" si="1"/>
        <v>6.69%</v>
      </c>
      <c r="F1156" s="60">
        <f t="shared" si="2"/>
        <v>6.69</v>
      </c>
      <c r="G1156" s="60" t="str">
        <f t="shared" si="3"/>
        <v/>
      </c>
      <c r="H1156" s="60">
        <f>IFERROR(__xludf.DUMMYFUNCTION("IFERROR(GOOGLEFINANCE(A1156,""PRICE""),)"),215.99)</f>
        <v>215.99</v>
      </c>
      <c r="I1156" s="61">
        <f>IFERROR(__xludf.DUMMYFUNCTION("IFERROR(GOOGLEFINANCE(A1156,""VOLUME""),)"),992964.0)</f>
        <v>992964</v>
      </c>
      <c r="J1156" s="60" t="str">
        <f>IFERROR(__xludf.DUMMYFUNCTION("IFERROR(INDEX(SPLIT(A1156,"":""),1,2),)"),"REFEX")</f>
        <v>REFEX</v>
      </c>
      <c r="K1156" s="60">
        <f t="shared" si="4"/>
        <v>32</v>
      </c>
      <c r="L1156" s="60" t="str">
        <f t="shared" si="5"/>
        <v/>
      </c>
      <c r="M1156" s="60">
        <f t="shared" si="6"/>
        <v>282</v>
      </c>
      <c r="N1156" s="62">
        <f>IFERROR(__xludf.DUMMYFUNCTION("IFERROR(GOOGLEFINANCE(A1156,""TRADETIME""),)"),46086.64584490741)</f>
        <v>46086.64584</v>
      </c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</row>
    <row r="1157">
      <c r="A1157" s="68" t="s">
        <v>1203</v>
      </c>
      <c r="B1157" s="64" t="str">
        <f>IFERROR(__xludf.DUMMYFUNCTION("IFERROR(GOOGLEFINANCE(A1157,""NAME""),)"),"Relaxo Footwears Ltd")</f>
        <v>Relaxo Footwears Ltd</v>
      </c>
      <c r="C1157" s="64">
        <f>IFERROR(__xludf.DUMMYFUNCTION("IFERROR(GOOGLEFINANCE(A1157,""CHANGE""),)"),-0.3)</f>
        <v>-0.3</v>
      </c>
      <c r="D1157" s="64">
        <f>IFERROR(__xludf.DUMMYFUNCTION("IFERROR(GOOGLEFINANCE(A1157,""CHANGEPCT""),)"),-0.09)</f>
        <v>-0.09</v>
      </c>
      <c r="E1157" s="64" t="str">
        <f t="shared" si="1"/>
        <v>-0.09%</v>
      </c>
      <c r="F1157" s="64" t="str">
        <f t="shared" si="2"/>
        <v/>
      </c>
      <c r="G1157" s="64">
        <f t="shared" si="3"/>
        <v>-0.09</v>
      </c>
      <c r="H1157" s="64">
        <f>IFERROR(__xludf.DUMMYFUNCTION("IFERROR(GOOGLEFINANCE(A1157,""PRICE""),)"),326.0)</f>
        <v>326</v>
      </c>
      <c r="I1157" s="65">
        <f>IFERROR(__xludf.DUMMYFUNCTION("IFERROR(GOOGLEFINANCE(A1157,""VOLUME""),)"),87768.0)</f>
        <v>87768</v>
      </c>
      <c r="J1157" s="64" t="str">
        <f>IFERROR(__xludf.DUMMYFUNCTION("IFERROR(INDEX(SPLIT(A1157,"":""),1,2),)"),"RELAXO")</f>
        <v>RELAXO</v>
      </c>
      <c r="K1157" s="64" t="str">
        <f t="shared" si="4"/>
        <v/>
      </c>
      <c r="L1157" s="64">
        <f t="shared" si="5"/>
        <v>25</v>
      </c>
      <c r="M1157" s="64">
        <f t="shared" si="6"/>
        <v>788</v>
      </c>
      <c r="N1157" s="66">
        <f>IFERROR(__xludf.DUMMYFUNCTION("IFERROR(GOOGLEFINANCE(A1157,""TRADETIME""),)"),46086.64583333333)</f>
        <v>46086.64583</v>
      </c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</row>
    <row r="1158">
      <c r="A1158" s="67" t="s">
        <v>1204</v>
      </c>
      <c r="B1158" s="60" t="str">
        <f>IFERROR(__xludf.DUMMYFUNCTION("IFERROR(GOOGLEFINANCE(A1158,""NAME""),)"),"")</f>
        <v/>
      </c>
      <c r="C1158" s="60" t="str">
        <f>IFERROR(__xludf.DUMMYFUNCTION("IFERROR(GOOGLEFINANCE(A1158,""CHANGE""),)"),"")</f>
        <v/>
      </c>
      <c r="D1158" s="60" t="str">
        <f>IFERROR(__xludf.DUMMYFUNCTION("IFERROR(GOOGLEFINANCE(A1158,""CHANGEPCT""),)"),"")</f>
        <v/>
      </c>
      <c r="E1158" s="60" t="str">
        <f t="shared" si="1"/>
        <v>%</v>
      </c>
      <c r="F1158" s="60" t="str">
        <f t="shared" si="2"/>
        <v/>
      </c>
      <c r="G1158" s="60" t="str">
        <f t="shared" si="3"/>
        <v/>
      </c>
      <c r="H1158" s="60" t="str">
        <f>IFERROR(__xludf.DUMMYFUNCTION("IFERROR(GOOGLEFINANCE(A1158,""PRICE""),)"),"")</f>
        <v/>
      </c>
      <c r="I1158" s="61" t="str">
        <f>IFERROR(__xludf.DUMMYFUNCTION("IFERROR(GOOGLEFINANCE(A1158,""VOLUME""),)"),"")</f>
        <v/>
      </c>
      <c r="J1158" s="60" t="str">
        <f>IFERROR(__xludf.DUMMYFUNCTION("IFERROR(INDEX(SPLIT(A1158,"":""),1,2),)"),"RELCAPITAL")</f>
        <v>RELCAPITAL</v>
      </c>
      <c r="K1158" s="60" t="str">
        <f t="shared" si="4"/>
        <v/>
      </c>
      <c r="L1158" s="60" t="str">
        <f t="shared" si="5"/>
        <v/>
      </c>
      <c r="M1158" s="60" t="str">
        <f t="shared" si="6"/>
        <v/>
      </c>
      <c r="N1158" s="62" t="str">
        <f>IFERROR(__xludf.DUMMYFUNCTION("IFERROR(GOOGLEFINANCE(A1158,""TRADETIME""),)"),"")</f>
        <v/>
      </c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</row>
    <row r="1159">
      <c r="A1159" s="68" t="s">
        <v>1205</v>
      </c>
      <c r="B1159" s="64" t="str">
        <f>IFERROR(__xludf.DUMMYFUNCTION("IFERROR(GOOGLEFINANCE(A1159,""NAME""),)"),"Reliance Industries Ltd")</f>
        <v>Reliance Industries Ltd</v>
      </c>
      <c r="C1159" s="64">
        <f>IFERROR(__xludf.DUMMYFUNCTION("IFERROR(GOOGLEFINANCE(A1159,""CHANGE""),)"),41.4)</f>
        <v>41.4</v>
      </c>
      <c r="D1159" s="64">
        <f>IFERROR(__xludf.DUMMYFUNCTION("IFERROR(GOOGLEFINANCE(A1159,""CHANGEPCT""),)"),3.08)</f>
        <v>3.08</v>
      </c>
      <c r="E1159" s="64" t="str">
        <f t="shared" si="1"/>
        <v>3.08%</v>
      </c>
      <c r="F1159" s="64">
        <f t="shared" si="2"/>
        <v>3.08</v>
      </c>
      <c r="G1159" s="64" t="str">
        <f t="shared" si="3"/>
        <v/>
      </c>
      <c r="H1159" s="64">
        <f>IFERROR(__xludf.DUMMYFUNCTION("IFERROR(GOOGLEFINANCE(A1159,""PRICE""),)"),1386.4)</f>
        <v>1386.4</v>
      </c>
      <c r="I1159" s="65">
        <f>IFERROR(__xludf.DUMMYFUNCTION("IFERROR(GOOGLEFINANCE(A1159,""VOLUME""),)"),2.595459E7)</f>
        <v>25954590</v>
      </c>
      <c r="J1159" s="64" t="str">
        <f>IFERROR(__xludf.DUMMYFUNCTION("IFERROR(INDEX(SPLIT(A1159,"":""),1,2),)"),"RELIANCE")</f>
        <v>RELIANCE</v>
      </c>
      <c r="K1159" s="64">
        <f t="shared" si="4"/>
        <v>244</v>
      </c>
      <c r="L1159" s="64" t="str">
        <f t="shared" si="5"/>
        <v/>
      </c>
      <c r="M1159" s="64">
        <f t="shared" si="6"/>
        <v>17</v>
      </c>
      <c r="N1159" s="66">
        <f>IFERROR(__xludf.DUMMYFUNCTION("IFERROR(GOOGLEFINANCE(A1159,""TRADETIME""),)"),46086.64023148148)</f>
        <v>46086.64023</v>
      </c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</row>
    <row r="1160">
      <c r="A1160" s="67" t="s">
        <v>1206</v>
      </c>
      <c r="B1160" s="60" t="str">
        <f>IFERROR(__xludf.DUMMYFUNCTION("IFERROR(GOOGLEFINANCE(A1160,""NAME""),)"),"Religare Enterprises Ltd")</f>
        <v>Religare Enterprises Ltd</v>
      </c>
      <c r="C1160" s="60">
        <f>IFERROR(__xludf.DUMMYFUNCTION("IFERROR(GOOGLEFINANCE(A1160,""CHANGE""),)"),1.17)</f>
        <v>1.17</v>
      </c>
      <c r="D1160" s="60">
        <f>IFERROR(__xludf.DUMMYFUNCTION("IFERROR(GOOGLEFINANCE(A1160,""CHANGEPCT""),)"),0.58)</f>
        <v>0.58</v>
      </c>
      <c r="E1160" s="60" t="str">
        <f t="shared" si="1"/>
        <v>0.58%</v>
      </c>
      <c r="F1160" s="60">
        <f t="shared" si="2"/>
        <v>0.58</v>
      </c>
      <c r="G1160" s="60" t="str">
        <f t="shared" si="3"/>
        <v/>
      </c>
      <c r="H1160" s="60">
        <f>IFERROR(__xludf.DUMMYFUNCTION("IFERROR(GOOGLEFINANCE(A1160,""PRICE""),)"),204.16)</f>
        <v>204.16</v>
      </c>
      <c r="I1160" s="61">
        <f>IFERROR(__xludf.DUMMYFUNCTION("IFERROR(GOOGLEFINANCE(A1160,""VOLUME""),)"),987255.0)</f>
        <v>987255</v>
      </c>
      <c r="J1160" s="60" t="str">
        <f>IFERROR(__xludf.DUMMYFUNCTION("IFERROR(INDEX(SPLIT(A1160,"":""),1,2),)"),"RELIGARE")</f>
        <v>RELIGARE</v>
      </c>
      <c r="K1160" s="60">
        <f t="shared" si="4"/>
        <v>853</v>
      </c>
      <c r="L1160" s="60" t="str">
        <f t="shared" si="5"/>
        <v/>
      </c>
      <c r="M1160" s="60">
        <f t="shared" si="6"/>
        <v>283</v>
      </c>
      <c r="N1160" s="62">
        <f>IFERROR(__xludf.DUMMYFUNCTION("IFERROR(GOOGLEFINANCE(A1160,""TRADETIME""),)"),46086.64583333333)</f>
        <v>46086.64583</v>
      </c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</row>
    <row r="1161">
      <c r="A1161" s="68" t="s">
        <v>1207</v>
      </c>
      <c r="B1161" s="64" t="str">
        <f>IFERROR(__xludf.DUMMYFUNCTION("IFERROR(GOOGLEFINANCE(A1161,""NAME""),)"),"Reliance Infrastructure Ltd")</f>
        <v>Reliance Infrastructure Ltd</v>
      </c>
      <c r="C1161" s="64">
        <f>IFERROR(__xludf.DUMMYFUNCTION("IFERROR(GOOGLEFINANCE(A1161,""CHANGE""),)"),4.32)</f>
        <v>4.32</v>
      </c>
      <c r="D1161" s="64">
        <f>IFERROR(__xludf.DUMMYFUNCTION("IFERROR(GOOGLEFINANCE(A1161,""CHANGEPCT""),)"),4.99)</f>
        <v>4.99</v>
      </c>
      <c r="E1161" s="64" t="str">
        <f t="shared" si="1"/>
        <v>4.99%</v>
      </c>
      <c r="F1161" s="64">
        <f t="shared" si="2"/>
        <v>4.99</v>
      </c>
      <c r="G1161" s="64" t="str">
        <f t="shared" si="3"/>
        <v/>
      </c>
      <c r="H1161" s="64">
        <f>IFERROR(__xludf.DUMMYFUNCTION("IFERROR(GOOGLEFINANCE(A1161,""PRICE""),)"),90.01)</f>
        <v>90.01</v>
      </c>
      <c r="I1161" s="65">
        <f>IFERROR(__xludf.DUMMYFUNCTION("IFERROR(GOOGLEFINANCE(A1161,""VOLUME""),)"),2803210.0)</f>
        <v>2803210</v>
      </c>
      <c r="J1161" s="64" t="str">
        <f>IFERROR(__xludf.DUMMYFUNCTION("IFERROR(INDEX(SPLIT(A1161,"":""),1,2),)"),"RELINFRA")</f>
        <v>RELINFRA</v>
      </c>
      <c r="K1161" s="64">
        <f t="shared" si="4"/>
        <v>77</v>
      </c>
      <c r="L1161" s="64" t="str">
        <f t="shared" si="5"/>
        <v/>
      </c>
      <c r="M1161" s="64">
        <f t="shared" si="6"/>
        <v>159</v>
      </c>
      <c r="N1161" s="66">
        <f>IFERROR(__xludf.DUMMYFUNCTION("IFERROR(GOOGLEFINANCE(A1161,""TRADETIME""),)"),46086.64584490741)</f>
        <v>46086.64584</v>
      </c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</row>
    <row r="1162">
      <c r="A1162" s="67" t="s">
        <v>1208</v>
      </c>
      <c r="B1162" s="60" t="str">
        <f>IFERROR(__xludf.DUMMYFUNCTION("IFERROR(GOOGLEFINANCE(A1162,""NAME""),)"),"Remsons Industries Ltd")</f>
        <v>Remsons Industries Ltd</v>
      </c>
      <c r="C1162" s="60">
        <f>IFERROR(__xludf.DUMMYFUNCTION("IFERROR(GOOGLEFINANCE(A1162,""CHANGE""),)"),4.2)</f>
        <v>4.2</v>
      </c>
      <c r="D1162" s="60">
        <f>IFERROR(__xludf.DUMMYFUNCTION("IFERROR(GOOGLEFINANCE(A1162,""CHANGEPCT""),)"),3.93)</f>
        <v>3.93</v>
      </c>
      <c r="E1162" s="60" t="str">
        <f t="shared" si="1"/>
        <v>3.93%</v>
      </c>
      <c r="F1162" s="60">
        <f t="shared" si="2"/>
        <v>3.93</v>
      </c>
      <c r="G1162" s="60" t="str">
        <f t="shared" si="3"/>
        <v/>
      </c>
      <c r="H1162" s="60">
        <f>IFERROR(__xludf.DUMMYFUNCTION("IFERROR(GOOGLEFINANCE(A1162,""PRICE""),)"),109.93)</f>
        <v>109.93</v>
      </c>
      <c r="I1162" s="61">
        <f>IFERROR(__xludf.DUMMYFUNCTION("IFERROR(GOOGLEFINANCE(A1162,""VOLUME""),)"),153322.0)</f>
        <v>153322</v>
      </c>
      <c r="J1162" s="60" t="str">
        <f>IFERROR(__xludf.DUMMYFUNCTION("IFERROR(INDEX(SPLIT(A1162,"":""),1,2),)"),"REMSONSIND")</f>
        <v>REMSONSIND</v>
      </c>
      <c r="K1162" s="60">
        <f t="shared" si="4"/>
        <v>148</v>
      </c>
      <c r="L1162" s="60" t="str">
        <f t="shared" si="5"/>
        <v/>
      </c>
      <c r="M1162" s="60">
        <f t="shared" si="6"/>
        <v>668</v>
      </c>
      <c r="N1162" s="62">
        <f>IFERROR(__xludf.DUMMYFUNCTION("IFERROR(GOOGLEFINANCE(A1162,""TRADETIME""),)"),46086.64583333333)</f>
        <v>46086.64583</v>
      </c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</row>
    <row r="1163">
      <c r="A1163" s="68" t="s">
        <v>1209</v>
      </c>
      <c r="B1163" s="64" t="str">
        <f>IFERROR(__xludf.DUMMYFUNCTION("IFERROR(GOOGLEFINANCE(A1163,""NAME""),)"),"Shree Renuka Sugars Ltd")</f>
        <v>Shree Renuka Sugars Ltd</v>
      </c>
      <c r="C1163" s="64">
        <f>IFERROR(__xludf.DUMMYFUNCTION("IFERROR(GOOGLEFINANCE(A1163,""CHANGE""),)"),-0.82)</f>
        <v>-0.82</v>
      </c>
      <c r="D1163" s="64">
        <f>IFERROR(__xludf.DUMMYFUNCTION("IFERROR(GOOGLEFINANCE(A1163,""CHANGEPCT""),)"),-3.24)</f>
        <v>-3.24</v>
      </c>
      <c r="E1163" s="64" t="str">
        <f t="shared" si="1"/>
        <v>-3.24%</v>
      </c>
      <c r="F1163" s="64" t="str">
        <f t="shared" si="2"/>
        <v/>
      </c>
      <c r="G1163" s="64">
        <f t="shared" si="3"/>
        <v>-3.24</v>
      </c>
      <c r="H1163" s="64">
        <f>IFERROR(__xludf.DUMMYFUNCTION("IFERROR(GOOGLEFINANCE(A1163,""PRICE""),)"),24.5)</f>
        <v>24.5</v>
      </c>
      <c r="I1163" s="65">
        <f>IFERROR(__xludf.DUMMYFUNCTION("IFERROR(GOOGLEFINANCE(A1163,""VOLUME""),)"),9581789.0)</f>
        <v>9581789</v>
      </c>
      <c r="J1163" s="64" t="str">
        <f>IFERROR(__xludf.DUMMYFUNCTION("IFERROR(INDEX(SPLIT(A1163,"":""),1,2),)"),"RENUKA")</f>
        <v>RENUKA</v>
      </c>
      <c r="K1163" s="64" t="str">
        <f t="shared" si="4"/>
        <v/>
      </c>
      <c r="L1163" s="64">
        <f t="shared" si="5"/>
        <v>412</v>
      </c>
      <c r="M1163" s="64">
        <f t="shared" si="6"/>
        <v>67</v>
      </c>
      <c r="N1163" s="66">
        <f>IFERROR(__xludf.DUMMYFUNCTION("IFERROR(GOOGLEFINANCE(A1163,""TRADETIME""),)"),46086.64584490741)</f>
        <v>46086.64584</v>
      </c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</row>
    <row r="1164">
      <c r="A1164" s="67" t="s">
        <v>1210</v>
      </c>
      <c r="B1164" s="60" t="str">
        <f>IFERROR(__xludf.DUMMYFUNCTION("IFERROR(GOOGLEFINANCE(A1164,""NAME""),)"),"Repco Home Finance Ltd")</f>
        <v>Repco Home Finance Ltd</v>
      </c>
      <c r="C1164" s="60">
        <f>IFERROR(__xludf.DUMMYFUNCTION("IFERROR(GOOGLEFINANCE(A1164,""CHANGE""),)"),2.8)</f>
        <v>2.8</v>
      </c>
      <c r="D1164" s="60">
        <f>IFERROR(__xludf.DUMMYFUNCTION("IFERROR(GOOGLEFINANCE(A1164,""CHANGEPCT""),)"),0.78)</f>
        <v>0.78</v>
      </c>
      <c r="E1164" s="60" t="str">
        <f t="shared" si="1"/>
        <v>0.78%</v>
      </c>
      <c r="F1164" s="60">
        <f t="shared" si="2"/>
        <v>0.78</v>
      </c>
      <c r="G1164" s="60" t="str">
        <f t="shared" si="3"/>
        <v/>
      </c>
      <c r="H1164" s="60">
        <f>IFERROR(__xludf.DUMMYFUNCTION("IFERROR(GOOGLEFINANCE(A1164,""PRICE""),)"),362.9)</f>
        <v>362.9</v>
      </c>
      <c r="I1164" s="61">
        <f>IFERROR(__xludf.DUMMYFUNCTION("IFERROR(GOOGLEFINANCE(A1164,""VOLUME""),)"),136330.0)</f>
        <v>136330</v>
      </c>
      <c r="J1164" s="60" t="str">
        <f>IFERROR(__xludf.DUMMYFUNCTION("IFERROR(INDEX(SPLIT(A1164,"":""),1,2),)"),"REPCOHOME")</f>
        <v>REPCOHOME</v>
      </c>
      <c r="K1164" s="60">
        <f t="shared" si="4"/>
        <v>791</v>
      </c>
      <c r="L1164" s="60" t="str">
        <f t="shared" si="5"/>
        <v/>
      </c>
      <c r="M1164" s="60">
        <f t="shared" si="6"/>
        <v>690</v>
      </c>
      <c r="N1164" s="62">
        <f>IFERROR(__xludf.DUMMYFUNCTION("IFERROR(GOOGLEFINANCE(A1164,""TRADETIME""),)"),46086.64005787037)</f>
        <v>46086.64006</v>
      </c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</row>
    <row r="1165">
      <c r="A1165" s="68" t="s">
        <v>1211</v>
      </c>
      <c r="B1165" s="64" t="str">
        <f>IFERROR(__xludf.DUMMYFUNCTION("IFERROR(GOOGLEFINANCE(A1165,""NAME""),)"),"Rudrabhishek Enterprises Ltd")</f>
        <v>Rudrabhishek Enterprises Ltd</v>
      </c>
      <c r="C1165" s="64">
        <f>IFERROR(__xludf.DUMMYFUNCTION("IFERROR(GOOGLEFINANCE(A1165,""CHANGE""),)"),0.68)</f>
        <v>0.68</v>
      </c>
      <c r="D1165" s="64">
        <f>IFERROR(__xludf.DUMMYFUNCTION("IFERROR(GOOGLEFINANCE(A1165,""CHANGEPCT""),)"),0.84)</f>
        <v>0.84</v>
      </c>
      <c r="E1165" s="64" t="str">
        <f t="shared" si="1"/>
        <v>0.84%</v>
      </c>
      <c r="F1165" s="64">
        <f t="shared" si="2"/>
        <v>0.84</v>
      </c>
      <c r="G1165" s="64" t="str">
        <f t="shared" si="3"/>
        <v/>
      </c>
      <c r="H1165" s="64">
        <f>IFERROR(__xludf.DUMMYFUNCTION("IFERROR(GOOGLEFINANCE(A1165,""PRICE""),)"),81.78)</f>
        <v>81.78</v>
      </c>
      <c r="I1165" s="65">
        <f>IFERROR(__xludf.DUMMYFUNCTION("IFERROR(GOOGLEFINANCE(A1165,""VOLUME""),)"),7284.0)</f>
        <v>7284</v>
      </c>
      <c r="J1165" s="64" t="str">
        <f>IFERROR(__xludf.DUMMYFUNCTION("IFERROR(INDEX(SPLIT(A1165,"":""),1,2),)"),"REPL")</f>
        <v>REPL</v>
      </c>
      <c r="K1165" s="64">
        <f t="shared" si="4"/>
        <v>769</v>
      </c>
      <c r="L1165" s="64" t="str">
        <f t="shared" si="5"/>
        <v/>
      </c>
      <c r="M1165" s="64">
        <f t="shared" si="6"/>
        <v>1307</v>
      </c>
      <c r="N1165" s="66">
        <f>IFERROR(__xludf.DUMMYFUNCTION("IFERROR(GOOGLEFINANCE(A1165,""TRADETIME""),)"),46086.63939814815)</f>
        <v>46086.6394</v>
      </c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</row>
    <row r="1166">
      <c r="A1166" s="67" t="s">
        <v>1212</v>
      </c>
      <c r="B1166" s="60" t="str">
        <f>IFERROR(__xludf.DUMMYFUNCTION("IFERROR(GOOGLEFINANCE(A1166,""NAME""),)"),"Repro India Ltd")</f>
        <v>Repro India Ltd</v>
      </c>
      <c r="C1166" s="60">
        <f>IFERROR(__xludf.DUMMYFUNCTION("IFERROR(GOOGLEFINANCE(A1166,""CHANGE""),)"),19.95)</f>
        <v>19.95</v>
      </c>
      <c r="D1166" s="60">
        <f>IFERROR(__xludf.DUMMYFUNCTION("IFERROR(GOOGLEFINANCE(A1166,""CHANGEPCT""),)"),5.22)</f>
        <v>5.22</v>
      </c>
      <c r="E1166" s="60" t="str">
        <f t="shared" si="1"/>
        <v>5.22%</v>
      </c>
      <c r="F1166" s="60">
        <f t="shared" si="2"/>
        <v>5.22</v>
      </c>
      <c r="G1166" s="60" t="str">
        <f t="shared" si="3"/>
        <v/>
      </c>
      <c r="H1166" s="60">
        <f>IFERROR(__xludf.DUMMYFUNCTION("IFERROR(GOOGLEFINANCE(A1166,""PRICE""),)"),402.0)</f>
        <v>402</v>
      </c>
      <c r="I1166" s="61">
        <f>IFERROR(__xludf.DUMMYFUNCTION("IFERROR(GOOGLEFINANCE(A1166,""VOLUME""),)"),25199.0)</f>
        <v>25199</v>
      </c>
      <c r="J1166" s="60" t="str">
        <f>IFERROR(__xludf.DUMMYFUNCTION("IFERROR(INDEX(SPLIT(A1166,"":""),1,2),)"),"REPRO")</f>
        <v>REPRO</v>
      </c>
      <c r="K1166" s="60">
        <f t="shared" si="4"/>
        <v>60</v>
      </c>
      <c r="L1166" s="60" t="str">
        <f t="shared" si="5"/>
        <v/>
      </c>
      <c r="M1166" s="60">
        <f t="shared" si="6"/>
        <v>1092</v>
      </c>
      <c r="N1166" s="62">
        <f>IFERROR(__xludf.DUMMYFUNCTION("IFERROR(GOOGLEFINANCE(A1166,""TRADETIME""),)"),46086.64583333333)</f>
        <v>46086.64583</v>
      </c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</row>
    <row r="1167">
      <c r="A1167" s="68" t="s">
        <v>1213</v>
      </c>
      <c r="B1167" s="64" t="str">
        <f>IFERROR(__xludf.DUMMYFUNCTION("IFERROR(GOOGLEFINANCE(A1167,""NAME""),)"),"Responsive Industries Ltd")</f>
        <v>Responsive Industries Ltd</v>
      </c>
      <c r="C1167" s="64">
        <f>IFERROR(__xludf.DUMMYFUNCTION("IFERROR(GOOGLEFINANCE(A1167,""CHANGE""),)"),-1.06)</f>
        <v>-1.06</v>
      </c>
      <c r="D1167" s="64">
        <f>IFERROR(__xludf.DUMMYFUNCTION("IFERROR(GOOGLEFINANCE(A1167,""CHANGEPCT""),)"),-0.62)</f>
        <v>-0.62</v>
      </c>
      <c r="E1167" s="64" t="str">
        <f t="shared" si="1"/>
        <v>-0.62%</v>
      </c>
      <c r="F1167" s="64" t="str">
        <f t="shared" si="2"/>
        <v/>
      </c>
      <c r="G1167" s="64">
        <f t="shared" si="3"/>
        <v>-0.62</v>
      </c>
      <c r="H1167" s="64">
        <f>IFERROR(__xludf.DUMMYFUNCTION("IFERROR(GOOGLEFINANCE(A1167,""PRICE""),)"),169.35)</f>
        <v>169.35</v>
      </c>
      <c r="I1167" s="65">
        <f>IFERROR(__xludf.DUMMYFUNCTION("IFERROR(GOOGLEFINANCE(A1167,""VOLUME""),)"),147783.0)</f>
        <v>147783</v>
      </c>
      <c r="J1167" s="64" t="str">
        <f>IFERROR(__xludf.DUMMYFUNCTION("IFERROR(INDEX(SPLIT(A1167,"":""),1,2),)"),"RESPONIND")</f>
        <v>RESPONIND</v>
      </c>
      <c r="K1167" s="64" t="str">
        <f t="shared" si="4"/>
        <v/>
      </c>
      <c r="L1167" s="64">
        <f t="shared" si="5"/>
        <v>152</v>
      </c>
      <c r="M1167" s="64">
        <f t="shared" si="6"/>
        <v>677</v>
      </c>
      <c r="N1167" s="66">
        <f>IFERROR(__xludf.DUMMYFUNCTION("IFERROR(GOOGLEFINANCE(A1167,""TRADETIME""),)"),46086.64583333333)</f>
        <v>46086.64583</v>
      </c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</row>
    <row r="1168">
      <c r="A1168" s="67" t="s">
        <v>1214</v>
      </c>
      <c r="B1168" s="60" t="str">
        <f>IFERROR(__xludf.DUMMYFUNCTION("IFERROR(GOOGLEFINANCE(A1168,""NAME""),)"),"")</f>
        <v/>
      </c>
      <c r="C1168" s="60" t="str">
        <f>IFERROR(__xludf.DUMMYFUNCTION("IFERROR(GOOGLEFINANCE(A1168,""CHANGE""),)"),"")</f>
        <v/>
      </c>
      <c r="D1168" s="60" t="str">
        <f>IFERROR(__xludf.DUMMYFUNCTION("IFERROR(GOOGLEFINANCE(A1168,""CHANGEPCT""),)"),"")</f>
        <v/>
      </c>
      <c r="E1168" s="60" t="str">
        <f t="shared" si="1"/>
        <v>%</v>
      </c>
      <c r="F1168" s="60" t="str">
        <f t="shared" si="2"/>
        <v/>
      </c>
      <c r="G1168" s="60" t="str">
        <f t="shared" si="3"/>
        <v/>
      </c>
      <c r="H1168" s="60" t="str">
        <f>IFERROR(__xludf.DUMMYFUNCTION("IFERROR(GOOGLEFINANCE(A1168,""PRICE""),)"),"")</f>
        <v/>
      </c>
      <c r="I1168" s="61" t="str">
        <f>IFERROR(__xludf.DUMMYFUNCTION("IFERROR(GOOGLEFINANCE(A1168,""VOLUME""),)"),"")</f>
        <v/>
      </c>
      <c r="J1168" s="60" t="str">
        <f>IFERROR(__xludf.DUMMYFUNCTION("IFERROR(INDEX(SPLIT(A1168,"":""),1,2),)"),"REVATHI")</f>
        <v>REVATHI</v>
      </c>
      <c r="K1168" s="60" t="str">
        <f t="shared" si="4"/>
        <v/>
      </c>
      <c r="L1168" s="60" t="str">
        <f t="shared" si="5"/>
        <v/>
      </c>
      <c r="M1168" s="60" t="str">
        <f t="shared" si="6"/>
        <v/>
      </c>
      <c r="N1168" s="62" t="str">
        <f>IFERROR(__xludf.DUMMYFUNCTION("IFERROR(GOOGLEFINANCE(A1168,""TRADETIME""),)"),"")</f>
        <v/>
      </c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</row>
    <row r="1169">
      <c r="A1169" s="68" t="s">
        <v>1215</v>
      </c>
      <c r="B1169" s="64" t="str">
        <f>IFERROR(__xludf.DUMMYFUNCTION("IFERROR(GOOGLEFINANCE(A1169,""NAME""),)"),"Renaissance Global Ltd")</f>
        <v>Renaissance Global Ltd</v>
      </c>
      <c r="C1169" s="64">
        <f>IFERROR(__xludf.DUMMYFUNCTION("IFERROR(GOOGLEFINANCE(A1169,""CHANGE""),)"),0.4)</f>
        <v>0.4</v>
      </c>
      <c r="D1169" s="64">
        <f>IFERROR(__xludf.DUMMYFUNCTION("IFERROR(GOOGLEFINANCE(A1169,""CHANGEPCT""),)"),0.37)</f>
        <v>0.37</v>
      </c>
      <c r="E1169" s="64" t="str">
        <f t="shared" si="1"/>
        <v>0.37%</v>
      </c>
      <c r="F1169" s="64">
        <f t="shared" si="2"/>
        <v>0.37</v>
      </c>
      <c r="G1169" s="64" t="str">
        <f t="shared" si="3"/>
        <v/>
      </c>
      <c r="H1169" s="64">
        <f>IFERROR(__xludf.DUMMYFUNCTION("IFERROR(GOOGLEFINANCE(A1169,""PRICE""),)"),108.2)</f>
        <v>108.2</v>
      </c>
      <c r="I1169" s="65">
        <f>IFERROR(__xludf.DUMMYFUNCTION("IFERROR(GOOGLEFINANCE(A1169,""VOLUME""),)"),3911379.0)</f>
        <v>3911379</v>
      </c>
      <c r="J1169" s="64" t="str">
        <f>IFERROR(__xludf.DUMMYFUNCTION("IFERROR(INDEX(SPLIT(A1169,"":""),1,2),)"),"RGL")</f>
        <v>RGL</v>
      </c>
      <c r="K1169" s="64">
        <f t="shared" si="4"/>
        <v>915</v>
      </c>
      <c r="L1169" s="64" t="str">
        <f t="shared" si="5"/>
        <v/>
      </c>
      <c r="M1169" s="64">
        <f t="shared" si="6"/>
        <v>125</v>
      </c>
      <c r="N1169" s="66">
        <f>IFERROR(__xludf.DUMMYFUNCTION("IFERROR(GOOGLEFINANCE(A1169,""TRADETIME""),)"),46086.64584490741)</f>
        <v>46086.64584</v>
      </c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</row>
    <row r="1170">
      <c r="A1170" s="67" t="s">
        <v>1216</v>
      </c>
      <c r="B1170" s="60" t="str">
        <f>IFERROR(__xludf.DUMMYFUNCTION("IFERROR(GOOGLEFINANCE(A1170,""NAME""),)"),"Reliance Home Finance Ltd")</f>
        <v>Reliance Home Finance Ltd</v>
      </c>
      <c r="C1170" s="60">
        <f>IFERROR(__xludf.DUMMYFUNCTION("IFERROR(GOOGLEFINANCE(A1170,""CHANGE""),)"),0.09)</f>
        <v>0.09</v>
      </c>
      <c r="D1170" s="60">
        <f>IFERROR(__xludf.DUMMYFUNCTION("IFERROR(GOOGLEFINANCE(A1170,""CHANGEPCT""),)"),4.52)</f>
        <v>4.52</v>
      </c>
      <c r="E1170" s="60" t="str">
        <f t="shared" si="1"/>
        <v>4.52%</v>
      </c>
      <c r="F1170" s="60">
        <f t="shared" si="2"/>
        <v>4.52</v>
      </c>
      <c r="G1170" s="60" t="str">
        <f t="shared" si="3"/>
        <v/>
      </c>
      <c r="H1170" s="60">
        <f>IFERROR(__xludf.DUMMYFUNCTION("IFERROR(GOOGLEFINANCE(A1170,""PRICE""),)"),2.08)</f>
        <v>2.08</v>
      </c>
      <c r="I1170" s="61">
        <f>IFERROR(__xludf.DUMMYFUNCTION("IFERROR(GOOGLEFINANCE(A1170,""VOLUME""),)"),870320.0)</f>
        <v>870320</v>
      </c>
      <c r="J1170" s="60" t="str">
        <f>IFERROR(__xludf.DUMMYFUNCTION("IFERROR(INDEX(SPLIT(A1170,"":""),1,2),)"),"RHFL")</f>
        <v>RHFL</v>
      </c>
      <c r="K1170" s="60">
        <f t="shared" si="4"/>
        <v>110</v>
      </c>
      <c r="L1170" s="60" t="str">
        <f t="shared" si="5"/>
        <v/>
      </c>
      <c r="M1170" s="60">
        <f t="shared" si="6"/>
        <v>306</v>
      </c>
      <c r="N1170" s="62">
        <f>IFERROR(__xludf.DUMMYFUNCTION("IFERROR(GOOGLEFINANCE(A1170,""TRADETIME""),)"),46086.64583333333)</f>
        <v>46086.64583</v>
      </c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</row>
    <row r="1171">
      <c r="A1171" s="68" t="s">
        <v>1217</v>
      </c>
      <c r="B1171" s="64" t="str">
        <f>IFERROR(__xludf.DUMMYFUNCTION("IFERROR(GOOGLEFINANCE(A1171,""NAME""),)"),"Rico Auto Industries Ltd")</f>
        <v>Rico Auto Industries Ltd</v>
      </c>
      <c r="C1171" s="64">
        <f>IFERROR(__xludf.DUMMYFUNCTION("IFERROR(GOOGLEFINANCE(A1171,""CHANGE""),)"),0.35)</f>
        <v>0.35</v>
      </c>
      <c r="D1171" s="64">
        <f>IFERROR(__xludf.DUMMYFUNCTION("IFERROR(GOOGLEFINANCE(A1171,""CHANGEPCT""),)"),0.3)</f>
        <v>0.3</v>
      </c>
      <c r="E1171" s="64" t="str">
        <f t="shared" si="1"/>
        <v>0.3%</v>
      </c>
      <c r="F1171" s="64">
        <f t="shared" si="2"/>
        <v>0.3</v>
      </c>
      <c r="G1171" s="64" t="str">
        <f t="shared" si="3"/>
        <v/>
      </c>
      <c r="H1171" s="64">
        <f>IFERROR(__xludf.DUMMYFUNCTION("IFERROR(GOOGLEFINANCE(A1171,""PRICE""),)"),116.92)</f>
        <v>116.92</v>
      </c>
      <c r="I1171" s="65">
        <f>IFERROR(__xludf.DUMMYFUNCTION("IFERROR(GOOGLEFINANCE(A1171,""VOLUME""),)"),3344740.0)</f>
        <v>3344740</v>
      </c>
      <c r="J1171" s="64" t="str">
        <f>IFERROR(__xludf.DUMMYFUNCTION("IFERROR(INDEX(SPLIT(A1171,"":""),1,2),)"),"RICOAUTO")</f>
        <v>RICOAUTO</v>
      </c>
      <c r="K1171" s="64">
        <f t="shared" si="4"/>
        <v>931</v>
      </c>
      <c r="L1171" s="64" t="str">
        <f t="shared" si="5"/>
        <v/>
      </c>
      <c r="M1171" s="64">
        <f t="shared" si="6"/>
        <v>139</v>
      </c>
      <c r="N1171" s="66">
        <f>IFERROR(__xludf.DUMMYFUNCTION("IFERROR(GOOGLEFINANCE(A1171,""TRADETIME""),)"),46086.64583333333)</f>
        <v>46086.64583</v>
      </c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</row>
    <row r="1172">
      <c r="A1172" s="67" t="s">
        <v>1218</v>
      </c>
      <c r="B1172" s="60" t="str">
        <f>IFERROR(__xludf.DUMMYFUNCTION("IFERROR(GOOGLEFINANCE(A1172,""NAME""),)"),"Reliance Industrial Infrastructure Ltd")</f>
        <v>Reliance Industrial Infrastructure Ltd</v>
      </c>
      <c r="C1172" s="60">
        <f>IFERROR(__xludf.DUMMYFUNCTION("IFERROR(GOOGLEFINANCE(A1172,""CHANGE""),)"),30.3)</f>
        <v>30.3</v>
      </c>
      <c r="D1172" s="60">
        <f>IFERROR(__xludf.DUMMYFUNCTION("IFERROR(GOOGLEFINANCE(A1172,""CHANGEPCT""),)"),5.45)</f>
        <v>5.45</v>
      </c>
      <c r="E1172" s="60" t="str">
        <f t="shared" si="1"/>
        <v>5.45%</v>
      </c>
      <c r="F1172" s="60">
        <f t="shared" si="2"/>
        <v>5.45</v>
      </c>
      <c r="G1172" s="60" t="str">
        <f t="shared" si="3"/>
        <v/>
      </c>
      <c r="H1172" s="60">
        <f>IFERROR(__xludf.DUMMYFUNCTION("IFERROR(GOOGLEFINANCE(A1172,""PRICE""),)"),698.9)</f>
        <v>698.9</v>
      </c>
      <c r="I1172" s="61">
        <f>IFERROR(__xludf.DUMMYFUNCTION("IFERROR(GOOGLEFINANCE(A1172,""VOLUME""),)"),80033.0)</f>
        <v>80033</v>
      </c>
      <c r="J1172" s="60" t="str">
        <f>IFERROR(__xludf.DUMMYFUNCTION("IFERROR(INDEX(SPLIT(A1172,"":""),1,2),)"),"RIIL")</f>
        <v>RIIL</v>
      </c>
      <c r="K1172" s="60">
        <f t="shared" si="4"/>
        <v>54</v>
      </c>
      <c r="L1172" s="60" t="str">
        <f t="shared" si="5"/>
        <v/>
      </c>
      <c r="M1172" s="60">
        <f t="shared" si="6"/>
        <v>813</v>
      </c>
      <c r="N1172" s="62">
        <f>IFERROR(__xludf.DUMMYFUNCTION("IFERROR(GOOGLEFINANCE(A1172,""TRADETIME""),)"),46086.64583333333)</f>
        <v>46086.64583</v>
      </c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</row>
    <row r="1173">
      <c r="A1173" s="68" t="s">
        <v>1219</v>
      </c>
      <c r="B1173" s="64" t="str">
        <f>IFERROR(__xludf.DUMMYFUNCTION("IFERROR(GOOGLEFINANCE(A1173,""NAME""),)"),"Rites Ltd")</f>
        <v>Rites Ltd</v>
      </c>
      <c r="C1173" s="64">
        <f>IFERROR(__xludf.DUMMYFUNCTION("IFERROR(GOOGLEFINANCE(A1173,""CHANGE""),)"),5.7)</f>
        <v>5.7</v>
      </c>
      <c r="D1173" s="64">
        <f>IFERROR(__xludf.DUMMYFUNCTION("IFERROR(GOOGLEFINANCE(A1173,""CHANGEPCT""),)"),2.89)</f>
        <v>2.89</v>
      </c>
      <c r="E1173" s="64" t="str">
        <f t="shared" si="1"/>
        <v>2.89%</v>
      </c>
      <c r="F1173" s="64">
        <f t="shared" si="2"/>
        <v>2.89</v>
      </c>
      <c r="G1173" s="64" t="str">
        <f t="shared" si="3"/>
        <v/>
      </c>
      <c r="H1173" s="64">
        <f>IFERROR(__xludf.DUMMYFUNCTION("IFERROR(GOOGLEFINANCE(A1173,""PRICE""),)"),203.0)</f>
        <v>203</v>
      </c>
      <c r="I1173" s="65">
        <f>IFERROR(__xludf.DUMMYFUNCTION("IFERROR(GOOGLEFINANCE(A1173,""VOLUME""),)"),734005.0)</f>
        <v>734005</v>
      </c>
      <c r="J1173" s="64" t="str">
        <f>IFERROR(__xludf.DUMMYFUNCTION("IFERROR(INDEX(SPLIT(A1173,"":""),1,2),)"),"RITES")</f>
        <v>RITES</v>
      </c>
      <c r="K1173" s="64">
        <f t="shared" si="4"/>
        <v>278</v>
      </c>
      <c r="L1173" s="64" t="str">
        <f t="shared" si="5"/>
        <v/>
      </c>
      <c r="M1173" s="64">
        <f t="shared" si="6"/>
        <v>328</v>
      </c>
      <c r="N1173" s="66">
        <f>IFERROR(__xludf.DUMMYFUNCTION("IFERROR(GOOGLEFINANCE(A1173,""TRADETIME""),)"),46086.64111111111)</f>
        <v>46086.64111</v>
      </c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</row>
    <row r="1174">
      <c r="A1174" s="67" t="s">
        <v>1220</v>
      </c>
      <c r="B1174" s="60" t="str">
        <f>IFERROR(__xludf.DUMMYFUNCTION("IFERROR(GOOGLEFINANCE(A1174,""NAME""),)"),"Ravi Kumar Distilleries Ltd")</f>
        <v>Ravi Kumar Distilleries Ltd</v>
      </c>
      <c r="C1174" s="60">
        <f>IFERROR(__xludf.DUMMYFUNCTION("IFERROR(GOOGLEFINANCE(A1174,""CHANGE""),)"),0.45)</f>
        <v>0.45</v>
      </c>
      <c r="D1174" s="60">
        <f>IFERROR(__xludf.DUMMYFUNCTION("IFERROR(GOOGLEFINANCE(A1174,""CHANGEPCT""),)"),2.61)</f>
        <v>2.61</v>
      </c>
      <c r="E1174" s="60" t="str">
        <f t="shared" si="1"/>
        <v>2.61%</v>
      </c>
      <c r="F1174" s="60">
        <f t="shared" si="2"/>
        <v>2.61</v>
      </c>
      <c r="G1174" s="60" t="str">
        <f t="shared" si="3"/>
        <v/>
      </c>
      <c r="H1174" s="60">
        <f>IFERROR(__xludf.DUMMYFUNCTION("IFERROR(GOOGLEFINANCE(A1174,""PRICE""),)"),17.27)</f>
        <v>17.27</v>
      </c>
      <c r="I1174" s="61">
        <f>IFERROR(__xludf.DUMMYFUNCTION("IFERROR(GOOGLEFINANCE(A1174,""VOLUME""),)"),31499.0)</f>
        <v>31499</v>
      </c>
      <c r="J1174" s="60" t="str">
        <f>IFERROR(__xludf.DUMMYFUNCTION("IFERROR(INDEX(SPLIT(A1174,"":""),1,2),)"),"RKDL")</f>
        <v>RKDL</v>
      </c>
      <c r="K1174" s="60">
        <f t="shared" si="4"/>
        <v>322</v>
      </c>
      <c r="L1174" s="60" t="str">
        <f t="shared" si="5"/>
        <v/>
      </c>
      <c r="M1174" s="60">
        <f t="shared" si="6"/>
        <v>1046</v>
      </c>
      <c r="N1174" s="62">
        <f>IFERROR(__xludf.DUMMYFUNCTION("IFERROR(GOOGLEFINANCE(A1174,""TRADETIME""),)"),46086.64583333333)</f>
        <v>46086.64583</v>
      </c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</row>
    <row r="1175">
      <c r="A1175" s="68" t="s">
        <v>1221</v>
      </c>
      <c r="B1175" s="64" t="str">
        <f>IFERROR(__xludf.DUMMYFUNCTION("IFERROR(GOOGLEFINANCE(A1175,""NAME""),)"),"Rkec Projects Ltd")</f>
        <v>Rkec Projects Ltd</v>
      </c>
      <c r="C1175" s="64">
        <f>IFERROR(__xludf.DUMMYFUNCTION("IFERROR(GOOGLEFINANCE(A1175,""CHANGE""),)"),-0.47)</f>
        <v>-0.47</v>
      </c>
      <c r="D1175" s="64">
        <f>IFERROR(__xludf.DUMMYFUNCTION("IFERROR(GOOGLEFINANCE(A1175,""CHANGEPCT""),)"),-1.16)</f>
        <v>-1.16</v>
      </c>
      <c r="E1175" s="64" t="str">
        <f t="shared" si="1"/>
        <v>-1.16%</v>
      </c>
      <c r="F1175" s="64" t="str">
        <f t="shared" si="2"/>
        <v/>
      </c>
      <c r="G1175" s="64">
        <f t="shared" si="3"/>
        <v>-1.16</v>
      </c>
      <c r="H1175" s="64">
        <f>IFERROR(__xludf.DUMMYFUNCTION("IFERROR(GOOGLEFINANCE(A1175,""PRICE""),)"),40.0)</f>
        <v>40</v>
      </c>
      <c r="I1175" s="65">
        <f>IFERROR(__xludf.DUMMYFUNCTION("IFERROR(GOOGLEFINANCE(A1175,""VOLUME""),)"),20898.0)</f>
        <v>20898</v>
      </c>
      <c r="J1175" s="64" t="str">
        <f>IFERROR(__xludf.DUMMYFUNCTION("IFERROR(INDEX(SPLIT(A1175,"":""),1,2),)"),"RKEC")</f>
        <v>RKEC</v>
      </c>
      <c r="K1175" s="64" t="str">
        <f t="shared" si="4"/>
        <v/>
      </c>
      <c r="L1175" s="64">
        <f t="shared" si="5"/>
        <v>238</v>
      </c>
      <c r="M1175" s="64">
        <f t="shared" si="6"/>
        <v>1133</v>
      </c>
      <c r="N1175" s="66">
        <f>IFERROR(__xludf.DUMMYFUNCTION("IFERROR(GOOGLEFINANCE(A1175,""TRADETIME""),)"),46086.64583333333)</f>
        <v>46086.64583</v>
      </c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</row>
    <row r="1176">
      <c r="A1176" s="67" t="s">
        <v>1222</v>
      </c>
      <c r="B1176" s="60" t="str">
        <f>IFERROR(__xludf.DUMMYFUNCTION("IFERROR(GOOGLEFINANCE(A1176,""NAME""),)"),"Ramkrishna Forgings Ltd")</f>
        <v>Ramkrishna Forgings Ltd</v>
      </c>
      <c r="C1176" s="60">
        <f>IFERROR(__xludf.DUMMYFUNCTION("IFERROR(GOOGLEFINANCE(A1176,""CHANGE""),)"),9.9)</f>
        <v>9.9</v>
      </c>
      <c r="D1176" s="60">
        <f>IFERROR(__xludf.DUMMYFUNCTION("IFERROR(GOOGLEFINANCE(A1176,""CHANGEPCT""),)"),1.65)</f>
        <v>1.65</v>
      </c>
      <c r="E1176" s="60" t="str">
        <f t="shared" si="1"/>
        <v>1.65%</v>
      </c>
      <c r="F1176" s="60">
        <f t="shared" si="2"/>
        <v>1.65</v>
      </c>
      <c r="G1176" s="60" t="str">
        <f t="shared" si="3"/>
        <v/>
      </c>
      <c r="H1176" s="60">
        <f>IFERROR(__xludf.DUMMYFUNCTION("IFERROR(GOOGLEFINANCE(A1176,""PRICE""),)"),555.45)</f>
        <v>555.45</v>
      </c>
      <c r="I1176" s="61">
        <f>IFERROR(__xludf.DUMMYFUNCTION("IFERROR(GOOGLEFINANCE(A1176,""VOLUME""),)"),223342.0)</f>
        <v>223342</v>
      </c>
      <c r="J1176" s="60" t="str">
        <f>IFERROR(__xludf.DUMMYFUNCTION("IFERROR(INDEX(SPLIT(A1176,"":""),1,2),)"),"RKFORGE")</f>
        <v>RKFORGE</v>
      </c>
      <c r="K1176" s="60">
        <f t="shared" si="4"/>
        <v>528</v>
      </c>
      <c r="L1176" s="60" t="str">
        <f t="shared" si="5"/>
        <v/>
      </c>
      <c r="M1176" s="60">
        <f t="shared" si="6"/>
        <v>579</v>
      </c>
      <c r="N1176" s="62">
        <f>IFERROR(__xludf.DUMMYFUNCTION("IFERROR(GOOGLEFINANCE(A1176,""TRADETIME""),)"),46086.64585648148)</f>
        <v>46086.64586</v>
      </c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</row>
    <row r="1177">
      <c r="A1177" s="68" t="s">
        <v>1223</v>
      </c>
      <c r="B1177" s="64" t="str">
        <f>IFERROR(__xludf.DUMMYFUNCTION("IFERROR(GOOGLEFINANCE(A1177,""NAME""),)"),"")</f>
        <v/>
      </c>
      <c r="C1177" s="64" t="str">
        <f>IFERROR(__xludf.DUMMYFUNCTION("IFERROR(GOOGLEFINANCE(A1177,""CHANGE""),)"),"")</f>
        <v/>
      </c>
      <c r="D1177" s="64" t="str">
        <f>IFERROR(__xludf.DUMMYFUNCTION("IFERROR(GOOGLEFINANCE(A1177,""CHANGEPCT""),)"),"")</f>
        <v/>
      </c>
      <c r="E1177" s="64" t="str">
        <f t="shared" si="1"/>
        <v>%</v>
      </c>
      <c r="F1177" s="64" t="str">
        <f t="shared" si="2"/>
        <v/>
      </c>
      <c r="G1177" s="64" t="str">
        <f t="shared" si="3"/>
        <v/>
      </c>
      <c r="H1177" s="64" t="str">
        <f>IFERROR(__xludf.DUMMYFUNCTION("IFERROR(GOOGLEFINANCE(A1177,""PRICE""),)"),"")</f>
        <v/>
      </c>
      <c r="I1177" s="65" t="str">
        <f>IFERROR(__xludf.DUMMYFUNCTION("IFERROR(GOOGLEFINANCE(A1177,""VOLUME""),)"),"")</f>
        <v/>
      </c>
      <c r="J1177" s="64" t="str">
        <f>IFERROR(__xludf.DUMMYFUNCTION("IFERROR(INDEX(SPLIT(A1177,"":""),1,2),)"),"RMCL")</f>
        <v>RMCL</v>
      </c>
      <c r="K1177" s="64" t="str">
        <f t="shared" si="4"/>
        <v/>
      </c>
      <c r="L1177" s="64" t="str">
        <f t="shared" si="5"/>
        <v/>
      </c>
      <c r="M1177" s="64" t="str">
        <f t="shared" si="6"/>
        <v/>
      </c>
      <c r="N1177" s="66" t="str">
        <f>IFERROR(__xludf.DUMMYFUNCTION("IFERROR(GOOGLEFINANCE(A1177,""TRADETIME""),)"),"")</f>
        <v/>
      </c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</row>
    <row r="1178">
      <c r="A1178" s="59" t="s">
        <v>1224</v>
      </c>
      <c r="B1178" s="60" t="str">
        <f>IFERROR(__xludf.DUMMYFUNCTION("IFERROR(GOOGLEFINANCE(A1178,""NAME""),)"),"Rane (Madras) Ltd")</f>
        <v>Rane (Madras) Ltd</v>
      </c>
      <c r="C1178" s="60">
        <f>IFERROR(__xludf.DUMMYFUNCTION("IFERROR(GOOGLEFINANCE(A1178,""CHANGE""),)"),20.9)</f>
        <v>20.9</v>
      </c>
      <c r="D1178" s="60">
        <f>IFERROR(__xludf.DUMMYFUNCTION("IFERROR(GOOGLEFINANCE(A1178,""CHANGEPCT""),)"),2.54)</f>
        <v>2.54</v>
      </c>
      <c r="E1178" s="60" t="str">
        <f t="shared" si="1"/>
        <v>2.54%</v>
      </c>
      <c r="F1178" s="60">
        <f t="shared" si="2"/>
        <v>2.54</v>
      </c>
      <c r="G1178" s="60" t="str">
        <f t="shared" si="3"/>
        <v/>
      </c>
      <c r="H1178" s="60">
        <f>IFERROR(__xludf.DUMMYFUNCTION("IFERROR(GOOGLEFINANCE(A1178,""PRICE""),)"),819.4)</f>
        <v>819.4</v>
      </c>
      <c r="I1178" s="61">
        <f>IFERROR(__xludf.DUMMYFUNCTION("IFERROR(GOOGLEFINANCE(A1178,""VOLUME""),)"),12422.0)</f>
        <v>12422</v>
      </c>
      <c r="J1178" s="60" t="str">
        <f>IFERROR(__xludf.DUMMYFUNCTION("IFERROR(INDEX(SPLIT(A1178,"":""),1,2),)"),"RML")</f>
        <v>RML</v>
      </c>
      <c r="K1178" s="60">
        <f t="shared" si="4"/>
        <v>335</v>
      </c>
      <c r="L1178" s="60" t="str">
        <f t="shared" si="5"/>
        <v/>
      </c>
      <c r="M1178" s="60">
        <f t="shared" si="6"/>
        <v>1224</v>
      </c>
      <c r="N1178" s="62">
        <f>IFERROR(__xludf.DUMMYFUNCTION("IFERROR(GOOGLEFINANCE(A1178,""TRADETIME""),)"),46086.64583333333)</f>
        <v>46086.64583</v>
      </c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</row>
    <row r="1179">
      <c r="A1179" s="68" t="s">
        <v>1225</v>
      </c>
      <c r="B1179" s="64" t="str">
        <f>IFERROR(__xludf.DUMMYFUNCTION("IFERROR(GOOGLEFINANCE(A1179,""NAME""),)"),"")</f>
        <v/>
      </c>
      <c r="C1179" s="64" t="str">
        <f>IFERROR(__xludf.DUMMYFUNCTION("IFERROR(GOOGLEFINANCE(A1179,""CHANGE""),)"),"")</f>
        <v/>
      </c>
      <c r="D1179" s="64" t="str">
        <f>IFERROR(__xludf.DUMMYFUNCTION("IFERROR(GOOGLEFINANCE(A1179,""CHANGEPCT""),)"),"")</f>
        <v/>
      </c>
      <c r="E1179" s="64" t="str">
        <f t="shared" si="1"/>
        <v>%</v>
      </c>
      <c r="F1179" s="64" t="str">
        <f t="shared" si="2"/>
        <v/>
      </c>
      <c r="G1179" s="64" t="str">
        <f t="shared" si="3"/>
        <v/>
      </c>
      <c r="H1179" s="64" t="str">
        <f>IFERROR(__xludf.DUMMYFUNCTION("IFERROR(GOOGLEFINANCE(A1179,""PRICE""),)"),"")</f>
        <v/>
      </c>
      <c r="I1179" s="65" t="str">
        <f>IFERROR(__xludf.DUMMYFUNCTION("IFERROR(GOOGLEFINANCE(A1179,""VOLUME""),)"),"")</f>
        <v/>
      </c>
      <c r="J1179" s="64" t="str">
        <f>IFERROR(__xludf.DUMMYFUNCTION("IFERROR(INDEX(SPLIT(A1179,"":""),1,2),)"),"RNAVAL")</f>
        <v>RNAVAL</v>
      </c>
      <c r="K1179" s="64" t="str">
        <f t="shared" si="4"/>
        <v/>
      </c>
      <c r="L1179" s="64" t="str">
        <f t="shared" si="5"/>
        <v/>
      </c>
      <c r="M1179" s="64" t="str">
        <f t="shared" si="6"/>
        <v/>
      </c>
      <c r="N1179" s="66" t="str">
        <f>IFERROR(__xludf.DUMMYFUNCTION("IFERROR(GOOGLEFINANCE(A1179,""TRADETIME""),)"),"")</f>
        <v/>
      </c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</row>
    <row r="1180">
      <c r="A1180" s="67" t="s">
        <v>1226</v>
      </c>
      <c r="B1180" s="60" t="str">
        <f>IFERROR(__xludf.DUMMYFUNCTION("IFERROR(GOOGLEFINANCE(A1180,""NAME""),)"),"Royal Orchid Hotels Ltd")</f>
        <v>Royal Orchid Hotels Ltd</v>
      </c>
      <c r="C1180" s="60">
        <f>IFERROR(__xludf.DUMMYFUNCTION("IFERROR(GOOGLEFINANCE(A1180,""CHANGE""),)"),5.05)</f>
        <v>5.05</v>
      </c>
      <c r="D1180" s="60">
        <f>IFERROR(__xludf.DUMMYFUNCTION("IFERROR(GOOGLEFINANCE(A1180,""CHANGEPCT""),)"),1.5)</f>
        <v>1.5</v>
      </c>
      <c r="E1180" s="60" t="str">
        <f t="shared" si="1"/>
        <v>1.5%</v>
      </c>
      <c r="F1180" s="60">
        <f t="shared" si="2"/>
        <v>1.5</v>
      </c>
      <c r="G1180" s="60" t="str">
        <f t="shared" si="3"/>
        <v/>
      </c>
      <c r="H1180" s="60">
        <f>IFERROR(__xludf.DUMMYFUNCTION("IFERROR(GOOGLEFINANCE(A1180,""PRICE""),)"),337.1)</f>
        <v>337.1</v>
      </c>
      <c r="I1180" s="61">
        <f>IFERROR(__xludf.DUMMYFUNCTION("IFERROR(GOOGLEFINANCE(A1180,""VOLUME""),)"),33033.0)</f>
        <v>33033</v>
      </c>
      <c r="J1180" s="60" t="str">
        <f>IFERROR(__xludf.DUMMYFUNCTION("IFERROR(INDEX(SPLIT(A1180,"":""),1,2),)"),"ROHLTD")</f>
        <v>ROHLTD</v>
      </c>
      <c r="K1180" s="60">
        <f t="shared" si="4"/>
        <v>572</v>
      </c>
      <c r="L1180" s="60" t="str">
        <f t="shared" si="5"/>
        <v/>
      </c>
      <c r="M1180" s="60">
        <f t="shared" si="6"/>
        <v>1033</v>
      </c>
      <c r="N1180" s="62">
        <f>IFERROR(__xludf.DUMMYFUNCTION("IFERROR(GOOGLEFINANCE(A1180,""TRADETIME""),)"),46086.64583333333)</f>
        <v>46086.64583</v>
      </c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</row>
    <row r="1181">
      <c r="A1181" s="68" t="s">
        <v>1227</v>
      </c>
      <c r="B1181" s="64" t="str">
        <f>IFERROR(__xludf.DUMMYFUNCTION("IFERROR(GOOGLEFINANCE(A1181,""NAME""),)"),"Rollatainers Ltd")</f>
        <v>Rollatainers Ltd</v>
      </c>
      <c r="C1181" s="64">
        <f>IFERROR(__xludf.DUMMYFUNCTION("IFERROR(GOOGLEFINANCE(A1181,""CHANGE""),)"),-0.03)</f>
        <v>-0.03</v>
      </c>
      <c r="D1181" s="64">
        <f>IFERROR(__xludf.DUMMYFUNCTION("IFERROR(GOOGLEFINANCE(A1181,""CHANGEPCT""),)"),-0.76)</f>
        <v>-0.76</v>
      </c>
      <c r="E1181" s="64" t="str">
        <f t="shared" si="1"/>
        <v>-0.76%</v>
      </c>
      <c r="F1181" s="64" t="str">
        <f t="shared" si="2"/>
        <v/>
      </c>
      <c r="G1181" s="64">
        <f t="shared" si="3"/>
        <v>-0.76</v>
      </c>
      <c r="H1181" s="64">
        <f>IFERROR(__xludf.DUMMYFUNCTION("IFERROR(GOOGLEFINANCE(A1181,""PRICE""),)"),1.3)</f>
        <v>1.3</v>
      </c>
      <c r="I1181" s="65">
        <f>IFERROR(__xludf.DUMMYFUNCTION("IFERROR(GOOGLEFINANCE(A1181,""VOLUME""),)"),423350.0)</f>
        <v>423350</v>
      </c>
      <c r="J1181" s="64" t="str">
        <f>IFERROR(__xludf.DUMMYFUNCTION("IFERROR(INDEX(SPLIT(A1181,"":""),1,2),)"),"ROLLT")</f>
        <v>ROLLT</v>
      </c>
      <c r="K1181" s="64" t="str">
        <f t="shared" si="4"/>
        <v/>
      </c>
      <c r="L1181" s="64">
        <f t="shared" si="5"/>
        <v>177</v>
      </c>
      <c r="M1181" s="64">
        <f t="shared" si="6"/>
        <v>432</v>
      </c>
      <c r="N1181" s="66">
        <f>IFERROR(__xludf.DUMMYFUNCTION("IFERROR(GOOGLEFINANCE(A1181,""TRADETIME""),)"),46086.64583333333)</f>
        <v>46086.64583</v>
      </c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</row>
    <row r="1182">
      <c r="A1182" s="67" t="s">
        <v>1228</v>
      </c>
      <c r="B1182" s="60" t="str">
        <f>IFERROR(__xludf.DUMMYFUNCTION("IFERROR(GOOGLEFINANCE(A1182,""NAME""),)"),"")</f>
        <v/>
      </c>
      <c r="C1182" s="60" t="str">
        <f>IFERROR(__xludf.DUMMYFUNCTION("IFERROR(GOOGLEFINANCE(A1182,""CHANGE""),)"),"")</f>
        <v/>
      </c>
      <c r="D1182" s="60" t="str">
        <f>IFERROR(__xludf.DUMMYFUNCTION("IFERROR(GOOGLEFINANCE(A1182,""CHANGEPCT""),)"),"")</f>
        <v/>
      </c>
      <c r="E1182" s="60" t="str">
        <f t="shared" si="1"/>
        <v>%</v>
      </c>
      <c r="F1182" s="60" t="str">
        <f t="shared" si="2"/>
        <v/>
      </c>
      <c r="G1182" s="60" t="str">
        <f t="shared" si="3"/>
        <v/>
      </c>
      <c r="H1182" s="60" t="str">
        <f>IFERROR(__xludf.DUMMYFUNCTION("IFERROR(GOOGLEFINANCE(A1182,""PRICE""),)"),"")</f>
        <v/>
      </c>
      <c r="I1182" s="61" t="str">
        <f>IFERROR(__xludf.DUMMYFUNCTION("IFERROR(GOOGLEFINANCE(A1182,""VOLUME""),)"),"")</f>
        <v/>
      </c>
      <c r="J1182" s="60" t="str">
        <f>IFERROR(__xludf.DUMMYFUNCTION("IFERROR(INDEX(SPLIT(A1182,"":""),1,2),)"),"ROLTA")</f>
        <v>ROLTA</v>
      </c>
      <c r="K1182" s="60" t="str">
        <f t="shared" si="4"/>
        <v/>
      </c>
      <c r="L1182" s="60" t="str">
        <f t="shared" si="5"/>
        <v/>
      </c>
      <c r="M1182" s="60" t="str">
        <f t="shared" si="6"/>
        <v/>
      </c>
      <c r="N1182" s="62" t="str">
        <f>IFERROR(__xludf.DUMMYFUNCTION("IFERROR(GOOGLEFINANCE(A1182,""TRADETIME""),)"),"")</f>
        <v/>
      </c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</row>
    <row r="1183">
      <c r="A1183" s="68" t="s">
        <v>1229</v>
      </c>
      <c r="B1183" s="64" t="str">
        <f>IFERROR(__xludf.DUMMYFUNCTION("IFERROR(GOOGLEFINANCE(A1183,""NAME""),)"),"Raj Oil Mills Ltd")</f>
        <v>Raj Oil Mills Ltd</v>
      </c>
      <c r="C1183" s="64">
        <f>IFERROR(__xludf.DUMMYFUNCTION("IFERROR(GOOGLEFINANCE(A1183,""CHANGE""),)"),1.82)</f>
        <v>1.82</v>
      </c>
      <c r="D1183" s="64">
        <f>IFERROR(__xludf.DUMMYFUNCTION("IFERROR(GOOGLEFINANCE(A1183,""CHANGEPCT""),)"),4.29)</f>
        <v>4.29</v>
      </c>
      <c r="E1183" s="64" t="str">
        <f t="shared" si="1"/>
        <v>4.29%</v>
      </c>
      <c r="F1183" s="64">
        <f t="shared" si="2"/>
        <v>4.29</v>
      </c>
      <c r="G1183" s="64" t="str">
        <f t="shared" si="3"/>
        <v/>
      </c>
      <c r="H1183" s="64">
        <f>IFERROR(__xludf.DUMMYFUNCTION("IFERROR(GOOGLEFINANCE(A1183,""PRICE""),)"),44.26)</f>
        <v>44.26</v>
      </c>
      <c r="I1183" s="65">
        <f>IFERROR(__xludf.DUMMYFUNCTION("IFERROR(GOOGLEFINANCE(A1183,""VOLUME""),)"),59443.0)</f>
        <v>59443</v>
      </c>
      <c r="J1183" s="64" t="str">
        <f>IFERROR(__xludf.DUMMYFUNCTION("IFERROR(INDEX(SPLIT(A1183,"":""),1,2),)"),"ROML")</f>
        <v>ROML</v>
      </c>
      <c r="K1183" s="64">
        <f t="shared" si="4"/>
        <v>124</v>
      </c>
      <c r="L1183" s="64" t="str">
        <f t="shared" si="5"/>
        <v/>
      </c>
      <c r="M1183" s="64">
        <f t="shared" si="6"/>
        <v>884</v>
      </c>
      <c r="N1183" s="66">
        <f>IFERROR(__xludf.DUMMYFUNCTION("IFERROR(GOOGLEFINANCE(A1183,""TRADETIME""),)"),46086.64583333333)</f>
        <v>46086.64583</v>
      </c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</row>
    <row r="1184">
      <c r="A1184" s="67" t="s">
        <v>1230</v>
      </c>
      <c r="B1184" s="60" t="str">
        <f>IFERROR(__xludf.DUMMYFUNCTION("IFERROR(GOOGLEFINANCE(A1184,""NAME""),)"),"Rossari Biotech Ltd")</f>
        <v>Rossari Biotech Ltd</v>
      </c>
      <c r="C1184" s="60">
        <f>IFERROR(__xludf.DUMMYFUNCTION("IFERROR(GOOGLEFINANCE(A1184,""CHANGE""),)"),4.6)</f>
        <v>4.6</v>
      </c>
      <c r="D1184" s="60">
        <f>IFERROR(__xludf.DUMMYFUNCTION("IFERROR(GOOGLEFINANCE(A1184,""CHANGEPCT""),)"),0.44)</f>
        <v>0.44</v>
      </c>
      <c r="E1184" s="60" t="str">
        <f t="shared" si="1"/>
        <v>0.44%</v>
      </c>
      <c r="F1184" s="60">
        <f t="shared" si="2"/>
        <v>0.44</v>
      </c>
      <c r="G1184" s="60" t="str">
        <f t="shared" si="3"/>
        <v/>
      </c>
      <c r="H1184" s="60">
        <f>IFERROR(__xludf.DUMMYFUNCTION("IFERROR(GOOGLEFINANCE(A1184,""PRICE""),)"),477.5)</f>
        <v>477.5</v>
      </c>
      <c r="I1184" s="61">
        <f>IFERROR(__xludf.DUMMYFUNCTION("IFERROR(GOOGLEFINANCE(A1184,""VOLUME""),)"),24248.0)</f>
        <v>24248</v>
      </c>
      <c r="J1184" s="60" t="str">
        <f>IFERROR(__xludf.DUMMYFUNCTION("IFERROR(INDEX(SPLIT(A1184,"":""),1,2),)"),"ROSSARI")</f>
        <v>ROSSARI</v>
      </c>
      <c r="K1184" s="60">
        <f t="shared" si="4"/>
        <v>896</v>
      </c>
      <c r="L1184" s="60" t="str">
        <f t="shared" si="5"/>
        <v/>
      </c>
      <c r="M1184" s="60">
        <f t="shared" si="6"/>
        <v>1105</v>
      </c>
      <c r="N1184" s="62">
        <f>IFERROR(__xludf.DUMMYFUNCTION("IFERROR(GOOGLEFINANCE(A1184,""TRADETIME""),)"),46086.64583333333)</f>
        <v>46086.64583</v>
      </c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</row>
    <row r="1185">
      <c r="A1185" s="68" t="s">
        <v>1231</v>
      </c>
      <c r="B1185" s="64" t="str">
        <f>IFERROR(__xludf.DUMMYFUNCTION("IFERROR(GOOGLEFINANCE(A1185,""NAME""),)"),"Rossell India Ltd")</f>
        <v>Rossell India Ltd</v>
      </c>
      <c r="C1185" s="64">
        <f>IFERROR(__xludf.DUMMYFUNCTION("IFERROR(GOOGLEFINANCE(A1185,""CHANGE""),)"),2.58)</f>
        <v>2.58</v>
      </c>
      <c r="D1185" s="64">
        <f>IFERROR(__xludf.DUMMYFUNCTION("IFERROR(GOOGLEFINANCE(A1185,""CHANGEPCT""),)"),5.98)</f>
        <v>5.98</v>
      </c>
      <c r="E1185" s="64" t="str">
        <f t="shared" si="1"/>
        <v>5.98%</v>
      </c>
      <c r="F1185" s="64">
        <f t="shared" si="2"/>
        <v>5.98</v>
      </c>
      <c r="G1185" s="64" t="str">
        <f t="shared" si="3"/>
        <v/>
      </c>
      <c r="H1185" s="64">
        <f>IFERROR(__xludf.DUMMYFUNCTION("IFERROR(GOOGLEFINANCE(A1185,""PRICE""),)"),45.69)</f>
        <v>45.69</v>
      </c>
      <c r="I1185" s="65">
        <f>IFERROR(__xludf.DUMMYFUNCTION("IFERROR(GOOGLEFINANCE(A1185,""VOLUME""),)"),24122.0)</f>
        <v>24122</v>
      </c>
      <c r="J1185" s="64" t="str">
        <f>IFERROR(__xludf.DUMMYFUNCTION("IFERROR(INDEX(SPLIT(A1185,"":""),1,2),)"),"ROSSELLIND")</f>
        <v>ROSSELLIND</v>
      </c>
      <c r="K1185" s="64">
        <f t="shared" si="4"/>
        <v>42</v>
      </c>
      <c r="L1185" s="64" t="str">
        <f t="shared" si="5"/>
        <v/>
      </c>
      <c r="M1185" s="64">
        <f t="shared" si="6"/>
        <v>1108</v>
      </c>
      <c r="N1185" s="66">
        <f>IFERROR(__xludf.DUMMYFUNCTION("IFERROR(GOOGLEFINANCE(A1185,""TRADETIME""),)"),46086.64583333333)</f>
        <v>46086.64583</v>
      </c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</row>
    <row r="1186">
      <c r="A1186" s="67" t="s">
        <v>1232</v>
      </c>
      <c r="B1186" s="60" t="str">
        <f>IFERROR(__xludf.DUMMYFUNCTION("IFERROR(GOOGLEFINANCE(A1186,""NAME""),)"),"Route Mobile Ltd")</f>
        <v>Route Mobile Ltd</v>
      </c>
      <c r="C1186" s="60">
        <f>IFERROR(__xludf.DUMMYFUNCTION("IFERROR(GOOGLEFINANCE(A1186,""CHANGE""),)"),8.85)</f>
        <v>8.85</v>
      </c>
      <c r="D1186" s="60">
        <f>IFERROR(__xludf.DUMMYFUNCTION("IFERROR(GOOGLEFINANCE(A1186,""CHANGEPCT""),)"),1.86)</f>
        <v>1.86</v>
      </c>
      <c r="E1186" s="60" t="str">
        <f t="shared" si="1"/>
        <v>1.86%</v>
      </c>
      <c r="F1186" s="60">
        <f t="shared" si="2"/>
        <v>1.86</v>
      </c>
      <c r="G1186" s="60" t="str">
        <f t="shared" si="3"/>
        <v/>
      </c>
      <c r="H1186" s="60">
        <f>IFERROR(__xludf.DUMMYFUNCTION("IFERROR(GOOGLEFINANCE(A1186,""PRICE""),)"),483.55)</f>
        <v>483.55</v>
      </c>
      <c r="I1186" s="61">
        <f>IFERROR(__xludf.DUMMYFUNCTION("IFERROR(GOOGLEFINANCE(A1186,""VOLUME""),)"),174210.0)</f>
        <v>174210</v>
      </c>
      <c r="J1186" s="60" t="str">
        <f>IFERROR(__xludf.DUMMYFUNCTION("IFERROR(INDEX(SPLIT(A1186,"":""),1,2),)"),"ROUTE")</f>
        <v>ROUTE</v>
      </c>
      <c r="K1186" s="60">
        <f t="shared" si="4"/>
        <v>478</v>
      </c>
      <c r="L1186" s="60" t="str">
        <f t="shared" si="5"/>
        <v/>
      </c>
      <c r="M1186" s="60">
        <f t="shared" si="6"/>
        <v>633</v>
      </c>
      <c r="N1186" s="62">
        <f>IFERROR(__xludf.DUMMYFUNCTION("IFERROR(GOOGLEFINANCE(A1186,""TRADETIME""),)"),46086.64583333333)</f>
        <v>46086.64583</v>
      </c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</row>
    <row r="1187">
      <c r="A1187" s="68" t="s">
        <v>1233</v>
      </c>
      <c r="B1187" s="64" t="str">
        <f>IFERROR(__xludf.DUMMYFUNCTION("IFERROR(GOOGLEFINANCE(A1187,""NAME""),)"),"RPG Life Sciences Ltd")</f>
        <v>RPG Life Sciences Ltd</v>
      </c>
      <c r="C1187" s="64">
        <f>IFERROR(__xludf.DUMMYFUNCTION("IFERROR(GOOGLEFINANCE(A1187,""CHANGE""),)"),56.1)</f>
        <v>56.1</v>
      </c>
      <c r="D1187" s="64">
        <f>IFERROR(__xludf.DUMMYFUNCTION("IFERROR(GOOGLEFINANCE(A1187,""CHANGEPCT""),)"),3.11)</f>
        <v>3.11</v>
      </c>
      <c r="E1187" s="64" t="str">
        <f t="shared" si="1"/>
        <v>3.11%</v>
      </c>
      <c r="F1187" s="64">
        <f t="shared" si="2"/>
        <v>3.11</v>
      </c>
      <c r="G1187" s="64" t="str">
        <f t="shared" si="3"/>
        <v/>
      </c>
      <c r="H1187" s="64">
        <f>IFERROR(__xludf.DUMMYFUNCTION("IFERROR(GOOGLEFINANCE(A1187,""PRICE""),)"),1860.0)</f>
        <v>1860</v>
      </c>
      <c r="I1187" s="65">
        <f>IFERROR(__xludf.DUMMYFUNCTION("IFERROR(GOOGLEFINANCE(A1187,""VOLUME""),)"),9478.0)</f>
        <v>9478</v>
      </c>
      <c r="J1187" s="64" t="str">
        <f>IFERROR(__xludf.DUMMYFUNCTION("IFERROR(INDEX(SPLIT(A1187,"":""),1,2),)"),"RPGLIFE")</f>
        <v>RPGLIFE</v>
      </c>
      <c r="K1187" s="64">
        <f t="shared" si="4"/>
        <v>237</v>
      </c>
      <c r="L1187" s="64" t="str">
        <f t="shared" si="5"/>
        <v/>
      </c>
      <c r="M1187" s="64">
        <f t="shared" si="6"/>
        <v>1272</v>
      </c>
      <c r="N1187" s="66">
        <f>IFERROR(__xludf.DUMMYFUNCTION("IFERROR(GOOGLEFINANCE(A1187,""TRADETIME""),)"),46086.64583333333)</f>
        <v>46086.64583</v>
      </c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</row>
    <row r="1188">
      <c r="A1188" s="67" t="s">
        <v>1234</v>
      </c>
      <c r="B1188" s="60" t="str">
        <f>IFERROR(__xludf.DUMMYFUNCTION("IFERROR(GOOGLEFINANCE(A1188,""NAME""),)"),"Reliance Power Ltd")</f>
        <v>Reliance Power Ltd</v>
      </c>
      <c r="C1188" s="60">
        <f>IFERROR(__xludf.DUMMYFUNCTION("IFERROR(GOOGLEFINANCE(A1188,""CHANGE""),)"),-0.52)</f>
        <v>-0.52</v>
      </c>
      <c r="D1188" s="60">
        <f>IFERROR(__xludf.DUMMYFUNCTION("IFERROR(GOOGLEFINANCE(A1188,""CHANGEPCT""),)"),-2.2)</f>
        <v>-2.2</v>
      </c>
      <c r="E1188" s="60" t="str">
        <f t="shared" si="1"/>
        <v>-2.2%</v>
      </c>
      <c r="F1188" s="60" t="str">
        <f t="shared" si="2"/>
        <v/>
      </c>
      <c r="G1188" s="60">
        <f t="shared" si="3"/>
        <v>-2.2</v>
      </c>
      <c r="H1188" s="60">
        <f>IFERROR(__xludf.DUMMYFUNCTION("IFERROR(GOOGLEFINANCE(A1188,""PRICE""),)"),22.65)</f>
        <v>22.65</v>
      </c>
      <c r="I1188" s="61">
        <f>IFERROR(__xludf.DUMMYFUNCTION("IFERROR(GOOGLEFINANCE(A1188,""VOLUME""),)"),5.407496E7)</f>
        <v>54074960</v>
      </c>
      <c r="J1188" s="60" t="str">
        <f>IFERROR(__xludf.DUMMYFUNCTION("IFERROR(INDEX(SPLIT(A1188,"":""),1,2),)"),"RPOWER")</f>
        <v>RPOWER</v>
      </c>
      <c r="K1188" s="60" t="str">
        <f t="shared" si="4"/>
        <v/>
      </c>
      <c r="L1188" s="60">
        <f t="shared" si="5"/>
        <v>368</v>
      </c>
      <c r="M1188" s="60">
        <f t="shared" si="6"/>
        <v>4</v>
      </c>
      <c r="N1188" s="62">
        <f>IFERROR(__xludf.DUMMYFUNCTION("IFERROR(GOOGLEFINANCE(A1188,""TRADETIME""),)"),46086.64135416667)</f>
        <v>46086.64135</v>
      </c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</row>
    <row r="1189">
      <c r="A1189" s="68" t="s">
        <v>1235</v>
      </c>
      <c r="B1189" s="64" t="str">
        <f>IFERROR(__xludf.DUMMYFUNCTION("IFERROR(GOOGLEFINANCE(A1189,""NAME""),)"),"RPP Infra Projects Ltd")</f>
        <v>RPP Infra Projects Ltd</v>
      </c>
      <c r="C1189" s="64">
        <f>IFERROR(__xludf.DUMMYFUNCTION("IFERROR(GOOGLEFINANCE(A1189,""CHANGE""),)"),1.0)</f>
        <v>1</v>
      </c>
      <c r="D1189" s="64">
        <f>IFERROR(__xludf.DUMMYFUNCTION("IFERROR(GOOGLEFINANCE(A1189,""CHANGEPCT""),)"),1.44)</f>
        <v>1.44</v>
      </c>
      <c r="E1189" s="64" t="str">
        <f t="shared" si="1"/>
        <v>1.44%</v>
      </c>
      <c r="F1189" s="64">
        <f t="shared" si="2"/>
        <v>1.44</v>
      </c>
      <c r="G1189" s="64" t="str">
        <f t="shared" si="3"/>
        <v/>
      </c>
      <c r="H1189" s="64">
        <f>IFERROR(__xludf.DUMMYFUNCTION("IFERROR(GOOGLEFINANCE(A1189,""PRICE""),)"),70.5)</f>
        <v>70.5</v>
      </c>
      <c r="I1189" s="65">
        <f>IFERROR(__xludf.DUMMYFUNCTION("IFERROR(GOOGLEFINANCE(A1189,""VOLUME""),)"),55698.0)</f>
        <v>55698</v>
      </c>
      <c r="J1189" s="64" t="str">
        <f>IFERROR(__xludf.DUMMYFUNCTION("IFERROR(INDEX(SPLIT(A1189,"":""),1,2),)"),"RPPINFRA")</f>
        <v>RPPINFRA</v>
      </c>
      <c r="K1189" s="64">
        <f t="shared" si="4"/>
        <v>591</v>
      </c>
      <c r="L1189" s="64" t="str">
        <f t="shared" si="5"/>
        <v/>
      </c>
      <c r="M1189" s="64">
        <f t="shared" si="6"/>
        <v>900</v>
      </c>
      <c r="N1189" s="66">
        <f>IFERROR(__xludf.DUMMYFUNCTION("IFERROR(GOOGLEFINANCE(A1189,""TRADETIME""),)"),46086.640127314815)</f>
        <v>46086.64013</v>
      </c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</row>
    <row r="1190">
      <c r="A1190" s="59" t="s">
        <v>1236</v>
      </c>
      <c r="B1190" s="60" t="str">
        <f>IFERROR(__xludf.DUMMYFUNCTION("IFERROR(GOOGLEFINANCE(A1190,""NAME""),)"),"Sangam (India) Ltd")</f>
        <v>Sangam (India) Ltd</v>
      </c>
      <c r="C1190" s="60">
        <f>IFERROR(__xludf.DUMMYFUNCTION("IFERROR(GOOGLEFINANCE(A1190,""CHANGE""),)"),-2.85)</f>
        <v>-2.85</v>
      </c>
      <c r="D1190" s="60">
        <f>IFERROR(__xludf.DUMMYFUNCTION("IFERROR(GOOGLEFINANCE(A1190,""CHANGEPCT""),)"),-0.02)</f>
        <v>-0.02</v>
      </c>
      <c r="E1190" s="60" t="str">
        <f t="shared" si="1"/>
        <v>-0.02%</v>
      </c>
      <c r="F1190" s="60" t="str">
        <f t="shared" si="2"/>
        <v/>
      </c>
      <c r="G1190" s="60">
        <f t="shared" si="3"/>
        <v>-0.02</v>
      </c>
      <c r="H1190" s="60">
        <f>IFERROR(__xludf.DUMMYFUNCTION("IFERROR(GOOGLEFINANCE(A1190,""PRICE""),)"),437.9)</f>
        <v>437.9</v>
      </c>
      <c r="I1190" s="61">
        <f>IFERROR(__xludf.DUMMYFUNCTION("IFERROR(GOOGLEFINANCE(A1190,""VOLUME""),)"),15666.0)</f>
        <v>15666</v>
      </c>
      <c r="J1190" s="60" t="str">
        <f>IFERROR(__xludf.DUMMYFUNCTION("IFERROR(INDEX(SPLIT(A1190,"":""),1,2),)"),"SANGAMIND")</f>
        <v>SANGAMIND</v>
      </c>
      <c r="K1190" s="60" t="str">
        <f t="shared" si="4"/>
        <v/>
      </c>
      <c r="L1190" s="60">
        <f t="shared" si="5"/>
        <v>5</v>
      </c>
      <c r="M1190" s="60">
        <f t="shared" si="6"/>
        <v>1191</v>
      </c>
      <c r="N1190" s="62">
        <f>IFERROR(__xludf.DUMMYFUNCTION("IFERROR(GOOGLEFINANCE(A1190,""TRADETIME""),)"),46086.63979166667)</f>
        <v>46086.63979</v>
      </c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</row>
    <row r="1191">
      <c r="A1191" s="68" t="s">
        <v>1237</v>
      </c>
      <c r="B1191" s="64" t="str">
        <f>IFERROR(__xludf.DUMMYFUNCTION("IFERROR(GOOGLEFINANCE(A1191,""NAME""),)"),"RSWM Ltd")</f>
        <v>RSWM Ltd</v>
      </c>
      <c r="C1191" s="64">
        <f>IFERROR(__xludf.DUMMYFUNCTION("IFERROR(GOOGLEFINANCE(A1191,""CHANGE""),)"),-0.61)</f>
        <v>-0.61</v>
      </c>
      <c r="D1191" s="64">
        <f>IFERROR(__xludf.DUMMYFUNCTION("IFERROR(GOOGLEFINANCE(A1191,""CHANGEPCT""),)"),-0.42)</f>
        <v>-0.42</v>
      </c>
      <c r="E1191" s="64" t="str">
        <f t="shared" si="1"/>
        <v>-0.42%</v>
      </c>
      <c r="F1191" s="64" t="str">
        <f t="shared" si="2"/>
        <v/>
      </c>
      <c r="G1191" s="64">
        <f t="shared" si="3"/>
        <v>-0.42</v>
      </c>
      <c r="H1191" s="64">
        <f>IFERROR(__xludf.DUMMYFUNCTION("IFERROR(GOOGLEFINANCE(A1191,""PRICE""),)"),145.25)</f>
        <v>145.25</v>
      </c>
      <c r="I1191" s="65">
        <f>IFERROR(__xludf.DUMMYFUNCTION("IFERROR(GOOGLEFINANCE(A1191,""VOLUME""),)"),17702.0)</f>
        <v>17702</v>
      </c>
      <c r="J1191" s="64" t="str">
        <f>IFERROR(__xludf.DUMMYFUNCTION("IFERROR(INDEX(SPLIT(A1191,"":""),1,2),)"),"RSWM")</f>
        <v>RSWM</v>
      </c>
      <c r="K1191" s="64" t="str">
        <f t="shared" si="4"/>
        <v/>
      </c>
      <c r="L1191" s="64">
        <f t="shared" si="5"/>
        <v>102</v>
      </c>
      <c r="M1191" s="64">
        <f t="shared" si="6"/>
        <v>1171</v>
      </c>
      <c r="N1191" s="66">
        <f>IFERROR(__xludf.DUMMYFUNCTION("IFERROR(GOOGLEFINANCE(A1191,""TRADETIME""),)"),46086.64282407408)</f>
        <v>46086.64282</v>
      </c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</row>
    <row r="1192">
      <c r="A1192" s="67" t="s">
        <v>1238</v>
      </c>
      <c r="B1192" s="60" t="str">
        <f>IFERROR(__xludf.DUMMYFUNCTION("IFERROR(GOOGLEFINANCE(A1192,""NAME""),)"),"R Systems International Ltd")</f>
        <v>R Systems International Ltd</v>
      </c>
      <c r="C1192" s="60">
        <f>IFERROR(__xludf.DUMMYFUNCTION("IFERROR(GOOGLEFINANCE(A1192,""CHANGE""),)"),2.85)</f>
        <v>2.85</v>
      </c>
      <c r="D1192" s="60">
        <f>IFERROR(__xludf.DUMMYFUNCTION("IFERROR(GOOGLEFINANCE(A1192,""CHANGEPCT""),)"),0.95)</f>
        <v>0.95</v>
      </c>
      <c r="E1192" s="60" t="str">
        <f t="shared" si="1"/>
        <v>0.95%</v>
      </c>
      <c r="F1192" s="60">
        <f t="shared" si="2"/>
        <v>0.95</v>
      </c>
      <c r="G1192" s="60" t="str">
        <f t="shared" si="3"/>
        <v/>
      </c>
      <c r="H1192" s="60">
        <f>IFERROR(__xludf.DUMMYFUNCTION("IFERROR(GOOGLEFINANCE(A1192,""PRICE""),)"),260.2)</f>
        <v>260.2</v>
      </c>
      <c r="I1192" s="61">
        <f>IFERROR(__xludf.DUMMYFUNCTION("IFERROR(GOOGLEFINANCE(A1192,""VOLUME""),)"),85487.0)</f>
        <v>85487</v>
      </c>
      <c r="J1192" s="60" t="str">
        <f>IFERROR(__xludf.DUMMYFUNCTION("IFERROR(INDEX(SPLIT(A1192,"":""),1,2),)"),"RSYSTEMS")</f>
        <v>RSYSTEMS</v>
      </c>
      <c r="K1192" s="60">
        <f t="shared" si="4"/>
        <v>736</v>
      </c>
      <c r="L1192" s="60" t="str">
        <f t="shared" si="5"/>
        <v/>
      </c>
      <c r="M1192" s="60">
        <f t="shared" si="6"/>
        <v>799</v>
      </c>
      <c r="N1192" s="62">
        <f>IFERROR(__xludf.DUMMYFUNCTION("IFERROR(GOOGLEFINANCE(A1192,""TRADETIME""),)"),46086.64583333333)</f>
        <v>46086.64583</v>
      </c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</row>
    <row r="1193">
      <c r="A1193" s="68" t="s">
        <v>1239</v>
      </c>
      <c r="B1193" s="64" t="str">
        <f>IFERROR(__xludf.DUMMYFUNCTION("IFERROR(GOOGLEFINANCE(A1193,""NAME""),)"),"Rattanindia Enterprises Ltd")</f>
        <v>Rattanindia Enterprises Ltd</v>
      </c>
      <c r="C1193" s="64">
        <f>IFERROR(__xludf.DUMMYFUNCTION("IFERROR(GOOGLEFINANCE(A1193,""CHANGE""),)"),0.35)</f>
        <v>0.35</v>
      </c>
      <c r="D1193" s="64">
        <f>IFERROR(__xludf.DUMMYFUNCTION("IFERROR(GOOGLEFINANCE(A1193,""CHANGEPCT""),)"),1.36)</f>
        <v>1.36</v>
      </c>
      <c r="E1193" s="64" t="str">
        <f t="shared" si="1"/>
        <v>1.36%</v>
      </c>
      <c r="F1193" s="64">
        <f t="shared" si="2"/>
        <v>1.36</v>
      </c>
      <c r="G1193" s="64" t="str">
        <f t="shared" si="3"/>
        <v/>
      </c>
      <c r="H1193" s="64">
        <f>IFERROR(__xludf.DUMMYFUNCTION("IFERROR(GOOGLEFINANCE(A1193,""PRICE""),)"),26.04)</f>
        <v>26.04</v>
      </c>
      <c r="I1193" s="65">
        <f>IFERROR(__xludf.DUMMYFUNCTION("IFERROR(GOOGLEFINANCE(A1193,""VOLUME""),)"),5154501.0)</f>
        <v>5154501</v>
      </c>
      <c r="J1193" s="64" t="str">
        <f>IFERROR(__xludf.DUMMYFUNCTION("IFERROR(INDEX(SPLIT(A1193,"":""),1,2),)"),"RTNINDIA")</f>
        <v>RTNINDIA</v>
      </c>
      <c r="K1193" s="64">
        <f t="shared" si="4"/>
        <v>615</v>
      </c>
      <c r="L1193" s="64" t="str">
        <f t="shared" si="5"/>
        <v/>
      </c>
      <c r="M1193" s="64">
        <f t="shared" si="6"/>
        <v>106</v>
      </c>
      <c r="N1193" s="66">
        <f>IFERROR(__xludf.DUMMYFUNCTION("IFERROR(GOOGLEFINANCE(A1193,""TRADETIME""),)"),46086.64584490741)</f>
        <v>46086.64584</v>
      </c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</row>
    <row r="1194">
      <c r="A1194" s="67" t="s">
        <v>1240</v>
      </c>
      <c r="B1194" s="60" t="str">
        <f>IFERROR(__xludf.DUMMYFUNCTION("IFERROR(GOOGLEFINANCE(A1194,""NAME""),)"),"RattanIndia Power Ltd")</f>
        <v>RattanIndia Power Ltd</v>
      </c>
      <c r="C1194" s="60">
        <f>IFERROR(__xludf.DUMMYFUNCTION("IFERROR(GOOGLEFINANCE(A1194,""CHANGE""),)"),0.23)</f>
        <v>0.23</v>
      </c>
      <c r="D1194" s="60">
        <f>IFERROR(__xludf.DUMMYFUNCTION("IFERROR(GOOGLEFINANCE(A1194,""CHANGEPCT""),)"),2.96)</f>
        <v>2.96</v>
      </c>
      <c r="E1194" s="60" t="str">
        <f t="shared" si="1"/>
        <v>2.96%</v>
      </c>
      <c r="F1194" s="60">
        <f t="shared" si="2"/>
        <v>2.96</v>
      </c>
      <c r="G1194" s="60" t="str">
        <f t="shared" si="3"/>
        <v/>
      </c>
      <c r="H1194" s="60">
        <f>IFERROR(__xludf.DUMMYFUNCTION("IFERROR(GOOGLEFINANCE(A1194,""PRICE""),)"),7.99)</f>
        <v>7.99</v>
      </c>
      <c r="I1194" s="61">
        <f>IFERROR(__xludf.DUMMYFUNCTION("IFERROR(GOOGLEFINANCE(A1194,""VOLUME""),)"),1.1852764E7)</f>
        <v>11852764</v>
      </c>
      <c r="J1194" s="60" t="str">
        <f>IFERROR(__xludf.DUMMYFUNCTION("IFERROR(INDEX(SPLIT(A1194,"":""),1,2),)"),"RTNPOWER")</f>
        <v>RTNPOWER</v>
      </c>
      <c r="K1194" s="60">
        <f t="shared" si="4"/>
        <v>264</v>
      </c>
      <c r="L1194" s="60" t="str">
        <f t="shared" si="5"/>
        <v/>
      </c>
      <c r="M1194" s="60">
        <f t="shared" si="6"/>
        <v>51</v>
      </c>
      <c r="N1194" s="62">
        <f>IFERROR(__xludf.DUMMYFUNCTION("IFERROR(GOOGLEFINANCE(A1194,""TRADETIME""),)"),46086.64583333333)</f>
        <v>46086.64583</v>
      </c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</row>
    <row r="1195">
      <c r="A1195" s="68" t="s">
        <v>1241</v>
      </c>
      <c r="B1195" s="64" t="str">
        <f>IFERROR(__xludf.DUMMYFUNCTION("IFERROR(GOOGLEFINANCE(A1195,""NAME""),)"),"The Ruby Mills Ltd")</f>
        <v>The Ruby Mills Ltd</v>
      </c>
      <c r="C1195" s="64">
        <f>IFERROR(__xludf.DUMMYFUNCTION("IFERROR(GOOGLEFINANCE(A1195,""CHANGE""),)"),24.62)</f>
        <v>24.62</v>
      </c>
      <c r="D1195" s="64">
        <f>IFERROR(__xludf.DUMMYFUNCTION("IFERROR(GOOGLEFINANCE(A1195,""CHANGEPCT""),)"),12.08)</f>
        <v>12.08</v>
      </c>
      <c r="E1195" s="64" t="str">
        <f t="shared" si="1"/>
        <v>12.08%</v>
      </c>
      <c r="F1195" s="64">
        <f t="shared" si="2"/>
        <v>12.08</v>
      </c>
      <c r="G1195" s="64" t="str">
        <f t="shared" si="3"/>
        <v/>
      </c>
      <c r="H1195" s="64">
        <f>IFERROR(__xludf.DUMMYFUNCTION("IFERROR(GOOGLEFINANCE(A1195,""PRICE""),)"),228.5)</f>
        <v>228.5</v>
      </c>
      <c r="I1195" s="65">
        <f>IFERROR(__xludf.DUMMYFUNCTION("IFERROR(GOOGLEFINANCE(A1195,""VOLUME""),)"),2709015.0)</f>
        <v>2709015</v>
      </c>
      <c r="J1195" s="64" t="str">
        <f>IFERROR(__xludf.DUMMYFUNCTION("IFERROR(INDEX(SPLIT(A1195,"":""),1,2),)"),"RUBYMILLS")</f>
        <v>RUBYMILLS</v>
      </c>
      <c r="K1195" s="64">
        <f t="shared" si="4"/>
        <v>7</v>
      </c>
      <c r="L1195" s="64" t="str">
        <f t="shared" si="5"/>
        <v/>
      </c>
      <c r="M1195" s="64">
        <f t="shared" si="6"/>
        <v>162</v>
      </c>
      <c r="N1195" s="66">
        <f>IFERROR(__xludf.DUMMYFUNCTION("IFERROR(GOOGLEFINANCE(A1195,""TRADETIME""),)"),46086.64583333333)</f>
        <v>46086.64583</v>
      </c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</row>
    <row r="1196">
      <c r="A1196" s="67" t="s">
        <v>1242</v>
      </c>
      <c r="B1196" s="60" t="str">
        <f>IFERROR(__xludf.DUMMYFUNCTION("IFERROR(GOOGLEFINANCE(A1196,""NAME""),)"),"Patanjali Foods Ltd")</f>
        <v>Patanjali Foods Ltd</v>
      </c>
      <c r="C1196" s="60">
        <f>IFERROR(__xludf.DUMMYFUNCTION("IFERROR(GOOGLEFINANCE(A1196,""CHANGE""),)"),-4.4)</f>
        <v>-4.4</v>
      </c>
      <c r="D1196" s="60">
        <f>IFERROR(__xludf.DUMMYFUNCTION("IFERROR(GOOGLEFINANCE(A1196,""CHANGEPCT""),)"),-0.87)</f>
        <v>-0.87</v>
      </c>
      <c r="E1196" s="60" t="str">
        <f t="shared" si="1"/>
        <v>-0.87%</v>
      </c>
      <c r="F1196" s="60" t="str">
        <f t="shared" si="2"/>
        <v/>
      </c>
      <c r="G1196" s="60">
        <f t="shared" si="3"/>
        <v>-0.87</v>
      </c>
      <c r="H1196" s="60">
        <f>IFERROR(__xludf.DUMMYFUNCTION("IFERROR(GOOGLEFINANCE(A1196,""PRICE""),)"),499.0)</f>
        <v>499</v>
      </c>
      <c r="I1196" s="61">
        <f>IFERROR(__xludf.DUMMYFUNCTION("IFERROR(GOOGLEFINANCE(A1196,""VOLUME""),)"),1933490.0)</f>
        <v>1933490</v>
      </c>
      <c r="J1196" s="60" t="str">
        <f>IFERROR(__xludf.DUMMYFUNCTION("IFERROR(INDEX(SPLIT(A1196,"":""),1,2),)"),"PATANJALI")</f>
        <v>PATANJALI</v>
      </c>
      <c r="K1196" s="60" t="str">
        <f t="shared" si="4"/>
        <v/>
      </c>
      <c r="L1196" s="60">
        <f t="shared" si="5"/>
        <v>195</v>
      </c>
      <c r="M1196" s="60">
        <f t="shared" si="6"/>
        <v>210</v>
      </c>
      <c r="N1196" s="62">
        <f>IFERROR(__xludf.DUMMYFUNCTION("IFERROR(GOOGLEFINANCE(A1196,""TRADETIME""),)"),46086.64584490741)</f>
        <v>46086.64584</v>
      </c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</row>
    <row r="1197">
      <c r="A1197" s="68" t="s">
        <v>1243</v>
      </c>
      <c r="B1197" s="64" t="str">
        <f>IFERROR(__xludf.DUMMYFUNCTION("IFERROR(GOOGLEFINANCE(A1197,""NAME""),)"),"Ruchi Infrastructure Ltd")</f>
        <v>Ruchi Infrastructure Ltd</v>
      </c>
      <c r="C1197" s="64">
        <f>IFERROR(__xludf.DUMMYFUNCTION("IFERROR(GOOGLEFINANCE(A1197,""CHANGE""),)"),0.07)</f>
        <v>0.07</v>
      </c>
      <c r="D1197" s="64">
        <f>IFERROR(__xludf.DUMMYFUNCTION("IFERROR(GOOGLEFINANCE(A1197,""CHANGEPCT""),)"),1.28)</f>
        <v>1.28</v>
      </c>
      <c r="E1197" s="64" t="str">
        <f t="shared" si="1"/>
        <v>1.28%</v>
      </c>
      <c r="F1197" s="64">
        <f t="shared" si="2"/>
        <v>1.28</v>
      </c>
      <c r="G1197" s="64" t="str">
        <f t="shared" si="3"/>
        <v/>
      </c>
      <c r="H1197" s="64">
        <f>IFERROR(__xludf.DUMMYFUNCTION("IFERROR(GOOGLEFINANCE(A1197,""PRICE""),)"),5.52)</f>
        <v>5.52</v>
      </c>
      <c r="I1197" s="65">
        <f>IFERROR(__xludf.DUMMYFUNCTION("IFERROR(GOOGLEFINANCE(A1197,""VOLUME""),)"),15007.0)</f>
        <v>15007</v>
      </c>
      <c r="J1197" s="64" t="str">
        <f>IFERROR(__xludf.DUMMYFUNCTION("IFERROR(INDEX(SPLIT(A1197,"":""),1,2),)"),"RUCHINFRA")</f>
        <v>RUCHINFRA</v>
      </c>
      <c r="K1197" s="64">
        <f t="shared" si="4"/>
        <v>649</v>
      </c>
      <c r="L1197" s="64" t="str">
        <f t="shared" si="5"/>
        <v/>
      </c>
      <c r="M1197" s="64">
        <f t="shared" si="6"/>
        <v>1196</v>
      </c>
      <c r="N1197" s="66">
        <f>IFERROR(__xludf.DUMMYFUNCTION("IFERROR(GOOGLEFINANCE(A1197,""TRADETIME""),)"),46086.64583333333)</f>
        <v>46086.64583</v>
      </c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</row>
    <row r="1198">
      <c r="A1198" s="67" t="s">
        <v>1244</v>
      </c>
      <c r="B1198" s="60" t="str">
        <f>IFERROR(__xludf.DUMMYFUNCTION("IFERROR(GOOGLEFINANCE(A1198,""NAME""),)"),"Ruchira Papers Ltd")</f>
        <v>Ruchira Papers Ltd</v>
      </c>
      <c r="C1198" s="60">
        <f>IFERROR(__xludf.DUMMYFUNCTION("IFERROR(GOOGLEFINANCE(A1198,""CHANGE""),)"),2.56)</f>
        <v>2.56</v>
      </c>
      <c r="D1198" s="60">
        <f>IFERROR(__xludf.DUMMYFUNCTION("IFERROR(GOOGLEFINANCE(A1198,""CHANGEPCT""),)"),2.44)</f>
        <v>2.44</v>
      </c>
      <c r="E1198" s="60" t="str">
        <f t="shared" si="1"/>
        <v>2.44%</v>
      </c>
      <c r="F1198" s="60">
        <f t="shared" si="2"/>
        <v>2.44</v>
      </c>
      <c r="G1198" s="60" t="str">
        <f t="shared" si="3"/>
        <v/>
      </c>
      <c r="H1198" s="60">
        <f>IFERROR(__xludf.DUMMYFUNCTION("IFERROR(GOOGLEFINANCE(A1198,""PRICE""),)"),106.85)</f>
        <v>106.85</v>
      </c>
      <c r="I1198" s="61">
        <f>IFERROR(__xludf.DUMMYFUNCTION("IFERROR(GOOGLEFINANCE(A1198,""VOLUME""),)"),21042.0)</f>
        <v>21042</v>
      </c>
      <c r="J1198" s="60" t="str">
        <f>IFERROR(__xludf.DUMMYFUNCTION("IFERROR(INDEX(SPLIT(A1198,"":""),1,2),)"),"RUCHIRA")</f>
        <v>RUCHIRA</v>
      </c>
      <c r="K1198" s="60">
        <f t="shared" si="4"/>
        <v>348</v>
      </c>
      <c r="L1198" s="60" t="str">
        <f t="shared" si="5"/>
        <v/>
      </c>
      <c r="M1198" s="60">
        <f t="shared" si="6"/>
        <v>1130</v>
      </c>
      <c r="N1198" s="62">
        <f>IFERROR(__xludf.DUMMYFUNCTION("IFERROR(GOOGLEFINANCE(A1198,""TRADETIME""),)"),46086.642743055556)</f>
        <v>46086.64274</v>
      </c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</row>
    <row r="1199">
      <c r="A1199" s="68" t="s">
        <v>1245</v>
      </c>
      <c r="B1199" s="64" t="str">
        <f>IFERROR(__xludf.DUMMYFUNCTION("IFERROR(GOOGLEFINANCE(A1199,""NAME""),)"),"Rupa &amp; Company Ltd")</f>
        <v>Rupa &amp; Company Ltd</v>
      </c>
      <c r="C1199" s="64">
        <f>IFERROR(__xludf.DUMMYFUNCTION("IFERROR(GOOGLEFINANCE(A1199,""CHANGE""),)"),0.39)</f>
        <v>0.39</v>
      </c>
      <c r="D1199" s="64">
        <f>IFERROR(__xludf.DUMMYFUNCTION("IFERROR(GOOGLEFINANCE(A1199,""CHANGEPCT""),)"),0.28)</f>
        <v>0.28</v>
      </c>
      <c r="E1199" s="64" t="str">
        <f t="shared" si="1"/>
        <v>0.28%</v>
      </c>
      <c r="F1199" s="64">
        <f t="shared" si="2"/>
        <v>0.28</v>
      </c>
      <c r="G1199" s="64" t="str">
        <f t="shared" si="3"/>
        <v/>
      </c>
      <c r="H1199" s="64">
        <f>IFERROR(__xludf.DUMMYFUNCTION("IFERROR(GOOGLEFINANCE(A1199,""PRICE""),)"),138.0)</f>
        <v>138</v>
      </c>
      <c r="I1199" s="65">
        <f>IFERROR(__xludf.DUMMYFUNCTION("IFERROR(GOOGLEFINANCE(A1199,""VOLUME""),)"),60956.0)</f>
        <v>60956</v>
      </c>
      <c r="J1199" s="64" t="str">
        <f>IFERROR(__xludf.DUMMYFUNCTION("IFERROR(INDEX(SPLIT(A1199,"":""),1,2),)"),"RUPA")</f>
        <v>RUPA</v>
      </c>
      <c r="K1199" s="64">
        <f t="shared" si="4"/>
        <v>934</v>
      </c>
      <c r="L1199" s="64" t="str">
        <f t="shared" si="5"/>
        <v/>
      </c>
      <c r="M1199" s="64">
        <f t="shared" si="6"/>
        <v>879</v>
      </c>
      <c r="N1199" s="66">
        <f>IFERROR(__xludf.DUMMYFUNCTION("IFERROR(GOOGLEFINANCE(A1199,""TRADETIME""),)"),46086.64583333333)</f>
        <v>46086.64583</v>
      </c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</row>
    <row r="1200">
      <c r="A1200" s="67" t="s">
        <v>1246</v>
      </c>
      <c r="B1200" s="60" t="str">
        <f>IFERROR(__xludf.DUMMYFUNCTION("IFERROR(GOOGLEFINANCE(A1200,""NAME""),)"),"Rushil Decor Ltd")</f>
        <v>Rushil Decor Ltd</v>
      </c>
      <c r="C1200" s="60">
        <f>IFERROR(__xludf.DUMMYFUNCTION("IFERROR(GOOGLEFINANCE(A1200,""CHANGE""),)"),-0.04)</f>
        <v>-0.04</v>
      </c>
      <c r="D1200" s="60">
        <f>IFERROR(__xludf.DUMMYFUNCTION("IFERROR(GOOGLEFINANCE(A1200,""CHANGEPCT""),)"),-0.24)</f>
        <v>-0.24</v>
      </c>
      <c r="E1200" s="60" t="str">
        <f t="shared" si="1"/>
        <v>-0.24%</v>
      </c>
      <c r="F1200" s="60" t="str">
        <f t="shared" si="2"/>
        <v/>
      </c>
      <c r="G1200" s="60">
        <f t="shared" si="3"/>
        <v>-0.24</v>
      </c>
      <c r="H1200" s="60">
        <f>IFERROR(__xludf.DUMMYFUNCTION("IFERROR(GOOGLEFINANCE(A1200,""PRICE""),)"),16.95)</f>
        <v>16.95</v>
      </c>
      <c r="I1200" s="61">
        <f>IFERROR(__xludf.DUMMYFUNCTION("IFERROR(GOOGLEFINANCE(A1200,""VOLUME""),)"),395509.0)</f>
        <v>395509</v>
      </c>
      <c r="J1200" s="60" t="str">
        <f>IFERROR(__xludf.DUMMYFUNCTION("IFERROR(INDEX(SPLIT(A1200,"":""),1,2),)"),"RUSHIL")</f>
        <v>RUSHIL</v>
      </c>
      <c r="K1200" s="60" t="str">
        <f t="shared" si="4"/>
        <v/>
      </c>
      <c r="L1200" s="60">
        <f t="shared" si="5"/>
        <v>63</v>
      </c>
      <c r="M1200" s="60">
        <f t="shared" si="6"/>
        <v>442</v>
      </c>
      <c r="N1200" s="62">
        <f>IFERROR(__xludf.DUMMYFUNCTION("IFERROR(GOOGLEFINANCE(A1200,""TRADETIME""),)"),46086.64138888889)</f>
        <v>46086.64139</v>
      </c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</row>
    <row r="1201">
      <c r="A1201" s="68" t="s">
        <v>1247</v>
      </c>
      <c r="B1201" s="64" t="str">
        <f>IFERROR(__xludf.DUMMYFUNCTION("IFERROR(GOOGLEFINANCE(A1201,""NAME""),)"),"Ravinder Heights Ltd")</f>
        <v>Ravinder Heights Ltd</v>
      </c>
      <c r="C1201" s="64">
        <f>IFERROR(__xludf.DUMMYFUNCTION("IFERROR(GOOGLEFINANCE(A1201,""CHANGE""),)"),1.37)</f>
        <v>1.37</v>
      </c>
      <c r="D1201" s="64">
        <f>IFERROR(__xludf.DUMMYFUNCTION("IFERROR(GOOGLEFINANCE(A1201,""CHANGEPCT""),)"),3.77)</f>
        <v>3.77</v>
      </c>
      <c r="E1201" s="64" t="str">
        <f t="shared" si="1"/>
        <v>3.77%</v>
      </c>
      <c r="F1201" s="64">
        <f t="shared" si="2"/>
        <v>3.77</v>
      </c>
      <c r="G1201" s="64" t="str">
        <f t="shared" si="3"/>
        <v/>
      </c>
      <c r="H1201" s="64">
        <f>IFERROR(__xludf.DUMMYFUNCTION("IFERROR(GOOGLEFINANCE(A1201,""PRICE""),)"),37.67)</f>
        <v>37.67</v>
      </c>
      <c r="I1201" s="65">
        <f>IFERROR(__xludf.DUMMYFUNCTION("IFERROR(GOOGLEFINANCE(A1201,""VOLUME""),)"),21414.0)</f>
        <v>21414</v>
      </c>
      <c r="J1201" s="64" t="str">
        <f>IFERROR(__xludf.DUMMYFUNCTION("IFERROR(INDEX(SPLIT(A1201,"":""),1,2),)"),"RVHL")</f>
        <v>RVHL</v>
      </c>
      <c r="K1201" s="64">
        <f t="shared" si="4"/>
        <v>167</v>
      </c>
      <c r="L1201" s="64" t="str">
        <f t="shared" si="5"/>
        <v/>
      </c>
      <c r="M1201" s="64">
        <f t="shared" si="6"/>
        <v>1127</v>
      </c>
      <c r="N1201" s="66">
        <f>IFERROR(__xludf.DUMMYFUNCTION("IFERROR(GOOGLEFINANCE(A1201,""TRADETIME""),)"),46086.64583333333)</f>
        <v>46086.64583</v>
      </c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</row>
    <row r="1202">
      <c r="A1202" s="67" t="s">
        <v>1248</v>
      </c>
      <c r="B1202" s="60" t="str">
        <f>IFERROR(__xludf.DUMMYFUNCTION("IFERROR(GOOGLEFINANCE(A1202,""NAME""),)"),"Rail Vikas Nigam Ltd")</f>
        <v>Rail Vikas Nigam Ltd</v>
      </c>
      <c r="C1202" s="60">
        <f>IFERROR(__xludf.DUMMYFUNCTION("IFERROR(GOOGLEFINANCE(A1202,""CHANGE""),)"),-0.75)</f>
        <v>-0.75</v>
      </c>
      <c r="D1202" s="60">
        <f>IFERROR(__xludf.DUMMYFUNCTION("IFERROR(GOOGLEFINANCE(A1202,""CHANGEPCT""),)"),-0.27)</f>
        <v>-0.27</v>
      </c>
      <c r="E1202" s="60" t="str">
        <f t="shared" si="1"/>
        <v>-0.27%</v>
      </c>
      <c r="F1202" s="60" t="str">
        <f t="shared" si="2"/>
        <v/>
      </c>
      <c r="G1202" s="60">
        <f t="shared" si="3"/>
        <v>-0.27</v>
      </c>
      <c r="H1202" s="60">
        <f>IFERROR(__xludf.DUMMYFUNCTION("IFERROR(GOOGLEFINANCE(A1202,""PRICE""),)"),281.3)</f>
        <v>281.3</v>
      </c>
      <c r="I1202" s="61">
        <f>IFERROR(__xludf.DUMMYFUNCTION("IFERROR(GOOGLEFINANCE(A1202,""VOLUME""),)"),8694443.0)</f>
        <v>8694443</v>
      </c>
      <c r="J1202" s="60" t="str">
        <f>IFERROR(__xludf.DUMMYFUNCTION("IFERROR(INDEX(SPLIT(A1202,"":""),1,2),)"),"RVNL")</f>
        <v>RVNL</v>
      </c>
      <c r="K1202" s="60" t="str">
        <f t="shared" si="4"/>
        <v/>
      </c>
      <c r="L1202" s="60">
        <f t="shared" si="5"/>
        <v>71</v>
      </c>
      <c r="M1202" s="60">
        <f t="shared" si="6"/>
        <v>69</v>
      </c>
      <c r="N1202" s="62">
        <f>IFERROR(__xludf.DUMMYFUNCTION("IFERROR(GOOGLEFINANCE(A1202,""TRADETIME""),)"),46086.63983796297)</f>
        <v>46086.63984</v>
      </c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</row>
    <row r="1203">
      <c r="A1203" s="68" t="s">
        <v>1249</v>
      </c>
      <c r="B1203" s="64" t="str">
        <f>IFERROR(__xludf.DUMMYFUNCTION("IFERROR(GOOGLEFINANCE(A1203,""NAME""),)"),"S &amp; S Power Switchgear Ltd")</f>
        <v>S &amp; S Power Switchgear Ltd</v>
      </c>
      <c r="C1203" s="64">
        <f>IFERROR(__xludf.DUMMYFUNCTION("IFERROR(GOOGLEFINANCE(A1203,""CHANGE""),)"),15.0)</f>
        <v>15</v>
      </c>
      <c r="D1203" s="64">
        <f>IFERROR(__xludf.DUMMYFUNCTION("IFERROR(GOOGLEFINANCE(A1203,""CHANGEPCT""),)"),5.0)</f>
        <v>5</v>
      </c>
      <c r="E1203" s="64" t="str">
        <f t="shared" si="1"/>
        <v>5%</v>
      </c>
      <c r="F1203" s="64">
        <f t="shared" si="2"/>
        <v>5</v>
      </c>
      <c r="G1203" s="64" t="str">
        <f t="shared" si="3"/>
        <v/>
      </c>
      <c r="H1203" s="64">
        <f>IFERROR(__xludf.DUMMYFUNCTION("IFERROR(GOOGLEFINANCE(A1203,""PRICE""),)"),315.3)</f>
        <v>315.3</v>
      </c>
      <c r="I1203" s="65">
        <f>IFERROR(__xludf.DUMMYFUNCTION("IFERROR(GOOGLEFINANCE(A1203,""VOLUME""),)"),2231.0)</f>
        <v>2231</v>
      </c>
      <c r="J1203" s="64" t="str">
        <f>IFERROR(__xludf.DUMMYFUNCTION("IFERROR(INDEX(SPLIT(A1203,"":""),1,2),)"),"S&amp;SPOWER")</f>
        <v>S&amp;SPOWER</v>
      </c>
      <c r="K1203" s="64">
        <f t="shared" si="4"/>
        <v>69</v>
      </c>
      <c r="L1203" s="64" t="str">
        <f t="shared" si="5"/>
        <v/>
      </c>
      <c r="M1203" s="64">
        <f t="shared" si="6"/>
        <v>1401</v>
      </c>
      <c r="N1203" s="66">
        <f>IFERROR(__xludf.DUMMYFUNCTION("IFERROR(GOOGLEFINANCE(A1203,""TRADETIME""),)"),46086.64583333333)</f>
        <v>46086.64583</v>
      </c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</row>
    <row r="1204">
      <c r="A1204" s="67" t="s">
        <v>1250</v>
      </c>
      <c r="B1204" s="60" t="str">
        <f>IFERROR(__xludf.DUMMYFUNCTION("IFERROR(GOOGLEFINANCE(A1204,""NAME""),)"),"Sab Events &amp; Governance Now Media Ltd")</f>
        <v>Sab Events &amp; Governance Now Media Ltd</v>
      </c>
      <c r="C1204" s="60">
        <f>IFERROR(__xludf.DUMMYFUNCTION("IFERROR(GOOGLEFINANCE(A1204,""CHANGE""),)"),-0.32)</f>
        <v>-0.32</v>
      </c>
      <c r="D1204" s="60">
        <f>IFERROR(__xludf.DUMMYFUNCTION("IFERROR(GOOGLEFINANCE(A1204,""CHANGEPCT""),)"),-1.97)</f>
        <v>-1.97</v>
      </c>
      <c r="E1204" s="60" t="str">
        <f t="shared" si="1"/>
        <v>-1.97%</v>
      </c>
      <c r="F1204" s="60" t="str">
        <f t="shared" si="2"/>
        <v/>
      </c>
      <c r="G1204" s="60">
        <f t="shared" si="3"/>
        <v>-1.97</v>
      </c>
      <c r="H1204" s="60">
        <f>IFERROR(__xludf.DUMMYFUNCTION("IFERROR(GOOGLEFINANCE(A1204,""PRICE""),)"),15.95)</f>
        <v>15.95</v>
      </c>
      <c r="I1204" s="61">
        <f>IFERROR(__xludf.DUMMYFUNCTION("IFERROR(GOOGLEFINANCE(A1204,""VOLUME""),)"),12708.0)</f>
        <v>12708</v>
      </c>
      <c r="J1204" s="60" t="str">
        <f>IFERROR(__xludf.DUMMYFUNCTION("IFERROR(INDEX(SPLIT(A1204,"":""),1,2),)"),"SABEVENTS")</f>
        <v>SABEVENTS</v>
      </c>
      <c r="K1204" s="60" t="str">
        <f t="shared" si="4"/>
        <v/>
      </c>
      <c r="L1204" s="60">
        <f t="shared" si="5"/>
        <v>348</v>
      </c>
      <c r="M1204" s="60">
        <f t="shared" si="6"/>
        <v>1218</v>
      </c>
      <c r="N1204" s="62">
        <f>IFERROR(__xludf.DUMMYFUNCTION("IFERROR(GOOGLEFINANCE(A1204,""TRADETIME""),)"),46086.63517361111)</f>
        <v>46086.63517</v>
      </c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</row>
    <row r="1205">
      <c r="A1205" s="68" t="s">
        <v>1251</v>
      </c>
      <c r="B1205" s="64" t="str">
        <f>IFERROR(__xludf.DUMMYFUNCTION("IFERROR(GOOGLEFINANCE(A1205,""NAME""),)"),"")</f>
        <v/>
      </c>
      <c r="C1205" s="64" t="str">
        <f>IFERROR(__xludf.DUMMYFUNCTION("IFERROR(GOOGLEFINANCE(A1205,""CHANGE""),)"),"")</f>
        <v/>
      </c>
      <c r="D1205" s="64" t="str">
        <f>IFERROR(__xludf.DUMMYFUNCTION("IFERROR(GOOGLEFINANCE(A1205,""CHANGEPCT""),)"),"")</f>
        <v/>
      </c>
      <c r="E1205" s="64" t="str">
        <f t="shared" si="1"/>
        <v>%</v>
      </c>
      <c r="F1205" s="64" t="str">
        <f t="shared" si="2"/>
        <v/>
      </c>
      <c r="G1205" s="64" t="str">
        <f t="shared" si="3"/>
        <v/>
      </c>
      <c r="H1205" s="64" t="str">
        <f>IFERROR(__xludf.DUMMYFUNCTION("IFERROR(GOOGLEFINANCE(A1205,""PRICE""),)"),"")</f>
        <v/>
      </c>
      <c r="I1205" s="65" t="str">
        <f>IFERROR(__xludf.DUMMYFUNCTION("IFERROR(GOOGLEFINANCE(A1205,""VOLUME""),)"),"")</f>
        <v/>
      </c>
      <c r="J1205" s="64" t="str">
        <f>IFERROR(__xludf.DUMMYFUNCTION("IFERROR(INDEX(SPLIT(A1205,"":""),1,2),)"),"SABTN")</f>
        <v>SABTN</v>
      </c>
      <c r="K1205" s="64" t="str">
        <f t="shared" si="4"/>
        <v/>
      </c>
      <c r="L1205" s="64" t="str">
        <f t="shared" si="5"/>
        <v/>
      </c>
      <c r="M1205" s="64" t="str">
        <f t="shared" si="6"/>
        <v/>
      </c>
      <c r="N1205" s="66" t="str">
        <f>IFERROR(__xludf.DUMMYFUNCTION("IFERROR(GOOGLEFINANCE(A1205,""TRADETIME""),)"),"")</f>
        <v/>
      </c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</row>
    <row r="1206">
      <c r="A1206" s="67" t="s">
        <v>1252</v>
      </c>
      <c r="B1206" s="60" t="str">
        <f>IFERROR(__xludf.DUMMYFUNCTION("IFERROR(GOOGLEFINANCE(A1206,""NAME""),)"),"Sadbhav Engineering Ltd")</f>
        <v>Sadbhav Engineering Ltd</v>
      </c>
      <c r="C1206" s="60">
        <f>IFERROR(__xludf.DUMMYFUNCTION("IFERROR(GOOGLEFINANCE(A1206,""CHANGE""),)"),-0.48)</f>
        <v>-0.48</v>
      </c>
      <c r="D1206" s="60">
        <f>IFERROR(__xludf.DUMMYFUNCTION("IFERROR(GOOGLEFINANCE(A1206,""CHANGEPCT""),)"),-4.96)</f>
        <v>-4.96</v>
      </c>
      <c r="E1206" s="60" t="str">
        <f t="shared" si="1"/>
        <v>-4.96%</v>
      </c>
      <c r="F1206" s="60" t="str">
        <f t="shared" si="2"/>
        <v/>
      </c>
      <c r="G1206" s="60">
        <f t="shared" si="3"/>
        <v>-4.96</v>
      </c>
      <c r="H1206" s="60">
        <f>IFERROR(__xludf.DUMMYFUNCTION("IFERROR(GOOGLEFINANCE(A1206,""PRICE""),)"),9.19)</f>
        <v>9.19</v>
      </c>
      <c r="I1206" s="61">
        <f>IFERROR(__xludf.DUMMYFUNCTION("IFERROR(GOOGLEFINANCE(A1206,""VOLUME""),)"),41816.0)</f>
        <v>41816</v>
      </c>
      <c r="J1206" s="60" t="str">
        <f>IFERROR(__xludf.DUMMYFUNCTION("IFERROR(INDEX(SPLIT(A1206,"":""),1,2),)"),"SADBHAV")</f>
        <v>SADBHAV</v>
      </c>
      <c r="K1206" s="60" t="str">
        <f t="shared" si="4"/>
        <v/>
      </c>
      <c r="L1206" s="60">
        <f t="shared" si="5"/>
        <v>436</v>
      </c>
      <c r="M1206" s="60">
        <f t="shared" si="6"/>
        <v>983</v>
      </c>
      <c r="N1206" s="62">
        <f>IFERROR(__xludf.DUMMYFUNCTION("IFERROR(GOOGLEFINANCE(A1206,""TRADETIME""),)"),46086.64583333333)</f>
        <v>46086.64583</v>
      </c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</row>
    <row r="1207">
      <c r="A1207" s="68" t="s">
        <v>1253</v>
      </c>
      <c r="B1207" s="64" t="str">
        <f>IFERROR(__xludf.DUMMYFUNCTION("IFERROR(GOOGLEFINANCE(A1207,""NAME""),)"),"Sadbhav Infrastructure Projects Ltd")</f>
        <v>Sadbhav Infrastructure Projects Ltd</v>
      </c>
      <c r="C1207" s="64">
        <f>IFERROR(__xludf.DUMMYFUNCTION("IFERROR(GOOGLEFINANCE(A1207,""CHANGE""),)"),-0.05)</f>
        <v>-0.05</v>
      </c>
      <c r="D1207" s="64">
        <f>IFERROR(__xludf.DUMMYFUNCTION("IFERROR(GOOGLEFINANCE(A1207,""CHANGEPCT""),)"),-1.55)</f>
        <v>-1.55</v>
      </c>
      <c r="E1207" s="64" t="str">
        <f t="shared" si="1"/>
        <v>-1.55%</v>
      </c>
      <c r="F1207" s="64" t="str">
        <f t="shared" si="2"/>
        <v/>
      </c>
      <c r="G1207" s="64">
        <f t="shared" si="3"/>
        <v>-1.55</v>
      </c>
      <c r="H1207" s="64">
        <f>IFERROR(__xludf.DUMMYFUNCTION("IFERROR(GOOGLEFINANCE(A1207,""PRICE""),)"),3.17)</f>
        <v>3.17</v>
      </c>
      <c r="I1207" s="65">
        <f>IFERROR(__xludf.DUMMYFUNCTION("IFERROR(GOOGLEFINANCE(A1207,""VOLUME""),)"),203359.0)</f>
        <v>203359</v>
      </c>
      <c r="J1207" s="64" t="str">
        <f>IFERROR(__xludf.DUMMYFUNCTION("IFERROR(INDEX(SPLIT(A1207,"":""),1,2),)"),"SADBHIN")</f>
        <v>SADBHIN</v>
      </c>
      <c r="K1207" s="64" t="str">
        <f t="shared" si="4"/>
        <v/>
      </c>
      <c r="L1207" s="64">
        <f t="shared" si="5"/>
        <v>294</v>
      </c>
      <c r="M1207" s="64">
        <f t="shared" si="6"/>
        <v>601</v>
      </c>
      <c r="N1207" s="66">
        <f>IFERROR(__xludf.DUMMYFUNCTION("IFERROR(GOOGLEFINANCE(A1207,""TRADETIME""),)"),46086.64583333333)</f>
        <v>46086.64583</v>
      </c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</row>
    <row r="1208">
      <c r="A1208" s="59" t="s">
        <v>1254</v>
      </c>
      <c r="B1208" s="60" t="str">
        <f>IFERROR(__xludf.DUMMYFUNCTION("IFERROR(GOOGLEFINANCE(A1208,""NAME""),)"),"Shakti Pumps (India) Ltd")</f>
        <v>Shakti Pumps (India) Ltd</v>
      </c>
      <c r="C1208" s="60">
        <f>IFERROR(__xludf.DUMMYFUNCTION("IFERROR(GOOGLEFINANCE(A1208,""CHANGE""),)"),8.65)</f>
        <v>8.65</v>
      </c>
      <c r="D1208" s="60">
        <f>IFERROR(__xludf.DUMMYFUNCTION("IFERROR(GOOGLEFINANCE(A1208,""CHANGEPCT""),)"),1.53)</f>
        <v>1.53</v>
      </c>
      <c r="E1208" s="60" t="str">
        <f t="shared" si="1"/>
        <v>1.53%</v>
      </c>
      <c r="F1208" s="60">
        <f t="shared" si="2"/>
        <v>1.53</v>
      </c>
      <c r="G1208" s="60" t="str">
        <f t="shared" si="3"/>
        <v/>
      </c>
      <c r="H1208" s="60">
        <f>IFERROR(__xludf.DUMMYFUNCTION("IFERROR(GOOGLEFINANCE(A1208,""PRICE""),)"),493.0)</f>
        <v>493</v>
      </c>
      <c r="I1208" s="61">
        <f>IFERROR(__xludf.DUMMYFUNCTION("IFERROR(GOOGLEFINANCE(A1208,""VOLUME""),)"),754817.0)</f>
        <v>754817</v>
      </c>
      <c r="J1208" s="60" t="str">
        <f>IFERROR(__xludf.DUMMYFUNCTION("IFERROR(INDEX(SPLIT(A1208,"":""),1,2),)"),"SHAKTIPUMP")</f>
        <v>SHAKTIPUMP</v>
      </c>
      <c r="K1208" s="60">
        <f t="shared" si="4"/>
        <v>561</v>
      </c>
      <c r="L1208" s="60" t="str">
        <f t="shared" si="5"/>
        <v/>
      </c>
      <c r="M1208" s="60">
        <f t="shared" si="6"/>
        <v>326</v>
      </c>
      <c r="N1208" s="62">
        <f>IFERROR(__xludf.DUMMYFUNCTION("IFERROR(GOOGLEFINANCE(A1208,""TRADETIME""),)"),46086.64584490741)</f>
        <v>46086.64584</v>
      </c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</row>
    <row r="1209">
      <c r="A1209" s="68" t="s">
        <v>1255</v>
      </c>
      <c r="B1209" s="64" t="str">
        <f>IFERROR(__xludf.DUMMYFUNCTION("IFERROR(GOOGLEFINANCE(A1209,""NAME""),)"),"Sagardeep Alloys Ltd")</f>
        <v>Sagardeep Alloys Ltd</v>
      </c>
      <c r="C1209" s="64">
        <f>IFERROR(__xludf.DUMMYFUNCTION("IFERROR(GOOGLEFINANCE(A1209,""CHANGE""),)"),1.05)</f>
        <v>1.05</v>
      </c>
      <c r="D1209" s="64">
        <f>IFERROR(__xludf.DUMMYFUNCTION("IFERROR(GOOGLEFINANCE(A1209,""CHANGEPCT""),)"),4.66)</f>
        <v>4.66</v>
      </c>
      <c r="E1209" s="64" t="str">
        <f t="shared" si="1"/>
        <v>4.66%</v>
      </c>
      <c r="F1209" s="64">
        <f t="shared" si="2"/>
        <v>4.66</v>
      </c>
      <c r="G1209" s="64" t="str">
        <f t="shared" si="3"/>
        <v/>
      </c>
      <c r="H1209" s="64">
        <f>IFERROR(__xludf.DUMMYFUNCTION("IFERROR(GOOGLEFINANCE(A1209,""PRICE""),)"),23.6)</f>
        <v>23.6</v>
      </c>
      <c r="I1209" s="65">
        <f>IFERROR(__xludf.DUMMYFUNCTION("IFERROR(GOOGLEFINANCE(A1209,""VOLUME""),)"),52996.0)</f>
        <v>52996</v>
      </c>
      <c r="J1209" s="64" t="str">
        <f>IFERROR(__xludf.DUMMYFUNCTION("IFERROR(INDEX(SPLIT(A1209,"":""),1,2),)"),"SAGARDEEP")</f>
        <v>SAGARDEEP</v>
      </c>
      <c r="K1209" s="64">
        <f t="shared" si="4"/>
        <v>101</v>
      </c>
      <c r="L1209" s="64" t="str">
        <f t="shared" si="5"/>
        <v/>
      </c>
      <c r="M1209" s="64">
        <f t="shared" si="6"/>
        <v>917</v>
      </c>
      <c r="N1209" s="66">
        <f>IFERROR(__xludf.DUMMYFUNCTION("IFERROR(GOOGLEFINANCE(A1209,""TRADETIME""),)"),46086.64583333333)</f>
        <v>46086.64583</v>
      </c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</row>
    <row r="1210">
      <c r="A1210" s="67" t="s">
        <v>1256</v>
      </c>
      <c r="B1210" s="60" t="str">
        <f>IFERROR(__xludf.DUMMYFUNCTION("IFERROR(GOOGLEFINANCE(A1210,""NAME""),)"),"Sagar Cements Ltd")</f>
        <v>Sagar Cements Ltd</v>
      </c>
      <c r="C1210" s="60">
        <f>IFERROR(__xludf.DUMMYFUNCTION("IFERROR(GOOGLEFINANCE(A1210,""CHANGE""),)"),-1.06)</f>
        <v>-1.06</v>
      </c>
      <c r="D1210" s="60">
        <f>IFERROR(__xludf.DUMMYFUNCTION("IFERROR(GOOGLEFINANCE(A1210,""CHANGEPCT""),)"),-0.57)</f>
        <v>-0.57</v>
      </c>
      <c r="E1210" s="60" t="str">
        <f t="shared" si="1"/>
        <v>-0.57%</v>
      </c>
      <c r="F1210" s="60" t="str">
        <f t="shared" si="2"/>
        <v/>
      </c>
      <c r="G1210" s="60">
        <f t="shared" si="3"/>
        <v>-0.57</v>
      </c>
      <c r="H1210" s="60">
        <f>IFERROR(__xludf.DUMMYFUNCTION("IFERROR(GOOGLEFINANCE(A1210,""PRICE""),)"),185.4)</f>
        <v>185.4</v>
      </c>
      <c r="I1210" s="61">
        <f>IFERROR(__xludf.DUMMYFUNCTION("IFERROR(GOOGLEFINANCE(A1210,""VOLUME""),)"),70338.0)</f>
        <v>70338</v>
      </c>
      <c r="J1210" s="60" t="str">
        <f>IFERROR(__xludf.DUMMYFUNCTION("IFERROR(INDEX(SPLIT(A1210,"":""),1,2),)"),"SAGCEM")</f>
        <v>SAGCEM</v>
      </c>
      <c r="K1210" s="60" t="str">
        <f t="shared" si="4"/>
        <v/>
      </c>
      <c r="L1210" s="60">
        <f t="shared" si="5"/>
        <v>138</v>
      </c>
      <c r="M1210" s="60">
        <f t="shared" si="6"/>
        <v>843</v>
      </c>
      <c r="N1210" s="62">
        <f>IFERROR(__xludf.DUMMYFUNCTION("IFERROR(GOOGLEFINANCE(A1210,""TRADETIME""),)"),46086.64583333333)</f>
        <v>46086.64583</v>
      </c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</row>
    <row r="1211">
      <c r="A1211" s="68" t="s">
        <v>1257</v>
      </c>
      <c r="B1211" s="64" t="str">
        <f>IFERROR(__xludf.DUMMYFUNCTION("IFERROR(GOOGLEFINANCE(A1211,""NAME""),)"),"Steel Authority of India Ltd")</f>
        <v>Steel Authority of India Ltd</v>
      </c>
      <c r="C1211" s="64">
        <f>IFERROR(__xludf.DUMMYFUNCTION("IFERROR(GOOGLEFINANCE(A1211,""CHANGE""),)"),-0.61)</f>
        <v>-0.61</v>
      </c>
      <c r="D1211" s="64">
        <f>IFERROR(__xludf.DUMMYFUNCTION("IFERROR(GOOGLEFINANCE(A1211,""CHANGEPCT""),)"),-0.39)</f>
        <v>-0.39</v>
      </c>
      <c r="E1211" s="64" t="str">
        <f t="shared" si="1"/>
        <v>-0.39%</v>
      </c>
      <c r="F1211" s="64" t="str">
        <f t="shared" si="2"/>
        <v/>
      </c>
      <c r="G1211" s="64">
        <f t="shared" si="3"/>
        <v>-0.39</v>
      </c>
      <c r="H1211" s="64">
        <f>IFERROR(__xludf.DUMMYFUNCTION("IFERROR(GOOGLEFINANCE(A1211,""PRICE""),)"),156.7)</f>
        <v>156.7</v>
      </c>
      <c r="I1211" s="65">
        <f>IFERROR(__xludf.DUMMYFUNCTION("IFERROR(GOOGLEFINANCE(A1211,""VOLUME""),)"),2.0610465E7)</f>
        <v>20610465</v>
      </c>
      <c r="J1211" s="64" t="str">
        <f>IFERROR(__xludf.DUMMYFUNCTION("IFERROR(INDEX(SPLIT(A1211,"":""),1,2),)"),"SAIL")</f>
        <v>SAIL</v>
      </c>
      <c r="K1211" s="64" t="str">
        <f t="shared" si="4"/>
        <v/>
      </c>
      <c r="L1211" s="64">
        <f t="shared" si="5"/>
        <v>94</v>
      </c>
      <c r="M1211" s="64">
        <f t="shared" si="6"/>
        <v>27</v>
      </c>
      <c r="N1211" s="66">
        <f>IFERROR(__xludf.DUMMYFUNCTION("IFERROR(GOOGLEFINANCE(A1211,""TRADETIME""),)"),46086.64583333333)</f>
        <v>46086.64583</v>
      </c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</row>
    <row r="1212">
      <c r="A1212" s="67" t="s">
        <v>1258</v>
      </c>
      <c r="B1212" s="60" t="str">
        <f>IFERROR(__xludf.DUMMYFUNCTION("IFERROR(GOOGLEFINANCE(A1212,""NAME""),)"),"Sakar Healthcare Ltd")</f>
        <v>Sakar Healthcare Ltd</v>
      </c>
      <c r="C1212" s="60">
        <f>IFERROR(__xludf.DUMMYFUNCTION("IFERROR(GOOGLEFINANCE(A1212,""CHANGE""),)"),5.05)</f>
        <v>5.05</v>
      </c>
      <c r="D1212" s="60">
        <f>IFERROR(__xludf.DUMMYFUNCTION("IFERROR(GOOGLEFINANCE(A1212,""CHANGEPCT""),)"),0.97)</f>
        <v>0.97</v>
      </c>
      <c r="E1212" s="60" t="str">
        <f t="shared" si="1"/>
        <v>0.97%</v>
      </c>
      <c r="F1212" s="60">
        <f t="shared" si="2"/>
        <v>0.97</v>
      </c>
      <c r="G1212" s="60" t="str">
        <f t="shared" si="3"/>
        <v/>
      </c>
      <c r="H1212" s="60">
        <f>IFERROR(__xludf.DUMMYFUNCTION("IFERROR(GOOGLEFINANCE(A1212,""PRICE""),)"),526.5)</f>
        <v>526.5</v>
      </c>
      <c r="I1212" s="61">
        <f>IFERROR(__xludf.DUMMYFUNCTION("IFERROR(GOOGLEFINANCE(A1212,""VOLUME""),)"),51421.0)</f>
        <v>51421</v>
      </c>
      <c r="J1212" s="60" t="str">
        <f>IFERROR(__xludf.DUMMYFUNCTION("IFERROR(INDEX(SPLIT(A1212,"":""),1,2),)"),"SAKAR")</f>
        <v>SAKAR</v>
      </c>
      <c r="K1212" s="60">
        <f t="shared" si="4"/>
        <v>730</v>
      </c>
      <c r="L1212" s="60" t="str">
        <f t="shared" si="5"/>
        <v/>
      </c>
      <c r="M1212" s="60">
        <f t="shared" si="6"/>
        <v>926</v>
      </c>
      <c r="N1212" s="62">
        <f>IFERROR(__xludf.DUMMYFUNCTION("IFERROR(GOOGLEFINANCE(A1212,""TRADETIME""),)"),46086.64583333333)</f>
        <v>46086.64583</v>
      </c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</row>
    <row r="1213">
      <c r="A1213" s="68" t="s">
        <v>1259</v>
      </c>
      <c r="B1213" s="64" t="str">
        <f>IFERROR(__xludf.DUMMYFUNCTION("IFERROR(GOOGLEFINANCE(A1213,""NAME""),)"),"Sakthi Sugars Ltd")</f>
        <v>Sakthi Sugars Ltd</v>
      </c>
      <c r="C1213" s="64">
        <f>IFERROR(__xludf.DUMMYFUNCTION("IFERROR(GOOGLEFINANCE(A1213,""CHANGE""),)"),0.15)</f>
        <v>0.15</v>
      </c>
      <c r="D1213" s="64">
        <f>IFERROR(__xludf.DUMMYFUNCTION("IFERROR(GOOGLEFINANCE(A1213,""CHANGEPCT""),)"),0.89)</f>
        <v>0.89</v>
      </c>
      <c r="E1213" s="64" t="str">
        <f t="shared" si="1"/>
        <v>0.89%</v>
      </c>
      <c r="F1213" s="64">
        <f t="shared" si="2"/>
        <v>0.89</v>
      </c>
      <c r="G1213" s="64" t="str">
        <f t="shared" si="3"/>
        <v/>
      </c>
      <c r="H1213" s="64">
        <f>IFERROR(__xludf.DUMMYFUNCTION("IFERROR(GOOGLEFINANCE(A1213,""PRICE""),)"),17.0)</f>
        <v>17</v>
      </c>
      <c r="I1213" s="65">
        <f>IFERROR(__xludf.DUMMYFUNCTION("IFERROR(GOOGLEFINANCE(A1213,""VOLUME""),)"),87056.0)</f>
        <v>87056</v>
      </c>
      <c r="J1213" s="64" t="str">
        <f>IFERROR(__xludf.DUMMYFUNCTION("IFERROR(INDEX(SPLIT(A1213,"":""),1,2),)"),"SAKHTISUG")</f>
        <v>SAKHTISUG</v>
      </c>
      <c r="K1213" s="64">
        <f t="shared" si="4"/>
        <v>756</v>
      </c>
      <c r="L1213" s="64" t="str">
        <f t="shared" si="5"/>
        <v/>
      </c>
      <c r="M1213" s="64">
        <f t="shared" si="6"/>
        <v>791</v>
      </c>
      <c r="N1213" s="66">
        <f>IFERROR(__xludf.DUMMYFUNCTION("IFERROR(GOOGLEFINANCE(A1213,""TRADETIME""),)"),46086.64583333333)</f>
        <v>46086.64583</v>
      </c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</row>
    <row r="1214">
      <c r="A1214" s="67" t="s">
        <v>1260</v>
      </c>
      <c r="B1214" s="60" t="str">
        <f>IFERROR(__xludf.DUMMYFUNCTION("IFERROR(GOOGLEFINANCE(A1214,""NAME""),)"),"Saksoft Ltd")</f>
        <v>Saksoft Ltd</v>
      </c>
      <c r="C1214" s="60">
        <f>IFERROR(__xludf.DUMMYFUNCTION("IFERROR(GOOGLEFINANCE(A1214,""CHANGE""),)"),1.61)</f>
        <v>1.61</v>
      </c>
      <c r="D1214" s="60">
        <f>IFERROR(__xludf.DUMMYFUNCTION("IFERROR(GOOGLEFINANCE(A1214,""CHANGEPCT""),)"),1.22)</f>
        <v>1.22</v>
      </c>
      <c r="E1214" s="60" t="str">
        <f t="shared" si="1"/>
        <v>1.22%</v>
      </c>
      <c r="F1214" s="60">
        <f t="shared" si="2"/>
        <v>1.22</v>
      </c>
      <c r="G1214" s="60" t="str">
        <f t="shared" si="3"/>
        <v/>
      </c>
      <c r="H1214" s="60">
        <f>IFERROR(__xludf.DUMMYFUNCTION("IFERROR(GOOGLEFINANCE(A1214,""PRICE""),)"),133.7)</f>
        <v>133.7</v>
      </c>
      <c r="I1214" s="61">
        <f>IFERROR(__xludf.DUMMYFUNCTION("IFERROR(GOOGLEFINANCE(A1214,""VOLUME""),)"),228067.0)</f>
        <v>228067</v>
      </c>
      <c r="J1214" s="60" t="str">
        <f>IFERROR(__xludf.DUMMYFUNCTION("IFERROR(INDEX(SPLIT(A1214,"":""),1,2),)"),"SAKSOFT")</f>
        <v>SAKSOFT</v>
      </c>
      <c r="K1214" s="60">
        <f t="shared" si="4"/>
        <v>666</v>
      </c>
      <c r="L1214" s="60" t="str">
        <f t="shared" si="5"/>
        <v/>
      </c>
      <c r="M1214" s="60">
        <f t="shared" si="6"/>
        <v>576</v>
      </c>
      <c r="N1214" s="62">
        <f>IFERROR(__xludf.DUMMYFUNCTION("IFERROR(GOOGLEFINANCE(A1214,""TRADETIME""),)"),46086.64583333333)</f>
        <v>46086.64583</v>
      </c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</row>
    <row r="1215">
      <c r="A1215" s="68" t="s">
        <v>1261</v>
      </c>
      <c r="B1215" s="64" t="str">
        <f>IFERROR(__xludf.DUMMYFUNCTION("IFERROR(GOOGLEFINANCE(A1215,""NAME""),)"),"Sakuma Exports Ltd")</f>
        <v>Sakuma Exports Ltd</v>
      </c>
      <c r="C1215" s="64">
        <f>IFERROR(__xludf.DUMMYFUNCTION("IFERROR(GOOGLEFINANCE(A1215,""CHANGE""),)"),-0.02)</f>
        <v>-0.02</v>
      </c>
      <c r="D1215" s="64">
        <f>IFERROR(__xludf.DUMMYFUNCTION("IFERROR(GOOGLEFINANCE(A1215,""CHANGEPCT""),)"),-1.17)</f>
        <v>-1.17</v>
      </c>
      <c r="E1215" s="64" t="str">
        <f t="shared" si="1"/>
        <v>-1.17%</v>
      </c>
      <c r="F1215" s="64" t="str">
        <f t="shared" si="2"/>
        <v/>
      </c>
      <c r="G1215" s="64">
        <f t="shared" si="3"/>
        <v>-1.17</v>
      </c>
      <c r="H1215" s="64">
        <f>IFERROR(__xludf.DUMMYFUNCTION("IFERROR(GOOGLEFINANCE(A1215,""PRICE""),)"),1.69)</f>
        <v>1.69</v>
      </c>
      <c r="I1215" s="65">
        <f>IFERROR(__xludf.DUMMYFUNCTION("IFERROR(GOOGLEFINANCE(A1215,""VOLUME""),)"),1551328.0)</f>
        <v>1551328</v>
      </c>
      <c r="J1215" s="64" t="str">
        <f>IFERROR(__xludf.DUMMYFUNCTION("IFERROR(INDEX(SPLIT(A1215,"":""),1,2),)"),"SAKUMA")</f>
        <v>SAKUMA</v>
      </c>
      <c r="K1215" s="64" t="str">
        <f t="shared" si="4"/>
        <v/>
      </c>
      <c r="L1215" s="64">
        <f t="shared" si="5"/>
        <v>240</v>
      </c>
      <c r="M1215" s="64">
        <f t="shared" si="6"/>
        <v>237</v>
      </c>
      <c r="N1215" s="66">
        <f>IFERROR(__xludf.DUMMYFUNCTION("IFERROR(GOOGLEFINANCE(A1215,""TRADETIME""),)"),46086.64583333333)</f>
        <v>46086.64583</v>
      </c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</row>
    <row r="1216">
      <c r="A1216" s="67" t="s">
        <v>1262</v>
      </c>
      <c r="B1216" s="60" t="str">
        <f>IFERROR(__xludf.DUMMYFUNCTION("IFERROR(GOOGLEFINANCE(A1216,""NAME""),)"),"Salasar Techno Engineering Ltd")</f>
        <v>Salasar Techno Engineering Ltd</v>
      </c>
      <c r="C1216" s="60">
        <f>IFERROR(__xludf.DUMMYFUNCTION("IFERROR(GOOGLEFINANCE(A1216,""CHANGE""),)"),0.01)</f>
        <v>0.01</v>
      </c>
      <c r="D1216" s="60">
        <f>IFERROR(__xludf.DUMMYFUNCTION("IFERROR(GOOGLEFINANCE(A1216,""CHANGEPCT""),)"),0.14)</f>
        <v>0.14</v>
      </c>
      <c r="E1216" s="60" t="str">
        <f t="shared" si="1"/>
        <v>0.14%</v>
      </c>
      <c r="F1216" s="60">
        <f t="shared" si="2"/>
        <v>0.14</v>
      </c>
      <c r="G1216" s="60" t="str">
        <f t="shared" si="3"/>
        <v/>
      </c>
      <c r="H1216" s="60">
        <f>IFERROR(__xludf.DUMMYFUNCTION("IFERROR(GOOGLEFINANCE(A1216,""PRICE""),)"),7.45)</f>
        <v>7.45</v>
      </c>
      <c r="I1216" s="61">
        <f>IFERROR(__xludf.DUMMYFUNCTION("IFERROR(GOOGLEFINANCE(A1216,""VOLUME""),)"),2856731.0)</f>
        <v>2856731</v>
      </c>
      <c r="J1216" s="60" t="str">
        <f>IFERROR(__xludf.DUMMYFUNCTION("IFERROR(INDEX(SPLIT(A1216,"":""),1,2),)"),"SALASAR")</f>
        <v>SALASAR</v>
      </c>
      <c r="K1216" s="60">
        <f t="shared" si="4"/>
        <v>966</v>
      </c>
      <c r="L1216" s="60" t="str">
        <f t="shared" si="5"/>
        <v/>
      </c>
      <c r="M1216" s="60">
        <f t="shared" si="6"/>
        <v>156</v>
      </c>
      <c r="N1216" s="62">
        <f>IFERROR(__xludf.DUMMYFUNCTION("IFERROR(GOOGLEFINANCE(A1216,""TRADETIME""),)"),46086.64583333333)</f>
        <v>46086.64583</v>
      </c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</row>
    <row r="1217">
      <c r="A1217" s="68" t="s">
        <v>1263</v>
      </c>
      <c r="B1217" s="64" t="str">
        <f>IFERROR(__xludf.DUMMYFUNCTION("IFERROR(GOOGLEFINANCE(A1217,""NAME""),)"),"Salona Cotspin Ltd")</f>
        <v>Salona Cotspin Ltd</v>
      </c>
      <c r="C1217" s="64">
        <f>IFERROR(__xludf.DUMMYFUNCTION("IFERROR(GOOGLEFINANCE(A1217,""CHANGE""),)"),0.1)</f>
        <v>0.1</v>
      </c>
      <c r="D1217" s="64">
        <f>IFERROR(__xludf.DUMMYFUNCTION("IFERROR(GOOGLEFINANCE(A1217,""CHANGEPCT""),)"),0.04)</f>
        <v>0.04</v>
      </c>
      <c r="E1217" s="64" t="str">
        <f t="shared" si="1"/>
        <v>0.04%</v>
      </c>
      <c r="F1217" s="64">
        <f t="shared" si="2"/>
        <v>0.04</v>
      </c>
      <c r="G1217" s="64" t="str">
        <f t="shared" si="3"/>
        <v/>
      </c>
      <c r="H1217" s="64">
        <f>IFERROR(__xludf.DUMMYFUNCTION("IFERROR(GOOGLEFINANCE(A1217,""PRICE""),)"),259.95)</f>
        <v>259.95</v>
      </c>
      <c r="I1217" s="65">
        <f>IFERROR(__xludf.DUMMYFUNCTION("IFERROR(GOOGLEFINANCE(A1217,""VOLUME""),)"),42.0)</f>
        <v>42</v>
      </c>
      <c r="J1217" s="64" t="str">
        <f>IFERROR(__xludf.DUMMYFUNCTION("IFERROR(INDEX(SPLIT(A1217,"":""),1,2),)"),"SALONA")</f>
        <v>SALONA</v>
      </c>
      <c r="K1217" s="64">
        <f t="shared" si="4"/>
        <v>992</v>
      </c>
      <c r="L1217" s="64" t="str">
        <f t="shared" si="5"/>
        <v/>
      </c>
      <c r="M1217" s="64">
        <f t="shared" si="6"/>
        <v>1462</v>
      </c>
      <c r="N1217" s="66">
        <f>IFERROR(__xludf.DUMMYFUNCTION("IFERROR(GOOGLEFINANCE(A1217,""TRADETIME""),)"),46086.64583333333)</f>
        <v>46086.64583</v>
      </c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</row>
    <row r="1218">
      <c r="A1218" s="67" t="s">
        <v>1264</v>
      </c>
      <c r="B1218" s="60" t="str">
        <f>IFERROR(__xludf.DUMMYFUNCTION("IFERROR(GOOGLEFINANCE(A1218,""NAME""),)"),"SAL Steel Ltd")</f>
        <v>SAL Steel Ltd</v>
      </c>
      <c r="C1218" s="60">
        <f>IFERROR(__xludf.DUMMYFUNCTION("IFERROR(GOOGLEFINANCE(A1218,""CHANGE""),)"),-0.93)</f>
        <v>-0.93</v>
      </c>
      <c r="D1218" s="60">
        <f>IFERROR(__xludf.DUMMYFUNCTION("IFERROR(GOOGLEFINANCE(A1218,""CHANGEPCT""),)"),-1.99)</f>
        <v>-1.99</v>
      </c>
      <c r="E1218" s="60" t="str">
        <f t="shared" si="1"/>
        <v>-1.99%</v>
      </c>
      <c r="F1218" s="60" t="str">
        <f t="shared" si="2"/>
        <v/>
      </c>
      <c r="G1218" s="60">
        <f t="shared" si="3"/>
        <v>-1.99</v>
      </c>
      <c r="H1218" s="60">
        <f>IFERROR(__xludf.DUMMYFUNCTION("IFERROR(GOOGLEFINANCE(A1218,""PRICE""),)"),45.81)</f>
        <v>45.81</v>
      </c>
      <c r="I1218" s="61">
        <f>IFERROR(__xludf.DUMMYFUNCTION("IFERROR(GOOGLEFINANCE(A1218,""VOLUME""),)"),45018.0)</f>
        <v>45018</v>
      </c>
      <c r="J1218" s="60" t="str">
        <f>IFERROR(__xludf.DUMMYFUNCTION("IFERROR(INDEX(SPLIT(A1218,"":""),1,2),)"),"SALSTEEL")</f>
        <v>SALSTEEL</v>
      </c>
      <c r="K1218" s="60" t="str">
        <f t="shared" si="4"/>
        <v/>
      </c>
      <c r="L1218" s="60">
        <f t="shared" si="5"/>
        <v>351</v>
      </c>
      <c r="M1218" s="60">
        <f t="shared" si="6"/>
        <v>965</v>
      </c>
      <c r="N1218" s="62">
        <f>IFERROR(__xludf.DUMMYFUNCTION("IFERROR(GOOGLEFINANCE(A1218,""TRADETIME""),)"),46086.63517361111)</f>
        <v>46086.63517</v>
      </c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</row>
    <row r="1219">
      <c r="A1219" s="68" t="s">
        <v>1265</v>
      </c>
      <c r="B1219" s="64" t="str">
        <f>IFERROR(__xludf.DUMMYFUNCTION("IFERROR(GOOGLEFINANCE(A1219,""NAME""),)"),"Salzer Electronics Ltd")</f>
        <v>Salzer Electronics Ltd</v>
      </c>
      <c r="C1219" s="64">
        <f>IFERROR(__xludf.DUMMYFUNCTION("IFERROR(GOOGLEFINANCE(A1219,""CHANGE""),)"),8.1)</f>
        <v>8.1</v>
      </c>
      <c r="D1219" s="64">
        <f>IFERROR(__xludf.DUMMYFUNCTION("IFERROR(GOOGLEFINANCE(A1219,""CHANGEPCT""),)"),1.34)</f>
        <v>1.34</v>
      </c>
      <c r="E1219" s="64" t="str">
        <f t="shared" si="1"/>
        <v>1.34%</v>
      </c>
      <c r="F1219" s="64">
        <f t="shared" si="2"/>
        <v>1.34</v>
      </c>
      <c r="G1219" s="64" t="str">
        <f t="shared" si="3"/>
        <v/>
      </c>
      <c r="H1219" s="64">
        <f>IFERROR(__xludf.DUMMYFUNCTION("IFERROR(GOOGLEFINANCE(A1219,""PRICE""),)"),611.5)</f>
        <v>611.5</v>
      </c>
      <c r="I1219" s="65">
        <f>IFERROR(__xludf.DUMMYFUNCTION("IFERROR(GOOGLEFINANCE(A1219,""VOLUME""),)"),56506.0)</f>
        <v>56506</v>
      </c>
      <c r="J1219" s="64" t="str">
        <f>IFERROR(__xludf.DUMMYFUNCTION("IFERROR(INDEX(SPLIT(A1219,"":""),1,2),)"),"SALZERELEC")</f>
        <v>SALZERELEC</v>
      </c>
      <c r="K1219" s="64">
        <f t="shared" si="4"/>
        <v>624</v>
      </c>
      <c r="L1219" s="64" t="str">
        <f t="shared" si="5"/>
        <v/>
      </c>
      <c r="M1219" s="64">
        <f t="shared" si="6"/>
        <v>894</v>
      </c>
      <c r="N1219" s="66">
        <f>IFERROR(__xludf.DUMMYFUNCTION("IFERROR(GOOGLEFINANCE(A1219,""TRADETIME""),)"),46086.64585648148)</f>
        <v>46086.64586</v>
      </c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</row>
    <row r="1220">
      <c r="A1220" s="67" t="s">
        <v>1266</v>
      </c>
      <c r="B1220" s="60" t="str">
        <f>IFERROR(__xludf.DUMMYFUNCTION("IFERROR(GOOGLEFINANCE(A1220,""NAME""),)"),"Sambhaav Media Ltd")</f>
        <v>Sambhaav Media Ltd</v>
      </c>
      <c r="C1220" s="60">
        <f>IFERROR(__xludf.DUMMYFUNCTION("IFERROR(GOOGLEFINANCE(A1220,""CHANGE""),)"),-0.07)</f>
        <v>-0.07</v>
      </c>
      <c r="D1220" s="60">
        <f>IFERROR(__xludf.DUMMYFUNCTION("IFERROR(GOOGLEFINANCE(A1220,""CHANGEPCT""),)"),-1.0)</f>
        <v>-1</v>
      </c>
      <c r="E1220" s="60" t="str">
        <f t="shared" si="1"/>
        <v>-1%</v>
      </c>
      <c r="F1220" s="60" t="str">
        <f t="shared" si="2"/>
        <v/>
      </c>
      <c r="G1220" s="60">
        <f t="shared" si="3"/>
        <v>-1</v>
      </c>
      <c r="H1220" s="60">
        <f>IFERROR(__xludf.DUMMYFUNCTION("IFERROR(GOOGLEFINANCE(A1220,""PRICE""),)"),6.91)</f>
        <v>6.91</v>
      </c>
      <c r="I1220" s="61">
        <f>IFERROR(__xludf.DUMMYFUNCTION("IFERROR(GOOGLEFINANCE(A1220,""VOLUME""),)"),40404.0)</f>
        <v>40404</v>
      </c>
      <c r="J1220" s="60" t="str">
        <f>IFERROR(__xludf.DUMMYFUNCTION("IFERROR(INDEX(SPLIT(A1220,"":""),1,2),)"),"SAMBHAAV")</f>
        <v>SAMBHAAV</v>
      </c>
      <c r="K1220" s="60" t="str">
        <f t="shared" si="4"/>
        <v/>
      </c>
      <c r="L1220" s="60">
        <f t="shared" si="5"/>
        <v>217</v>
      </c>
      <c r="M1220" s="60">
        <f t="shared" si="6"/>
        <v>991</v>
      </c>
      <c r="N1220" s="62">
        <f>IFERROR(__xludf.DUMMYFUNCTION("IFERROR(GOOGLEFINANCE(A1220,""TRADETIME""),)"),46086.64583333333)</f>
        <v>46086.64583</v>
      </c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</row>
    <row r="1221">
      <c r="A1221" s="68" t="s">
        <v>1267</v>
      </c>
      <c r="B1221" s="64" t="str">
        <f>IFERROR(__xludf.DUMMYFUNCTION("IFERROR(GOOGLEFINANCE(A1221,""NAME""),)"),"Sanco Industries Ltd")</f>
        <v>Sanco Industries Ltd</v>
      </c>
      <c r="C1221" s="64">
        <f>IFERROR(__xludf.DUMMYFUNCTION("IFERROR(GOOGLEFINANCE(A1221,""CHANGE""),)"),-0.11)</f>
        <v>-0.11</v>
      </c>
      <c r="D1221" s="64">
        <f>IFERROR(__xludf.DUMMYFUNCTION("IFERROR(GOOGLEFINANCE(A1221,""CHANGEPCT""),)"),-4.82)</f>
        <v>-4.82</v>
      </c>
      <c r="E1221" s="64" t="str">
        <f t="shared" si="1"/>
        <v>-4.82%</v>
      </c>
      <c r="F1221" s="64" t="str">
        <f t="shared" si="2"/>
        <v/>
      </c>
      <c r="G1221" s="64">
        <f t="shared" si="3"/>
        <v>-4.82</v>
      </c>
      <c r="H1221" s="64">
        <f>IFERROR(__xludf.DUMMYFUNCTION("IFERROR(GOOGLEFINANCE(A1221,""PRICE""),)"),2.17)</f>
        <v>2.17</v>
      </c>
      <c r="I1221" s="65">
        <f>IFERROR(__xludf.DUMMYFUNCTION("IFERROR(GOOGLEFINANCE(A1221,""VOLUME""),)"),12808.0)</f>
        <v>12808</v>
      </c>
      <c r="J1221" s="64" t="str">
        <f>IFERROR(__xludf.DUMMYFUNCTION("IFERROR(INDEX(SPLIT(A1221,"":""),1,2),)"),"SANCO")</f>
        <v>SANCO</v>
      </c>
      <c r="K1221" s="64" t="str">
        <f t="shared" si="4"/>
        <v/>
      </c>
      <c r="L1221" s="64">
        <f t="shared" si="5"/>
        <v>433</v>
      </c>
      <c r="M1221" s="64">
        <f t="shared" si="6"/>
        <v>1217</v>
      </c>
      <c r="N1221" s="66">
        <f>IFERROR(__xludf.DUMMYFUNCTION("IFERROR(GOOGLEFINANCE(A1221,""TRADETIME""),)"),46086.63392361111)</f>
        <v>46086.63392</v>
      </c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</row>
    <row r="1222">
      <c r="A1222" s="67" t="s">
        <v>1268</v>
      </c>
      <c r="B1222" s="60" t="str">
        <f>IFERROR(__xludf.DUMMYFUNCTION("IFERROR(GOOGLEFINANCE(A1222,""NAME""),)"),"Sandesh Ltd")</f>
        <v>Sandesh Ltd</v>
      </c>
      <c r="C1222" s="60">
        <f>IFERROR(__xludf.DUMMYFUNCTION("IFERROR(GOOGLEFINANCE(A1222,""CHANGE""),)"),-1.7)</f>
        <v>-1.7</v>
      </c>
      <c r="D1222" s="60">
        <f>IFERROR(__xludf.DUMMYFUNCTION("IFERROR(GOOGLEFINANCE(A1222,""CHANGEPCT""),)"),-0.17)</f>
        <v>-0.17</v>
      </c>
      <c r="E1222" s="60" t="str">
        <f t="shared" si="1"/>
        <v>-0.17%</v>
      </c>
      <c r="F1222" s="60" t="str">
        <f t="shared" si="2"/>
        <v/>
      </c>
      <c r="G1222" s="60">
        <f t="shared" si="3"/>
        <v>-0.17</v>
      </c>
      <c r="H1222" s="60">
        <f>IFERROR(__xludf.DUMMYFUNCTION("IFERROR(GOOGLEFINANCE(A1222,""PRICE""),)"),975.2)</f>
        <v>975.2</v>
      </c>
      <c r="I1222" s="61">
        <f>IFERROR(__xludf.DUMMYFUNCTION("IFERROR(GOOGLEFINANCE(A1222,""VOLUME""),)"),342.0)</f>
        <v>342</v>
      </c>
      <c r="J1222" s="60" t="str">
        <f>IFERROR(__xludf.DUMMYFUNCTION("IFERROR(INDEX(SPLIT(A1222,"":""),1,2),)"),"SANDESH")</f>
        <v>SANDESH</v>
      </c>
      <c r="K1222" s="60" t="str">
        <f t="shared" si="4"/>
        <v/>
      </c>
      <c r="L1222" s="60">
        <f t="shared" si="5"/>
        <v>43</v>
      </c>
      <c r="M1222" s="60">
        <f t="shared" si="6"/>
        <v>1449</v>
      </c>
      <c r="N1222" s="62">
        <f>IFERROR(__xludf.DUMMYFUNCTION("IFERROR(GOOGLEFINANCE(A1222,""TRADETIME""),)"),46086.64583333333)</f>
        <v>46086.64583</v>
      </c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</row>
    <row r="1223">
      <c r="A1223" s="68" t="s">
        <v>1269</v>
      </c>
      <c r="B1223" s="64" t="str">
        <f>IFERROR(__xludf.DUMMYFUNCTION("IFERROR(GOOGLEFINANCE(A1223,""NAME""),)"),"Sandhar Technologies Ltd")</f>
        <v>Sandhar Technologies Ltd</v>
      </c>
      <c r="C1223" s="64">
        <f>IFERROR(__xludf.DUMMYFUNCTION("IFERROR(GOOGLEFINANCE(A1223,""CHANGE""),)"),6.65)</f>
        <v>6.65</v>
      </c>
      <c r="D1223" s="64">
        <f>IFERROR(__xludf.DUMMYFUNCTION("IFERROR(GOOGLEFINANCE(A1223,""CHANGEPCT""),)"),1.33)</f>
        <v>1.33</v>
      </c>
      <c r="E1223" s="64" t="str">
        <f t="shared" si="1"/>
        <v>1.33%</v>
      </c>
      <c r="F1223" s="64">
        <f t="shared" si="2"/>
        <v>1.33</v>
      </c>
      <c r="G1223" s="64" t="str">
        <f t="shared" si="3"/>
        <v/>
      </c>
      <c r="H1223" s="64">
        <f>IFERROR(__xludf.DUMMYFUNCTION("IFERROR(GOOGLEFINANCE(A1223,""PRICE""),)"),506.0)</f>
        <v>506</v>
      </c>
      <c r="I1223" s="65">
        <f>IFERROR(__xludf.DUMMYFUNCTION("IFERROR(GOOGLEFINANCE(A1223,""VOLUME""),)"),54778.0)</f>
        <v>54778</v>
      </c>
      <c r="J1223" s="64" t="str">
        <f>IFERROR(__xludf.DUMMYFUNCTION("IFERROR(INDEX(SPLIT(A1223,"":""),1,2),)"),"SANDHAR")</f>
        <v>SANDHAR</v>
      </c>
      <c r="K1223" s="64">
        <f t="shared" si="4"/>
        <v>628</v>
      </c>
      <c r="L1223" s="64" t="str">
        <f t="shared" si="5"/>
        <v/>
      </c>
      <c r="M1223" s="64">
        <f t="shared" si="6"/>
        <v>908</v>
      </c>
      <c r="N1223" s="66">
        <f>IFERROR(__xludf.DUMMYFUNCTION("IFERROR(GOOGLEFINANCE(A1223,""TRADETIME""),)"),46086.64583333333)</f>
        <v>46086.64583</v>
      </c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</row>
    <row r="1224">
      <c r="A1224" s="59" t="s">
        <v>1270</v>
      </c>
      <c r="B1224" s="60" t="str">
        <f>IFERROR(__xludf.DUMMYFUNCTION("IFERROR(GOOGLEFINANCE(A1224,""NAME""),)"),"Tainwala Chemicls and Plstcs (India) Ltd")</f>
        <v>Tainwala Chemicls and Plstcs (India) Ltd</v>
      </c>
      <c r="C1224" s="60">
        <f>IFERROR(__xludf.DUMMYFUNCTION("IFERROR(GOOGLEFINANCE(A1224,""CHANGE""),)"),2.87)</f>
        <v>2.87</v>
      </c>
      <c r="D1224" s="60">
        <f>IFERROR(__xludf.DUMMYFUNCTION("IFERROR(GOOGLEFINANCE(A1224,""CHANGEPCT""),)"),1.44)</f>
        <v>1.44</v>
      </c>
      <c r="E1224" s="60" t="str">
        <f t="shared" si="1"/>
        <v>1.44%</v>
      </c>
      <c r="F1224" s="60">
        <f t="shared" si="2"/>
        <v>1.44</v>
      </c>
      <c r="G1224" s="60" t="str">
        <f t="shared" si="3"/>
        <v/>
      </c>
      <c r="H1224" s="60">
        <f>IFERROR(__xludf.DUMMYFUNCTION("IFERROR(GOOGLEFINANCE(A1224,""PRICE""),)"),202.5)</f>
        <v>202.5</v>
      </c>
      <c r="I1224" s="61">
        <f>IFERROR(__xludf.DUMMYFUNCTION("IFERROR(GOOGLEFINANCE(A1224,""VOLUME""),)"),4725.0)</f>
        <v>4725</v>
      </c>
      <c r="J1224" s="60" t="str">
        <f>IFERROR(__xludf.DUMMYFUNCTION("IFERROR(INDEX(SPLIT(A1224,"":""),1,2),)"),"TAINWALCHM")</f>
        <v>TAINWALCHM</v>
      </c>
      <c r="K1224" s="60">
        <f t="shared" si="4"/>
        <v>592</v>
      </c>
      <c r="L1224" s="60" t="str">
        <f t="shared" si="5"/>
        <v/>
      </c>
      <c r="M1224" s="60">
        <f t="shared" si="6"/>
        <v>1352</v>
      </c>
      <c r="N1224" s="62">
        <f>IFERROR(__xludf.DUMMYFUNCTION("IFERROR(GOOGLEFINANCE(A1224,""TRADETIME""),)"),46086.64585648148)</f>
        <v>46086.64586</v>
      </c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</row>
    <row r="1225">
      <c r="A1225" s="68" t="s">
        <v>1271</v>
      </c>
      <c r="B1225" s="64" t="str">
        <f>IFERROR(__xludf.DUMMYFUNCTION("IFERROR(GOOGLEFINANCE(A1225,""NAME""),)"),"Sanghi Industries Ltd")</f>
        <v>Sanghi Industries Ltd</v>
      </c>
      <c r="C1225" s="64">
        <f>IFERROR(__xludf.DUMMYFUNCTION("IFERROR(GOOGLEFINANCE(A1225,""CHANGE""),)"),4.59)</f>
        <v>4.59</v>
      </c>
      <c r="D1225" s="64">
        <f>IFERROR(__xludf.DUMMYFUNCTION("IFERROR(GOOGLEFINANCE(A1225,""CHANGEPCT""),)"),8.07)</f>
        <v>8.07</v>
      </c>
      <c r="E1225" s="64" t="str">
        <f t="shared" si="1"/>
        <v>8.07%</v>
      </c>
      <c r="F1225" s="64">
        <f t="shared" si="2"/>
        <v>8.07</v>
      </c>
      <c r="G1225" s="64" t="str">
        <f t="shared" si="3"/>
        <v/>
      </c>
      <c r="H1225" s="64">
        <f>IFERROR(__xludf.DUMMYFUNCTION("IFERROR(GOOGLEFINANCE(A1225,""PRICE""),)"),61.5)</f>
        <v>61.5</v>
      </c>
      <c r="I1225" s="65">
        <f>IFERROR(__xludf.DUMMYFUNCTION("IFERROR(GOOGLEFINANCE(A1225,""VOLUME""),)"),1373376.0)</f>
        <v>1373376</v>
      </c>
      <c r="J1225" s="64" t="str">
        <f>IFERROR(__xludf.DUMMYFUNCTION("IFERROR(INDEX(SPLIT(A1225,"":""),1,2),)"),"SANGHIIND")</f>
        <v>SANGHIIND</v>
      </c>
      <c r="K1225" s="64">
        <f t="shared" si="4"/>
        <v>23</v>
      </c>
      <c r="L1225" s="64" t="str">
        <f t="shared" si="5"/>
        <v/>
      </c>
      <c r="M1225" s="64">
        <f t="shared" si="6"/>
        <v>249</v>
      </c>
      <c r="N1225" s="66">
        <f>IFERROR(__xludf.DUMMYFUNCTION("IFERROR(GOOGLEFINANCE(A1225,""TRADETIME""),)"),46086.64583333333)</f>
        <v>46086.64583</v>
      </c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</row>
    <row r="1226">
      <c r="A1226" s="67" t="s">
        <v>1272</v>
      </c>
      <c r="B1226" s="60" t="str">
        <f>IFERROR(__xludf.DUMMYFUNCTION("IFERROR(GOOGLEFINANCE(A1226,""NAME""),)"),"Sanghvi Movers Ltd")</f>
        <v>Sanghvi Movers Ltd</v>
      </c>
      <c r="C1226" s="60">
        <f>IFERROR(__xludf.DUMMYFUNCTION("IFERROR(GOOGLEFINANCE(A1226,""CHANGE""),)"),1.4)</f>
        <v>1.4</v>
      </c>
      <c r="D1226" s="60">
        <f>IFERROR(__xludf.DUMMYFUNCTION("IFERROR(GOOGLEFINANCE(A1226,""CHANGEPCT""),)"),0.57)</f>
        <v>0.57</v>
      </c>
      <c r="E1226" s="60" t="str">
        <f t="shared" si="1"/>
        <v>0.57%</v>
      </c>
      <c r="F1226" s="60">
        <f t="shared" si="2"/>
        <v>0.57</v>
      </c>
      <c r="G1226" s="60" t="str">
        <f t="shared" si="3"/>
        <v/>
      </c>
      <c r="H1226" s="60">
        <f>IFERROR(__xludf.DUMMYFUNCTION("IFERROR(GOOGLEFINANCE(A1226,""PRICE""),)"),249.0)</f>
        <v>249</v>
      </c>
      <c r="I1226" s="61">
        <f>IFERROR(__xludf.DUMMYFUNCTION("IFERROR(GOOGLEFINANCE(A1226,""VOLUME""),)"),202676.0)</f>
        <v>202676</v>
      </c>
      <c r="J1226" s="60" t="str">
        <f>IFERROR(__xludf.DUMMYFUNCTION("IFERROR(INDEX(SPLIT(A1226,"":""),1,2),)"),"SANGHVIMOV")</f>
        <v>SANGHVIMOV</v>
      </c>
      <c r="K1226" s="60">
        <f t="shared" si="4"/>
        <v>854</v>
      </c>
      <c r="L1226" s="60" t="str">
        <f t="shared" si="5"/>
        <v/>
      </c>
      <c r="M1226" s="60">
        <f t="shared" si="6"/>
        <v>602</v>
      </c>
      <c r="N1226" s="62">
        <f>IFERROR(__xludf.DUMMYFUNCTION("IFERROR(GOOGLEFINANCE(A1226,""TRADETIME""),)"),46086.64583333333)</f>
        <v>46086.64583</v>
      </c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</row>
    <row r="1227">
      <c r="A1227" s="68" t="s">
        <v>1273</v>
      </c>
      <c r="B1227" s="64" t="str">
        <f>IFERROR(__xludf.DUMMYFUNCTION("IFERROR(GOOGLEFINANCE(A1227,""NAME""),)"),"Sanginita Chemicals Ltd")</f>
        <v>Sanginita Chemicals Ltd</v>
      </c>
      <c r="C1227" s="64">
        <f>IFERROR(__xludf.DUMMYFUNCTION("IFERROR(GOOGLEFINANCE(A1227,""CHANGE""),)"),0.36)</f>
        <v>0.36</v>
      </c>
      <c r="D1227" s="64">
        <f>IFERROR(__xludf.DUMMYFUNCTION("IFERROR(GOOGLEFINANCE(A1227,""CHANGEPCT""),)"),2.8)</f>
        <v>2.8</v>
      </c>
      <c r="E1227" s="64" t="str">
        <f t="shared" si="1"/>
        <v>2.8%</v>
      </c>
      <c r="F1227" s="64">
        <f t="shared" si="2"/>
        <v>2.8</v>
      </c>
      <c r="G1227" s="64" t="str">
        <f t="shared" si="3"/>
        <v/>
      </c>
      <c r="H1227" s="64">
        <f>IFERROR(__xludf.DUMMYFUNCTION("IFERROR(GOOGLEFINANCE(A1227,""PRICE""),)"),13.2)</f>
        <v>13.2</v>
      </c>
      <c r="I1227" s="65">
        <f>IFERROR(__xludf.DUMMYFUNCTION("IFERROR(GOOGLEFINANCE(A1227,""VOLUME""),)"),667521.0)</f>
        <v>667521</v>
      </c>
      <c r="J1227" s="64" t="str">
        <f>IFERROR(__xludf.DUMMYFUNCTION("IFERROR(INDEX(SPLIT(A1227,"":""),1,2),)"),"SANGINITA")</f>
        <v>SANGINITA</v>
      </c>
      <c r="K1227" s="64">
        <f t="shared" si="4"/>
        <v>288</v>
      </c>
      <c r="L1227" s="64" t="str">
        <f t="shared" si="5"/>
        <v/>
      </c>
      <c r="M1227" s="64">
        <f t="shared" si="6"/>
        <v>345</v>
      </c>
      <c r="N1227" s="66">
        <f>IFERROR(__xludf.DUMMYFUNCTION("IFERROR(GOOGLEFINANCE(A1227,""TRADETIME""),)"),46086.64583333333)</f>
        <v>46086.64583</v>
      </c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</row>
    <row r="1228">
      <c r="A1228" s="67" t="s">
        <v>1274</v>
      </c>
      <c r="B1228" s="60" t="str">
        <f>IFERROR(__xludf.DUMMYFUNCTION("IFERROR(GOOGLEFINANCE(A1228,""NAME""),)"),"Sanofi India Ltd")</f>
        <v>Sanofi India Ltd</v>
      </c>
      <c r="C1228" s="60">
        <f>IFERROR(__xludf.DUMMYFUNCTION("IFERROR(GOOGLEFINANCE(A1228,""CHANGE""),)"),-4.8)</f>
        <v>-4.8</v>
      </c>
      <c r="D1228" s="60">
        <f>IFERROR(__xludf.DUMMYFUNCTION("IFERROR(GOOGLEFINANCE(A1228,""CHANGEPCT""),)"),-0.13)</f>
        <v>-0.13</v>
      </c>
      <c r="E1228" s="60" t="str">
        <f t="shared" si="1"/>
        <v>-0.13%</v>
      </c>
      <c r="F1228" s="60" t="str">
        <f t="shared" si="2"/>
        <v/>
      </c>
      <c r="G1228" s="60">
        <f t="shared" si="3"/>
        <v>-0.13</v>
      </c>
      <c r="H1228" s="60">
        <f>IFERROR(__xludf.DUMMYFUNCTION("IFERROR(GOOGLEFINANCE(A1228,""PRICE""),)"),3820.0)</f>
        <v>3820</v>
      </c>
      <c r="I1228" s="61">
        <f>IFERROR(__xludf.DUMMYFUNCTION("IFERROR(GOOGLEFINANCE(A1228,""VOLUME""),)"),11662.0)</f>
        <v>11662</v>
      </c>
      <c r="J1228" s="60" t="str">
        <f>IFERROR(__xludf.DUMMYFUNCTION("IFERROR(INDEX(SPLIT(A1228,"":""),1,2),)"),"SANOFI")</f>
        <v>SANOFI</v>
      </c>
      <c r="K1228" s="60" t="str">
        <f t="shared" si="4"/>
        <v/>
      </c>
      <c r="L1228" s="60">
        <f t="shared" si="5"/>
        <v>37</v>
      </c>
      <c r="M1228" s="60">
        <f t="shared" si="6"/>
        <v>1235</v>
      </c>
      <c r="N1228" s="62">
        <f>IFERROR(__xludf.DUMMYFUNCTION("IFERROR(GOOGLEFINANCE(A1228,""TRADETIME""),)"),46086.64583333333)</f>
        <v>46086.64583</v>
      </c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</row>
    <row r="1229">
      <c r="A1229" s="68" t="s">
        <v>1275</v>
      </c>
      <c r="B1229" s="64" t="str">
        <f>IFERROR(__xludf.DUMMYFUNCTION("IFERROR(GOOGLEFINANCE(A1229,""NAME""),)"),"Sanwaria Consumer Ltd")</f>
        <v>Sanwaria Consumer Ltd</v>
      </c>
      <c r="C1229" s="64">
        <f>IFERROR(__xludf.DUMMYFUNCTION("IFERROR(GOOGLEFINANCE(A1229,""CHANGE""),)"),0.01)</f>
        <v>0.01</v>
      </c>
      <c r="D1229" s="64">
        <f>IFERROR(__xludf.DUMMYFUNCTION("IFERROR(GOOGLEFINANCE(A1229,""CHANGEPCT""),)"),4.76)</f>
        <v>4.76</v>
      </c>
      <c r="E1229" s="64" t="str">
        <f t="shared" si="1"/>
        <v>4.76%</v>
      </c>
      <c r="F1229" s="64">
        <f t="shared" si="2"/>
        <v>4.76</v>
      </c>
      <c r="G1229" s="64" t="str">
        <f t="shared" si="3"/>
        <v/>
      </c>
      <c r="H1229" s="64">
        <f>IFERROR(__xludf.DUMMYFUNCTION("IFERROR(GOOGLEFINANCE(A1229,""PRICE""),)"),0.22)</f>
        <v>0.22</v>
      </c>
      <c r="I1229" s="65">
        <f>IFERROR(__xludf.DUMMYFUNCTION("IFERROR(GOOGLEFINANCE(A1229,""VOLUME""),)"),186196.0)</f>
        <v>186196</v>
      </c>
      <c r="J1229" s="64" t="str">
        <f>IFERROR(__xludf.DUMMYFUNCTION("IFERROR(INDEX(SPLIT(A1229,"":""),1,2),)"),"SANWARIA")</f>
        <v>SANWARIA</v>
      </c>
      <c r="K1229" s="64">
        <f t="shared" si="4"/>
        <v>92</v>
      </c>
      <c r="L1229" s="64" t="str">
        <f t="shared" si="5"/>
        <v/>
      </c>
      <c r="M1229" s="64">
        <f t="shared" si="6"/>
        <v>625</v>
      </c>
      <c r="N1229" s="66">
        <f>IFERROR(__xludf.DUMMYFUNCTION("IFERROR(GOOGLEFINANCE(A1229,""TRADETIME""),)"),46086.64583333333)</f>
        <v>46086.64583</v>
      </c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</row>
    <row r="1230">
      <c r="A1230" s="67" t="s">
        <v>1276</v>
      </c>
      <c r="B1230" s="60" t="str">
        <f>IFERROR(__xludf.DUMMYFUNCTION("IFERROR(GOOGLEFINANCE(A1230,""NAME""),)"),"Sarda Energy &amp; Minerals Ltd")</f>
        <v>Sarda Energy &amp; Minerals Ltd</v>
      </c>
      <c r="C1230" s="60">
        <f>IFERROR(__xludf.DUMMYFUNCTION("IFERROR(GOOGLEFINANCE(A1230,""CHANGE""),)"),21.85)</f>
        <v>21.85</v>
      </c>
      <c r="D1230" s="60">
        <f>IFERROR(__xludf.DUMMYFUNCTION("IFERROR(GOOGLEFINANCE(A1230,""CHANGEPCT""),)"),4.19)</f>
        <v>4.19</v>
      </c>
      <c r="E1230" s="60" t="str">
        <f t="shared" si="1"/>
        <v>4.19%</v>
      </c>
      <c r="F1230" s="60">
        <f t="shared" si="2"/>
        <v>4.19</v>
      </c>
      <c r="G1230" s="60" t="str">
        <f t="shared" si="3"/>
        <v/>
      </c>
      <c r="H1230" s="60">
        <f>IFERROR(__xludf.DUMMYFUNCTION("IFERROR(GOOGLEFINANCE(A1230,""PRICE""),)"),543.25)</f>
        <v>543.25</v>
      </c>
      <c r="I1230" s="61">
        <f>IFERROR(__xludf.DUMMYFUNCTION("IFERROR(GOOGLEFINANCE(A1230,""VOLUME""),)"),764241.0)</f>
        <v>764241</v>
      </c>
      <c r="J1230" s="60" t="str">
        <f>IFERROR(__xludf.DUMMYFUNCTION("IFERROR(INDEX(SPLIT(A1230,"":""),1,2),)"),"SARDAEN")</f>
        <v>SARDAEN</v>
      </c>
      <c r="K1230" s="60">
        <f t="shared" si="4"/>
        <v>132</v>
      </c>
      <c r="L1230" s="60" t="str">
        <f t="shared" si="5"/>
        <v/>
      </c>
      <c r="M1230" s="60">
        <f t="shared" si="6"/>
        <v>324</v>
      </c>
      <c r="N1230" s="62">
        <f>IFERROR(__xludf.DUMMYFUNCTION("IFERROR(GOOGLEFINANCE(A1230,""TRADETIME""),)"),46086.64583333333)</f>
        <v>46086.64583</v>
      </c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</row>
    <row r="1231">
      <c r="A1231" s="68" t="s">
        <v>1277</v>
      </c>
      <c r="B1231" s="64" t="str">
        <f>IFERROR(__xludf.DUMMYFUNCTION("IFERROR(GOOGLEFINANCE(A1231,""NAME""),)"),"Saregama India Ltd")</f>
        <v>Saregama India Ltd</v>
      </c>
      <c r="C1231" s="64">
        <f>IFERROR(__xludf.DUMMYFUNCTION("IFERROR(GOOGLEFINANCE(A1231,""CHANGE""),)"),11.35)</f>
        <v>11.35</v>
      </c>
      <c r="D1231" s="64">
        <f>IFERROR(__xludf.DUMMYFUNCTION("IFERROR(GOOGLEFINANCE(A1231,""CHANGEPCT""),)"),3.58)</f>
        <v>3.58</v>
      </c>
      <c r="E1231" s="64" t="str">
        <f t="shared" si="1"/>
        <v>3.58%</v>
      </c>
      <c r="F1231" s="64">
        <f t="shared" si="2"/>
        <v>3.58</v>
      </c>
      <c r="G1231" s="64" t="str">
        <f t="shared" si="3"/>
        <v/>
      </c>
      <c r="H1231" s="64">
        <f>IFERROR(__xludf.DUMMYFUNCTION("IFERROR(GOOGLEFINANCE(A1231,""PRICE""),)"),328.0)</f>
        <v>328</v>
      </c>
      <c r="I1231" s="65">
        <f>IFERROR(__xludf.DUMMYFUNCTION("IFERROR(GOOGLEFINANCE(A1231,""VOLUME""),)"),352638.0)</f>
        <v>352638</v>
      </c>
      <c r="J1231" s="64" t="str">
        <f>IFERROR(__xludf.DUMMYFUNCTION("IFERROR(INDEX(SPLIT(A1231,"":""),1,2),)"),"SAREGAMA")</f>
        <v>SAREGAMA</v>
      </c>
      <c r="K1231" s="64">
        <f t="shared" si="4"/>
        <v>186</v>
      </c>
      <c r="L1231" s="64" t="str">
        <f t="shared" si="5"/>
        <v/>
      </c>
      <c r="M1231" s="64">
        <f t="shared" si="6"/>
        <v>478</v>
      </c>
      <c r="N1231" s="66">
        <f>IFERROR(__xludf.DUMMYFUNCTION("IFERROR(GOOGLEFINANCE(A1231,""TRADETIME""),)"),46086.64583333333)</f>
        <v>46086.64583</v>
      </c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</row>
    <row r="1232">
      <c r="A1232" s="67" t="s">
        <v>1278</v>
      </c>
      <c r="B1232" s="60" t="str">
        <f>IFERROR(__xludf.DUMMYFUNCTION("IFERROR(GOOGLEFINANCE(A1232,""NAME""),)"),"Sarla Performance Fibers Ltd")</f>
        <v>Sarla Performance Fibers Ltd</v>
      </c>
      <c r="C1232" s="60">
        <f>IFERROR(__xludf.DUMMYFUNCTION("IFERROR(GOOGLEFINANCE(A1232,""CHANGE""),)"),-0.01)</f>
        <v>-0.01</v>
      </c>
      <c r="D1232" s="60">
        <f>IFERROR(__xludf.DUMMYFUNCTION("IFERROR(GOOGLEFINANCE(A1232,""CHANGEPCT""),)"),-0.01)</f>
        <v>-0.01</v>
      </c>
      <c r="E1232" s="60" t="str">
        <f t="shared" si="1"/>
        <v>-0.01%</v>
      </c>
      <c r="F1232" s="60" t="str">
        <f t="shared" si="2"/>
        <v/>
      </c>
      <c r="G1232" s="60">
        <f t="shared" si="3"/>
        <v>-0.01</v>
      </c>
      <c r="H1232" s="60">
        <f>IFERROR(__xludf.DUMMYFUNCTION("IFERROR(GOOGLEFINANCE(A1232,""PRICE""),)"),80.95)</f>
        <v>80.95</v>
      </c>
      <c r="I1232" s="61">
        <f>IFERROR(__xludf.DUMMYFUNCTION("IFERROR(GOOGLEFINANCE(A1232,""VOLUME""),)"),94735.0)</f>
        <v>94735</v>
      </c>
      <c r="J1232" s="60" t="str">
        <f>IFERROR(__xludf.DUMMYFUNCTION("IFERROR(INDEX(SPLIT(A1232,"":""),1,2),)"),"SARLAPOLY")</f>
        <v>SARLAPOLY</v>
      </c>
      <c r="K1232" s="60" t="str">
        <f t="shared" si="4"/>
        <v/>
      </c>
      <c r="L1232" s="60">
        <f t="shared" si="5"/>
        <v>1</v>
      </c>
      <c r="M1232" s="60">
        <f t="shared" si="6"/>
        <v>769</v>
      </c>
      <c r="N1232" s="62">
        <f>IFERROR(__xludf.DUMMYFUNCTION("IFERROR(GOOGLEFINANCE(A1232,""TRADETIME""),)"),46086.64586805555)</f>
        <v>46086.64587</v>
      </c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</row>
    <row r="1233">
      <c r="A1233" s="68" t="s">
        <v>1279</v>
      </c>
      <c r="B1233" s="64" t="str">
        <f>IFERROR(__xludf.DUMMYFUNCTION("IFERROR(GOOGLEFINANCE(A1233,""NAME""),)"),"Sasken Technologies Ltd")</f>
        <v>Sasken Technologies Ltd</v>
      </c>
      <c r="C1233" s="64">
        <f>IFERROR(__xludf.DUMMYFUNCTION("IFERROR(GOOGLEFINANCE(A1233,""CHANGE""),)"),-2.3)</f>
        <v>-2.3</v>
      </c>
      <c r="D1233" s="64">
        <f>IFERROR(__xludf.DUMMYFUNCTION("IFERROR(GOOGLEFINANCE(A1233,""CHANGEPCT""),)"),-0.29)</f>
        <v>-0.29</v>
      </c>
      <c r="E1233" s="64" t="str">
        <f t="shared" si="1"/>
        <v>-0.29%</v>
      </c>
      <c r="F1233" s="64" t="str">
        <f t="shared" si="2"/>
        <v/>
      </c>
      <c r="G1233" s="64">
        <f t="shared" si="3"/>
        <v>-0.29</v>
      </c>
      <c r="H1233" s="64">
        <f>IFERROR(__xludf.DUMMYFUNCTION("IFERROR(GOOGLEFINANCE(A1233,""PRICE""),)"),1127.3)</f>
        <v>1127.3</v>
      </c>
      <c r="I1233" s="65">
        <f>IFERROR(__xludf.DUMMYFUNCTION("IFERROR(GOOGLEFINANCE(A1233,""VOLUME""),)"),20259.0)</f>
        <v>20259</v>
      </c>
      <c r="J1233" s="64" t="str">
        <f>IFERROR(__xludf.DUMMYFUNCTION("IFERROR(INDEX(SPLIT(A1233,"":""),1,2),)"),"SASKEN")</f>
        <v>SASKEN</v>
      </c>
      <c r="K1233" s="64" t="str">
        <f t="shared" si="4"/>
        <v/>
      </c>
      <c r="L1233" s="64">
        <f t="shared" si="5"/>
        <v>76</v>
      </c>
      <c r="M1233" s="64">
        <f t="shared" si="6"/>
        <v>1138</v>
      </c>
      <c r="N1233" s="66">
        <f>IFERROR(__xludf.DUMMYFUNCTION("IFERROR(GOOGLEFINANCE(A1233,""TRADETIME""),)"),46086.64583333333)</f>
        <v>46086.64583</v>
      </c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</row>
    <row r="1234">
      <c r="A1234" s="67" t="s">
        <v>1280</v>
      </c>
      <c r="B1234" s="60" t="str">
        <f>IFERROR(__xludf.DUMMYFUNCTION("IFERROR(GOOGLEFINANCE(A1234,""NAME""),)"),"Health X Platform Ltd")</f>
        <v>Health X Platform Ltd</v>
      </c>
      <c r="C1234" s="60">
        <f>IFERROR(__xludf.DUMMYFUNCTION("IFERROR(GOOGLEFINANCE(A1234,""CHANGE""),)"),0.05)</f>
        <v>0.05</v>
      </c>
      <c r="D1234" s="60">
        <f>IFERROR(__xludf.DUMMYFUNCTION("IFERROR(GOOGLEFINANCE(A1234,""CHANGEPCT""),)"),0.02)</f>
        <v>0.02</v>
      </c>
      <c r="E1234" s="60" t="str">
        <f t="shared" si="1"/>
        <v>0.02%</v>
      </c>
      <c r="F1234" s="60">
        <f t="shared" si="2"/>
        <v>0.02</v>
      </c>
      <c r="G1234" s="60" t="str">
        <f t="shared" si="3"/>
        <v/>
      </c>
      <c r="H1234" s="60">
        <f>IFERROR(__xludf.DUMMYFUNCTION("IFERROR(GOOGLEFINANCE(A1234,""PRICE""),)"),272.8)</f>
        <v>272.8</v>
      </c>
      <c r="I1234" s="61">
        <f>IFERROR(__xludf.DUMMYFUNCTION("IFERROR(GOOGLEFINANCE(A1234,""VOLUME""),)"),5051.0)</f>
        <v>5051</v>
      </c>
      <c r="J1234" s="60" t="str">
        <f>IFERROR(__xludf.DUMMYFUNCTION("IFERROR(INDEX(SPLIT(A1234,"":""),1,2),)"),"SASTASUNDR")</f>
        <v>SASTASUNDR</v>
      </c>
      <c r="K1234" s="60">
        <f t="shared" si="4"/>
        <v>999</v>
      </c>
      <c r="L1234" s="60" t="str">
        <f t="shared" si="5"/>
        <v/>
      </c>
      <c r="M1234" s="60">
        <f t="shared" si="6"/>
        <v>1343</v>
      </c>
      <c r="N1234" s="62">
        <f>IFERROR(__xludf.DUMMYFUNCTION("IFERROR(GOOGLEFINANCE(A1234,""TRADETIME""),)"),46086.64583333333)</f>
        <v>46086.64583</v>
      </c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</row>
    <row r="1235">
      <c r="A1235" s="68" t="s">
        <v>1281</v>
      </c>
      <c r="B1235" s="64" t="str">
        <f>IFERROR(__xludf.DUMMYFUNCTION("IFERROR(GOOGLEFINANCE(A1235,""NAME""),)"),"Satia Industries Ltd")</f>
        <v>Satia Industries Ltd</v>
      </c>
      <c r="C1235" s="64">
        <f>IFERROR(__xludf.DUMMYFUNCTION("IFERROR(GOOGLEFINANCE(A1235,""CHANGE""),)"),0.37)</f>
        <v>0.37</v>
      </c>
      <c r="D1235" s="64">
        <f>IFERROR(__xludf.DUMMYFUNCTION("IFERROR(GOOGLEFINANCE(A1235,""CHANGEPCT""),)"),0.6)</f>
        <v>0.6</v>
      </c>
      <c r="E1235" s="64" t="str">
        <f t="shared" si="1"/>
        <v>0.6%</v>
      </c>
      <c r="F1235" s="64">
        <f t="shared" si="2"/>
        <v>0.6</v>
      </c>
      <c r="G1235" s="64" t="str">
        <f t="shared" si="3"/>
        <v/>
      </c>
      <c r="H1235" s="64">
        <f>IFERROR(__xludf.DUMMYFUNCTION("IFERROR(GOOGLEFINANCE(A1235,""PRICE""),)"),62.5)</f>
        <v>62.5</v>
      </c>
      <c r="I1235" s="65">
        <f>IFERROR(__xludf.DUMMYFUNCTION("IFERROR(GOOGLEFINANCE(A1235,""VOLUME""),)"),47921.0)</f>
        <v>47921</v>
      </c>
      <c r="J1235" s="64" t="str">
        <f>IFERROR(__xludf.DUMMYFUNCTION("IFERROR(INDEX(SPLIT(A1235,"":""),1,2),)"),"SATIA")</f>
        <v>SATIA</v>
      </c>
      <c r="K1235" s="64">
        <f t="shared" si="4"/>
        <v>846</v>
      </c>
      <c r="L1235" s="64" t="str">
        <f t="shared" si="5"/>
        <v/>
      </c>
      <c r="M1235" s="64">
        <f t="shared" si="6"/>
        <v>946</v>
      </c>
      <c r="N1235" s="66">
        <f>IFERROR(__xludf.DUMMYFUNCTION("IFERROR(GOOGLEFINANCE(A1235,""TRADETIME""),)"),46086.64583333333)</f>
        <v>46086.64583</v>
      </c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</row>
    <row r="1236">
      <c r="A1236" s="67" t="s">
        <v>1282</v>
      </c>
      <c r="B1236" s="60" t="str">
        <f>IFERROR(__xludf.DUMMYFUNCTION("IFERROR(GOOGLEFINANCE(A1236,""NAME""),)"),"Satin Creditcare Network Ltd")</f>
        <v>Satin Creditcare Network Ltd</v>
      </c>
      <c r="C1236" s="60">
        <f>IFERROR(__xludf.DUMMYFUNCTION("IFERROR(GOOGLEFINANCE(A1236,""CHANGE""),)"),5.72)</f>
        <v>5.72</v>
      </c>
      <c r="D1236" s="60">
        <f>IFERROR(__xludf.DUMMYFUNCTION("IFERROR(GOOGLEFINANCE(A1236,""CHANGEPCT""),)"),3.81)</f>
        <v>3.81</v>
      </c>
      <c r="E1236" s="60" t="str">
        <f t="shared" si="1"/>
        <v>3.81%</v>
      </c>
      <c r="F1236" s="60">
        <f t="shared" si="2"/>
        <v>3.81</v>
      </c>
      <c r="G1236" s="60" t="str">
        <f t="shared" si="3"/>
        <v/>
      </c>
      <c r="H1236" s="60">
        <f>IFERROR(__xludf.DUMMYFUNCTION("IFERROR(GOOGLEFINANCE(A1236,""PRICE""),)"),155.8)</f>
        <v>155.8</v>
      </c>
      <c r="I1236" s="61">
        <f>IFERROR(__xludf.DUMMYFUNCTION("IFERROR(GOOGLEFINANCE(A1236,""VOLUME""),)"),89403.0)</f>
        <v>89403</v>
      </c>
      <c r="J1236" s="60" t="str">
        <f>IFERROR(__xludf.DUMMYFUNCTION("IFERROR(INDEX(SPLIT(A1236,"":""),1,2),)"),"SATIN")</f>
        <v>SATIN</v>
      </c>
      <c r="K1236" s="60">
        <f t="shared" si="4"/>
        <v>161</v>
      </c>
      <c r="L1236" s="60" t="str">
        <f t="shared" si="5"/>
        <v/>
      </c>
      <c r="M1236" s="60">
        <f t="shared" si="6"/>
        <v>783</v>
      </c>
      <c r="N1236" s="62">
        <f>IFERROR(__xludf.DUMMYFUNCTION("IFERROR(GOOGLEFINANCE(A1236,""TRADETIME""),)"),46086.64583333333)</f>
        <v>46086.64583</v>
      </c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</row>
    <row r="1237">
      <c r="A1237" s="68" t="s">
        <v>1283</v>
      </c>
      <c r="B1237" s="64" t="str">
        <f>IFERROR(__xludf.DUMMYFUNCTION("IFERROR(GOOGLEFINANCE(A1237,""NAME""),)"),"SBI Cards and Payment Services Ltd")</f>
        <v>SBI Cards and Payment Services Ltd</v>
      </c>
      <c r="C1237" s="64">
        <f>IFERROR(__xludf.DUMMYFUNCTION("IFERROR(GOOGLEFINANCE(A1237,""CHANGE""),)"),4.05)</f>
        <v>4.05</v>
      </c>
      <c r="D1237" s="64">
        <f>IFERROR(__xludf.DUMMYFUNCTION("IFERROR(GOOGLEFINANCE(A1237,""CHANGEPCT""),)"),0.56)</f>
        <v>0.56</v>
      </c>
      <c r="E1237" s="64" t="str">
        <f t="shared" si="1"/>
        <v>0.56%</v>
      </c>
      <c r="F1237" s="64">
        <f t="shared" si="2"/>
        <v>0.56</v>
      </c>
      <c r="G1237" s="64" t="str">
        <f t="shared" si="3"/>
        <v/>
      </c>
      <c r="H1237" s="64">
        <f>IFERROR(__xludf.DUMMYFUNCTION("IFERROR(GOOGLEFINANCE(A1237,""PRICE""),)"),730.65)</f>
        <v>730.65</v>
      </c>
      <c r="I1237" s="65">
        <f>IFERROR(__xludf.DUMMYFUNCTION("IFERROR(GOOGLEFINANCE(A1237,""VOLUME""),)"),2088889.0)</f>
        <v>2088889</v>
      </c>
      <c r="J1237" s="64" t="str">
        <f>IFERROR(__xludf.DUMMYFUNCTION("IFERROR(INDEX(SPLIT(A1237,"":""),1,2),)"),"SBICARD")</f>
        <v>SBICARD</v>
      </c>
      <c r="K1237" s="64">
        <f t="shared" si="4"/>
        <v>859</v>
      </c>
      <c r="L1237" s="64" t="str">
        <f t="shared" si="5"/>
        <v/>
      </c>
      <c r="M1237" s="64">
        <f t="shared" si="6"/>
        <v>193</v>
      </c>
      <c r="N1237" s="66">
        <f>IFERROR(__xludf.DUMMYFUNCTION("IFERROR(GOOGLEFINANCE(A1237,""TRADETIME""),)"),46086.64584490741)</f>
        <v>46086.64584</v>
      </c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</row>
    <row r="1238">
      <c r="A1238" s="67" t="s">
        <v>1284</v>
      </c>
      <c r="B1238" s="60" t="str">
        <f>IFERROR(__xludf.DUMMYFUNCTION("IFERROR(GOOGLEFINANCE(A1238,""NAME""),)"),"Sbi Life Insurance Company Ltd")</f>
        <v>Sbi Life Insurance Company Ltd</v>
      </c>
      <c r="C1238" s="60">
        <f>IFERROR(__xludf.DUMMYFUNCTION("IFERROR(GOOGLEFINANCE(A1238,""CHANGE""),)"),18.4)</f>
        <v>18.4</v>
      </c>
      <c r="D1238" s="60">
        <f>IFERROR(__xludf.DUMMYFUNCTION("IFERROR(GOOGLEFINANCE(A1238,""CHANGEPCT""),)"),0.95)</f>
        <v>0.95</v>
      </c>
      <c r="E1238" s="60" t="str">
        <f t="shared" si="1"/>
        <v>0.95%</v>
      </c>
      <c r="F1238" s="60">
        <f t="shared" si="2"/>
        <v>0.95</v>
      </c>
      <c r="G1238" s="60" t="str">
        <f t="shared" si="3"/>
        <v/>
      </c>
      <c r="H1238" s="60">
        <f>IFERROR(__xludf.DUMMYFUNCTION("IFERROR(GOOGLEFINANCE(A1238,""PRICE""),)"),1949.0)</f>
        <v>1949</v>
      </c>
      <c r="I1238" s="61">
        <f>IFERROR(__xludf.DUMMYFUNCTION("IFERROR(GOOGLEFINANCE(A1238,""VOLUME""),)"),1955152.0)</f>
        <v>1955152</v>
      </c>
      <c r="J1238" s="60" t="str">
        <f>IFERROR(__xludf.DUMMYFUNCTION("IFERROR(INDEX(SPLIT(A1238,"":""),1,2),)"),"SBILIFE")</f>
        <v>SBILIFE</v>
      </c>
      <c r="K1238" s="60">
        <f t="shared" si="4"/>
        <v>737</v>
      </c>
      <c r="L1238" s="60" t="str">
        <f t="shared" si="5"/>
        <v/>
      </c>
      <c r="M1238" s="60">
        <f t="shared" si="6"/>
        <v>207</v>
      </c>
      <c r="N1238" s="62">
        <f>IFERROR(__xludf.DUMMYFUNCTION("IFERROR(GOOGLEFINANCE(A1238,""TRADETIME""),)"),46086.64583333333)</f>
        <v>46086.64583</v>
      </c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</row>
    <row r="1239">
      <c r="A1239" s="68" t="s">
        <v>1285</v>
      </c>
      <c r="B1239" s="64" t="str">
        <f>IFERROR(__xludf.DUMMYFUNCTION("IFERROR(GOOGLEFINANCE(A1239,""NAME""),)"),"State Bank of India")</f>
        <v>State Bank of India</v>
      </c>
      <c r="C1239" s="64">
        <f>IFERROR(__xludf.DUMMYFUNCTION("IFERROR(GOOGLEFINANCE(A1239,""CHANGE""),)"),-6.0)</f>
        <v>-6</v>
      </c>
      <c r="D1239" s="64">
        <f>IFERROR(__xludf.DUMMYFUNCTION("IFERROR(GOOGLEFINANCE(A1239,""CHANGEPCT""),)"),-0.51)</f>
        <v>-0.51</v>
      </c>
      <c r="E1239" s="64" t="str">
        <f t="shared" si="1"/>
        <v>-0.51%</v>
      </c>
      <c r="F1239" s="64" t="str">
        <f t="shared" si="2"/>
        <v/>
      </c>
      <c r="G1239" s="64">
        <f t="shared" si="3"/>
        <v>-0.51</v>
      </c>
      <c r="H1239" s="64">
        <f>IFERROR(__xludf.DUMMYFUNCTION("IFERROR(GOOGLEFINANCE(A1239,""PRICE""),)"),1168.5)</f>
        <v>1168.5</v>
      </c>
      <c r="I1239" s="65">
        <f>IFERROR(__xludf.DUMMYFUNCTION("IFERROR(GOOGLEFINANCE(A1239,""VOLUME""),)"),2.2099366E7)</f>
        <v>22099366</v>
      </c>
      <c r="J1239" s="64" t="str">
        <f>IFERROR(__xludf.DUMMYFUNCTION("IFERROR(INDEX(SPLIT(A1239,"":""),1,2),)"),"SBIN")</f>
        <v>SBIN</v>
      </c>
      <c r="K1239" s="64" t="str">
        <f t="shared" si="4"/>
        <v/>
      </c>
      <c r="L1239" s="64">
        <f t="shared" si="5"/>
        <v>121</v>
      </c>
      <c r="M1239" s="64">
        <f t="shared" si="6"/>
        <v>23</v>
      </c>
      <c r="N1239" s="66">
        <f>IFERROR(__xludf.DUMMYFUNCTION("IFERROR(GOOGLEFINANCE(A1239,""TRADETIME""),)"),46086.640451388885)</f>
        <v>46086.64045</v>
      </c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</row>
    <row r="1240">
      <c r="A1240" s="67" t="s">
        <v>1286</v>
      </c>
      <c r="B1240" s="60" t="str">
        <f>IFERROR(__xludf.DUMMYFUNCTION("IFERROR(GOOGLEFINANCE(A1240,""NAME""),)"),"")</f>
        <v/>
      </c>
      <c r="C1240" s="60" t="str">
        <f>IFERROR(__xludf.DUMMYFUNCTION("IFERROR(GOOGLEFINANCE(A1240,""CHANGE""),)"),"")</f>
        <v/>
      </c>
      <c r="D1240" s="60" t="str">
        <f>IFERROR(__xludf.DUMMYFUNCTION("IFERROR(GOOGLEFINANCE(A1240,""CHANGEPCT""),)"),"")</f>
        <v/>
      </c>
      <c r="E1240" s="60" t="str">
        <f t="shared" si="1"/>
        <v>%</v>
      </c>
      <c r="F1240" s="60" t="str">
        <f t="shared" si="2"/>
        <v/>
      </c>
      <c r="G1240" s="60" t="str">
        <f t="shared" si="3"/>
        <v/>
      </c>
      <c r="H1240" s="60" t="str">
        <f>IFERROR(__xludf.DUMMYFUNCTION("IFERROR(GOOGLEFINANCE(A1240,""PRICE""),)"),"")</f>
        <v/>
      </c>
      <c r="I1240" s="61" t="str">
        <f>IFERROR(__xludf.DUMMYFUNCTION("IFERROR(GOOGLEFINANCE(A1240,""VOLUME""),)"),"")</f>
        <v/>
      </c>
      <c r="J1240" s="60" t="str">
        <f>IFERROR(__xludf.DUMMYFUNCTION("IFERROR(INDEX(SPLIT(A1240,"":""),1,2),)"),"SCAPDVR")</f>
        <v>SCAPDVR</v>
      </c>
      <c r="K1240" s="60" t="str">
        <f t="shared" si="4"/>
        <v/>
      </c>
      <c r="L1240" s="60" t="str">
        <f t="shared" si="5"/>
        <v/>
      </c>
      <c r="M1240" s="60" t="str">
        <f t="shared" si="6"/>
        <v/>
      </c>
      <c r="N1240" s="62" t="str">
        <f>IFERROR(__xludf.DUMMYFUNCTION("IFERROR(GOOGLEFINANCE(A1240,""TRADETIME""),)"),"")</f>
        <v/>
      </c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</row>
    <row r="1241">
      <c r="A1241" s="68" t="s">
        <v>1287</v>
      </c>
      <c r="B1241" s="64" t="str">
        <f>IFERROR(__xludf.DUMMYFUNCTION("IFERROR(GOOGLEFINANCE(A1241,""NAME""),)"),"Schaeffler India Ltd")</f>
        <v>Schaeffler India Ltd</v>
      </c>
      <c r="C1241" s="64">
        <f>IFERROR(__xludf.DUMMYFUNCTION("IFERROR(GOOGLEFINANCE(A1241,""CHANGE""),)"),160.6)</f>
        <v>160.6</v>
      </c>
      <c r="D1241" s="64">
        <f>IFERROR(__xludf.DUMMYFUNCTION("IFERROR(GOOGLEFINANCE(A1241,""CHANGEPCT""),)"),4.01)</f>
        <v>4.01</v>
      </c>
      <c r="E1241" s="64" t="str">
        <f t="shared" si="1"/>
        <v>4.01%</v>
      </c>
      <c r="F1241" s="64">
        <f t="shared" si="2"/>
        <v>4.01</v>
      </c>
      <c r="G1241" s="64" t="str">
        <f t="shared" si="3"/>
        <v/>
      </c>
      <c r="H1241" s="64">
        <f>IFERROR(__xludf.DUMMYFUNCTION("IFERROR(GOOGLEFINANCE(A1241,""PRICE""),)"),4294.8)</f>
        <v>4294.8</v>
      </c>
      <c r="I1241" s="65">
        <f>IFERROR(__xludf.DUMMYFUNCTION("IFERROR(GOOGLEFINANCE(A1241,""VOLUME""),)"),70689.0)</f>
        <v>70689</v>
      </c>
      <c r="J1241" s="64" t="str">
        <f>IFERROR(__xludf.DUMMYFUNCTION("IFERROR(INDEX(SPLIT(A1241,"":""),1,2),)"),"SCHAEFFLER")</f>
        <v>SCHAEFFLER</v>
      </c>
      <c r="K1241" s="64">
        <f t="shared" si="4"/>
        <v>140</v>
      </c>
      <c r="L1241" s="64" t="str">
        <f t="shared" si="5"/>
        <v/>
      </c>
      <c r="M1241" s="64">
        <f t="shared" si="6"/>
        <v>842</v>
      </c>
      <c r="N1241" s="66">
        <f>IFERROR(__xludf.DUMMYFUNCTION("IFERROR(GOOGLEFINANCE(A1241,""TRADETIME""),)"),46086.64585648148)</f>
        <v>46086.64586</v>
      </c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</row>
    <row r="1242">
      <c r="A1242" s="67" t="s">
        <v>1288</v>
      </c>
      <c r="B1242" s="60" t="str">
        <f>IFERROR(__xludf.DUMMYFUNCTION("IFERROR(GOOGLEFINANCE(A1242,""NAME""),)"),"S Chand and Company Ltd")</f>
        <v>S Chand and Company Ltd</v>
      </c>
      <c r="C1242" s="60">
        <f>IFERROR(__xludf.DUMMYFUNCTION("IFERROR(GOOGLEFINANCE(A1242,""CHANGE""),)"),-2.72)</f>
        <v>-2.72</v>
      </c>
      <c r="D1242" s="60">
        <f>IFERROR(__xludf.DUMMYFUNCTION("IFERROR(GOOGLEFINANCE(A1242,""CHANGEPCT""),)"),-1.79)</f>
        <v>-1.79</v>
      </c>
      <c r="E1242" s="60" t="str">
        <f t="shared" si="1"/>
        <v>-1.79%</v>
      </c>
      <c r="F1242" s="60" t="str">
        <f t="shared" si="2"/>
        <v/>
      </c>
      <c r="G1242" s="60">
        <f t="shared" si="3"/>
        <v>-1.79</v>
      </c>
      <c r="H1242" s="60">
        <f>IFERROR(__xludf.DUMMYFUNCTION("IFERROR(GOOGLEFINANCE(A1242,""PRICE""),)"),149.5)</f>
        <v>149.5</v>
      </c>
      <c r="I1242" s="61">
        <f>IFERROR(__xludf.DUMMYFUNCTION("IFERROR(GOOGLEFINANCE(A1242,""VOLUME""),)"),63417.0)</f>
        <v>63417</v>
      </c>
      <c r="J1242" s="60" t="str">
        <f>IFERROR(__xludf.DUMMYFUNCTION("IFERROR(INDEX(SPLIT(A1242,"":""),1,2),)"),"SCHAND")</f>
        <v>SCHAND</v>
      </c>
      <c r="K1242" s="60" t="str">
        <f t="shared" si="4"/>
        <v/>
      </c>
      <c r="L1242" s="60">
        <f t="shared" si="5"/>
        <v>320</v>
      </c>
      <c r="M1242" s="60">
        <f t="shared" si="6"/>
        <v>867</v>
      </c>
      <c r="N1242" s="62">
        <f>IFERROR(__xludf.DUMMYFUNCTION("IFERROR(GOOGLEFINANCE(A1242,""TRADETIME""),)"),46086.64583333333)</f>
        <v>46086.64583</v>
      </c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</row>
    <row r="1243">
      <c r="A1243" s="68" t="s">
        <v>1289</v>
      </c>
      <c r="B1243" s="64" t="str">
        <f>IFERROR(__xludf.DUMMYFUNCTION("IFERROR(GOOGLEFINANCE(A1243,""NAME""),)"),"Schneider Electric Infrastructure Ltd")</f>
        <v>Schneider Electric Infrastructure Ltd</v>
      </c>
      <c r="C1243" s="64">
        <f>IFERROR(__xludf.DUMMYFUNCTION("IFERROR(GOOGLEFINANCE(A1243,""CHANGE""),)"),41.6)</f>
        <v>41.6</v>
      </c>
      <c r="D1243" s="64">
        <f>IFERROR(__xludf.DUMMYFUNCTION("IFERROR(GOOGLEFINANCE(A1243,""CHANGEPCT""),)"),5.0)</f>
        <v>5</v>
      </c>
      <c r="E1243" s="64" t="str">
        <f t="shared" si="1"/>
        <v>5%</v>
      </c>
      <c r="F1243" s="64">
        <f t="shared" si="2"/>
        <v>5</v>
      </c>
      <c r="G1243" s="64" t="str">
        <f t="shared" si="3"/>
        <v/>
      </c>
      <c r="H1243" s="64">
        <f>IFERROR(__xludf.DUMMYFUNCTION("IFERROR(GOOGLEFINANCE(A1243,""PRICE""),)"),874.35)</f>
        <v>874.35</v>
      </c>
      <c r="I1243" s="65">
        <f>IFERROR(__xludf.DUMMYFUNCTION("IFERROR(GOOGLEFINANCE(A1243,""VOLUME""),)"),73113.0)</f>
        <v>73113</v>
      </c>
      <c r="J1243" s="64" t="str">
        <f>IFERROR(__xludf.DUMMYFUNCTION("IFERROR(INDEX(SPLIT(A1243,"":""),1,2),)"),"SCHNEIDER")</f>
        <v>SCHNEIDER</v>
      </c>
      <c r="K1243" s="64">
        <f t="shared" si="4"/>
        <v>70</v>
      </c>
      <c r="L1243" s="64" t="str">
        <f t="shared" si="5"/>
        <v/>
      </c>
      <c r="M1243" s="64">
        <f t="shared" si="6"/>
        <v>835</v>
      </c>
      <c r="N1243" s="66">
        <f>IFERROR(__xludf.DUMMYFUNCTION("IFERROR(GOOGLEFINANCE(A1243,""TRADETIME""),)"),46086.64583333333)</f>
        <v>46086.64583</v>
      </c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</row>
    <row r="1244">
      <c r="A1244" s="67" t="s">
        <v>1290</v>
      </c>
      <c r="B1244" s="60" t="str">
        <f>IFERROR(__xludf.DUMMYFUNCTION("IFERROR(GOOGLEFINANCE(A1244,""NAME""),)"),"Shipping Corporation of India Ltd")</f>
        <v>Shipping Corporation of India Ltd</v>
      </c>
      <c r="C1244" s="60">
        <f>IFERROR(__xludf.DUMMYFUNCTION("IFERROR(GOOGLEFINANCE(A1244,""CHANGE""),)"),-3.4)</f>
        <v>-3.4</v>
      </c>
      <c r="D1244" s="60">
        <f>IFERROR(__xludf.DUMMYFUNCTION("IFERROR(GOOGLEFINANCE(A1244,""CHANGEPCT""),)"),-1.73)</f>
        <v>-1.73</v>
      </c>
      <c r="E1244" s="60" t="str">
        <f t="shared" si="1"/>
        <v>-1.73%</v>
      </c>
      <c r="F1244" s="60" t="str">
        <f t="shared" si="2"/>
        <v/>
      </c>
      <c r="G1244" s="60">
        <f t="shared" si="3"/>
        <v>-1.73</v>
      </c>
      <c r="H1244" s="60">
        <f>IFERROR(__xludf.DUMMYFUNCTION("IFERROR(GOOGLEFINANCE(A1244,""PRICE""),)"),242.8)</f>
        <v>242.8</v>
      </c>
      <c r="I1244" s="61">
        <f>IFERROR(__xludf.DUMMYFUNCTION("IFERROR(GOOGLEFINANCE(A1244,""VOLUME""),)"),1.0130558E7)</f>
        <v>10130558</v>
      </c>
      <c r="J1244" s="60" t="str">
        <f>IFERROR(__xludf.DUMMYFUNCTION("IFERROR(INDEX(SPLIT(A1244,"":""),1,2),)"),"SCI")</f>
        <v>SCI</v>
      </c>
      <c r="K1244" s="60" t="str">
        <f t="shared" si="4"/>
        <v/>
      </c>
      <c r="L1244" s="60">
        <f t="shared" si="5"/>
        <v>313</v>
      </c>
      <c r="M1244" s="60">
        <f t="shared" si="6"/>
        <v>61</v>
      </c>
      <c r="N1244" s="62">
        <f>IFERROR(__xludf.DUMMYFUNCTION("IFERROR(GOOGLEFINANCE(A1244,""TRADETIME""),)"),46086.64584490741)</f>
        <v>46086.64584</v>
      </c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</row>
    <row r="1245">
      <c r="A1245" s="68" t="s">
        <v>1291</v>
      </c>
      <c r="B1245" s="64" t="str">
        <f>IFERROR(__xludf.DUMMYFUNCTION("IFERROR(GOOGLEFINANCE(A1245,""NAME""),)"),"Som Distilleries and Breweries Ltd")</f>
        <v>Som Distilleries and Breweries Ltd</v>
      </c>
      <c r="C1245" s="64">
        <f>IFERROR(__xludf.DUMMYFUNCTION("IFERROR(GOOGLEFINANCE(A1245,""CHANGE""),)"),-1.28)</f>
        <v>-1.28</v>
      </c>
      <c r="D1245" s="64">
        <f>IFERROR(__xludf.DUMMYFUNCTION("IFERROR(GOOGLEFINANCE(A1245,""CHANGEPCT""),)"),-1.64)</f>
        <v>-1.64</v>
      </c>
      <c r="E1245" s="64" t="str">
        <f t="shared" si="1"/>
        <v>-1.64%</v>
      </c>
      <c r="F1245" s="64" t="str">
        <f t="shared" si="2"/>
        <v/>
      </c>
      <c r="G1245" s="64">
        <f t="shared" si="3"/>
        <v>-1.64</v>
      </c>
      <c r="H1245" s="64">
        <f>IFERROR(__xludf.DUMMYFUNCTION("IFERROR(GOOGLEFINANCE(A1245,""PRICE""),)"),76.7)</f>
        <v>76.7</v>
      </c>
      <c r="I1245" s="65">
        <f>IFERROR(__xludf.DUMMYFUNCTION("IFERROR(GOOGLEFINANCE(A1245,""VOLUME""),)"),924570.0)</f>
        <v>924570</v>
      </c>
      <c r="J1245" s="64" t="str">
        <f>IFERROR(__xludf.DUMMYFUNCTION("IFERROR(INDEX(SPLIT(A1245,"":""),1,2),)"),"SDBL")</f>
        <v>SDBL</v>
      </c>
      <c r="K1245" s="64" t="str">
        <f t="shared" si="4"/>
        <v/>
      </c>
      <c r="L1245" s="64">
        <f t="shared" si="5"/>
        <v>304</v>
      </c>
      <c r="M1245" s="64">
        <f t="shared" si="6"/>
        <v>297</v>
      </c>
      <c r="N1245" s="66">
        <f>IFERROR(__xludf.DUMMYFUNCTION("IFERROR(GOOGLEFINANCE(A1245,""TRADETIME""),)"),46086.64585648148)</f>
        <v>46086.64586</v>
      </c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</row>
    <row r="1246">
      <c r="A1246" s="67" t="s">
        <v>1292</v>
      </c>
      <c r="B1246" s="60" t="str">
        <f>IFERROR(__xludf.DUMMYFUNCTION("IFERROR(GOOGLEFINANCE(A1246,""NAME""),)"),"Seamec Ltd")</f>
        <v>Seamec Ltd</v>
      </c>
      <c r="C1246" s="60">
        <f>IFERROR(__xludf.DUMMYFUNCTION("IFERROR(GOOGLEFINANCE(A1246,""CHANGE""),)"),6.7)</f>
        <v>6.7</v>
      </c>
      <c r="D1246" s="60">
        <f>IFERROR(__xludf.DUMMYFUNCTION("IFERROR(GOOGLEFINANCE(A1246,""CHANGEPCT""),)"),0.5)</f>
        <v>0.5</v>
      </c>
      <c r="E1246" s="60" t="str">
        <f t="shared" si="1"/>
        <v>0.5%</v>
      </c>
      <c r="F1246" s="60">
        <f t="shared" si="2"/>
        <v>0.5</v>
      </c>
      <c r="G1246" s="60" t="str">
        <f t="shared" si="3"/>
        <v/>
      </c>
      <c r="H1246" s="60">
        <f>IFERROR(__xludf.DUMMYFUNCTION("IFERROR(GOOGLEFINANCE(A1246,""PRICE""),)"),1340.0)</f>
        <v>1340</v>
      </c>
      <c r="I1246" s="61">
        <f>IFERROR(__xludf.DUMMYFUNCTION("IFERROR(GOOGLEFINANCE(A1246,""VOLUME""),)"),123000.0)</f>
        <v>123000</v>
      </c>
      <c r="J1246" s="60" t="str">
        <f>IFERROR(__xludf.DUMMYFUNCTION("IFERROR(INDEX(SPLIT(A1246,"":""),1,2),)"),"SEAMECLTD")</f>
        <v>SEAMECLTD</v>
      </c>
      <c r="K1246" s="60">
        <f t="shared" si="4"/>
        <v>880</v>
      </c>
      <c r="L1246" s="60" t="str">
        <f t="shared" si="5"/>
        <v/>
      </c>
      <c r="M1246" s="60">
        <f t="shared" si="6"/>
        <v>715</v>
      </c>
      <c r="N1246" s="62">
        <f>IFERROR(__xludf.DUMMYFUNCTION("IFERROR(GOOGLEFINANCE(A1246,""TRADETIME""),)"),46086.64583333333)</f>
        <v>46086.64583</v>
      </c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</row>
    <row r="1247">
      <c r="A1247" s="68" t="s">
        <v>1293</v>
      </c>
      <c r="B1247" s="64" t="str">
        <f>IFERROR(__xludf.DUMMYFUNCTION("IFERROR(GOOGLEFINANCE(A1247,""NAME""),)"),"")</f>
        <v/>
      </c>
      <c r="C1247" s="64" t="str">
        <f>IFERROR(__xludf.DUMMYFUNCTION("IFERROR(GOOGLEFINANCE(A1247,""CHANGE""),)"),"")</f>
        <v/>
      </c>
      <c r="D1247" s="64" t="str">
        <f>IFERROR(__xludf.DUMMYFUNCTION("IFERROR(GOOGLEFINANCE(A1247,""CHANGEPCT""),)"),"")</f>
        <v/>
      </c>
      <c r="E1247" s="64" t="str">
        <f t="shared" si="1"/>
        <v>%</v>
      </c>
      <c r="F1247" s="64" t="str">
        <f t="shared" si="2"/>
        <v/>
      </c>
      <c r="G1247" s="64" t="str">
        <f t="shared" si="3"/>
        <v/>
      </c>
      <c r="H1247" s="64" t="str">
        <f>IFERROR(__xludf.DUMMYFUNCTION("IFERROR(GOOGLEFINANCE(A1247,""PRICE""),)"),"")</f>
        <v/>
      </c>
      <c r="I1247" s="65" t="str">
        <f>IFERROR(__xludf.DUMMYFUNCTION("IFERROR(GOOGLEFINANCE(A1247,""VOLUME""),)"),"")</f>
        <v/>
      </c>
      <c r="J1247" s="64" t="str">
        <f>IFERROR(__xludf.DUMMYFUNCTION("IFERROR(INDEX(SPLIT(A1247,"":""),1,2),)"),"SELAN")</f>
        <v>SELAN</v>
      </c>
      <c r="K1247" s="64" t="str">
        <f t="shared" si="4"/>
        <v/>
      </c>
      <c r="L1247" s="64" t="str">
        <f t="shared" si="5"/>
        <v/>
      </c>
      <c r="M1247" s="64" t="str">
        <f t="shared" si="6"/>
        <v/>
      </c>
      <c r="N1247" s="66" t="str">
        <f>IFERROR(__xludf.DUMMYFUNCTION("IFERROR(GOOGLEFINANCE(A1247,""TRADETIME""),)"),"")</f>
        <v/>
      </c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</row>
    <row r="1248">
      <c r="A1248" s="67" t="s">
        <v>1294</v>
      </c>
      <c r="B1248" s="60" t="str">
        <f>IFERROR(__xludf.DUMMYFUNCTION("IFERROR(GOOGLEFINANCE(A1248,""NAME""),)"),"Sel Manufacturing Company Ltd")</f>
        <v>Sel Manufacturing Company Ltd</v>
      </c>
      <c r="C1248" s="60">
        <f>IFERROR(__xludf.DUMMYFUNCTION("IFERROR(GOOGLEFINANCE(A1248,""CHANGE""),)"),1.37)</f>
        <v>1.37</v>
      </c>
      <c r="D1248" s="60">
        <f>IFERROR(__xludf.DUMMYFUNCTION("IFERROR(GOOGLEFINANCE(A1248,""CHANGEPCT""),)"),2.77)</f>
        <v>2.77</v>
      </c>
      <c r="E1248" s="60" t="str">
        <f t="shared" si="1"/>
        <v>2.77%</v>
      </c>
      <c r="F1248" s="60">
        <f t="shared" si="2"/>
        <v>2.77</v>
      </c>
      <c r="G1248" s="60" t="str">
        <f t="shared" si="3"/>
        <v/>
      </c>
      <c r="H1248" s="60">
        <f>IFERROR(__xludf.DUMMYFUNCTION("IFERROR(GOOGLEFINANCE(A1248,""PRICE""),)"),28.52)</f>
        <v>28.52</v>
      </c>
      <c r="I1248" s="61">
        <f>IFERROR(__xludf.DUMMYFUNCTION("IFERROR(GOOGLEFINANCE(A1248,""VOLUME""),)"),14148.0)</f>
        <v>14148</v>
      </c>
      <c r="J1248" s="60" t="str">
        <f>IFERROR(__xludf.DUMMYFUNCTION("IFERROR(INDEX(SPLIT(A1248,"":""),1,2),)"),"SELMC")</f>
        <v>SELMC</v>
      </c>
      <c r="K1248" s="60">
        <f t="shared" si="4"/>
        <v>297</v>
      </c>
      <c r="L1248" s="60" t="str">
        <f t="shared" si="5"/>
        <v/>
      </c>
      <c r="M1248" s="60">
        <f t="shared" si="6"/>
        <v>1203</v>
      </c>
      <c r="N1248" s="62">
        <f>IFERROR(__xludf.DUMMYFUNCTION("IFERROR(GOOGLEFINANCE(A1248,""TRADETIME""),)"),46086.64583333333)</f>
        <v>46086.64583</v>
      </c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</row>
    <row r="1249">
      <c r="A1249" s="68" t="s">
        <v>1295</v>
      </c>
      <c r="B1249" s="64" t="str">
        <f>IFERROR(__xludf.DUMMYFUNCTION("IFERROR(GOOGLEFINANCE(A1249,""NAME""),)"),"")</f>
        <v/>
      </c>
      <c r="C1249" s="64" t="str">
        <f>IFERROR(__xludf.DUMMYFUNCTION("IFERROR(GOOGLEFINANCE(A1249,""CHANGE""),)"),"")</f>
        <v/>
      </c>
      <c r="D1249" s="64" t="str">
        <f>IFERROR(__xludf.DUMMYFUNCTION("IFERROR(GOOGLEFINANCE(A1249,""CHANGEPCT""),)"),"")</f>
        <v/>
      </c>
      <c r="E1249" s="64" t="str">
        <f t="shared" si="1"/>
        <v>%</v>
      </c>
      <c r="F1249" s="64" t="str">
        <f t="shared" si="2"/>
        <v/>
      </c>
      <c r="G1249" s="64" t="str">
        <f t="shared" si="3"/>
        <v/>
      </c>
      <c r="H1249" s="64" t="str">
        <f>IFERROR(__xludf.DUMMYFUNCTION("IFERROR(GOOGLEFINANCE(A1249,""PRICE""),)"),"")</f>
        <v/>
      </c>
      <c r="I1249" s="65" t="str">
        <f>IFERROR(__xludf.DUMMYFUNCTION("IFERROR(GOOGLEFINANCE(A1249,""VOLUME""),)"),"")</f>
        <v/>
      </c>
      <c r="J1249" s="64" t="str">
        <f>IFERROR(__xludf.DUMMYFUNCTION("IFERROR(INDEX(SPLIT(A1249,"":""),1,2),)"),"SEPOWER")</f>
        <v>SEPOWER</v>
      </c>
      <c r="K1249" s="64" t="str">
        <f t="shared" si="4"/>
        <v/>
      </c>
      <c r="L1249" s="64" t="str">
        <f t="shared" si="5"/>
        <v/>
      </c>
      <c r="M1249" s="64" t="str">
        <f t="shared" si="6"/>
        <v/>
      </c>
      <c r="N1249" s="66" t="str">
        <f>IFERROR(__xludf.DUMMYFUNCTION("IFERROR(GOOGLEFINANCE(A1249,""TRADETIME""),)"),"")</f>
        <v/>
      </c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</row>
    <row r="1250">
      <c r="A1250" s="67" t="s">
        <v>1296</v>
      </c>
      <c r="B1250" s="60" t="str">
        <f>IFERROR(__xludf.DUMMYFUNCTION("IFERROR(GOOGLEFINANCE(A1250,""NAME""),)"),"")</f>
        <v/>
      </c>
      <c r="C1250" s="60" t="str">
        <f>IFERROR(__xludf.DUMMYFUNCTION("IFERROR(GOOGLEFINANCE(A1250,""CHANGE""),)"),"")</f>
        <v/>
      </c>
      <c r="D1250" s="60" t="str">
        <f>IFERROR(__xludf.DUMMYFUNCTION("IFERROR(GOOGLEFINANCE(A1250,""CHANGEPCT""),)"),"")</f>
        <v/>
      </c>
      <c r="E1250" s="60" t="str">
        <f t="shared" si="1"/>
        <v>%</v>
      </c>
      <c r="F1250" s="60" t="str">
        <f t="shared" si="2"/>
        <v/>
      </c>
      <c r="G1250" s="60" t="str">
        <f t="shared" si="3"/>
        <v/>
      </c>
      <c r="H1250" s="60" t="str">
        <f>IFERROR(__xludf.DUMMYFUNCTION("IFERROR(GOOGLEFINANCE(A1250,""PRICE""),)"),"")</f>
        <v/>
      </c>
      <c r="I1250" s="61" t="str">
        <f>IFERROR(__xludf.DUMMYFUNCTION("IFERROR(GOOGLEFINANCE(A1250,""VOLUME""),)"),"")</f>
        <v/>
      </c>
      <c r="J1250" s="60" t="str">
        <f>IFERROR(__xludf.DUMMYFUNCTION("IFERROR(INDEX(SPLIT(A1250,"":""),1,2),)"),"SEQUENT")</f>
        <v>SEQUENT</v>
      </c>
      <c r="K1250" s="60" t="str">
        <f t="shared" si="4"/>
        <v/>
      </c>
      <c r="L1250" s="60" t="str">
        <f t="shared" si="5"/>
        <v/>
      </c>
      <c r="M1250" s="60" t="str">
        <f t="shared" si="6"/>
        <v/>
      </c>
      <c r="N1250" s="62" t="str">
        <f>IFERROR(__xludf.DUMMYFUNCTION("IFERROR(GOOGLEFINANCE(A1250,""TRADETIME""),)"),"")</f>
        <v/>
      </c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</row>
    <row r="1251">
      <c r="A1251" s="68" t="s">
        <v>1297</v>
      </c>
      <c r="B1251" s="64" t="str">
        <f>IFERROR(__xludf.DUMMYFUNCTION("IFERROR(GOOGLEFINANCE(A1251,""NAME""),)"),"Seshasayee Paper and Boards Ltd")</f>
        <v>Seshasayee Paper and Boards Ltd</v>
      </c>
      <c r="C1251" s="64">
        <f>IFERROR(__xludf.DUMMYFUNCTION("IFERROR(GOOGLEFINANCE(A1251,""CHANGE""),)"),0.35)</f>
        <v>0.35</v>
      </c>
      <c r="D1251" s="64">
        <f>IFERROR(__xludf.DUMMYFUNCTION("IFERROR(GOOGLEFINANCE(A1251,""CHANGEPCT""),)"),0.13)</f>
        <v>0.13</v>
      </c>
      <c r="E1251" s="64" t="str">
        <f t="shared" si="1"/>
        <v>0.13%</v>
      </c>
      <c r="F1251" s="64">
        <f t="shared" si="2"/>
        <v>0.13</v>
      </c>
      <c r="G1251" s="64" t="str">
        <f t="shared" si="3"/>
        <v/>
      </c>
      <c r="H1251" s="64">
        <f>IFERROR(__xludf.DUMMYFUNCTION("IFERROR(GOOGLEFINANCE(A1251,""PRICE""),)"),264.9)</f>
        <v>264.9</v>
      </c>
      <c r="I1251" s="65">
        <f>IFERROR(__xludf.DUMMYFUNCTION("IFERROR(GOOGLEFINANCE(A1251,""VOLUME""),)"),9093.0)</f>
        <v>9093</v>
      </c>
      <c r="J1251" s="64" t="str">
        <f>IFERROR(__xludf.DUMMYFUNCTION("IFERROR(INDEX(SPLIT(A1251,"":""),1,2),)"),"SESHAPAPER")</f>
        <v>SESHAPAPER</v>
      </c>
      <c r="K1251" s="64">
        <f t="shared" si="4"/>
        <v>967</v>
      </c>
      <c r="L1251" s="64" t="str">
        <f t="shared" si="5"/>
        <v/>
      </c>
      <c r="M1251" s="64">
        <f t="shared" si="6"/>
        <v>1275</v>
      </c>
      <c r="N1251" s="66">
        <f>IFERROR(__xludf.DUMMYFUNCTION("IFERROR(GOOGLEFINANCE(A1251,""TRADETIME""),)"),46086.64583333333)</f>
        <v>46086.64583</v>
      </c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</row>
    <row r="1252">
      <c r="A1252" s="67" t="s">
        <v>1298</v>
      </c>
      <c r="B1252" s="60" t="str">
        <f>IFERROR(__xludf.DUMMYFUNCTION("IFERROR(GOOGLEFINANCE(A1252,""NAME""),)"),"Setco Automotive Ltd")</f>
        <v>Setco Automotive Ltd</v>
      </c>
      <c r="C1252" s="60">
        <f>IFERROR(__xludf.DUMMYFUNCTION("IFERROR(GOOGLEFINANCE(A1252,""CHANGE""),)"),0.34)</f>
        <v>0.34</v>
      </c>
      <c r="D1252" s="60">
        <f>IFERROR(__xludf.DUMMYFUNCTION("IFERROR(GOOGLEFINANCE(A1252,""CHANGEPCT""),)"),3.56)</f>
        <v>3.56</v>
      </c>
      <c r="E1252" s="60" t="str">
        <f t="shared" si="1"/>
        <v>3.56%</v>
      </c>
      <c r="F1252" s="60">
        <f t="shared" si="2"/>
        <v>3.56</v>
      </c>
      <c r="G1252" s="60" t="str">
        <f t="shared" si="3"/>
        <v/>
      </c>
      <c r="H1252" s="60">
        <f>IFERROR(__xludf.DUMMYFUNCTION("IFERROR(GOOGLEFINANCE(A1252,""PRICE""),)"),18.3)</f>
        <v>18.3</v>
      </c>
      <c r="I1252" s="61">
        <f>IFERROR(__xludf.DUMMYFUNCTION("IFERROR(GOOGLEFINANCE(A1252,""VOLUME""),)"),157566.0)</f>
        <v>157566</v>
      </c>
      <c r="J1252" s="60" t="str">
        <f>IFERROR(__xludf.DUMMYFUNCTION("IFERROR(INDEX(SPLIT(A1252,"":""),1,2),)"),"SETCO")</f>
        <v>SETCO</v>
      </c>
      <c r="K1252" s="60">
        <f t="shared" si="4"/>
        <v>188</v>
      </c>
      <c r="L1252" s="60" t="str">
        <f t="shared" si="5"/>
        <v/>
      </c>
      <c r="M1252" s="60">
        <f t="shared" si="6"/>
        <v>663</v>
      </c>
      <c r="N1252" s="62">
        <f>IFERROR(__xludf.DUMMYFUNCTION("IFERROR(GOOGLEFINANCE(A1252,""TRADETIME""),)"),46086.64583333333)</f>
        <v>46086.64583</v>
      </c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</row>
    <row r="1253">
      <c r="A1253" s="68" t="s">
        <v>1299</v>
      </c>
      <c r="B1253" s="64" t="str">
        <f>IFERROR(__xludf.DUMMYFUNCTION("IFERROR(GOOGLEFINANCE(A1253,""NAME""),)"),"Setubandhan Infrastructure Ltd")</f>
        <v>Setubandhan Infrastructure Ltd</v>
      </c>
      <c r="C1253" s="64">
        <f>IFERROR(__xludf.DUMMYFUNCTION("IFERROR(GOOGLEFINANCE(A1253,""CHANGE""),)"),-0.02)</f>
        <v>-0.02</v>
      </c>
      <c r="D1253" s="64">
        <f>IFERROR(__xludf.DUMMYFUNCTION("IFERROR(GOOGLEFINANCE(A1253,""CHANGEPCT""),)"),-4.76)</f>
        <v>-4.76</v>
      </c>
      <c r="E1253" s="64" t="str">
        <f t="shared" si="1"/>
        <v>-4.76%</v>
      </c>
      <c r="F1253" s="64" t="str">
        <f t="shared" si="2"/>
        <v/>
      </c>
      <c r="G1253" s="64">
        <f t="shared" si="3"/>
        <v>-4.76</v>
      </c>
      <c r="H1253" s="64">
        <f>IFERROR(__xludf.DUMMYFUNCTION("IFERROR(GOOGLEFINANCE(A1253,""PRICE""),)"),0.4)</f>
        <v>0.4</v>
      </c>
      <c r="I1253" s="65">
        <f>IFERROR(__xludf.DUMMYFUNCTION("IFERROR(GOOGLEFINANCE(A1253,""VOLUME""),)"),13101.0)</f>
        <v>13101</v>
      </c>
      <c r="J1253" s="64" t="str">
        <f>IFERROR(__xludf.DUMMYFUNCTION("IFERROR(INDEX(SPLIT(A1253,"":""),1,2),)"),"SETUINFRA")</f>
        <v>SETUINFRA</v>
      </c>
      <c r="K1253" s="64" t="str">
        <f t="shared" si="4"/>
        <v/>
      </c>
      <c r="L1253" s="64">
        <f t="shared" si="5"/>
        <v>432</v>
      </c>
      <c r="M1253" s="64">
        <f t="shared" si="6"/>
        <v>1211</v>
      </c>
      <c r="N1253" s="66">
        <f>IFERROR(__xludf.DUMMYFUNCTION("IFERROR(GOOGLEFINANCE(A1253,""TRADETIME""),)"),46086.64583333333)</f>
        <v>46086.64583</v>
      </c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</row>
    <row r="1254">
      <c r="A1254" s="67" t="s">
        <v>1300</v>
      </c>
      <c r="B1254" s="60" t="str">
        <f>IFERROR(__xludf.DUMMYFUNCTION("IFERROR(GOOGLEFINANCE(A1254,""NAME""),)"),"Seya Industries Ltd")</f>
        <v>Seya Industries Ltd</v>
      </c>
      <c r="C1254" s="60">
        <f>IFERROR(__xludf.DUMMYFUNCTION("IFERROR(GOOGLEFINANCE(A1254,""CHANGE""),)"),-0.53)</f>
        <v>-0.53</v>
      </c>
      <c r="D1254" s="60">
        <f>IFERROR(__xludf.DUMMYFUNCTION("IFERROR(GOOGLEFINANCE(A1254,""CHANGEPCT""),)"),-4.97)</f>
        <v>-4.97</v>
      </c>
      <c r="E1254" s="60" t="str">
        <f t="shared" si="1"/>
        <v>-4.97%</v>
      </c>
      <c r="F1254" s="60" t="str">
        <f t="shared" si="2"/>
        <v/>
      </c>
      <c r="G1254" s="60">
        <f t="shared" si="3"/>
        <v>-4.97</v>
      </c>
      <c r="H1254" s="60">
        <f>IFERROR(__xludf.DUMMYFUNCTION("IFERROR(GOOGLEFINANCE(A1254,""PRICE""),)"),10.14)</f>
        <v>10.14</v>
      </c>
      <c r="I1254" s="61">
        <f>IFERROR(__xludf.DUMMYFUNCTION("IFERROR(GOOGLEFINANCE(A1254,""VOLUME""),)"),89233.0)</f>
        <v>89233</v>
      </c>
      <c r="J1254" s="60" t="str">
        <f>IFERROR(__xludf.DUMMYFUNCTION("IFERROR(INDEX(SPLIT(A1254,"":""),1,2),)"),"SEYAIND")</f>
        <v>SEYAIND</v>
      </c>
      <c r="K1254" s="60" t="str">
        <f t="shared" si="4"/>
        <v/>
      </c>
      <c r="L1254" s="60">
        <f t="shared" si="5"/>
        <v>439</v>
      </c>
      <c r="M1254" s="60">
        <f t="shared" si="6"/>
        <v>784</v>
      </c>
      <c r="N1254" s="62">
        <f>IFERROR(__xludf.DUMMYFUNCTION("IFERROR(GOOGLEFINANCE(A1254,""TRADETIME""),)"),46086.64583333333)</f>
        <v>46086.64583</v>
      </c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</row>
    <row r="1255">
      <c r="A1255" s="68" t="s">
        <v>1301</v>
      </c>
      <c r="B1255" s="64" t="str">
        <f>IFERROR(__xludf.DUMMYFUNCTION("IFERROR(GOOGLEFINANCE(A1255,""NAME""),)"),"Sejal Glass Ltd")</f>
        <v>Sejal Glass Ltd</v>
      </c>
      <c r="C1255" s="64">
        <f>IFERROR(__xludf.DUMMYFUNCTION("IFERROR(GOOGLEFINANCE(A1255,""CHANGE""),)"),-11.6)</f>
        <v>-11.6</v>
      </c>
      <c r="D1255" s="64">
        <f>IFERROR(__xludf.DUMMYFUNCTION("IFERROR(GOOGLEFINANCE(A1255,""CHANGEPCT""),)"),-2.22)</f>
        <v>-2.22</v>
      </c>
      <c r="E1255" s="64" t="str">
        <f t="shared" si="1"/>
        <v>-2.22%</v>
      </c>
      <c r="F1255" s="64" t="str">
        <f t="shared" si="2"/>
        <v/>
      </c>
      <c r="G1255" s="64">
        <f t="shared" si="3"/>
        <v>-2.22</v>
      </c>
      <c r="H1255" s="64">
        <f>IFERROR(__xludf.DUMMYFUNCTION("IFERROR(GOOGLEFINANCE(A1255,""PRICE""),)"),510.05)</f>
        <v>510.05</v>
      </c>
      <c r="I1255" s="65">
        <f>IFERROR(__xludf.DUMMYFUNCTION("IFERROR(GOOGLEFINANCE(A1255,""VOLUME""),)"),11308.0)</f>
        <v>11308</v>
      </c>
      <c r="J1255" s="64" t="str">
        <f>IFERROR(__xludf.DUMMYFUNCTION("IFERROR(INDEX(SPLIT(A1255,"":""),1,2),)"),"SEJALLTD")</f>
        <v>SEJALLTD</v>
      </c>
      <c r="K1255" s="64" t="str">
        <f t="shared" si="4"/>
        <v/>
      </c>
      <c r="L1255" s="64">
        <f t="shared" si="5"/>
        <v>371</v>
      </c>
      <c r="M1255" s="64">
        <f t="shared" si="6"/>
        <v>1243</v>
      </c>
      <c r="N1255" s="66">
        <f>IFERROR(__xludf.DUMMYFUNCTION("IFERROR(GOOGLEFINANCE(A1255,""TRADETIME""),)"),46086.64583333333)</f>
        <v>46086.64583</v>
      </c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</row>
    <row r="1256">
      <c r="A1256" s="67" t="s">
        <v>1302</v>
      </c>
      <c r="B1256" s="60" t="str">
        <f>IFERROR(__xludf.DUMMYFUNCTION("IFERROR(GOOGLEFINANCE(A1256,""NAME""),)"),"Sheela Foam Ltd")</f>
        <v>Sheela Foam Ltd</v>
      </c>
      <c r="C1256" s="60">
        <f>IFERROR(__xludf.DUMMYFUNCTION("IFERROR(GOOGLEFINANCE(A1256,""CHANGE""),)"),-5.45)</f>
        <v>-5.45</v>
      </c>
      <c r="D1256" s="60">
        <f>IFERROR(__xludf.DUMMYFUNCTION("IFERROR(GOOGLEFINANCE(A1256,""CHANGEPCT""),)"),-1.8)</f>
        <v>-1.8</v>
      </c>
      <c r="E1256" s="60" t="str">
        <f t="shared" si="1"/>
        <v>-1.8%</v>
      </c>
      <c r="F1256" s="60" t="str">
        <f t="shared" si="2"/>
        <v/>
      </c>
      <c r="G1256" s="60">
        <f t="shared" si="3"/>
        <v>-1.8</v>
      </c>
      <c r="H1256" s="60">
        <f>IFERROR(__xludf.DUMMYFUNCTION("IFERROR(GOOGLEFINANCE(A1256,""PRICE""),)"),527.45)</f>
        <v>527.45</v>
      </c>
      <c r="I1256" s="61">
        <f>IFERROR(__xludf.DUMMYFUNCTION("IFERROR(GOOGLEFINANCE(A1256,""VOLUME""),)"),62199.0)</f>
        <v>62199</v>
      </c>
      <c r="J1256" s="60" t="str">
        <f>IFERROR(__xludf.DUMMYFUNCTION("IFERROR(INDEX(SPLIT(A1256,"":""),1,2),)"),"SFL")</f>
        <v>SFL</v>
      </c>
      <c r="K1256" s="60" t="str">
        <f t="shared" si="4"/>
        <v/>
      </c>
      <c r="L1256" s="60">
        <f t="shared" si="5"/>
        <v>324</v>
      </c>
      <c r="M1256" s="60">
        <f t="shared" si="6"/>
        <v>871</v>
      </c>
      <c r="N1256" s="62">
        <f>IFERROR(__xludf.DUMMYFUNCTION("IFERROR(GOOGLEFINANCE(A1256,""TRADETIME""),)"),46086.64583333333)</f>
        <v>46086.64583</v>
      </c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</row>
    <row r="1257">
      <c r="A1257" s="68" t="s">
        <v>1303</v>
      </c>
      <c r="B1257" s="64" t="str">
        <f>IFERROR(__xludf.DUMMYFUNCTION("IFERROR(GOOGLEFINANCE(A1257,""NAME""),)"),"STL Global Ltd")</f>
        <v>STL Global Ltd</v>
      </c>
      <c r="C1257" s="64">
        <f>IFERROR(__xludf.DUMMYFUNCTION("IFERROR(GOOGLEFINANCE(A1257,""CHANGE""),)"),0.12)</f>
        <v>0.12</v>
      </c>
      <c r="D1257" s="64">
        <f>IFERROR(__xludf.DUMMYFUNCTION("IFERROR(GOOGLEFINANCE(A1257,""CHANGEPCT""),)"),-1.97)</f>
        <v>-1.97</v>
      </c>
      <c r="E1257" s="64" t="str">
        <f t="shared" si="1"/>
        <v>-1.97%</v>
      </c>
      <c r="F1257" s="64" t="str">
        <f t="shared" si="2"/>
        <v/>
      </c>
      <c r="G1257" s="64">
        <f t="shared" si="3"/>
        <v>-1.97</v>
      </c>
      <c r="H1257" s="64">
        <f>IFERROR(__xludf.DUMMYFUNCTION("IFERROR(GOOGLEFINANCE(A1257,""PRICE""),)"),10.97)</f>
        <v>10.97</v>
      </c>
      <c r="I1257" s="65">
        <f>IFERROR(__xludf.DUMMYFUNCTION("IFERROR(GOOGLEFINANCE(A1257,""VOLUME""),)"),8930.0)</f>
        <v>8930</v>
      </c>
      <c r="J1257" s="64" t="str">
        <f>IFERROR(__xludf.DUMMYFUNCTION("IFERROR(INDEX(SPLIT(A1257,"":""),1,2),)"),"SGL")</f>
        <v>SGL</v>
      </c>
      <c r="K1257" s="64" t="str">
        <f t="shared" si="4"/>
        <v/>
      </c>
      <c r="L1257" s="64">
        <f t="shared" si="5"/>
        <v>349</v>
      </c>
      <c r="M1257" s="64">
        <f t="shared" si="6"/>
        <v>1279</v>
      </c>
      <c r="N1257" s="66">
        <f>IFERROR(__xludf.DUMMYFUNCTION("IFERROR(GOOGLEFINANCE(A1257,""TRADETIME""),)"),46086.64583333333)</f>
        <v>46086.64583</v>
      </c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</row>
    <row r="1258">
      <c r="A1258" s="67" t="s">
        <v>1304</v>
      </c>
      <c r="B1258" s="60" t="str">
        <f>IFERROR(__xludf.DUMMYFUNCTION("IFERROR(GOOGLEFINANCE(A1258,""NAME""),)"),"Shah Alloys Ltd")</f>
        <v>Shah Alloys Ltd</v>
      </c>
      <c r="C1258" s="60">
        <f>IFERROR(__xludf.DUMMYFUNCTION("IFERROR(GOOGLEFINANCE(A1258,""CHANGE""),)"),1.44)</f>
        <v>1.44</v>
      </c>
      <c r="D1258" s="60">
        <f>IFERROR(__xludf.DUMMYFUNCTION("IFERROR(GOOGLEFINANCE(A1258,""CHANGEPCT""),)"),2.38)</f>
        <v>2.38</v>
      </c>
      <c r="E1258" s="60" t="str">
        <f t="shared" si="1"/>
        <v>2.38%</v>
      </c>
      <c r="F1258" s="60">
        <f t="shared" si="2"/>
        <v>2.38</v>
      </c>
      <c r="G1258" s="60" t="str">
        <f t="shared" si="3"/>
        <v/>
      </c>
      <c r="H1258" s="60">
        <f>IFERROR(__xludf.DUMMYFUNCTION("IFERROR(GOOGLEFINANCE(A1258,""PRICE""),)"),62.0)</f>
        <v>62</v>
      </c>
      <c r="I1258" s="61">
        <f>IFERROR(__xludf.DUMMYFUNCTION("IFERROR(GOOGLEFINANCE(A1258,""VOLUME""),)"),8583.0)</f>
        <v>8583</v>
      </c>
      <c r="J1258" s="60" t="str">
        <f>IFERROR(__xludf.DUMMYFUNCTION("IFERROR(INDEX(SPLIT(A1258,"":""),1,2),)"),"SHAHALLOYS")</f>
        <v>SHAHALLOYS</v>
      </c>
      <c r="K1258" s="60">
        <f t="shared" si="4"/>
        <v>360</v>
      </c>
      <c r="L1258" s="60" t="str">
        <f t="shared" si="5"/>
        <v/>
      </c>
      <c r="M1258" s="60">
        <f t="shared" si="6"/>
        <v>1287</v>
      </c>
      <c r="N1258" s="62">
        <f>IFERROR(__xludf.DUMMYFUNCTION("IFERROR(GOOGLEFINANCE(A1258,""TRADETIME""),)"),46086.64583333333)</f>
        <v>46086.64583</v>
      </c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</row>
    <row r="1259">
      <c r="A1259" s="63" t="s">
        <v>1305</v>
      </c>
      <c r="B1259" s="64" t="str">
        <f>IFERROR(__xludf.DUMMYFUNCTION("IFERROR(GOOGLEFINANCE(A1259,""NAME""),)"),"Thomas Cook (India) Ltd")</f>
        <v>Thomas Cook (India) Ltd</v>
      </c>
      <c r="C1259" s="64">
        <f>IFERROR(__xludf.DUMMYFUNCTION("IFERROR(GOOGLEFINANCE(A1259,""CHANGE""),)"),-1.5)</f>
        <v>-1.5</v>
      </c>
      <c r="D1259" s="64">
        <f>IFERROR(__xludf.DUMMYFUNCTION("IFERROR(GOOGLEFINANCE(A1259,""CHANGEPCT""),)"),-1.57)</f>
        <v>-1.57</v>
      </c>
      <c r="E1259" s="64" t="str">
        <f t="shared" si="1"/>
        <v>-1.57%</v>
      </c>
      <c r="F1259" s="64" t="str">
        <f t="shared" si="2"/>
        <v/>
      </c>
      <c r="G1259" s="64">
        <f t="shared" si="3"/>
        <v>-1.57</v>
      </c>
      <c r="H1259" s="64">
        <f>IFERROR(__xludf.DUMMYFUNCTION("IFERROR(GOOGLEFINANCE(A1259,""PRICE""),)"),94.11)</f>
        <v>94.11</v>
      </c>
      <c r="I1259" s="65">
        <f>IFERROR(__xludf.DUMMYFUNCTION("IFERROR(GOOGLEFINANCE(A1259,""VOLUME""),)"),1646574.0)</f>
        <v>1646574</v>
      </c>
      <c r="J1259" s="64" t="str">
        <f>IFERROR(__xludf.DUMMYFUNCTION("IFERROR(INDEX(SPLIT(A1259,"":""),1,2),)"),"THOMASCOOK")</f>
        <v>THOMASCOOK</v>
      </c>
      <c r="K1259" s="64" t="str">
        <f t="shared" si="4"/>
        <v/>
      </c>
      <c r="L1259" s="64">
        <f t="shared" si="5"/>
        <v>298</v>
      </c>
      <c r="M1259" s="64">
        <f t="shared" si="6"/>
        <v>230</v>
      </c>
      <c r="N1259" s="66">
        <f>IFERROR(__xludf.DUMMYFUNCTION("IFERROR(GOOGLEFINANCE(A1259,""TRADETIME""),)"),46086.64583333333)</f>
        <v>46086.64583</v>
      </c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</row>
    <row r="1260">
      <c r="A1260" s="67" t="s">
        <v>1306</v>
      </c>
      <c r="B1260" s="60" t="str">
        <f>IFERROR(__xludf.DUMMYFUNCTION("IFERROR(GOOGLEFINANCE(A1260,""NAME""),)"),"Shalby Ltd")</f>
        <v>Shalby Ltd</v>
      </c>
      <c r="C1260" s="60">
        <f>IFERROR(__xludf.DUMMYFUNCTION("IFERROR(GOOGLEFINANCE(A1260,""CHANGE""),)"),1.22)</f>
        <v>1.22</v>
      </c>
      <c r="D1260" s="60">
        <f>IFERROR(__xludf.DUMMYFUNCTION("IFERROR(GOOGLEFINANCE(A1260,""CHANGEPCT""),)"),0.83)</f>
        <v>0.83</v>
      </c>
      <c r="E1260" s="60" t="str">
        <f t="shared" si="1"/>
        <v>0.83%</v>
      </c>
      <c r="F1260" s="60">
        <f t="shared" si="2"/>
        <v>0.83</v>
      </c>
      <c r="G1260" s="60" t="str">
        <f t="shared" si="3"/>
        <v/>
      </c>
      <c r="H1260" s="60">
        <f>IFERROR(__xludf.DUMMYFUNCTION("IFERROR(GOOGLEFINANCE(A1260,""PRICE""),)"),148.1)</f>
        <v>148.1</v>
      </c>
      <c r="I1260" s="61">
        <f>IFERROR(__xludf.DUMMYFUNCTION("IFERROR(GOOGLEFINANCE(A1260,""VOLUME""),)"),435562.0)</f>
        <v>435562</v>
      </c>
      <c r="J1260" s="60" t="str">
        <f>IFERROR(__xludf.DUMMYFUNCTION("IFERROR(INDEX(SPLIT(A1260,"":""),1,2),)"),"SHALBY")</f>
        <v>SHALBY</v>
      </c>
      <c r="K1260" s="60">
        <f t="shared" si="4"/>
        <v>774</v>
      </c>
      <c r="L1260" s="60" t="str">
        <f t="shared" si="5"/>
        <v/>
      </c>
      <c r="M1260" s="60">
        <f t="shared" si="6"/>
        <v>427</v>
      </c>
      <c r="N1260" s="62">
        <f>IFERROR(__xludf.DUMMYFUNCTION("IFERROR(GOOGLEFINANCE(A1260,""TRADETIME""),)"),46086.64583333333)</f>
        <v>46086.64583</v>
      </c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</row>
    <row r="1261">
      <c r="A1261" s="68" t="s">
        <v>1307</v>
      </c>
      <c r="B1261" s="64" t="str">
        <f>IFERROR(__xludf.DUMMYFUNCTION("IFERROR(GOOGLEFINANCE(A1261,""NAME""),)"),"Shalimar Paints Ltd")</f>
        <v>Shalimar Paints Ltd</v>
      </c>
      <c r="C1261" s="64">
        <f>IFERROR(__xludf.DUMMYFUNCTION("IFERROR(GOOGLEFINANCE(A1261,""CHANGE""),)"),0.06)</f>
        <v>0.06</v>
      </c>
      <c r="D1261" s="64">
        <f>IFERROR(__xludf.DUMMYFUNCTION("IFERROR(GOOGLEFINANCE(A1261,""CHANGEPCT""),)"),0.11)</f>
        <v>0.11</v>
      </c>
      <c r="E1261" s="64" t="str">
        <f t="shared" si="1"/>
        <v>0.11%</v>
      </c>
      <c r="F1261" s="64">
        <f t="shared" si="2"/>
        <v>0.11</v>
      </c>
      <c r="G1261" s="64" t="str">
        <f t="shared" si="3"/>
        <v/>
      </c>
      <c r="H1261" s="64">
        <f>IFERROR(__xludf.DUMMYFUNCTION("IFERROR(GOOGLEFINANCE(A1261,""PRICE""),)"),53.0)</f>
        <v>53</v>
      </c>
      <c r="I1261" s="65">
        <f>IFERROR(__xludf.DUMMYFUNCTION("IFERROR(GOOGLEFINANCE(A1261,""VOLUME""),)"),57667.0)</f>
        <v>57667</v>
      </c>
      <c r="J1261" s="64" t="str">
        <f>IFERROR(__xludf.DUMMYFUNCTION("IFERROR(INDEX(SPLIT(A1261,"":""),1,2),)"),"SHALPAINTS")</f>
        <v>SHALPAINTS</v>
      </c>
      <c r="K1261" s="64">
        <f t="shared" si="4"/>
        <v>975</v>
      </c>
      <c r="L1261" s="64" t="str">
        <f t="shared" si="5"/>
        <v/>
      </c>
      <c r="M1261" s="64">
        <f t="shared" si="6"/>
        <v>890</v>
      </c>
      <c r="N1261" s="66">
        <f>IFERROR(__xludf.DUMMYFUNCTION("IFERROR(GOOGLEFINANCE(A1261,""TRADETIME""),)"),46086.64583333333)</f>
        <v>46086.64583</v>
      </c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</row>
    <row r="1262">
      <c r="A1262" s="67" t="s">
        <v>1308</v>
      </c>
      <c r="B1262" s="60" t="str">
        <f>IFERROR(__xludf.DUMMYFUNCTION("IFERROR(GOOGLEFINANCE(A1262,""NAME""),)"),"Shankara Building Products Ltd")</f>
        <v>Shankara Building Products Ltd</v>
      </c>
      <c r="C1262" s="60">
        <f>IFERROR(__xludf.DUMMYFUNCTION("IFERROR(GOOGLEFINANCE(A1262,""CHANGE""),)"),-2.06)</f>
        <v>-2.06</v>
      </c>
      <c r="D1262" s="60">
        <f>IFERROR(__xludf.DUMMYFUNCTION("IFERROR(GOOGLEFINANCE(A1262,""CHANGEPCT""),)"),-1.95)</f>
        <v>-1.95</v>
      </c>
      <c r="E1262" s="60" t="str">
        <f t="shared" si="1"/>
        <v>-1.95%</v>
      </c>
      <c r="F1262" s="60" t="str">
        <f t="shared" si="2"/>
        <v/>
      </c>
      <c r="G1262" s="60">
        <f t="shared" si="3"/>
        <v>-1.95</v>
      </c>
      <c r="H1262" s="60">
        <f>IFERROR(__xludf.DUMMYFUNCTION("IFERROR(GOOGLEFINANCE(A1262,""PRICE""),)"),103.4)</f>
        <v>103.4</v>
      </c>
      <c r="I1262" s="61">
        <f>IFERROR(__xludf.DUMMYFUNCTION("IFERROR(GOOGLEFINANCE(A1262,""VOLUME""),)"),85731.0)</f>
        <v>85731</v>
      </c>
      <c r="J1262" s="60" t="str">
        <f>IFERROR(__xludf.DUMMYFUNCTION("IFERROR(INDEX(SPLIT(A1262,"":""),1,2),)"),"SHANKARA")</f>
        <v>SHANKARA</v>
      </c>
      <c r="K1262" s="60" t="str">
        <f t="shared" si="4"/>
        <v/>
      </c>
      <c r="L1262" s="60">
        <f t="shared" si="5"/>
        <v>343</v>
      </c>
      <c r="M1262" s="60">
        <f t="shared" si="6"/>
        <v>796</v>
      </c>
      <c r="N1262" s="62">
        <f>IFERROR(__xludf.DUMMYFUNCTION("IFERROR(GOOGLEFINANCE(A1262,""TRADETIME""),)"),46086.64583333333)</f>
        <v>46086.64583</v>
      </c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</row>
    <row r="1263">
      <c r="A1263" s="68" t="s">
        <v>1309</v>
      </c>
      <c r="B1263" s="64" t="str">
        <f>IFERROR(__xludf.DUMMYFUNCTION("IFERROR(GOOGLEFINANCE(A1263,""NAME""),)"),"Shanthi Gears Ltd")</f>
        <v>Shanthi Gears Ltd</v>
      </c>
      <c r="C1263" s="64">
        <f>IFERROR(__xludf.DUMMYFUNCTION("IFERROR(GOOGLEFINANCE(A1263,""CHANGE""),)"),1.8)</f>
        <v>1.8</v>
      </c>
      <c r="D1263" s="64">
        <f>IFERROR(__xludf.DUMMYFUNCTION("IFERROR(GOOGLEFINANCE(A1263,""CHANGEPCT""),)"),0.41)</f>
        <v>0.41</v>
      </c>
      <c r="E1263" s="64" t="str">
        <f t="shared" si="1"/>
        <v>0.41%</v>
      </c>
      <c r="F1263" s="64">
        <f t="shared" si="2"/>
        <v>0.41</v>
      </c>
      <c r="G1263" s="64" t="str">
        <f t="shared" si="3"/>
        <v/>
      </c>
      <c r="H1263" s="64">
        <f>IFERROR(__xludf.DUMMYFUNCTION("IFERROR(GOOGLEFINANCE(A1263,""PRICE""),)"),442.05)</f>
        <v>442.05</v>
      </c>
      <c r="I1263" s="65">
        <f>IFERROR(__xludf.DUMMYFUNCTION("IFERROR(GOOGLEFINANCE(A1263,""VOLUME""),)"),10252.0)</f>
        <v>10252</v>
      </c>
      <c r="J1263" s="64" t="str">
        <f>IFERROR(__xludf.DUMMYFUNCTION("IFERROR(INDEX(SPLIT(A1263,"":""),1,2),)"),"SHANTIGEAR")</f>
        <v>SHANTIGEAR</v>
      </c>
      <c r="K1263" s="64">
        <f t="shared" si="4"/>
        <v>903</v>
      </c>
      <c r="L1263" s="64" t="str">
        <f t="shared" si="5"/>
        <v/>
      </c>
      <c r="M1263" s="64">
        <f t="shared" si="6"/>
        <v>1259</v>
      </c>
      <c r="N1263" s="66">
        <f>IFERROR(__xludf.DUMMYFUNCTION("IFERROR(GOOGLEFINANCE(A1263,""TRADETIME""),)"),46086.64583333333)</f>
        <v>46086.64583</v>
      </c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</row>
    <row r="1264">
      <c r="A1264" s="67" t="s">
        <v>1310</v>
      </c>
      <c r="B1264" s="60" t="str">
        <f>IFERROR(__xludf.DUMMYFUNCTION("IFERROR(GOOGLEFINANCE(A1264,""NAME""),)"),"Sharda Cropchem Ltd")</f>
        <v>Sharda Cropchem Ltd</v>
      </c>
      <c r="C1264" s="60">
        <f>IFERROR(__xludf.DUMMYFUNCTION("IFERROR(GOOGLEFINANCE(A1264,""CHANGE""),)"),31.4)</f>
        <v>31.4</v>
      </c>
      <c r="D1264" s="60">
        <f>IFERROR(__xludf.DUMMYFUNCTION("IFERROR(GOOGLEFINANCE(A1264,""CHANGEPCT""),)"),3.02)</f>
        <v>3.02</v>
      </c>
      <c r="E1264" s="60" t="str">
        <f t="shared" si="1"/>
        <v>3.02%</v>
      </c>
      <c r="F1264" s="60">
        <f t="shared" si="2"/>
        <v>3.02</v>
      </c>
      <c r="G1264" s="60" t="str">
        <f t="shared" si="3"/>
        <v/>
      </c>
      <c r="H1264" s="60">
        <f>IFERROR(__xludf.DUMMYFUNCTION("IFERROR(GOOGLEFINANCE(A1264,""PRICE""),)"),1069.9)</f>
        <v>1069.9</v>
      </c>
      <c r="I1264" s="61">
        <f>IFERROR(__xludf.DUMMYFUNCTION("IFERROR(GOOGLEFINANCE(A1264,""VOLUME""),)"),382991.0)</f>
        <v>382991</v>
      </c>
      <c r="J1264" s="60" t="str">
        <f>IFERROR(__xludf.DUMMYFUNCTION("IFERROR(INDEX(SPLIT(A1264,"":""),1,2),)"),"SHARDACROP")</f>
        <v>SHARDACROP</v>
      </c>
      <c r="K1264" s="60">
        <f t="shared" si="4"/>
        <v>253</v>
      </c>
      <c r="L1264" s="60" t="str">
        <f t="shared" si="5"/>
        <v/>
      </c>
      <c r="M1264" s="60">
        <f t="shared" si="6"/>
        <v>448</v>
      </c>
      <c r="N1264" s="62">
        <f>IFERROR(__xludf.DUMMYFUNCTION("IFERROR(GOOGLEFINANCE(A1264,""TRADETIME""),)"),46086.64585648148)</f>
        <v>46086.64586</v>
      </c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</row>
    <row r="1265">
      <c r="A1265" s="68" t="s">
        <v>1311</v>
      </c>
      <c r="B1265" s="64" t="str">
        <f>IFERROR(__xludf.DUMMYFUNCTION("IFERROR(GOOGLEFINANCE(A1265,""NAME""),)"),"Sharda Motor Industries Ltd")</f>
        <v>Sharda Motor Industries Ltd</v>
      </c>
      <c r="C1265" s="64">
        <f>IFERROR(__xludf.DUMMYFUNCTION("IFERROR(GOOGLEFINANCE(A1265,""CHANGE""),)"),-15.85)</f>
        <v>-15.85</v>
      </c>
      <c r="D1265" s="64">
        <f>IFERROR(__xludf.DUMMYFUNCTION("IFERROR(GOOGLEFINANCE(A1265,""CHANGEPCT""),)"),-1.84)</f>
        <v>-1.84</v>
      </c>
      <c r="E1265" s="64" t="str">
        <f t="shared" si="1"/>
        <v>-1.84%</v>
      </c>
      <c r="F1265" s="64" t="str">
        <f t="shared" si="2"/>
        <v/>
      </c>
      <c r="G1265" s="64">
        <f t="shared" si="3"/>
        <v>-1.84</v>
      </c>
      <c r="H1265" s="64">
        <f>IFERROR(__xludf.DUMMYFUNCTION("IFERROR(GOOGLEFINANCE(A1265,""PRICE""),)"),846.0)</f>
        <v>846</v>
      </c>
      <c r="I1265" s="65">
        <f>IFERROR(__xludf.DUMMYFUNCTION("IFERROR(GOOGLEFINANCE(A1265,""VOLUME""),)"),67768.0)</f>
        <v>67768</v>
      </c>
      <c r="J1265" s="64" t="str">
        <f>IFERROR(__xludf.DUMMYFUNCTION("IFERROR(INDEX(SPLIT(A1265,"":""),1,2),)"),"SHARDAMOTR")</f>
        <v>SHARDAMOTR</v>
      </c>
      <c r="K1265" s="64" t="str">
        <f t="shared" si="4"/>
        <v/>
      </c>
      <c r="L1265" s="64">
        <f t="shared" si="5"/>
        <v>330</v>
      </c>
      <c r="M1265" s="64">
        <f t="shared" si="6"/>
        <v>854</v>
      </c>
      <c r="N1265" s="66">
        <f>IFERROR(__xludf.DUMMYFUNCTION("IFERROR(GOOGLEFINANCE(A1265,""TRADETIME""),)"),46086.64583333333)</f>
        <v>46086.64583</v>
      </c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</row>
    <row r="1266">
      <c r="A1266" s="67" t="s">
        <v>1312</v>
      </c>
      <c r="B1266" s="60" t="str">
        <f>IFERROR(__xludf.DUMMYFUNCTION("IFERROR(GOOGLEFINANCE(A1266,""NAME""),)"),"Share India Securities Ltd")</f>
        <v>Share India Securities Ltd</v>
      </c>
      <c r="C1266" s="60">
        <f>IFERROR(__xludf.DUMMYFUNCTION("IFERROR(GOOGLEFINANCE(A1266,""CHANGE""),)"),0.92)</f>
        <v>0.92</v>
      </c>
      <c r="D1266" s="60">
        <f>IFERROR(__xludf.DUMMYFUNCTION("IFERROR(GOOGLEFINANCE(A1266,""CHANGEPCT""),)"),0.75)</f>
        <v>0.75</v>
      </c>
      <c r="E1266" s="60" t="str">
        <f t="shared" si="1"/>
        <v>0.75%</v>
      </c>
      <c r="F1266" s="60">
        <f t="shared" si="2"/>
        <v>0.75</v>
      </c>
      <c r="G1266" s="60" t="str">
        <f t="shared" si="3"/>
        <v/>
      </c>
      <c r="H1266" s="60">
        <f>IFERROR(__xludf.DUMMYFUNCTION("IFERROR(GOOGLEFINANCE(A1266,""PRICE""),)"),124.4)</f>
        <v>124.4</v>
      </c>
      <c r="I1266" s="61">
        <f>IFERROR(__xludf.DUMMYFUNCTION("IFERROR(GOOGLEFINANCE(A1266,""VOLUME""),)"),354151.0)</f>
        <v>354151</v>
      </c>
      <c r="J1266" s="60" t="str">
        <f>IFERROR(__xludf.DUMMYFUNCTION("IFERROR(INDEX(SPLIT(A1266,"":""),1,2),)"),"SHAREINDIA")</f>
        <v>SHAREINDIA</v>
      </c>
      <c r="K1266" s="60">
        <f t="shared" si="4"/>
        <v>802</v>
      </c>
      <c r="L1266" s="60" t="str">
        <f t="shared" si="5"/>
        <v/>
      </c>
      <c r="M1266" s="60">
        <f t="shared" si="6"/>
        <v>476</v>
      </c>
      <c r="N1266" s="62">
        <f>IFERROR(__xludf.DUMMYFUNCTION("IFERROR(GOOGLEFINANCE(A1266,""TRADETIME""),)"),46086.64585648148)</f>
        <v>46086.64586</v>
      </c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</row>
    <row r="1267">
      <c r="A1267" s="68" t="s">
        <v>1313</v>
      </c>
      <c r="B1267" s="64" t="str">
        <f>IFERROR(__xludf.DUMMYFUNCTION("IFERROR(GOOGLEFINANCE(A1267,""NAME""),)"),"Shemaroo Entertainment Ltd")</f>
        <v>Shemaroo Entertainment Ltd</v>
      </c>
      <c r="C1267" s="64">
        <f>IFERROR(__xludf.DUMMYFUNCTION("IFERROR(GOOGLEFINANCE(A1267,""CHANGE""),)"),6.44)</f>
        <v>6.44</v>
      </c>
      <c r="D1267" s="64">
        <f>IFERROR(__xludf.DUMMYFUNCTION("IFERROR(GOOGLEFINANCE(A1267,""CHANGEPCT""),)"),6.7)</f>
        <v>6.7</v>
      </c>
      <c r="E1267" s="64" t="str">
        <f t="shared" si="1"/>
        <v>6.7%</v>
      </c>
      <c r="F1267" s="64">
        <f t="shared" si="2"/>
        <v>6.7</v>
      </c>
      <c r="G1267" s="64" t="str">
        <f t="shared" si="3"/>
        <v/>
      </c>
      <c r="H1267" s="64">
        <f>IFERROR(__xludf.DUMMYFUNCTION("IFERROR(GOOGLEFINANCE(A1267,""PRICE""),)"),102.5)</f>
        <v>102.5</v>
      </c>
      <c r="I1267" s="65">
        <f>IFERROR(__xludf.DUMMYFUNCTION("IFERROR(GOOGLEFINANCE(A1267,""VOLUME""),)"),11978.0)</f>
        <v>11978</v>
      </c>
      <c r="J1267" s="64" t="str">
        <f>IFERROR(__xludf.DUMMYFUNCTION("IFERROR(INDEX(SPLIT(A1267,"":""),1,2),)"),"SHEMAROO")</f>
        <v>SHEMAROO</v>
      </c>
      <c r="K1267" s="64">
        <f t="shared" si="4"/>
        <v>31</v>
      </c>
      <c r="L1267" s="64" t="str">
        <f t="shared" si="5"/>
        <v/>
      </c>
      <c r="M1267" s="64">
        <f t="shared" si="6"/>
        <v>1230</v>
      </c>
      <c r="N1267" s="66">
        <f>IFERROR(__xludf.DUMMYFUNCTION("IFERROR(GOOGLEFINANCE(A1267,""TRADETIME""),)"),46086.64584490741)</f>
        <v>46086.64584</v>
      </c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</row>
    <row r="1268">
      <c r="A1268" s="67" t="s">
        <v>1314</v>
      </c>
      <c r="B1268" s="60" t="str">
        <f>IFERROR(__xludf.DUMMYFUNCTION("IFERROR(GOOGLEFINANCE(A1268,""NAME""),)"),"Hindware Home Innovation Ltd")</f>
        <v>Hindware Home Innovation Ltd</v>
      </c>
      <c r="C1268" s="60">
        <f>IFERROR(__xludf.DUMMYFUNCTION("IFERROR(GOOGLEFINANCE(A1268,""CHANGE""),)"),3.58)</f>
        <v>3.58</v>
      </c>
      <c r="D1268" s="60">
        <f>IFERROR(__xludf.DUMMYFUNCTION("IFERROR(GOOGLEFINANCE(A1268,""CHANGEPCT""),)"),1.47)</f>
        <v>1.47</v>
      </c>
      <c r="E1268" s="60" t="str">
        <f t="shared" si="1"/>
        <v>1.47%</v>
      </c>
      <c r="F1268" s="60">
        <f t="shared" si="2"/>
        <v>1.47</v>
      </c>
      <c r="G1268" s="60" t="str">
        <f t="shared" si="3"/>
        <v/>
      </c>
      <c r="H1268" s="60">
        <f>IFERROR(__xludf.DUMMYFUNCTION("IFERROR(GOOGLEFINANCE(A1268,""PRICE""),)"),212.5)</f>
        <v>212.5</v>
      </c>
      <c r="I1268" s="61">
        <f>IFERROR(__xludf.DUMMYFUNCTION("IFERROR(GOOGLEFINANCE(A1268,""VOLUME""),)"),91094.0)</f>
        <v>91094</v>
      </c>
      <c r="J1268" s="60" t="str">
        <f>IFERROR(__xludf.DUMMYFUNCTION("IFERROR(INDEX(SPLIT(A1268,"":""),1,2),)"),"HINDWAREAP")</f>
        <v>HINDWAREAP</v>
      </c>
      <c r="K1268" s="60">
        <f t="shared" si="4"/>
        <v>582</v>
      </c>
      <c r="L1268" s="60" t="str">
        <f t="shared" si="5"/>
        <v/>
      </c>
      <c r="M1268" s="60">
        <f t="shared" si="6"/>
        <v>778</v>
      </c>
      <c r="N1268" s="62">
        <f>IFERROR(__xludf.DUMMYFUNCTION("IFERROR(GOOGLEFINANCE(A1268,""TRADETIME""),)"),46086.64583333333)</f>
        <v>46086.64583</v>
      </c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</row>
    <row r="1269">
      <c r="A1269" s="68" t="s">
        <v>1315</v>
      </c>
      <c r="B1269" s="64" t="str">
        <f>IFERROR(__xludf.DUMMYFUNCTION("IFERROR(GOOGLEFINANCE(A1269,""NAME""),)"),"Shilpa Medicare Ltd")</f>
        <v>Shilpa Medicare Ltd</v>
      </c>
      <c r="C1269" s="64">
        <f>IFERROR(__xludf.DUMMYFUNCTION("IFERROR(GOOGLEFINANCE(A1269,""CHANGE""),)"),12.2)</f>
        <v>12.2</v>
      </c>
      <c r="D1269" s="64">
        <f>IFERROR(__xludf.DUMMYFUNCTION("IFERROR(GOOGLEFINANCE(A1269,""CHANGEPCT""),)"),2.36)</f>
        <v>2.36</v>
      </c>
      <c r="E1269" s="64" t="str">
        <f t="shared" si="1"/>
        <v>2.36%</v>
      </c>
      <c r="F1269" s="64">
        <f t="shared" si="2"/>
        <v>2.36</v>
      </c>
      <c r="G1269" s="64" t="str">
        <f t="shared" si="3"/>
        <v/>
      </c>
      <c r="H1269" s="64">
        <f>IFERROR(__xludf.DUMMYFUNCTION("IFERROR(GOOGLEFINANCE(A1269,""PRICE""),)"),327.9)</f>
        <v>327.9</v>
      </c>
      <c r="I1269" s="65">
        <f>IFERROR(__xludf.DUMMYFUNCTION("IFERROR(GOOGLEFINANCE(A1269,""VOLUME""),)"),199335.0)</f>
        <v>199335</v>
      </c>
      <c r="J1269" s="64" t="str">
        <f>IFERROR(__xludf.DUMMYFUNCTION("IFERROR(INDEX(SPLIT(A1269,"":""),1,2),)"),"SHILPAMED")</f>
        <v>SHILPAMED</v>
      </c>
      <c r="K1269" s="64">
        <f t="shared" si="4"/>
        <v>365</v>
      </c>
      <c r="L1269" s="64" t="str">
        <f t="shared" si="5"/>
        <v/>
      </c>
      <c r="M1269" s="64">
        <f t="shared" si="6"/>
        <v>608</v>
      </c>
      <c r="N1269" s="66">
        <f>IFERROR(__xludf.DUMMYFUNCTION("IFERROR(GOOGLEFINANCE(A1269,""TRADETIME""),)"),46086.64583333333)</f>
        <v>46086.64583</v>
      </c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</row>
    <row r="1270">
      <c r="A1270" s="67" t="s">
        <v>1316</v>
      </c>
      <c r="B1270" s="60" t="str">
        <f>IFERROR(__xludf.DUMMYFUNCTION("IFERROR(GOOGLEFINANCE(A1270,""NAME""),)"),"Shivam Autotech Ltd")</f>
        <v>Shivam Autotech Ltd</v>
      </c>
      <c r="C1270" s="60">
        <f>IFERROR(__xludf.DUMMYFUNCTION("IFERROR(GOOGLEFINANCE(A1270,""CHANGE""),)"),0.35)</f>
        <v>0.35</v>
      </c>
      <c r="D1270" s="60">
        <f>IFERROR(__xludf.DUMMYFUNCTION("IFERROR(GOOGLEFINANCE(A1270,""CHANGEPCT""),)"),1.93)</f>
        <v>1.93</v>
      </c>
      <c r="E1270" s="60" t="str">
        <f t="shared" si="1"/>
        <v>1.93%</v>
      </c>
      <c r="F1270" s="60">
        <f t="shared" si="2"/>
        <v>1.93</v>
      </c>
      <c r="G1270" s="60" t="str">
        <f t="shared" si="3"/>
        <v/>
      </c>
      <c r="H1270" s="60">
        <f>IFERROR(__xludf.DUMMYFUNCTION("IFERROR(GOOGLEFINANCE(A1270,""PRICE""),)"),18.47)</f>
        <v>18.47</v>
      </c>
      <c r="I1270" s="61">
        <f>IFERROR(__xludf.DUMMYFUNCTION("IFERROR(GOOGLEFINANCE(A1270,""VOLUME""),)"),51246.0)</f>
        <v>51246</v>
      </c>
      <c r="J1270" s="60" t="str">
        <f>IFERROR(__xludf.DUMMYFUNCTION("IFERROR(INDEX(SPLIT(A1270,"":""),1,2),)"),"SHIVAMAUTO")</f>
        <v>SHIVAMAUTO</v>
      </c>
      <c r="K1270" s="60">
        <f t="shared" si="4"/>
        <v>456</v>
      </c>
      <c r="L1270" s="60" t="str">
        <f t="shared" si="5"/>
        <v/>
      </c>
      <c r="M1270" s="60">
        <f t="shared" si="6"/>
        <v>928</v>
      </c>
      <c r="N1270" s="62">
        <f>IFERROR(__xludf.DUMMYFUNCTION("IFERROR(GOOGLEFINANCE(A1270,""TRADETIME""),)"),46086.64584490741)</f>
        <v>46086.64584</v>
      </c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</row>
    <row r="1271">
      <c r="A1271" s="68" t="s">
        <v>1317</v>
      </c>
      <c r="B1271" s="64" t="str">
        <f>IFERROR(__xludf.DUMMYFUNCTION("IFERROR(GOOGLEFINANCE(A1271,""NAME""),)"),"Shiva Mills Ltd")</f>
        <v>Shiva Mills Ltd</v>
      </c>
      <c r="C1271" s="64">
        <f>IFERROR(__xludf.DUMMYFUNCTION("IFERROR(GOOGLEFINANCE(A1271,""CHANGE""),)"),0.89)</f>
        <v>0.89</v>
      </c>
      <c r="D1271" s="64">
        <f>IFERROR(__xludf.DUMMYFUNCTION("IFERROR(GOOGLEFINANCE(A1271,""CHANGEPCT""),)"),1.64)</f>
        <v>1.64</v>
      </c>
      <c r="E1271" s="64" t="str">
        <f t="shared" si="1"/>
        <v>1.64%</v>
      </c>
      <c r="F1271" s="64">
        <f t="shared" si="2"/>
        <v>1.64</v>
      </c>
      <c r="G1271" s="64" t="str">
        <f t="shared" si="3"/>
        <v/>
      </c>
      <c r="H1271" s="64">
        <f>IFERROR(__xludf.DUMMYFUNCTION("IFERROR(GOOGLEFINANCE(A1271,""PRICE""),)"),55.0)</f>
        <v>55</v>
      </c>
      <c r="I1271" s="65">
        <f>IFERROR(__xludf.DUMMYFUNCTION("IFERROR(GOOGLEFINANCE(A1271,""VOLUME""),)"),3560.0)</f>
        <v>3560</v>
      </c>
      <c r="J1271" s="64" t="str">
        <f>IFERROR(__xludf.DUMMYFUNCTION("IFERROR(INDEX(SPLIT(A1271,"":""),1,2),)"),"SHIVAMILLS")</f>
        <v>SHIVAMILLS</v>
      </c>
      <c r="K1271" s="64">
        <f t="shared" si="4"/>
        <v>531</v>
      </c>
      <c r="L1271" s="64" t="str">
        <f t="shared" si="5"/>
        <v/>
      </c>
      <c r="M1271" s="64">
        <f t="shared" si="6"/>
        <v>1375</v>
      </c>
      <c r="N1271" s="66">
        <f>IFERROR(__xludf.DUMMYFUNCTION("IFERROR(GOOGLEFINANCE(A1271,""TRADETIME""),)"),46086.64583333333)</f>
        <v>46086.64583</v>
      </c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</row>
    <row r="1272">
      <c r="A1272" s="67" t="s">
        <v>1318</v>
      </c>
      <c r="B1272" s="60" t="str">
        <f>IFERROR(__xludf.DUMMYFUNCTION("IFERROR(GOOGLEFINANCE(A1272,""NAME""),)"),"Shiva Texyarn Ltd")</f>
        <v>Shiva Texyarn Ltd</v>
      </c>
      <c r="C1272" s="60">
        <f>IFERROR(__xludf.DUMMYFUNCTION("IFERROR(GOOGLEFINANCE(A1272,""CHANGE""),)"),1.83)</f>
        <v>1.83</v>
      </c>
      <c r="D1272" s="60">
        <f>IFERROR(__xludf.DUMMYFUNCTION("IFERROR(GOOGLEFINANCE(A1272,""CHANGEPCT""),)"),1.23)</f>
        <v>1.23</v>
      </c>
      <c r="E1272" s="60" t="str">
        <f t="shared" si="1"/>
        <v>1.23%</v>
      </c>
      <c r="F1272" s="60">
        <f t="shared" si="2"/>
        <v>1.23</v>
      </c>
      <c r="G1272" s="60" t="str">
        <f t="shared" si="3"/>
        <v/>
      </c>
      <c r="H1272" s="60">
        <f>IFERROR(__xludf.DUMMYFUNCTION("IFERROR(GOOGLEFINANCE(A1272,""PRICE""),)"),150.99)</f>
        <v>150.99</v>
      </c>
      <c r="I1272" s="61">
        <f>IFERROR(__xludf.DUMMYFUNCTION("IFERROR(GOOGLEFINANCE(A1272,""VOLUME""),)"),1070.0)</f>
        <v>1070</v>
      </c>
      <c r="J1272" s="60" t="str">
        <f>IFERROR(__xludf.DUMMYFUNCTION("IFERROR(INDEX(SPLIT(A1272,"":""),1,2),)"),"SHIVATEX")</f>
        <v>SHIVATEX</v>
      </c>
      <c r="K1272" s="60">
        <f t="shared" si="4"/>
        <v>661</v>
      </c>
      <c r="L1272" s="60" t="str">
        <f t="shared" si="5"/>
        <v/>
      </c>
      <c r="M1272" s="60">
        <f t="shared" si="6"/>
        <v>1431</v>
      </c>
      <c r="N1272" s="62">
        <f>IFERROR(__xludf.DUMMYFUNCTION("IFERROR(GOOGLEFINANCE(A1272,""TRADETIME""),)"),46086.639074074075)</f>
        <v>46086.63907</v>
      </c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</row>
    <row r="1273">
      <c r="A1273" s="68" t="s">
        <v>1319</v>
      </c>
      <c r="B1273" s="64" t="str">
        <f>IFERROR(__xludf.DUMMYFUNCTION("IFERROR(GOOGLEFINANCE(A1273,""NAME""),)"),"S H Kelkar And Company Ltd")</f>
        <v>S H Kelkar And Company Ltd</v>
      </c>
      <c r="C1273" s="64">
        <f>IFERROR(__xludf.DUMMYFUNCTION("IFERROR(GOOGLEFINANCE(A1273,""CHANGE""),)"),-2.44)</f>
        <v>-2.44</v>
      </c>
      <c r="D1273" s="64">
        <f>IFERROR(__xludf.DUMMYFUNCTION("IFERROR(GOOGLEFINANCE(A1273,""CHANGEPCT""),)"),-1.78)</f>
        <v>-1.78</v>
      </c>
      <c r="E1273" s="64" t="str">
        <f t="shared" si="1"/>
        <v>-1.78%</v>
      </c>
      <c r="F1273" s="64" t="str">
        <f t="shared" si="2"/>
        <v/>
      </c>
      <c r="G1273" s="64">
        <f t="shared" si="3"/>
        <v>-1.78</v>
      </c>
      <c r="H1273" s="64">
        <f>IFERROR(__xludf.DUMMYFUNCTION("IFERROR(GOOGLEFINANCE(A1273,""PRICE""),)"),134.7)</f>
        <v>134.7</v>
      </c>
      <c r="I1273" s="65">
        <f>IFERROR(__xludf.DUMMYFUNCTION("IFERROR(GOOGLEFINANCE(A1273,""VOLUME""),)"),425089.0)</f>
        <v>425089</v>
      </c>
      <c r="J1273" s="64" t="str">
        <f>IFERROR(__xludf.DUMMYFUNCTION("IFERROR(INDEX(SPLIT(A1273,"":""),1,2),)"),"SHK")</f>
        <v>SHK</v>
      </c>
      <c r="K1273" s="64" t="str">
        <f t="shared" si="4"/>
        <v/>
      </c>
      <c r="L1273" s="64">
        <f t="shared" si="5"/>
        <v>318</v>
      </c>
      <c r="M1273" s="64">
        <f t="shared" si="6"/>
        <v>430</v>
      </c>
      <c r="N1273" s="66">
        <f>IFERROR(__xludf.DUMMYFUNCTION("IFERROR(GOOGLEFINANCE(A1273,""TRADETIME""),)"),46086.64584490741)</f>
        <v>46086.64584</v>
      </c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</row>
    <row r="1274">
      <c r="A1274" s="67" t="s">
        <v>1320</v>
      </c>
      <c r="B1274" s="60" t="str">
        <f>IFERROR(__xludf.DUMMYFUNCTION("IFERROR(GOOGLEFINANCE(A1274,""NAME""),)"),"Shoppers Stop Ltd")</f>
        <v>Shoppers Stop Ltd</v>
      </c>
      <c r="C1274" s="60">
        <f>IFERROR(__xludf.DUMMYFUNCTION("IFERROR(GOOGLEFINANCE(A1274,""CHANGE""),)"),12.95)</f>
        <v>12.95</v>
      </c>
      <c r="D1274" s="60">
        <f>IFERROR(__xludf.DUMMYFUNCTION("IFERROR(GOOGLEFINANCE(A1274,""CHANGEPCT""),)"),4.43)</f>
        <v>4.43</v>
      </c>
      <c r="E1274" s="60" t="str">
        <f t="shared" si="1"/>
        <v>4.43%</v>
      </c>
      <c r="F1274" s="60">
        <f t="shared" si="2"/>
        <v>4.43</v>
      </c>
      <c r="G1274" s="60" t="str">
        <f t="shared" si="3"/>
        <v/>
      </c>
      <c r="H1274" s="60">
        <f>IFERROR(__xludf.DUMMYFUNCTION("IFERROR(GOOGLEFINANCE(A1274,""PRICE""),)"),305.0)</f>
        <v>305</v>
      </c>
      <c r="I1274" s="61">
        <f>IFERROR(__xludf.DUMMYFUNCTION("IFERROR(GOOGLEFINANCE(A1274,""VOLUME""),)"),253399.0)</f>
        <v>253399</v>
      </c>
      <c r="J1274" s="60" t="str">
        <f>IFERROR(__xludf.DUMMYFUNCTION("IFERROR(INDEX(SPLIT(A1274,"":""),1,2),)"),"SHOPERSTOP")</f>
        <v>SHOPERSTOP</v>
      </c>
      <c r="K1274" s="60">
        <f t="shared" si="4"/>
        <v>115</v>
      </c>
      <c r="L1274" s="60" t="str">
        <f t="shared" si="5"/>
        <v/>
      </c>
      <c r="M1274" s="60">
        <f t="shared" si="6"/>
        <v>551</v>
      </c>
      <c r="N1274" s="62">
        <f>IFERROR(__xludf.DUMMYFUNCTION("IFERROR(GOOGLEFINANCE(A1274,""TRADETIME""),)"),46086.64583333333)</f>
        <v>46086.64583</v>
      </c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</row>
    <row r="1275">
      <c r="A1275" s="68" t="s">
        <v>1321</v>
      </c>
      <c r="B1275" s="64" t="str">
        <f>IFERROR(__xludf.DUMMYFUNCTION("IFERROR(GOOGLEFINANCE(A1275,""NAME""),)"),"Shradha Realty Ltd")</f>
        <v>Shradha Realty Ltd</v>
      </c>
      <c r="C1275" s="64">
        <f>IFERROR(__xludf.DUMMYFUNCTION("IFERROR(GOOGLEFINANCE(A1275,""CHANGE""),)"),-2.8)</f>
        <v>-2.8</v>
      </c>
      <c r="D1275" s="64">
        <f>IFERROR(__xludf.DUMMYFUNCTION("IFERROR(GOOGLEFINANCE(A1275,""CHANGEPCT""),)"),-8.07)</f>
        <v>-8.07</v>
      </c>
      <c r="E1275" s="64" t="str">
        <f t="shared" si="1"/>
        <v>-8.07%</v>
      </c>
      <c r="F1275" s="64" t="str">
        <f t="shared" si="2"/>
        <v/>
      </c>
      <c r="G1275" s="64">
        <f t="shared" si="3"/>
        <v>-8.07</v>
      </c>
      <c r="H1275" s="64">
        <f>IFERROR(__xludf.DUMMYFUNCTION("IFERROR(GOOGLEFINANCE(A1275,""PRICE""),)"),32.45)</f>
        <v>32.45</v>
      </c>
      <c r="I1275" s="65">
        <f>IFERROR(__xludf.DUMMYFUNCTION("IFERROR(GOOGLEFINANCE(A1275,""VOLUME""),)"),157396.0)</f>
        <v>157396</v>
      </c>
      <c r="J1275" s="64" t="str">
        <f>IFERROR(__xludf.DUMMYFUNCTION("IFERROR(INDEX(SPLIT(A1275,"":""),1,2),)"),"SHRADHA")</f>
        <v>SHRADHA</v>
      </c>
      <c r="K1275" s="64" t="str">
        <f t="shared" si="4"/>
        <v/>
      </c>
      <c r="L1275" s="64">
        <f t="shared" si="5"/>
        <v>450</v>
      </c>
      <c r="M1275" s="64">
        <f t="shared" si="6"/>
        <v>664</v>
      </c>
      <c r="N1275" s="66">
        <f>IFERROR(__xludf.DUMMYFUNCTION("IFERROR(GOOGLEFINANCE(A1275,""TRADETIME""),)"),46086.64583333333)</f>
        <v>46086.64583</v>
      </c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</row>
    <row r="1276">
      <c r="A1276" s="67" t="s">
        <v>1322</v>
      </c>
      <c r="B1276" s="60" t="str">
        <f>IFERROR(__xludf.DUMMYFUNCTION("IFERROR(GOOGLEFINANCE(A1276,""NAME""),)"),"Shree Digvijay Cement Co Ltd")</f>
        <v>Shree Digvijay Cement Co Ltd</v>
      </c>
      <c r="C1276" s="60">
        <f>IFERROR(__xludf.DUMMYFUNCTION("IFERROR(GOOGLEFINANCE(A1276,""CHANGE""),)"),-1.19)</f>
        <v>-1.19</v>
      </c>
      <c r="D1276" s="60">
        <f>IFERROR(__xludf.DUMMYFUNCTION("IFERROR(GOOGLEFINANCE(A1276,""CHANGEPCT""),)"),-1.78)</f>
        <v>-1.78</v>
      </c>
      <c r="E1276" s="60" t="str">
        <f t="shared" si="1"/>
        <v>-1.78%</v>
      </c>
      <c r="F1276" s="60" t="str">
        <f t="shared" si="2"/>
        <v/>
      </c>
      <c r="G1276" s="60">
        <f t="shared" si="3"/>
        <v>-1.78</v>
      </c>
      <c r="H1276" s="60">
        <f>IFERROR(__xludf.DUMMYFUNCTION("IFERROR(GOOGLEFINANCE(A1276,""PRICE""),)"),65.78)</f>
        <v>65.78</v>
      </c>
      <c r="I1276" s="61">
        <f>IFERROR(__xludf.DUMMYFUNCTION("IFERROR(GOOGLEFINANCE(A1276,""VOLUME""),)"),323593.0)</f>
        <v>323593</v>
      </c>
      <c r="J1276" s="60" t="str">
        <f>IFERROR(__xludf.DUMMYFUNCTION("IFERROR(INDEX(SPLIT(A1276,"":""),1,2),)"),"SHREDIGCEM")</f>
        <v>SHREDIGCEM</v>
      </c>
      <c r="K1276" s="60" t="str">
        <f t="shared" si="4"/>
        <v/>
      </c>
      <c r="L1276" s="60">
        <f t="shared" si="5"/>
        <v>319</v>
      </c>
      <c r="M1276" s="60">
        <f t="shared" si="6"/>
        <v>495</v>
      </c>
      <c r="N1276" s="62">
        <f>IFERROR(__xludf.DUMMYFUNCTION("IFERROR(GOOGLEFINANCE(A1276,""TRADETIME""),)"),46086.64583333333)</f>
        <v>46086.64583</v>
      </c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</row>
    <row r="1277">
      <c r="A1277" s="68" t="s">
        <v>1323</v>
      </c>
      <c r="B1277" s="64" t="str">
        <f>IFERROR(__xludf.DUMMYFUNCTION("IFERROR(GOOGLEFINANCE(A1277,""NAME""),)"),"Shree Cement Ltd")</f>
        <v>Shree Cement Ltd</v>
      </c>
      <c r="C1277" s="64">
        <f>IFERROR(__xludf.DUMMYFUNCTION("IFERROR(GOOGLEFINANCE(A1277,""CHANGE""),)"),-130.0)</f>
        <v>-130</v>
      </c>
      <c r="D1277" s="64">
        <f>IFERROR(__xludf.DUMMYFUNCTION("IFERROR(GOOGLEFINANCE(A1277,""CHANGEPCT""),)"),-0.51)</f>
        <v>-0.51</v>
      </c>
      <c r="E1277" s="64" t="str">
        <f t="shared" si="1"/>
        <v>-0.51%</v>
      </c>
      <c r="F1277" s="64" t="str">
        <f t="shared" si="2"/>
        <v/>
      </c>
      <c r="G1277" s="64">
        <f t="shared" si="3"/>
        <v>-0.51</v>
      </c>
      <c r="H1277" s="64">
        <f>IFERROR(__xludf.DUMMYFUNCTION("IFERROR(GOOGLEFINANCE(A1277,""PRICE""),)"),25225.0)</f>
        <v>25225</v>
      </c>
      <c r="I1277" s="65">
        <f>IFERROR(__xludf.DUMMYFUNCTION("IFERROR(GOOGLEFINANCE(A1277,""VOLUME""),)"),37063.0)</f>
        <v>37063</v>
      </c>
      <c r="J1277" s="64" t="str">
        <f>IFERROR(__xludf.DUMMYFUNCTION("IFERROR(INDEX(SPLIT(A1277,"":""),1,2),)"),"SHREECEM")</f>
        <v>SHREECEM</v>
      </c>
      <c r="K1277" s="64" t="str">
        <f t="shared" si="4"/>
        <v/>
      </c>
      <c r="L1277" s="64">
        <f t="shared" si="5"/>
        <v>122</v>
      </c>
      <c r="M1277" s="64">
        <f t="shared" si="6"/>
        <v>1004</v>
      </c>
      <c r="N1277" s="66">
        <f>IFERROR(__xludf.DUMMYFUNCTION("IFERROR(GOOGLEFINANCE(A1277,""TRADETIME""),)"),46086.64583333333)</f>
        <v>46086.64583</v>
      </c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</row>
    <row r="1278">
      <c r="A1278" s="67" t="s">
        <v>1324</v>
      </c>
      <c r="B1278" s="60" t="str">
        <f>IFERROR(__xludf.DUMMYFUNCTION("IFERROR(GOOGLEFINANCE(A1278,""NAME""),)"),"Shree Pushkar Chemicals &amp; Fertilisrs Ltd")</f>
        <v>Shree Pushkar Chemicals &amp; Fertilisrs Ltd</v>
      </c>
      <c r="C1278" s="60">
        <f>IFERROR(__xludf.DUMMYFUNCTION("IFERROR(GOOGLEFINANCE(A1278,""CHANGE""),)"),-2.8)</f>
        <v>-2.8</v>
      </c>
      <c r="D1278" s="60">
        <f>IFERROR(__xludf.DUMMYFUNCTION("IFERROR(GOOGLEFINANCE(A1278,""CHANGEPCT""),)"),-0.91)</f>
        <v>-0.91</v>
      </c>
      <c r="E1278" s="60" t="str">
        <f t="shared" si="1"/>
        <v>-0.91%</v>
      </c>
      <c r="F1278" s="60" t="str">
        <f t="shared" si="2"/>
        <v/>
      </c>
      <c r="G1278" s="60">
        <f t="shared" si="3"/>
        <v>-0.91</v>
      </c>
      <c r="H1278" s="60">
        <f>IFERROR(__xludf.DUMMYFUNCTION("IFERROR(GOOGLEFINANCE(A1278,""PRICE""),)"),303.5)</f>
        <v>303.5</v>
      </c>
      <c r="I1278" s="61">
        <f>IFERROR(__xludf.DUMMYFUNCTION("IFERROR(GOOGLEFINANCE(A1278,""VOLUME""),)"),47353.0)</f>
        <v>47353</v>
      </c>
      <c r="J1278" s="60" t="str">
        <f>IFERROR(__xludf.DUMMYFUNCTION("IFERROR(INDEX(SPLIT(A1278,"":""),1,2),)"),"SHREEPUSHK")</f>
        <v>SHREEPUSHK</v>
      </c>
      <c r="K1278" s="60" t="str">
        <f t="shared" si="4"/>
        <v/>
      </c>
      <c r="L1278" s="60">
        <f t="shared" si="5"/>
        <v>201</v>
      </c>
      <c r="M1278" s="60">
        <f t="shared" si="6"/>
        <v>952</v>
      </c>
      <c r="N1278" s="62">
        <f>IFERROR(__xludf.DUMMYFUNCTION("IFERROR(GOOGLEFINANCE(A1278,""TRADETIME""),)"),46086.64583333333)</f>
        <v>46086.64583</v>
      </c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</row>
    <row r="1279">
      <c r="A1279" s="68" t="s">
        <v>1325</v>
      </c>
      <c r="B1279" s="64" t="str">
        <f>IFERROR(__xludf.DUMMYFUNCTION("IFERROR(GOOGLEFINANCE(A1279,""NAME""),)"),"Shree Rama Multi-Tech Ltd")</f>
        <v>Shree Rama Multi-Tech Ltd</v>
      </c>
      <c r="C1279" s="64">
        <f>IFERROR(__xludf.DUMMYFUNCTION("IFERROR(GOOGLEFINANCE(A1279,""CHANGE""),)"),1.31)</f>
        <v>1.31</v>
      </c>
      <c r="D1279" s="64">
        <f>IFERROR(__xludf.DUMMYFUNCTION("IFERROR(GOOGLEFINANCE(A1279,""CHANGEPCT""),)"),2.59)</f>
        <v>2.59</v>
      </c>
      <c r="E1279" s="64" t="str">
        <f t="shared" si="1"/>
        <v>2.59%</v>
      </c>
      <c r="F1279" s="64">
        <f t="shared" si="2"/>
        <v>2.59</v>
      </c>
      <c r="G1279" s="64" t="str">
        <f t="shared" si="3"/>
        <v/>
      </c>
      <c r="H1279" s="64">
        <f>IFERROR(__xludf.DUMMYFUNCTION("IFERROR(GOOGLEFINANCE(A1279,""PRICE""),)"),51.93)</f>
        <v>51.93</v>
      </c>
      <c r="I1279" s="65">
        <f>IFERROR(__xludf.DUMMYFUNCTION("IFERROR(GOOGLEFINANCE(A1279,""VOLUME""),)"),136328.0)</f>
        <v>136328</v>
      </c>
      <c r="J1279" s="64" t="str">
        <f>IFERROR(__xludf.DUMMYFUNCTION("IFERROR(INDEX(SPLIT(A1279,"":""),1,2),)"),"SHREERAMA")</f>
        <v>SHREERAMA</v>
      </c>
      <c r="K1279" s="64">
        <f t="shared" si="4"/>
        <v>326</v>
      </c>
      <c r="L1279" s="64" t="str">
        <f t="shared" si="5"/>
        <v/>
      </c>
      <c r="M1279" s="64">
        <f t="shared" si="6"/>
        <v>691</v>
      </c>
      <c r="N1279" s="66">
        <f>IFERROR(__xludf.DUMMYFUNCTION("IFERROR(GOOGLEFINANCE(A1279,""TRADETIME""),)"),46086.64586805555)</f>
        <v>46086.64587</v>
      </c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</row>
    <row r="1280">
      <c r="A1280" s="67" t="s">
        <v>1326</v>
      </c>
      <c r="B1280" s="60" t="str">
        <f>IFERROR(__xludf.DUMMYFUNCTION("IFERROR(GOOGLEFINANCE(A1280,""NAME""),)"),"Shrenik Ltd")</f>
        <v>Shrenik Ltd</v>
      </c>
      <c r="C1280" s="60">
        <f>IFERROR(__xludf.DUMMYFUNCTION("IFERROR(GOOGLEFINANCE(A1280,""CHANGE""),)"),0.02)</f>
        <v>0.02</v>
      </c>
      <c r="D1280" s="60">
        <f>IFERROR(__xludf.DUMMYFUNCTION("IFERROR(GOOGLEFINANCE(A1280,""CHANGEPCT""),)"),5.0)</f>
        <v>5</v>
      </c>
      <c r="E1280" s="60" t="str">
        <f t="shared" si="1"/>
        <v>5%</v>
      </c>
      <c r="F1280" s="60">
        <f t="shared" si="2"/>
        <v>5</v>
      </c>
      <c r="G1280" s="60" t="str">
        <f t="shared" si="3"/>
        <v/>
      </c>
      <c r="H1280" s="60">
        <f>IFERROR(__xludf.DUMMYFUNCTION("IFERROR(GOOGLEFINANCE(A1280,""PRICE""),)"),0.42)</f>
        <v>0.42</v>
      </c>
      <c r="I1280" s="61">
        <f>IFERROR(__xludf.DUMMYFUNCTION("IFERROR(GOOGLEFINANCE(A1280,""VOLUME""),)"),701699.0)</f>
        <v>701699</v>
      </c>
      <c r="J1280" s="60" t="str">
        <f>IFERROR(__xludf.DUMMYFUNCTION("IFERROR(INDEX(SPLIT(A1280,"":""),1,2),)"),"SHRENIK")</f>
        <v>SHRENIK</v>
      </c>
      <c r="K1280" s="60">
        <f t="shared" si="4"/>
        <v>71</v>
      </c>
      <c r="L1280" s="60" t="str">
        <f t="shared" si="5"/>
        <v/>
      </c>
      <c r="M1280" s="60">
        <f t="shared" si="6"/>
        <v>339</v>
      </c>
      <c r="N1280" s="62">
        <f>IFERROR(__xludf.DUMMYFUNCTION("IFERROR(GOOGLEFINANCE(A1280,""TRADETIME""),)"),46086.64060185185)</f>
        <v>46086.6406</v>
      </c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</row>
    <row r="1281">
      <c r="A1281" s="68" t="s">
        <v>1327</v>
      </c>
      <c r="B1281" s="64" t="str">
        <f>IFERROR(__xludf.DUMMYFUNCTION("IFERROR(GOOGLEFINANCE(A1281,""NAME""),)"),"Shreyans Industries Ltd")</f>
        <v>Shreyans Industries Ltd</v>
      </c>
      <c r="C1281" s="64">
        <f>IFERROR(__xludf.DUMMYFUNCTION("IFERROR(GOOGLEFINANCE(A1281,""CHANGE""),)"),-0.2)</f>
        <v>-0.2</v>
      </c>
      <c r="D1281" s="64">
        <f>IFERROR(__xludf.DUMMYFUNCTION("IFERROR(GOOGLEFINANCE(A1281,""CHANGEPCT""),)"),-0.13)</f>
        <v>-0.13</v>
      </c>
      <c r="E1281" s="64" t="str">
        <f t="shared" si="1"/>
        <v>-0.13%</v>
      </c>
      <c r="F1281" s="64" t="str">
        <f t="shared" si="2"/>
        <v/>
      </c>
      <c r="G1281" s="64">
        <f t="shared" si="3"/>
        <v>-0.13</v>
      </c>
      <c r="H1281" s="64">
        <f>IFERROR(__xludf.DUMMYFUNCTION("IFERROR(GOOGLEFINANCE(A1281,""PRICE""),)"),149.62)</f>
        <v>149.62</v>
      </c>
      <c r="I1281" s="65">
        <f>IFERROR(__xludf.DUMMYFUNCTION("IFERROR(GOOGLEFINANCE(A1281,""VOLUME""),)"),1562.0)</f>
        <v>1562</v>
      </c>
      <c r="J1281" s="64" t="str">
        <f>IFERROR(__xludf.DUMMYFUNCTION("IFERROR(INDEX(SPLIT(A1281,"":""),1,2),)"),"SHREYANIND")</f>
        <v>SHREYANIND</v>
      </c>
      <c r="K1281" s="64" t="str">
        <f t="shared" si="4"/>
        <v/>
      </c>
      <c r="L1281" s="64">
        <f t="shared" si="5"/>
        <v>38</v>
      </c>
      <c r="M1281" s="64">
        <f t="shared" si="6"/>
        <v>1421</v>
      </c>
      <c r="N1281" s="66">
        <f>IFERROR(__xludf.DUMMYFUNCTION("IFERROR(GOOGLEFINANCE(A1281,""TRADETIME""),)"),46086.64583333333)</f>
        <v>46086.64583</v>
      </c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</row>
    <row r="1282">
      <c r="A1282" s="67" t="s">
        <v>1328</v>
      </c>
      <c r="B1282" s="60" t="str">
        <f>IFERROR(__xludf.DUMMYFUNCTION("IFERROR(GOOGLEFINANCE(A1282,""NAME""),)"),"")</f>
        <v/>
      </c>
      <c r="C1282" s="60" t="str">
        <f>IFERROR(__xludf.DUMMYFUNCTION("IFERROR(GOOGLEFINANCE(A1282,""CHANGE""),)"),"")</f>
        <v/>
      </c>
      <c r="D1282" s="60" t="str">
        <f>IFERROR(__xludf.DUMMYFUNCTION("IFERROR(GOOGLEFINANCE(A1282,""CHANGEPCT""),)"),"")</f>
        <v/>
      </c>
      <c r="E1282" s="60" t="str">
        <f t="shared" si="1"/>
        <v>%</v>
      </c>
      <c r="F1282" s="60" t="str">
        <f t="shared" si="2"/>
        <v/>
      </c>
      <c r="G1282" s="60" t="str">
        <f t="shared" si="3"/>
        <v/>
      </c>
      <c r="H1282" s="60" t="str">
        <f>IFERROR(__xludf.DUMMYFUNCTION("IFERROR(GOOGLEFINANCE(A1282,""PRICE""),)"),"")</f>
        <v/>
      </c>
      <c r="I1282" s="61" t="str">
        <f>IFERROR(__xludf.DUMMYFUNCTION("IFERROR(GOOGLEFINANCE(A1282,""VOLUME""),)"),"")</f>
        <v/>
      </c>
      <c r="J1282" s="60" t="str">
        <f>IFERROR(__xludf.DUMMYFUNCTION("IFERROR(INDEX(SPLIT(A1282,"":""),1,2),)"),"SHREYAS")</f>
        <v>SHREYAS</v>
      </c>
      <c r="K1282" s="60" t="str">
        <f t="shared" si="4"/>
        <v/>
      </c>
      <c r="L1282" s="60" t="str">
        <f t="shared" si="5"/>
        <v/>
      </c>
      <c r="M1282" s="60" t="str">
        <f t="shared" si="6"/>
        <v/>
      </c>
      <c r="N1282" s="62" t="str">
        <f>IFERROR(__xludf.DUMMYFUNCTION("IFERROR(GOOGLEFINANCE(A1282,""TRADETIME""),)"),"")</f>
        <v/>
      </c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</row>
    <row r="1283">
      <c r="A1283" s="68" t="s">
        <v>1329</v>
      </c>
      <c r="B1283" s="64" t="str">
        <f>IFERROR(__xludf.DUMMYFUNCTION("IFERROR(GOOGLEFINANCE(A1283,""NAME""),)"),"Shriram Pistons &amp; Rings Ltd")</f>
        <v>Shriram Pistons &amp; Rings Ltd</v>
      </c>
      <c r="C1283" s="64">
        <f>IFERROR(__xludf.DUMMYFUNCTION("IFERROR(GOOGLEFINANCE(A1283,""CHANGE""),)"),19.4)</f>
        <v>19.4</v>
      </c>
      <c r="D1283" s="64">
        <f>IFERROR(__xludf.DUMMYFUNCTION("IFERROR(GOOGLEFINANCE(A1283,""CHANGEPCT""),)"),0.65)</f>
        <v>0.65</v>
      </c>
      <c r="E1283" s="64" t="str">
        <f t="shared" si="1"/>
        <v>0.65%</v>
      </c>
      <c r="F1283" s="64">
        <f t="shared" si="2"/>
        <v>0.65</v>
      </c>
      <c r="G1283" s="64" t="str">
        <f t="shared" si="3"/>
        <v/>
      </c>
      <c r="H1283" s="64">
        <f>IFERROR(__xludf.DUMMYFUNCTION("IFERROR(GOOGLEFINANCE(A1283,""PRICE""),)"),2988.9)</f>
        <v>2988.9</v>
      </c>
      <c r="I1283" s="65">
        <f>IFERROR(__xludf.DUMMYFUNCTION("IFERROR(GOOGLEFINANCE(A1283,""VOLUME""),)"),70981.0)</f>
        <v>70981</v>
      </c>
      <c r="J1283" s="64" t="str">
        <f>IFERROR(__xludf.DUMMYFUNCTION("IFERROR(INDEX(SPLIT(A1283,"":""),1,2),)"),"SHRIPISTON")</f>
        <v>SHRIPISTON</v>
      </c>
      <c r="K1283" s="64">
        <f t="shared" si="4"/>
        <v>836</v>
      </c>
      <c r="L1283" s="64" t="str">
        <f t="shared" si="5"/>
        <v/>
      </c>
      <c r="M1283" s="64">
        <f t="shared" si="6"/>
        <v>839</v>
      </c>
      <c r="N1283" s="66">
        <f>IFERROR(__xludf.DUMMYFUNCTION("IFERROR(GOOGLEFINANCE(A1283,""TRADETIME""),)"),46086.64583333333)</f>
        <v>46086.64583</v>
      </c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</row>
    <row r="1284">
      <c r="A1284" s="67" t="s">
        <v>1330</v>
      </c>
      <c r="B1284" s="60" t="str">
        <f>IFERROR(__xludf.DUMMYFUNCTION("IFERROR(GOOGLEFINANCE(A1284,""NAME""),)"),"Sepc Ltd")</f>
        <v>Sepc Ltd</v>
      </c>
      <c r="C1284" s="60">
        <f>IFERROR(__xludf.DUMMYFUNCTION("IFERROR(GOOGLEFINANCE(A1284,""CHANGE""),)"),-0.16)</f>
        <v>-0.16</v>
      </c>
      <c r="D1284" s="60">
        <f>IFERROR(__xludf.DUMMYFUNCTION("IFERROR(GOOGLEFINANCE(A1284,""CHANGEPCT""),)"),-2.26)</f>
        <v>-2.26</v>
      </c>
      <c r="E1284" s="60" t="str">
        <f t="shared" si="1"/>
        <v>-2.26%</v>
      </c>
      <c r="F1284" s="60" t="str">
        <f t="shared" si="2"/>
        <v/>
      </c>
      <c r="G1284" s="60">
        <f t="shared" si="3"/>
        <v>-2.26</v>
      </c>
      <c r="H1284" s="60">
        <f>IFERROR(__xludf.DUMMYFUNCTION("IFERROR(GOOGLEFINANCE(A1284,""PRICE""),)"),6.9)</f>
        <v>6.9</v>
      </c>
      <c r="I1284" s="61">
        <f>IFERROR(__xludf.DUMMYFUNCTION("IFERROR(GOOGLEFINANCE(A1284,""VOLUME""),)"),3.3490604E7)</f>
        <v>33490604</v>
      </c>
      <c r="J1284" s="60" t="str">
        <f>IFERROR(__xludf.DUMMYFUNCTION("IFERROR(INDEX(SPLIT(A1284,"":""),1,2),)"),"SEPC")</f>
        <v>SEPC</v>
      </c>
      <c r="K1284" s="60" t="str">
        <f t="shared" si="4"/>
        <v/>
      </c>
      <c r="L1284" s="60">
        <f t="shared" si="5"/>
        <v>373</v>
      </c>
      <c r="M1284" s="60">
        <f t="shared" si="6"/>
        <v>10</v>
      </c>
      <c r="N1284" s="62">
        <f>IFERROR(__xludf.DUMMYFUNCTION("IFERROR(GOOGLEFINANCE(A1284,""TRADETIME""),)"),46086.63983796297)</f>
        <v>46086.63984</v>
      </c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</row>
    <row r="1285">
      <c r="A1285" s="68" t="s">
        <v>1331</v>
      </c>
      <c r="B1285" s="64" t="str">
        <f>IFERROR(__xludf.DUMMYFUNCTION("IFERROR(GOOGLEFINANCE(A1285,""NAME""),)"),"Shyam Century Ferrous Ltd")</f>
        <v>Shyam Century Ferrous Ltd</v>
      </c>
      <c r="C1285" s="64">
        <f>IFERROR(__xludf.DUMMYFUNCTION("IFERROR(GOOGLEFINANCE(A1285,""CHANGE""),)"),0.15)</f>
        <v>0.15</v>
      </c>
      <c r="D1285" s="64">
        <f>IFERROR(__xludf.DUMMYFUNCTION("IFERROR(GOOGLEFINANCE(A1285,""CHANGEPCT""),)"),3.07)</f>
        <v>3.07</v>
      </c>
      <c r="E1285" s="64" t="str">
        <f t="shared" si="1"/>
        <v>3.07%</v>
      </c>
      <c r="F1285" s="64">
        <f t="shared" si="2"/>
        <v>3.07</v>
      </c>
      <c r="G1285" s="64" t="str">
        <f t="shared" si="3"/>
        <v/>
      </c>
      <c r="H1285" s="64">
        <f>IFERROR(__xludf.DUMMYFUNCTION("IFERROR(GOOGLEFINANCE(A1285,""PRICE""),)"),5.04)</f>
        <v>5.04</v>
      </c>
      <c r="I1285" s="65">
        <f>IFERROR(__xludf.DUMMYFUNCTION("IFERROR(GOOGLEFINANCE(A1285,""VOLUME""),)"),57252.0)</f>
        <v>57252</v>
      </c>
      <c r="J1285" s="64" t="str">
        <f>IFERROR(__xludf.DUMMYFUNCTION("IFERROR(INDEX(SPLIT(A1285,"":""),1,2),)"),"SHYAMCENT")</f>
        <v>SHYAMCENT</v>
      </c>
      <c r="K1285" s="64">
        <f t="shared" si="4"/>
        <v>245</v>
      </c>
      <c r="L1285" s="64" t="str">
        <f t="shared" si="5"/>
        <v/>
      </c>
      <c r="M1285" s="64">
        <f t="shared" si="6"/>
        <v>892</v>
      </c>
      <c r="N1285" s="66">
        <f>IFERROR(__xludf.DUMMYFUNCTION("IFERROR(GOOGLEFINANCE(A1285,""TRADETIME""),)"),46086.64583333333)</f>
        <v>46086.64583</v>
      </c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</row>
    <row r="1286">
      <c r="A1286" s="67" t="s">
        <v>1332</v>
      </c>
      <c r="B1286" s="60" t="str">
        <f>IFERROR(__xludf.DUMMYFUNCTION("IFERROR(GOOGLEFINANCE(A1286,""NAME""),)"),"Siemens Ltd")</f>
        <v>Siemens Ltd</v>
      </c>
      <c r="C1286" s="60">
        <f>IFERROR(__xludf.DUMMYFUNCTION("IFERROR(GOOGLEFINANCE(A1286,""CHANGE""),)"),55.8)</f>
        <v>55.8</v>
      </c>
      <c r="D1286" s="60">
        <f>IFERROR(__xludf.DUMMYFUNCTION("IFERROR(GOOGLEFINANCE(A1286,""CHANGEPCT""),)"),1.77)</f>
        <v>1.77</v>
      </c>
      <c r="E1286" s="60" t="str">
        <f t="shared" si="1"/>
        <v>1.77%</v>
      </c>
      <c r="F1286" s="60">
        <f t="shared" si="2"/>
        <v>1.77</v>
      </c>
      <c r="G1286" s="60" t="str">
        <f t="shared" si="3"/>
        <v/>
      </c>
      <c r="H1286" s="60">
        <f>IFERROR(__xludf.DUMMYFUNCTION("IFERROR(GOOGLEFINANCE(A1286,""PRICE""),)"),3219.3)</f>
        <v>3219.3</v>
      </c>
      <c r="I1286" s="61">
        <f>IFERROR(__xludf.DUMMYFUNCTION("IFERROR(GOOGLEFINANCE(A1286,""VOLUME""),)"),277718.0)</f>
        <v>277718</v>
      </c>
      <c r="J1286" s="60" t="str">
        <f>IFERROR(__xludf.DUMMYFUNCTION("IFERROR(INDEX(SPLIT(A1286,"":""),1,2),)"),"SIEMENS")</f>
        <v>SIEMENS</v>
      </c>
      <c r="K1286" s="60">
        <f t="shared" si="4"/>
        <v>505</v>
      </c>
      <c r="L1286" s="60" t="str">
        <f t="shared" si="5"/>
        <v/>
      </c>
      <c r="M1286" s="60">
        <f t="shared" si="6"/>
        <v>531</v>
      </c>
      <c r="N1286" s="62">
        <f>IFERROR(__xludf.DUMMYFUNCTION("IFERROR(GOOGLEFINANCE(A1286,""TRADETIME""),)"),46086.64584490741)</f>
        <v>46086.64584</v>
      </c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</row>
    <row r="1287">
      <c r="A1287" s="68" t="s">
        <v>1333</v>
      </c>
      <c r="B1287" s="64" t="str">
        <f>IFERROR(__xludf.DUMMYFUNCTION("IFERROR(GOOGLEFINANCE(A1287,""NAME""),)"),"Signet Industries Ltd")</f>
        <v>Signet Industries Ltd</v>
      </c>
      <c r="C1287" s="64">
        <f>IFERROR(__xludf.DUMMYFUNCTION("IFERROR(GOOGLEFINANCE(A1287,""CHANGE""),)"),-0.8)</f>
        <v>-0.8</v>
      </c>
      <c r="D1287" s="64">
        <f>IFERROR(__xludf.DUMMYFUNCTION("IFERROR(GOOGLEFINANCE(A1287,""CHANGEPCT""),)"),-1.99)</f>
        <v>-1.99</v>
      </c>
      <c r="E1287" s="64" t="str">
        <f t="shared" si="1"/>
        <v>-1.99%</v>
      </c>
      <c r="F1287" s="64" t="str">
        <f t="shared" si="2"/>
        <v/>
      </c>
      <c r="G1287" s="64">
        <f t="shared" si="3"/>
        <v>-1.99</v>
      </c>
      <c r="H1287" s="64">
        <f>IFERROR(__xludf.DUMMYFUNCTION("IFERROR(GOOGLEFINANCE(A1287,""PRICE""),)"),44.5)</f>
        <v>44.5</v>
      </c>
      <c r="I1287" s="65">
        <f>IFERROR(__xludf.DUMMYFUNCTION("IFERROR(GOOGLEFINANCE(A1287,""VOLUME""),)"),7019.0)</f>
        <v>7019</v>
      </c>
      <c r="J1287" s="64" t="str">
        <f>IFERROR(__xludf.DUMMYFUNCTION("IFERROR(INDEX(SPLIT(A1287,"":""),1,2),)"),"SIGIND")</f>
        <v>SIGIND</v>
      </c>
      <c r="K1287" s="64" t="str">
        <f t="shared" si="4"/>
        <v/>
      </c>
      <c r="L1287" s="64">
        <f t="shared" si="5"/>
        <v>352</v>
      </c>
      <c r="M1287" s="64">
        <f t="shared" si="6"/>
        <v>1308</v>
      </c>
      <c r="N1287" s="66">
        <f>IFERROR(__xludf.DUMMYFUNCTION("IFERROR(GOOGLEFINANCE(A1287,""TRADETIME""),)"),46086.64583333333)</f>
        <v>46086.64583</v>
      </c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</row>
    <row r="1288">
      <c r="A1288" s="67" t="s">
        <v>1334</v>
      </c>
      <c r="B1288" s="60" t="str">
        <f>IFERROR(__xludf.DUMMYFUNCTION("IFERROR(GOOGLEFINANCE(A1288,""NAME""),)"),"Standard Industries Ltd")</f>
        <v>Standard Industries Ltd</v>
      </c>
      <c r="C1288" s="60">
        <f>IFERROR(__xludf.DUMMYFUNCTION("IFERROR(GOOGLEFINANCE(A1288,""CHANGE""),)"),0.2)</f>
        <v>0.2</v>
      </c>
      <c r="D1288" s="60">
        <f>IFERROR(__xludf.DUMMYFUNCTION("IFERROR(GOOGLEFINANCE(A1288,""CHANGEPCT""),)"),1.43)</f>
        <v>1.43</v>
      </c>
      <c r="E1288" s="60" t="str">
        <f t="shared" si="1"/>
        <v>1.43%</v>
      </c>
      <c r="F1288" s="60">
        <f t="shared" si="2"/>
        <v>1.43</v>
      </c>
      <c r="G1288" s="60" t="str">
        <f t="shared" si="3"/>
        <v/>
      </c>
      <c r="H1288" s="60">
        <f>IFERROR(__xludf.DUMMYFUNCTION("IFERROR(GOOGLEFINANCE(A1288,""PRICE""),)"),14.16)</f>
        <v>14.16</v>
      </c>
      <c r="I1288" s="61">
        <f>IFERROR(__xludf.DUMMYFUNCTION("IFERROR(GOOGLEFINANCE(A1288,""VOLUME""),)"),10893.0)</f>
        <v>10893</v>
      </c>
      <c r="J1288" s="60" t="str">
        <f>IFERROR(__xludf.DUMMYFUNCTION("IFERROR(INDEX(SPLIT(A1288,"":""),1,2),)"),"SIL")</f>
        <v>SIL</v>
      </c>
      <c r="K1288" s="60">
        <f t="shared" si="4"/>
        <v>600</v>
      </c>
      <c r="L1288" s="60" t="str">
        <f t="shared" si="5"/>
        <v/>
      </c>
      <c r="M1288" s="60">
        <f t="shared" si="6"/>
        <v>1249</v>
      </c>
      <c r="N1288" s="62">
        <f>IFERROR(__xludf.DUMMYFUNCTION("IFERROR(GOOGLEFINANCE(A1288,""TRADETIME""),)"),46086.63722222223)</f>
        <v>46086.63722</v>
      </c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</row>
    <row r="1289">
      <c r="A1289" s="68" t="s">
        <v>1335</v>
      </c>
      <c r="B1289" s="64" t="str">
        <f>IFERROR(__xludf.DUMMYFUNCTION("IFERROR(GOOGLEFINANCE(A1289,""NAME""),)"),"Silgo Retail Ltd")</f>
        <v>Silgo Retail Ltd</v>
      </c>
      <c r="C1289" s="64">
        <f>IFERROR(__xludf.DUMMYFUNCTION("IFERROR(GOOGLEFINANCE(A1289,""CHANGE""),)"),5.64)</f>
        <v>5.64</v>
      </c>
      <c r="D1289" s="64">
        <f>IFERROR(__xludf.DUMMYFUNCTION("IFERROR(GOOGLEFINANCE(A1289,""CHANGEPCT""),)"),8.13)</f>
        <v>8.13</v>
      </c>
      <c r="E1289" s="64" t="str">
        <f t="shared" si="1"/>
        <v>8.13%</v>
      </c>
      <c r="F1289" s="64">
        <f t="shared" si="2"/>
        <v>8.13</v>
      </c>
      <c r="G1289" s="64" t="str">
        <f t="shared" si="3"/>
        <v/>
      </c>
      <c r="H1289" s="64">
        <f>IFERROR(__xludf.DUMMYFUNCTION("IFERROR(GOOGLEFINANCE(A1289,""PRICE""),)"),74.2)</f>
        <v>74.2</v>
      </c>
      <c r="I1289" s="65">
        <f>IFERROR(__xludf.DUMMYFUNCTION("IFERROR(GOOGLEFINANCE(A1289,""VOLUME""),)"),56123.0)</f>
        <v>56123</v>
      </c>
      <c r="J1289" s="64" t="str">
        <f>IFERROR(__xludf.DUMMYFUNCTION("IFERROR(INDEX(SPLIT(A1289,"":""),1,2),)"),"SILGO")</f>
        <v>SILGO</v>
      </c>
      <c r="K1289" s="64">
        <f t="shared" si="4"/>
        <v>21</v>
      </c>
      <c r="L1289" s="64" t="str">
        <f t="shared" si="5"/>
        <v/>
      </c>
      <c r="M1289" s="64">
        <f t="shared" si="6"/>
        <v>896</v>
      </c>
      <c r="N1289" s="66">
        <f>IFERROR(__xludf.DUMMYFUNCTION("IFERROR(GOOGLEFINANCE(A1289,""TRADETIME""),)"),46086.64583333333)</f>
        <v>46086.64583</v>
      </c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</row>
    <row r="1290">
      <c r="A1290" s="67" t="s">
        <v>1336</v>
      </c>
      <c r="B1290" s="60" t="str">
        <f>IFERROR(__xludf.DUMMYFUNCTION("IFERROR(GOOGLEFINANCE(A1290,""NAME""),)"),"Sil Investments Ltd")</f>
        <v>Sil Investments Ltd</v>
      </c>
      <c r="C1290" s="60">
        <f>IFERROR(__xludf.DUMMYFUNCTION("IFERROR(GOOGLEFINANCE(A1290,""CHANGE""),)"),-6.7)</f>
        <v>-6.7</v>
      </c>
      <c r="D1290" s="60">
        <f>IFERROR(__xludf.DUMMYFUNCTION("IFERROR(GOOGLEFINANCE(A1290,""CHANGEPCT""),)"),0.05)</f>
        <v>0.05</v>
      </c>
      <c r="E1290" s="60" t="str">
        <f t="shared" si="1"/>
        <v>0.05%</v>
      </c>
      <c r="F1290" s="60">
        <f t="shared" si="2"/>
        <v>0.05</v>
      </c>
      <c r="G1290" s="60" t="str">
        <f t="shared" si="3"/>
        <v/>
      </c>
      <c r="H1290" s="60">
        <f>IFERROR(__xludf.DUMMYFUNCTION("IFERROR(GOOGLEFINANCE(A1290,""PRICE""),)"),417.0)</f>
        <v>417</v>
      </c>
      <c r="I1290" s="61">
        <f>IFERROR(__xludf.DUMMYFUNCTION("IFERROR(GOOGLEFINANCE(A1290,""VOLUME""),)"),1577.0)</f>
        <v>1577</v>
      </c>
      <c r="J1290" s="60" t="str">
        <f>IFERROR(__xludf.DUMMYFUNCTION("IFERROR(INDEX(SPLIT(A1290,"":""),1,2),)"),"SILINV")</f>
        <v>SILINV</v>
      </c>
      <c r="K1290" s="60">
        <f t="shared" si="4"/>
        <v>989</v>
      </c>
      <c r="L1290" s="60" t="str">
        <f t="shared" si="5"/>
        <v/>
      </c>
      <c r="M1290" s="60">
        <f t="shared" si="6"/>
        <v>1418</v>
      </c>
      <c r="N1290" s="62">
        <f>IFERROR(__xludf.DUMMYFUNCTION("IFERROR(GOOGLEFINANCE(A1290,""TRADETIME""),)"),46086.64583333333)</f>
        <v>46086.64583</v>
      </c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</row>
    <row r="1291">
      <c r="A1291" s="68" t="s">
        <v>1337</v>
      </c>
      <c r="B1291" s="64" t="str">
        <f>IFERROR(__xludf.DUMMYFUNCTION("IFERROR(GOOGLEFINANCE(A1291,""NAME""),)"),"Silly Monks Entertainment Ltd")</f>
        <v>Silly Monks Entertainment Ltd</v>
      </c>
      <c r="C1291" s="64">
        <f>IFERROR(__xludf.DUMMYFUNCTION("IFERROR(GOOGLEFINANCE(A1291,""CHANGE""),)"),0.2)</f>
        <v>0.2</v>
      </c>
      <c r="D1291" s="64">
        <f>IFERROR(__xludf.DUMMYFUNCTION("IFERROR(GOOGLEFINANCE(A1291,""CHANGEPCT""),)"),1.22)</f>
        <v>1.22</v>
      </c>
      <c r="E1291" s="64" t="str">
        <f t="shared" si="1"/>
        <v>1.22%</v>
      </c>
      <c r="F1291" s="64">
        <f t="shared" si="2"/>
        <v>1.22</v>
      </c>
      <c r="G1291" s="64" t="str">
        <f t="shared" si="3"/>
        <v/>
      </c>
      <c r="H1291" s="64">
        <f>IFERROR(__xludf.DUMMYFUNCTION("IFERROR(GOOGLEFINANCE(A1291,""PRICE""),)"),16.64)</f>
        <v>16.64</v>
      </c>
      <c r="I1291" s="65">
        <f>IFERROR(__xludf.DUMMYFUNCTION("IFERROR(GOOGLEFINANCE(A1291,""VOLUME""),)"),1848.0)</f>
        <v>1848</v>
      </c>
      <c r="J1291" s="64" t="str">
        <f>IFERROR(__xludf.DUMMYFUNCTION("IFERROR(INDEX(SPLIT(A1291,"":""),1,2),)"),"SILLYMONKS")</f>
        <v>SILLYMONKS</v>
      </c>
      <c r="K1291" s="64">
        <f t="shared" si="4"/>
        <v>667</v>
      </c>
      <c r="L1291" s="64" t="str">
        <f t="shared" si="5"/>
        <v/>
      </c>
      <c r="M1291" s="64">
        <f t="shared" si="6"/>
        <v>1410</v>
      </c>
      <c r="N1291" s="66">
        <f>IFERROR(__xludf.DUMMYFUNCTION("IFERROR(GOOGLEFINANCE(A1291,""TRADETIME""),)"),46086.64583333333)</f>
        <v>46086.64583</v>
      </c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</row>
    <row r="1292">
      <c r="A1292" s="67" t="s">
        <v>1338</v>
      </c>
      <c r="B1292" s="60" t="str">
        <f>IFERROR(__xludf.DUMMYFUNCTION("IFERROR(GOOGLEFINANCE(A1292,""NAME""),)"),"Simbhaoli Sugars Ltd")</f>
        <v>Simbhaoli Sugars Ltd</v>
      </c>
      <c r="C1292" s="60">
        <f>IFERROR(__xludf.DUMMYFUNCTION("IFERROR(GOOGLEFINANCE(A1292,""CHANGE""),)"),-0.24)</f>
        <v>-0.24</v>
      </c>
      <c r="D1292" s="60">
        <f>IFERROR(__xludf.DUMMYFUNCTION("IFERROR(GOOGLEFINANCE(A1292,""CHANGEPCT""),)"),-2.75)</f>
        <v>-2.75</v>
      </c>
      <c r="E1292" s="60" t="str">
        <f t="shared" si="1"/>
        <v>-2.75%</v>
      </c>
      <c r="F1292" s="60" t="str">
        <f t="shared" si="2"/>
        <v/>
      </c>
      <c r="G1292" s="60">
        <f t="shared" si="3"/>
        <v>-2.75</v>
      </c>
      <c r="H1292" s="60">
        <f>IFERROR(__xludf.DUMMYFUNCTION("IFERROR(GOOGLEFINANCE(A1292,""PRICE""),)"),8.5)</f>
        <v>8.5</v>
      </c>
      <c r="I1292" s="61">
        <f>IFERROR(__xludf.DUMMYFUNCTION("IFERROR(GOOGLEFINANCE(A1292,""VOLUME""),)"),21650.0)</f>
        <v>21650</v>
      </c>
      <c r="J1292" s="60" t="str">
        <f>IFERROR(__xludf.DUMMYFUNCTION("IFERROR(INDEX(SPLIT(A1292,"":""),1,2),)"),"SIMBHALS")</f>
        <v>SIMBHALS</v>
      </c>
      <c r="K1292" s="60" t="str">
        <f t="shared" si="4"/>
        <v/>
      </c>
      <c r="L1292" s="60">
        <f t="shared" si="5"/>
        <v>397</v>
      </c>
      <c r="M1292" s="60">
        <f t="shared" si="6"/>
        <v>1124</v>
      </c>
      <c r="N1292" s="62">
        <f>IFERROR(__xludf.DUMMYFUNCTION("IFERROR(GOOGLEFINANCE(A1292,""TRADETIME""),)"),46086.64583333333)</f>
        <v>46086.64583</v>
      </c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</row>
    <row r="1293">
      <c r="A1293" s="68" t="s">
        <v>1339</v>
      </c>
      <c r="B1293" s="64" t="str">
        <f>IFERROR(__xludf.DUMMYFUNCTION("IFERROR(GOOGLEFINANCE(A1293,""NAME""),)"),"Simplex Infrastructures Ltd")</f>
        <v>Simplex Infrastructures Ltd</v>
      </c>
      <c r="C1293" s="64">
        <f>IFERROR(__xludf.DUMMYFUNCTION("IFERROR(GOOGLEFINANCE(A1293,""CHANGE""),)"),-2.29)</f>
        <v>-2.29</v>
      </c>
      <c r="D1293" s="64">
        <f>IFERROR(__xludf.DUMMYFUNCTION("IFERROR(GOOGLEFINANCE(A1293,""CHANGEPCT""),)"),-1.18)</f>
        <v>-1.18</v>
      </c>
      <c r="E1293" s="64" t="str">
        <f t="shared" si="1"/>
        <v>-1.18%</v>
      </c>
      <c r="F1293" s="64" t="str">
        <f t="shared" si="2"/>
        <v/>
      </c>
      <c r="G1293" s="64">
        <f t="shared" si="3"/>
        <v>-1.18</v>
      </c>
      <c r="H1293" s="64">
        <f>IFERROR(__xludf.DUMMYFUNCTION("IFERROR(GOOGLEFINANCE(A1293,""PRICE""),)"),191.77)</f>
        <v>191.77</v>
      </c>
      <c r="I1293" s="65">
        <f>IFERROR(__xludf.DUMMYFUNCTION("IFERROR(GOOGLEFINANCE(A1293,""VOLUME""),)"),114277.0)</f>
        <v>114277</v>
      </c>
      <c r="J1293" s="64" t="str">
        <f>IFERROR(__xludf.DUMMYFUNCTION("IFERROR(INDEX(SPLIT(A1293,"":""),1,2),)"),"SIMPLEXINF")</f>
        <v>SIMPLEXINF</v>
      </c>
      <c r="K1293" s="64" t="str">
        <f t="shared" si="4"/>
        <v/>
      </c>
      <c r="L1293" s="64">
        <f t="shared" si="5"/>
        <v>244</v>
      </c>
      <c r="M1293" s="64">
        <f t="shared" si="6"/>
        <v>732</v>
      </c>
      <c r="N1293" s="66">
        <f>IFERROR(__xludf.DUMMYFUNCTION("IFERROR(GOOGLEFINANCE(A1293,""TRADETIME""),)"),46086.64583333333)</f>
        <v>46086.64583</v>
      </c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</row>
    <row r="1294">
      <c r="A1294" s="67" t="s">
        <v>1340</v>
      </c>
      <c r="B1294" s="60" t="str">
        <f>IFERROR(__xludf.DUMMYFUNCTION("IFERROR(GOOGLEFINANCE(A1294,""NAME""),)"),"Sintercom India Ltd")</f>
        <v>Sintercom India Ltd</v>
      </c>
      <c r="C1294" s="60">
        <f>IFERROR(__xludf.DUMMYFUNCTION("IFERROR(GOOGLEFINANCE(A1294,""CHANGE""),)"),-0.69)</f>
        <v>-0.69</v>
      </c>
      <c r="D1294" s="60">
        <f>IFERROR(__xludf.DUMMYFUNCTION("IFERROR(GOOGLEFINANCE(A1294,""CHANGEPCT""),)"),-0.8)</f>
        <v>-0.8</v>
      </c>
      <c r="E1294" s="60" t="str">
        <f t="shared" si="1"/>
        <v>-0.8%</v>
      </c>
      <c r="F1294" s="60" t="str">
        <f t="shared" si="2"/>
        <v/>
      </c>
      <c r="G1294" s="60">
        <f t="shared" si="3"/>
        <v>-0.8</v>
      </c>
      <c r="H1294" s="60">
        <f>IFERROR(__xludf.DUMMYFUNCTION("IFERROR(GOOGLEFINANCE(A1294,""PRICE""),)"),85.5)</f>
        <v>85.5</v>
      </c>
      <c r="I1294" s="61">
        <f>IFERROR(__xludf.DUMMYFUNCTION("IFERROR(GOOGLEFINANCE(A1294,""VOLUME""),)"),8250.0)</f>
        <v>8250</v>
      </c>
      <c r="J1294" s="60" t="str">
        <f>IFERROR(__xludf.DUMMYFUNCTION("IFERROR(INDEX(SPLIT(A1294,"":""),1,2),)"),"SINTERCOM")</f>
        <v>SINTERCOM</v>
      </c>
      <c r="K1294" s="60" t="str">
        <f t="shared" si="4"/>
        <v/>
      </c>
      <c r="L1294" s="60">
        <f t="shared" si="5"/>
        <v>182</v>
      </c>
      <c r="M1294" s="60">
        <f t="shared" si="6"/>
        <v>1295</v>
      </c>
      <c r="N1294" s="62">
        <f>IFERROR(__xludf.DUMMYFUNCTION("IFERROR(GOOGLEFINANCE(A1294,""TRADETIME""),)"),46086.64583333333)</f>
        <v>46086.64583</v>
      </c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</row>
    <row r="1295">
      <c r="A1295" s="68" t="s">
        <v>1341</v>
      </c>
      <c r="B1295" s="64" t="str">
        <f>IFERROR(__xludf.DUMMYFUNCTION("IFERROR(GOOGLEFINANCE(A1295,""NAME""),)"),"Sirca Paints India Ltd")</f>
        <v>Sirca Paints India Ltd</v>
      </c>
      <c r="C1295" s="64">
        <f>IFERROR(__xludf.DUMMYFUNCTION("IFERROR(GOOGLEFINANCE(A1295,""CHANGE""),)"),13.2)</f>
        <v>13.2</v>
      </c>
      <c r="D1295" s="64">
        <f>IFERROR(__xludf.DUMMYFUNCTION("IFERROR(GOOGLEFINANCE(A1295,""CHANGEPCT""),)"),3.02)</f>
        <v>3.02</v>
      </c>
      <c r="E1295" s="64" t="str">
        <f t="shared" si="1"/>
        <v>3.02%</v>
      </c>
      <c r="F1295" s="64">
        <f t="shared" si="2"/>
        <v>3.02</v>
      </c>
      <c r="G1295" s="64" t="str">
        <f t="shared" si="3"/>
        <v/>
      </c>
      <c r="H1295" s="64">
        <f>IFERROR(__xludf.DUMMYFUNCTION("IFERROR(GOOGLEFINANCE(A1295,""PRICE""),)"),451.0)</f>
        <v>451</v>
      </c>
      <c r="I1295" s="65">
        <f>IFERROR(__xludf.DUMMYFUNCTION("IFERROR(GOOGLEFINANCE(A1295,""VOLUME""),)"),252834.0)</f>
        <v>252834</v>
      </c>
      <c r="J1295" s="64" t="str">
        <f>IFERROR(__xludf.DUMMYFUNCTION("IFERROR(INDEX(SPLIT(A1295,"":""),1,2),)"),"SIRCA")</f>
        <v>SIRCA</v>
      </c>
      <c r="K1295" s="64">
        <f t="shared" si="4"/>
        <v>254</v>
      </c>
      <c r="L1295" s="64" t="str">
        <f t="shared" si="5"/>
        <v/>
      </c>
      <c r="M1295" s="64">
        <f t="shared" si="6"/>
        <v>552</v>
      </c>
      <c r="N1295" s="66">
        <f>IFERROR(__xludf.DUMMYFUNCTION("IFERROR(GOOGLEFINANCE(A1295,""TRADETIME""),)"),46086.64584490741)</f>
        <v>46086.64584</v>
      </c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</row>
    <row r="1296">
      <c r="A1296" s="67" t="s">
        <v>1342</v>
      </c>
      <c r="B1296" s="60" t="str">
        <f>IFERROR(__xludf.DUMMYFUNCTION("IFERROR(GOOGLEFINANCE(A1296,""NAME""),)"),"SIS Ltd")</f>
        <v>SIS Ltd</v>
      </c>
      <c r="C1296" s="60">
        <f>IFERROR(__xludf.DUMMYFUNCTION("IFERROR(GOOGLEFINANCE(A1296,""CHANGE""),)"),-3.6)</f>
        <v>-3.6</v>
      </c>
      <c r="D1296" s="60">
        <f>IFERROR(__xludf.DUMMYFUNCTION("IFERROR(GOOGLEFINANCE(A1296,""CHANGEPCT""),)"),-1.22)</f>
        <v>-1.22</v>
      </c>
      <c r="E1296" s="60" t="str">
        <f t="shared" si="1"/>
        <v>-1.22%</v>
      </c>
      <c r="F1296" s="60" t="str">
        <f t="shared" si="2"/>
        <v/>
      </c>
      <c r="G1296" s="60">
        <f t="shared" si="3"/>
        <v>-1.22</v>
      </c>
      <c r="H1296" s="60">
        <f>IFERROR(__xludf.DUMMYFUNCTION("IFERROR(GOOGLEFINANCE(A1296,""PRICE""),)"),291.65)</f>
        <v>291.65</v>
      </c>
      <c r="I1296" s="61">
        <f>IFERROR(__xludf.DUMMYFUNCTION("IFERROR(GOOGLEFINANCE(A1296,""VOLUME""),)"),626069.0)</f>
        <v>626069</v>
      </c>
      <c r="J1296" s="60" t="str">
        <f>IFERROR(__xludf.DUMMYFUNCTION("IFERROR(INDEX(SPLIT(A1296,"":""),1,2),)"),"SIS")</f>
        <v>SIS</v>
      </c>
      <c r="K1296" s="60" t="str">
        <f t="shared" si="4"/>
        <v/>
      </c>
      <c r="L1296" s="60">
        <f t="shared" si="5"/>
        <v>255</v>
      </c>
      <c r="M1296" s="60">
        <f t="shared" si="6"/>
        <v>353</v>
      </c>
      <c r="N1296" s="62">
        <f>IFERROR(__xludf.DUMMYFUNCTION("IFERROR(GOOGLEFINANCE(A1296,""TRADETIME""),)"),46086.63983796297)</f>
        <v>46086.63984</v>
      </c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</row>
    <row r="1297">
      <c r="A1297" s="68" t="s">
        <v>1343</v>
      </c>
      <c r="B1297" s="64" t="str">
        <f>IFERROR(__xludf.DUMMYFUNCTION("IFERROR(GOOGLEFINANCE(A1297,""NAME""),)"),"Siti Networks Ltd")</f>
        <v>Siti Networks Ltd</v>
      </c>
      <c r="C1297" s="64">
        <f>IFERROR(__xludf.DUMMYFUNCTION("IFERROR(GOOGLEFINANCE(A1297,""CHANGE""),)"),-0.01)</f>
        <v>-0.01</v>
      </c>
      <c r="D1297" s="64">
        <f>IFERROR(__xludf.DUMMYFUNCTION("IFERROR(GOOGLEFINANCE(A1297,""CHANGEPCT""),)"),0.0)</f>
        <v>0</v>
      </c>
      <c r="E1297" s="64" t="str">
        <f t="shared" si="1"/>
        <v>0%</v>
      </c>
      <c r="F1297" s="64" t="str">
        <f t="shared" si="2"/>
        <v/>
      </c>
      <c r="G1297" s="64" t="str">
        <f t="shared" si="3"/>
        <v/>
      </c>
      <c r="H1297" s="64">
        <f>IFERROR(__xludf.DUMMYFUNCTION("IFERROR(GOOGLEFINANCE(A1297,""PRICE""),)"),0.33)</f>
        <v>0.33</v>
      </c>
      <c r="I1297" s="65">
        <f>IFERROR(__xludf.DUMMYFUNCTION("IFERROR(GOOGLEFINANCE(A1297,""VOLUME""),)"),408470.0)</f>
        <v>408470</v>
      </c>
      <c r="J1297" s="64" t="str">
        <f>IFERROR(__xludf.DUMMYFUNCTION("IFERROR(INDEX(SPLIT(A1297,"":""),1,2),)"),"SITINET")</f>
        <v>SITINET</v>
      </c>
      <c r="K1297" s="64" t="str">
        <f t="shared" si="4"/>
        <v/>
      </c>
      <c r="L1297" s="64" t="str">
        <f t="shared" si="5"/>
        <v/>
      </c>
      <c r="M1297" s="64">
        <f t="shared" si="6"/>
        <v>440</v>
      </c>
      <c r="N1297" s="66">
        <f>IFERROR(__xludf.DUMMYFUNCTION("IFERROR(GOOGLEFINANCE(A1297,""TRADETIME""),)"),46086.64583333333)</f>
        <v>46086.64583</v>
      </c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</row>
    <row r="1298">
      <c r="A1298" s="67" t="s">
        <v>1344</v>
      </c>
      <c r="B1298" s="60" t="str">
        <f>IFERROR(__xludf.DUMMYFUNCTION("IFERROR(GOOGLEFINANCE(A1298,""NAME""),)"),"Siyaram Silk Mills Ltd")</f>
        <v>Siyaram Silk Mills Ltd</v>
      </c>
      <c r="C1298" s="60">
        <f>IFERROR(__xludf.DUMMYFUNCTION("IFERROR(GOOGLEFINANCE(A1298,""CHANGE""),)"),6.7)</f>
        <v>6.7</v>
      </c>
      <c r="D1298" s="60">
        <f>IFERROR(__xludf.DUMMYFUNCTION("IFERROR(GOOGLEFINANCE(A1298,""CHANGEPCT""),)"),1.3)</f>
        <v>1.3</v>
      </c>
      <c r="E1298" s="60" t="str">
        <f t="shared" si="1"/>
        <v>1.3%</v>
      </c>
      <c r="F1298" s="60">
        <f t="shared" si="2"/>
        <v>1.3</v>
      </c>
      <c r="G1298" s="60" t="str">
        <f t="shared" si="3"/>
        <v/>
      </c>
      <c r="H1298" s="60">
        <f>IFERROR(__xludf.DUMMYFUNCTION("IFERROR(GOOGLEFINANCE(A1298,""PRICE""),)"),522.9)</f>
        <v>522.9</v>
      </c>
      <c r="I1298" s="61">
        <f>IFERROR(__xludf.DUMMYFUNCTION("IFERROR(GOOGLEFINANCE(A1298,""VOLUME""),)"),81274.0)</f>
        <v>81274</v>
      </c>
      <c r="J1298" s="60" t="str">
        <f>IFERROR(__xludf.DUMMYFUNCTION("IFERROR(INDEX(SPLIT(A1298,"":""),1,2),)"),"SIYSIL")</f>
        <v>SIYSIL</v>
      </c>
      <c r="K1298" s="60">
        <f t="shared" si="4"/>
        <v>640</v>
      </c>
      <c r="L1298" s="60" t="str">
        <f t="shared" si="5"/>
        <v/>
      </c>
      <c r="M1298" s="60">
        <f t="shared" si="6"/>
        <v>807</v>
      </c>
      <c r="N1298" s="62">
        <f>IFERROR(__xludf.DUMMYFUNCTION("IFERROR(GOOGLEFINANCE(A1298,""TRADETIME""),)"),46086.64039351852)</f>
        <v>46086.64039</v>
      </c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</row>
    <row r="1299">
      <c r="A1299" s="68" t="s">
        <v>1345</v>
      </c>
      <c r="B1299" s="64" t="str">
        <f>IFERROR(__xludf.DUMMYFUNCTION("IFERROR(GOOGLEFINANCE(A1299,""NAME""),)"),"SJVN Ltd")</f>
        <v>SJVN Ltd</v>
      </c>
      <c r="C1299" s="64">
        <f>IFERROR(__xludf.DUMMYFUNCTION("IFERROR(GOOGLEFINANCE(A1299,""CHANGE""),)"),4.54)</f>
        <v>4.54</v>
      </c>
      <c r="D1299" s="64">
        <f>IFERROR(__xludf.DUMMYFUNCTION("IFERROR(GOOGLEFINANCE(A1299,""CHANGEPCT""),)"),6.65)</f>
        <v>6.65</v>
      </c>
      <c r="E1299" s="64" t="str">
        <f t="shared" si="1"/>
        <v>6.65%</v>
      </c>
      <c r="F1299" s="64">
        <f t="shared" si="2"/>
        <v>6.65</v>
      </c>
      <c r="G1299" s="64" t="str">
        <f t="shared" si="3"/>
        <v/>
      </c>
      <c r="H1299" s="64">
        <f>IFERROR(__xludf.DUMMYFUNCTION("IFERROR(GOOGLEFINANCE(A1299,""PRICE""),)"),72.78)</f>
        <v>72.78</v>
      </c>
      <c r="I1299" s="65">
        <f>IFERROR(__xludf.DUMMYFUNCTION("IFERROR(GOOGLEFINANCE(A1299,""VOLUME""),)"),8393426.0)</f>
        <v>8393426</v>
      </c>
      <c r="J1299" s="64" t="str">
        <f>IFERROR(__xludf.DUMMYFUNCTION("IFERROR(INDEX(SPLIT(A1299,"":""),1,2),)"),"SJVN")</f>
        <v>SJVN</v>
      </c>
      <c r="K1299" s="64">
        <f t="shared" si="4"/>
        <v>34</v>
      </c>
      <c r="L1299" s="64" t="str">
        <f t="shared" si="5"/>
        <v/>
      </c>
      <c r="M1299" s="64">
        <f t="shared" si="6"/>
        <v>71</v>
      </c>
      <c r="N1299" s="66">
        <f>IFERROR(__xludf.DUMMYFUNCTION("IFERROR(GOOGLEFINANCE(A1299,""TRADETIME""),)"),46086.64584490741)</f>
        <v>46086.64584</v>
      </c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</row>
    <row r="1300">
      <c r="A1300" s="67" t="s">
        <v>1346</v>
      </c>
      <c r="B1300" s="60" t="str">
        <f>IFERROR(__xludf.DUMMYFUNCTION("IFERROR(GOOGLEFINANCE(A1300,""NAME""),)"),"SKF India Ltd")</f>
        <v>SKF India Ltd</v>
      </c>
      <c r="C1300" s="60">
        <f>IFERROR(__xludf.DUMMYFUNCTION("IFERROR(GOOGLEFINANCE(A1300,""CHANGE""),)"),11.8)</f>
        <v>11.8</v>
      </c>
      <c r="D1300" s="60">
        <f>IFERROR(__xludf.DUMMYFUNCTION("IFERROR(GOOGLEFINANCE(A1300,""CHANGEPCT""),)"),0.72)</f>
        <v>0.72</v>
      </c>
      <c r="E1300" s="60" t="str">
        <f t="shared" si="1"/>
        <v>0.72%</v>
      </c>
      <c r="F1300" s="60">
        <f t="shared" si="2"/>
        <v>0.72</v>
      </c>
      <c r="G1300" s="60" t="str">
        <f t="shared" si="3"/>
        <v/>
      </c>
      <c r="H1300" s="60">
        <f>IFERROR(__xludf.DUMMYFUNCTION("IFERROR(GOOGLEFINANCE(A1300,""PRICE""),)"),1660.2)</f>
        <v>1660.2</v>
      </c>
      <c r="I1300" s="61">
        <f>IFERROR(__xludf.DUMMYFUNCTION("IFERROR(GOOGLEFINANCE(A1300,""VOLUME""),)"),62651.0)</f>
        <v>62651</v>
      </c>
      <c r="J1300" s="60" t="str">
        <f>IFERROR(__xludf.DUMMYFUNCTION("IFERROR(INDEX(SPLIT(A1300,"":""),1,2),)"),"SKFINDIA")</f>
        <v>SKFINDIA</v>
      </c>
      <c r="K1300" s="60">
        <f t="shared" si="4"/>
        <v>818</v>
      </c>
      <c r="L1300" s="60" t="str">
        <f t="shared" si="5"/>
        <v/>
      </c>
      <c r="M1300" s="60">
        <f t="shared" si="6"/>
        <v>869</v>
      </c>
      <c r="N1300" s="62">
        <f>IFERROR(__xludf.DUMMYFUNCTION("IFERROR(GOOGLEFINANCE(A1300,""TRADETIME""),)"),46086.64583333333)</f>
        <v>46086.64583</v>
      </c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</row>
    <row r="1301">
      <c r="A1301" s="68" t="s">
        <v>1347</v>
      </c>
      <c r="B1301" s="64" t="str">
        <f>IFERROR(__xludf.DUMMYFUNCTION("IFERROR(GOOGLEFINANCE(A1301,""NAME""),)"),"SKIL Infrastructure Ltd")</f>
        <v>SKIL Infrastructure Ltd</v>
      </c>
      <c r="C1301" s="64">
        <f>IFERROR(__xludf.DUMMYFUNCTION("IFERROR(GOOGLEFINANCE(A1301,""CHANGE""),)"),-0.04)</f>
        <v>-0.04</v>
      </c>
      <c r="D1301" s="64">
        <f>IFERROR(__xludf.DUMMYFUNCTION("IFERROR(GOOGLEFINANCE(A1301,""CHANGEPCT""),)"),-3.6)</f>
        <v>-3.6</v>
      </c>
      <c r="E1301" s="64" t="str">
        <f t="shared" si="1"/>
        <v>-3.6%</v>
      </c>
      <c r="F1301" s="64" t="str">
        <f t="shared" si="2"/>
        <v/>
      </c>
      <c r="G1301" s="64">
        <f t="shared" si="3"/>
        <v>-3.6</v>
      </c>
      <c r="H1301" s="64">
        <f>IFERROR(__xludf.DUMMYFUNCTION("IFERROR(GOOGLEFINANCE(A1301,""PRICE""),)"),1.07)</f>
        <v>1.07</v>
      </c>
      <c r="I1301" s="65">
        <f>IFERROR(__xludf.DUMMYFUNCTION("IFERROR(GOOGLEFINANCE(A1301,""VOLUME""),)"),231796.0)</f>
        <v>231796</v>
      </c>
      <c r="J1301" s="64" t="str">
        <f>IFERROR(__xludf.DUMMYFUNCTION("IFERROR(INDEX(SPLIT(A1301,"":""),1,2),)"),"SKIL")</f>
        <v>SKIL</v>
      </c>
      <c r="K1301" s="64" t="str">
        <f t="shared" si="4"/>
        <v/>
      </c>
      <c r="L1301" s="64">
        <f t="shared" si="5"/>
        <v>422</v>
      </c>
      <c r="M1301" s="64">
        <f t="shared" si="6"/>
        <v>572</v>
      </c>
      <c r="N1301" s="66">
        <f>IFERROR(__xludf.DUMMYFUNCTION("IFERROR(GOOGLEFINANCE(A1301,""TRADETIME""),)"),46083.64583333333)</f>
        <v>46083.64583</v>
      </c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</row>
    <row r="1302">
      <c r="A1302" s="67" t="s">
        <v>1348</v>
      </c>
      <c r="B1302" s="60" t="str">
        <f>IFERROR(__xludf.DUMMYFUNCTION("IFERROR(GOOGLEFINANCE(A1302,""NAME""),)"),"Skipper Ltd (India)")</f>
        <v>Skipper Ltd (India)</v>
      </c>
      <c r="C1302" s="60">
        <f>IFERROR(__xludf.DUMMYFUNCTION("IFERROR(GOOGLEFINANCE(A1302,""CHANGE""),)"),11.05)</f>
        <v>11.05</v>
      </c>
      <c r="D1302" s="60">
        <f>IFERROR(__xludf.DUMMYFUNCTION("IFERROR(GOOGLEFINANCE(A1302,""CHANGEPCT""),)"),3.24)</f>
        <v>3.24</v>
      </c>
      <c r="E1302" s="60" t="str">
        <f t="shared" si="1"/>
        <v>3.24%</v>
      </c>
      <c r="F1302" s="60">
        <f t="shared" si="2"/>
        <v>3.24</v>
      </c>
      <c r="G1302" s="60" t="str">
        <f t="shared" si="3"/>
        <v/>
      </c>
      <c r="H1302" s="60">
        <f>IFERROR(__xludf.DUMMYFUNCTION("IFERROR(GOOGLEFINANCE(A1302,""PRICE""),)"),352.0)</f>
        <v>352</v>
      </c>
      <c r="I1302" s="61">
        <f>IFERROR(__xludf.DUMMYFUNCTION("IFERROR(GOOGLEFINANCE(A1302,""VOLUME""),)"),236491.0)</f>
        <v>236491</v>
      </c>
      <c r="J1302" s="60" t="str">
        <f>IFERROR(__xludf.DUMMYFUNCTION("IFERROR(INDEX(SPLIT(A1302,"":""),1,2),)"),"SKIPPER")</f>
        <v>SKIPPER</v>
      </c>
      <c r="K1302" s="60">
        <f t="shared" si="4"/>
        <v>219</v>
      </c>
      <c r="L1302" s="60" t="str">
        <f t="shared" si="5"/>
        <v/>
      </c>
      <c r="M1302" s="60">
        <f t="shared" si="6"/>
        <v>569</v>
      </c>
      <c r="N1302" s="62">
        <f>IFERROR(__xludf.DUMMYFUNCTION("IFERROR(GOOGLEFINANCE(A1302,""TRADETIME""),)"),46086.64585648148)</f>
        <v>46086.64586</v>
      </c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</row>
    <row r="1303">
      <c r="A1303" s="68" t="s">
        <v>1349</v>
      </c>
      <c r="B1303" s="64" t="str">
        <f>IFERROR(__xludf.DUMMYFUNCTION("IFERROR(GOOGLEFINANCE(A1303,""NAME""),)"),"SKM Egg Products Export India Ltd")</f>
        <v>SKM Egg Products Export India Ltd</v>
      </c>
      <c r="C1303" s="64">
        <f>IFERROR(__xludf.DUMMYFUNCTION("IFERROR(GOOGLEFINANCE(A1303,""CHANGE""),)"),-1.61)</f>
        <v>-1.61</v>
      </c>
      <c r="D1303" s="64">
        <f>IFERROR(__xludf.DUMMYFUNCTION("IFERROR(GOOGLEFINANCE(A1303,""CHANGEPCT""),)"),-1.0)</f>
        <v>-1</v>
      </c>
      <c r="E1303" s="64" t="str">
        <f t="shared" si="1"/>
        <v>-1%</v>
      </c>
      <c r="F1303" s="64" t="str">
        <f t="shared" si="2"/>
        <v/>
      </c>
      <c r="G1303" s="64">
        <f t="shared" si="3"/>
        <v>-1</v>
      </c>
      <c r="H1303" s="64">
        <f>IFERROR(__xludf.DUMMYFUNCTION("IFERROR(GOOGLEFINANCE(A1303,""PRICE""),)"),160.0)</f>
        <v>160</v>
      </c>
      <c r="I1303" s="65">
        <f>IFERROR(__xludf.DUMMYFUNCTION("IFERROR(GOOGLEFINANCE(A1303,""VOLUME""),)"),110585.0)</f>
        <v>110585</v>
      </c>
      <c r="J1303" s="64" t="str">
        <f>IFERROR(__xludf.DUMMYFUNCTION("IFERROR(INDEX(SPLIT(A1303,"":""),1,2),)"),"SKMEGGPROD")</f>
        <v>SKMEGGPROD</v>
      </c>
      <c r="K1303" s="64" t="str">
        <f t="shared" si="4"/>
        <v/>
      </c>
      <c r="L1303" s="64">
        <f t="shared" si="5"/>
        <v>218</v>
      </c>
      <c r="M1303" s="64">
        <f t="shared" si="6"/>
        <v>739</v>
      </c>
      <c r="N1303" s="66">
        <f>IFERROR(__xludf.DUMMYFUNCTION("IFERROR(GOOGLEFINANCE(A1303,""TRADETIME""),)"),46086.64583333333)</f>
        <v>46086.64583</v>
      </c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</row>
    <row r="1304">
      <c r="A1304" s="67" t="s">
        <v>1350</v>
      </c>
      <c r="B1304" s="60" t="str">
        <f>IFERROR(__xludf.DUMMYFUNCTION("IFERROR(GOOGLEFINANCE(A1304,""NAME""),)"),"Smartlink Holdings Ltd")</f>
        <v>Smartlink Holdings Ltd</v>
      </c>
      <c r="C1304" s="60">
        <f>IFERROR(__xludf.DUMMYFUNCTION("IFERROR(GOOGLEFINANCE(A1304,""CHANGE""),)"),1.76)</f>
        <v>1.76</v>
      </c>
      <c r="D1304" s="60">
        <f>IFERROR(__xludf.DUMMYFUNCTION("IFERROR(GOOGLEFINANCE(A1304,""CHANGEPCT""),)"),1.51)</f>
        <v>1.51</v>
      </c>
      <c r="E1304" s="60" t="str">
        <f t="shared" si="1"/>
        <v>1.51%</v>
      </c>
      <c r="F1304" s="60">
        <f t="shared" si="2"/>
        <v>1.51</v>
      </c>
      <c r="G1304" s="60" t="str">
        <f t="shared" si="3"/>
        <v/>
      </c>
      <c r="H1304" s="60">
        <f>IFERROR(__xludf.DUMMYFUNCTION("IFERROR(GOOGLEFINANCE(A1304,""PRICE""),)"),118.36)</f>
        <v>118.36</v>
      </c>
      <c r="I1304" s="61">
        <f>IFERROR(__xludf.DUMMYFUNCTION("IFERROR(GOOGLEFINANCE(A1304,""VOLUME""),)"),2300.0)</f>
        <v>2300</v>
      </c>
      <c r="J1304" s="60" t="str">
        <f>IFERROR(__xludf.DUMMYFUNCTION("IFERROR(INDEX(SPLIT(A1304,"":""),1,2),)"),"SMARTLINK")</f>
        <v>SMARTLINK</v>
      </c>
      <c r="K1304" s="60">
        <f t="shared" si="4"/>
        <v>570</v>
      </c>
      <c r="L1304" s="60" t="str">
        <f t="shared" si="5"/>
        <v/>
      </c>
      <c r="M1304" s="60">
        <f t="shared" si="6"/>
        <v>1397</v>
      </c>
      <c r="N1304" s="62">
        <f>IFERROR(__xludf.DUMMYFUNCTION("IFERROR(GOOGLEFINANCE(A1304,""TRADETIME""),)"),46086.64141203703)</f>
        <v>46086.64141</v>
      </c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</row>
    <row r="1305">
      <c r="A1305" s="68" t="s">
        <v>1351</v>
      </c>
      <c r="B1305" s="64" t="str">
        <f>IFERROR(__xludf.DUMMYFUNCTION("IFERROR(GOOGLEFINANCE(A1305,""NAME""),)"),"")</f>
        <v/>
      </c>
      <c r="C1305" s="64" t="str">
        <f>IFERROR(__xludf.DUMMYFUNCTION("IFERROR(GOOGLEFINANCE(A1305,""CHANGE""),)"),"")</f>
        <v/>
      </c>
      <c r="D1305" s="64" t="str">
        <f>IFERROR(__xludf.DUMMYFUNCTION("IFERROR(GOOGLEFINANCE(A1305,""CHANGEPCT""),)"),"")</f>
        <v/>
      </c>
      <c r="E1305" s="64" t="str">
        <f t="shared" si="1"/>
        <v>%</v>
      </c>
      <c r="F1305" s="64" t="str">
        <f t="shared" si="2"/>
        <v/>
      </c>
      <c r="G1305" s="64" t="str">
        <f t="shared" si="3"/>
        <v/>
      </c>
      <c r="H1305" s="64" t="str">
        <f>IFERROR(__xludf.DUMMYFUNCTION("IFERROR(GOOGLEFINANCE(A1305,""PRICE""),)"),"")</f>
        <v/>
      </c>
      <c r="I1305" s="65" t="str">
        <f>IFERROR(__xludf.DUMMYFUNCTION("IFERROR(GOOGLEFINANCE(A1305,""VOLUME""),)"),"")</f>
        <v/>
      </c>
      <c r="J1305" s="64" t="str">
        <f>IFERROR(__xludf.DUMMYFUNCTION("IFERROR(INDEX(SPLIT(A1305,"":""),1,2),)"),"SMLISUZU")</f>
        <v>SMLISUZU</v>
      </c>
      <c r="K1305" s="64" t="str">
        <f t="shared" si="4"/>
        <v/>
      </c>
      <c r="L1305" s="64" t="str">
        <f t="shared" si="5"/>
        <v/>
      </c>
      <c r="M1305" s="64" t="str">
        <f t="shared" si="6"/>
        <v/>
      </c>
      <c r="N1305" s="66" t="str">
        <f>IFERROR(__xludf.DUMMYFUNCTION("IFERROR(GOOGLEFINANCE(A1305,""TRADETIME""),)"),"")</f>
        <v/>
      </c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</row>
    <row r="1306">
      <c r="A1306" s="67" t="s">
        <v>1352</v>
      </c>
      <c r="B1306" s="60" t="str">
        <f>IFERROR(__xludf.DUMMYFUNCTION("IFERROR(GOOGLEFINANCE(A1306,""NAME""),)"),"")</f>
        <v/>
      </c>
      <c r="C1306" s="60" t="str">
        <f>IFERROR(__xludf.DUMMYFUNCTION("IFERROR(GOOGLEFINANCE(A1306,""CHANGE""),)"),"")</f>
        <v/>
      </c>
      <c r="D1306" s="60" t="str">
        <f>IFERROR(__xludf.DUMMYFUNCTION("IFERROR(GOOGLEFINANCE(A1306,""CHANGEPCT""),)"),"")</f>
        <v/>
      </c>
      <c r="E1306" s="60" t="str">
        <f t="shared" si="1"/>
        <v>%</v>
      </c>
      <c r="F1306" s="60" t="str">
        <f t="shared" si="2"/>
        <v/>
      </c>
      <c r="G1306" s="60" t="str">
        <f t="shared" si="3"/>
        <v/>
      </c>
      <c r="H1306" s="60" t="str">
        <f>IFERROR(__xludf.DUMMYFUNCTION("IFERROR(GOOGLEFINANCE(A1306,""PRICE""),)"),"")</f>
        <v/>
      </c>
      <c r="I1306" s="61" t="str">
        <f>IFERROR(__xludf.DUMMYFUNCTION("IFERROR(GOOGLEFINANCE(A1306,""VOLUME""),)"),"")</f>
        <v/>
      </c>
      <c r="J1306" s="60" t="str">
        <f>IFERROR(__xludf.DUMMYFUNCTION("IFERROR(INDEX(SPLIT(A1306,"":""),1,2),)"),"SMSLIFE")</f>
        <v>SMSLIFE</v>
      </c>
      <c r="K1306" s="60" t="str">
        <f t="shared" si="4"/>
        <v/>
      </c>
      <c r="L1306" s="60" t="str">
        <f t="shared" si="5"/>
        <v/>
      </c>
      <c r="M1306" s="60" t="str">
        <f t="shared" si="6"/>
        <v/>
      </c>
      <c r="N1306" s="62" t="str">
        <f>IFERROR(__xludf.DUMMYFUNCTION("IFERROR(GOOGLEFINANCE(A1306,""TRADETIME""),)"),"")</f>
        <v/>
      </c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</row>
    <row r="1307">
      <c r="A1307" s="68" t="s">
        <v>1353</v>
      </c>
      <c r="B1307" s="64" t="str">
        <f>IFERROR(__xludf.DUMMYFUNCTION("IFERROR(GOOGLEFINANCE(A1307,""NAME""),)"),"SMS Pharmaceuticals Ltd")</f>
        <v>SMS Pharmaceuticals Ltd</v>
      </c>
      <c r="C1307" s="64">
        <f>IFERROR(__xludf.DUMMYFUNCTION("IFERROR(GOOGLEFINANCE(A1307,""CHANGE""),)"),8.55)</f>
        <v>8.55</v>
      </c>
      <c r="D1307" s="64">
        <f>IFERROR(__xludf.DUMMYFUNCTION("IFERROR(GOOGLEFINANCE(A1307,""CHANGEPCT""),)"),2.28)</f>
        <v>2.28</v>
      </c>
      <c r="E1307" s="64" t="str">
        <f t="shared" si="1"/>
        <v>2.28%</v>
      </c>
      <c r="F1307" s="64">
        <f t="shared" si="2"/>
        <v>2.28</v>
      </c>
      <c r="G1307" s="64" t="str">
        <f t="shared" si="3"/>
        <v/>
      </c>
      <c r="H1307" s="64">
        <f>IFERROR(__xludf.DUMMYFUNCTION("IFERROR(GOOGLEFINANCE(A1307,""PRICE""),)"),383.0)</f>
        <v>383</v>
      </c>
      <c r="I1307" s="65">
        <f>IFERROR(__xludf.DUMMYFUNCTION("IFERROR(GOOGLEFINANCE(A1307,""VOLUME""),)"),288019.0)</f>
        <v>288019</v>
      </c>
      <c r="J1307" s="64" t="str">
        <f>IFERROR(__xludf.DUMMYFUNCTION("IFERROR(INDEX(SPLIT(A1307,"":""),1,2),)"),"SMSPHARMA")</f>
        <v>SMSPHARMA</v>
      </c>
      <c r="K1307" s="64">
        <f t="shared" si="4"/>
        <v>381</v>
      </c>
      <c r="L1307" s="64" t="str">
        <f t="shared" si="5"/>
        <v/>
      </c>
      <c r="M1307" s="64">
        <f t="shared" si="6"/>
        <v>517</v>
      </c>
      <c r="N1307" s="66">
        <f>IFERROR(__xludf.DUMMYFUNCTION("IFERROR(GOOGLEFINANCE(A1307,""TRADETIME""),)"),46086.64583333333)</f>
        <v>46086.64583</v>
      </c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</row>
    <row r="1308">
      <c r="A1308" s="67" t="s">
        <v>1354</v>
      </c>
      <c r="B1308" s="60" t="str">
        <f>IFERROR(__xludf.DUMMYFUNCTION("IFERROR(GOOGLEFINANCE(A1308,""NAME""),)"),"Snowman Logistics Ltd")</f>
        <v>Snowman Logistics Ltd</v>
      </c>
      <c r="C1308" s="60">
        <f>IFERROR(__xludf.DUMMYFUNCTION("IFERROR(GOOGLEFINANCE(A1308,""CHANGE""),)"),0.84)</f>
        <v>0.84</v>
      </c>
      <c r="D1308" s="60">
        <f>IFERROR(__xludf.DUMMYFUNCTION("IFERROR(GOOGLEFINANCE(A1308,""CHANGEPCT""),)"),2.24)</f>
        <v>2.24</v>
      </c>
      <c r="E1308" s="60" t="str">
        <f t="shared" si="1"/>
        <v>2.24%</v>
      </c>
      <c r="F1308" s="60">
        <f t="shared" si="2"/>
        <v>2.24</v>
      </c>
      <c r="G1308" s="60" t="str">
        <f t="shared" si="3"/>
        <v/>
      </c>
      <c r="H1308" s="60">
        <f>IFERROR(__xludf.DUMMYFUNCTION("IFERROR(GOOGLEFINANCE(A1308,""PRICE""),)"),38.0)</f>
        <v>38</v>
      </c>
      <c r="I1308" s="61">
        <f>IFERROR(__xludf.DUMMYFUNCTION("IFERROR(GOOGLEFINANCE(A1308,""VOLUME""),)"),178504.0)</f>
        <v>178504</v>
      </c>
      <c r="J1308" s="60" t="str">
        <f>IFERROR(__xludf.DUMMYFUNCTION("IFERROR(INDEX(SPLIT(A1308,"":""),1,2),)"),"SNOWMAN")</f>
        <v>SNOWMAN</v>
      </c>
      <c r="K1308" s="60">
        <f t="shared" si="4"/>
        <v>390</v>
      </c>
      <c r="L1308" s="60" t="str">
        <f t="shared" si="5"/>
        <v/>
      </c>
      <c r="M1308" s="60">
        <f t="shared" si="6"/>
        <v>629</v>
      </c>
      <c r="N1308" s="62">
        <f>IFERROR(__xludf.DUMMYFUNCTION("IFERROR(GOOGLEFINANCE(A1308,""TRADETIME""),)"),46086.639375)</f>
        <v>46086.63938</v>
      </c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</row>
    <row r="1309">
      <c r="A1309" s="68" t="s">
        <v>1355</v>
      </c>
      <c r="B1309" s="64" t="str">
        <f>IFERROR(__xludf.DUMMYFUNCTION("IFERROR(GOOGLEFINANCE(A1309,""NAME""),)"),"Sobha Ltd")</f>
        <v>Sobha Ltd</v>
      </c>
      <c r="C1309" s="64">
        <f>IFERROR(__xludf.DUMMYFUNCTION("IFERROR(GOOGLEFINANCE(A1309,""CHANGE""),)"),18.0)</f>
        <v>18</v>
      </c>
      <c r="D1309" s="64">
        <f>IFERROR(__xludf.DUMMYFUNCTION("IFERROR(GOOGLEFINANCE(A1309,""CHANGEPCT""),)"),1.46)</f>
        <v>1.46</v>
      </c>
      <c r="E1309" s="64" t="str">
        <f t="shared" si="1"/>
        <v>1.46%</v>
      </c>
      <c r="F1309" s="64">
        <f t="shared" si="2"/>
        <v>1.46</v>
      </c>
      <c r="G1309" s="64" t="str">
        <f t="shared" si="3"/>
        <v/>
      </c>
      <c r="H1309" s="64">
        <f>IFERROR(__xludf.DUMMYFUNCTION("IFERROR(GOOGLEFINANCE(A1309,""PRICE""),)"),1358.0)</f>
        <v>1358</v>
      </c>
      <c r="I1309" s="65">
        <f>IFERROR(__xludf.DUMMYFUNCTION("IFERROR(GOOGLEFINANCE(A1309,""VOLUME""),)"),70291.0)</f>
        <v>70291</v>
      </c>
      <c r="J1309" s="64" t="str">
        <f>IFERROR(__xludf.DUMMYFUNCTION("IFERROR(INDEX(SPLIT(A1309,"":""),1,2),)"),"SOBHA")</f>
        <v>SOBHA</v>
      </c>
      <c r="K1309" s="64">
        <f t="shared" si="4"/>
        <v>586</v>
      </c>
      <c r="L1309" s="64" t="str">
        <f t="shared" si="5"/>
        <v/>
      </c>
      <c r="M1309" s="64">
        <f t="shared" si="6"/>
        <v>844</v>
      </c>
      <c r="N1309" s="66">
        <f>IFERROR(__xludf.DUMMYFUNCTION("IFERROR(GOOGLEFINANCE(A1309,""TRADETIME""),)"),46086.64585648148)</f>
        <v>46086.64586</v>
      </c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</row>
    <row r="1310">
      <c r="A1310" s="67" t="s">
        <v>1356</v>
      </c>
      <c r="B1310" s="60" t="str">
        <f>IFERROR(__xludf.DUMMYFUNCTION("IFERROR(GOOGLEFINANCE(A1310,""NAME""),)"),"Solara Active Pharma Sciences Ltd")</f>
        <v>Solara Active Pharma Sciences Ltd</v>
      </c>
      <c r="C1310" s="60">
        <f>IFERROR(__xludf.DUMMYFUNCTION("IFERROR(GOOGLEFINANCE(A1310,""CHANGE""),)"),2.35)</f>
        <v>2.35</v>
      </c>
      <c r="D1310" s="60">
        <f>IFERROR(__xludf.DUMMYFUNCTION("IFERROR(GOOGLEFINANCE(A1310,""CHANGEPCT""),)"),0.51)</f>
        <v>0.51</v>
      </c>
      <c r="E1310" s="60" t="str">
        <f t="shared" si="1"/>
        <v>0.51%</v>
      </c>
      <c r="F1310" s="60">
        <f t="shared" si="2"/>
        <v>0.51</v>
      </c>
      <c r="G1310" s="60" t="str">
        <f t="shared" si="3"/>
        <v/>
      </c>
      <c r="H1310" s="60">
        <f>IFERROR(__xludf.DUMMYFUNCTION("IFERROR(GOOGLEFINANCE(A1310,""PRICE""),)"),464.0)</f>
        <v>464</v>
      </c>
      <c r="I1310" s="61">
        <f>IFERROR(__xludf.DUMMYFUNCTION("IFERROR(GOOGLEFINANCE(A1310,""VOLUME""),)"),48528.0)</f>
        <v>48528</v>
      </c>
      <c r="J1310" s="60" t="str">
        <f>IFERROR(__xludf.DUMMYFUNCTION("IFERROR(INDEX(SPLIT(A1310,"":""),1,2),)"),"SOLARA")</f>
        <v>SOLARA</v>
      </c>
      <c r="K1310" s="60">
        <f t="shared" si="4"/>
        <v>878</v>
      </c>
      <c r="L1310" s="60" t="str">
        <f t="shared" si="5"/>
        <v/>
      </c>
      <c r="M1310" s="60">
        <f t="shared" si="6"/>
        <v>943</v>
      </c>
      <c r="N1310" s="62">
        <f>IFERROR(__xludf.DUMMYFUNCTION("IFERROR(GOOGLEFINANCE(A1310,""TRADETIME""),)"),46086.64586805555)</f>
        <v>46086.64587</v>
      </c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</row>
    <row r="1311">
      <c r="A1311" s="68" t="s">
        <v>1357</v>
      </c>
      <c r="B1311" s="64" t="str">
        <f>IFERROR(__xludf.DUMMYFUNCTION("IFERROR(GOOGLEFINANCE(A1311,""NAME""),)"),"Solar Industries India Ltd")</f>
        <v>Solar Industries India Ltd</v>
      </c>
      <c r="C1311" s="64">
        <f>IFERROR(__xludf.DUMMYFUNCTION("IFERROR(GOOGLEFINANCE(A1311,""CHANGE""),)"),197.0)</f>
        <v>197</v>
      </c>
      <c r="D1311" s="64">
        <f>IFERROR(__xludf.DUMMYFUNCTION("IFERROR(GOOGLEFINANCE(A1311,""CHANGEPCT""),)"),1.03)</f>
        <v>1.03</v>
      </c>
      <c r="E1311" s="64" t="str">
        <f t="shared" si="1"/>
        <v>1.03%</v>
      </c>
      <c r="F1311" s="64">
        <f t="shared" si="2"/>
        <v>1.03</v>
      </c>
      <c r="G1311" s="64" t="str">
        <f t="shared" si="3"/>
        <v/>
      </c>
      <c r="H1311" s="64">
        <f>IFERROR(__xludf.DUMMYFUNCTION("IFERROR(GOOGLEFINANCE(A1311,""PRICE""),)"),14720.0)</f>
        <v>14720</v>
      </c>
      <c r="I1311" s="65">
        <f>IFERROR(__xludf.DUMMYFUNCTION("IFERROR(GOOGLEFINANCE(A1311,""VOLUME""),)"),310452.0)</f>
        <v>310452</v>
      </c>
      <c r="J1311" s="64" t="str">
        <f>IFERROR(__xludf.DUMMYFUNCTION("IFERROR(INDEX(SPLIT(A1311,"":""),1,2),)"),"SOLARINDS")</f>
        <v>SOLARINDS</v>
      </c>
      <c r="K1311" s="64">
        <f t="shared" si="4"/>
        <v>714</v>
      </c>
      <c r="L1311" s="64" t="str">
        <f t="shared" si="5"/>
        <v/>
      </c>
      <c r="M1311" s="64">
        <f t="shared" si="6"/>
        <v>500</v>
      </c>
      <c r="N1311" s="66">
        <f>IFERROR(__xludf.DUMMYFUNCTION("IFERROR(GOOGLEFINANCE(A1311,""TRADETIME""),)"),46086.64583333333)</f>
        <v>46086.64583</v>
      </c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</row>
    <row r="1312">
      <c r="A1312" s="67" t="s">
        <v>1358</v>
      </c>
      <c r="B1312" s="60" t="str">
        <f>IFERROR(__xludf.DUMMYFUNCTION("IFERROR(GOOGLEFINANCE(A1312,""NAME""),)"),"Somany Ceramics Ltd")</f>
        <v>Somany Ceramics Ltd</v>
      </c>
      <c r="C1312" s="60">
        <f>IFERROR(__xludf.DUMMYFUNCTION("IFERROR(GOOGLEFINANCE(A1312,""CHANGE""),)"),2.55)</f>
        <v>2.55</v>
      </c>
      <c r="D1312" s="60">
        <f>IFERROR(__xludf.DUMMYFUNCTION("IFERROR(GOOGLEFINANCE(A1312,""CHANGEPCT""),)"),0.68)</f>
        <v>0.68</v>
      </c>
      <c r="E1312" s="60" t="str">
        <f t="shared" si="1"/>
        <v>0.68%</v>
      </c>
      <c r="F1312" s="60">
        <f t="shared" si="2"/>
        <v>0.68</v>
      </c>
      <c r="G1312" s="60" t="str">
        <f t="shared" si="3"/>
        <v/>
      </c>
      <c r="H1312" s="60">
        <f>IFERROR(__xludf.DUMMYFUNCTION("IFERROR(GOOGLEFINANCE(A1312,""PRICE""),)"),377.0)</f>
        <v>377</v>
      </c>
      <c r="I1312" s="61">
        <f>IFERROR(__xludf.DUMMYFUNCTION("IFERROR(GOOGLEFINANCE(A1312,""VOLUME""),)"),15996.0)</f>
        <v>15996</v>
      </c>
      <c r="J1312" s="60" t="str">
        <f>IFERROR(__xludf.DUMMYFUNCTION("IFERROR(INDEX(SPLIT(A1312,"":""),1,2),)"),"SOMANYCERA")</f>
        <v>SOMANYCERA</v>
      </c>
      <c r="K1312" s="60">
        <f t="shared" si="4"/>
        <v>826</v>
      </c>
      <c r="L1312" s="60" t="str">
        <f t="shared" si="5"/>
        <v/>
      </c>
      <c r="M1312" s="60">
        <f t="shared" si="6"/>
        <v>1187</v>
      </c>
      <c r="N1312" s="62">
        <f>IFERROR(__xludf.DUMMYFUNCTION("IFERROR(GOOGLEFINANCE(A1312,""TRADETIME""),)"),46086.64584490741)</f>
        <v>46086.64584</v>
      </c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</row>
    <row r="1313">
      <c r="A1313" s="68" t="s">
        <v>1359</v>
      </c>
      <c r="B1313" s="64" t="str">
        <f>IFERROR(__xludf.DUMMYFUNCTION("IFERROR(GOOGLEFINANCE(A1313,""NAME""),)"),"Soma Textiles &amp; Industries Ltd")</f>
        <v>Soma Textiles &amp; Industries Ltd</v>
      </c>
      <c r="C1313" s="64">
        <f>IFERROR(__xludf.DUMMYFUNCTION("IFERROR(GOOGLEFINANCE(A1313,""CHANGE""),)"),-2.13)</f>
        <v>-2.13</v>
      </c>
      <c r="D1313" s="64">
        <f>IFERROR(__xludf.DUMMYFUNCTION("IFERROR(GOOGLEFINANCE(A1313,""CHANGEPCT""),)"),-2.0)</f>
        <v>-2</v>
      </c>
      <c r="E1313" s="64" t="str">
        <f t="shared" si="1"/>
        <v>-2%</v>
      </c>
      <c r="F1313" s="64" t="str">
        <f t="shared" si="2"/>
        <v/>
      </c>
      <c r="G1313" s="64">
        <f t="shared" si="3"/>
        <v>-2</v>
      </c>
      <c r="H1313" s="64">
        <f>IFERROR(__xludf.DUMMYFUNCTION("IFERROR(GOOGLEFINANCE(A1313,""PRICE""),)"),104.58)</f>
        <v>104.58</v>
      </c>
      <c r="I1313" s="65">
        <f>IFERROR(__xludf.DUMMYFUNCTION("IFERROR(GOOGLEFINANCE(A1313,""VOLUME""),)"),3176.0)</f>
        <v>3176</v>
      </c>
      <c r="J1313" s="64" t="str">
        <f>IFERROR(__xludf.DUMMYFUNCTION("IFERROR(INDEX(SPLIT(A1313,"":""),1,2),)"),"SOMATEX")</f>
        <v>SOMATEX</v>
      </c>
      <c r="K1313" s="64" t="str">
        <f t="shared" si="4"/>
        <v/>
      </c>
      <c r="L1313" s="64">
        <f t="shared" si="5"/>
        <v>354</v>
      </c>
      <c r="M1313" s="64">
        <f t="shared" si="6"/>
        <v>1382</v>
      </c>
      <c r="N1313" s="66">
        <f>IFERROR(__xludf.DUMMYFUNCTION("IFERROR(GOOGLEFINANCE(A1313,""TRADETIME""),)"),46086.63517361111)</f>
        <v>46086.63517</v>
      </c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</row>
    <row r="1314">
      <c r="A1314" s="67" t="s">
        <v>1360</v>
      </c>
      <c r="B1314" s="60" t="str">
        <f>IFERROR(__xludf.DUMMYFUNCTION("IFERROR(GOOGLEFINANCE(A1314,""NAME""),)"),"Somi Conveyor Beltings Ltd")</f>
        <v>Somi Conveyor Beltings Ltd</v>
      </c>
      <c r="C1314" s="60">
        <f>IFERROR(__xludf.DUMMYFUNCTION("IFERROR(GOOGLEFINANCE(A1314,""CHANGE""),)"),0.99)</f>
        <v>0.99</v>
      </c>
      <c r="D1314" s="60">
        <f>IFERROR(__xludf.DUMMYFUNCTION("IFERROR(GOOGLEFINANCE(A1314,""CHANGEPCT""),)"),0.97)</f>
        <v>0.97</v>
      </c>
      <c r="E1314" s="60" t="str">
        <f t="shared" si="1"/>
        <v>0.97%</v>
      </c>
      <c r="F1314" s="60">
        <f t="shared" si="2"/>
        <v>0.97</v>
      </c>
      <c r="G1314" s="60" t="str">
        <f t="shared" si="3"/>
        <v/>
      </c>
      <c r="H1314" s="60">
        <f>IFERROR(__xludf.DUMMYFUNCTION("IFERROR(GOOGLEFINANCE(A1314,""PRICE""),)"),103.39)</f>
        <v>103.39</v>
      </c>
      <c r="I1314" s="61">
        <f>IFERROR(__xludf.DUMMYFUNCTION("IFERROR(GOOGLEFINANCE(A1314,""VOLUME""),)"),24166.0)</f>
        <v>24166</v>
      </c>
      <c r="J1314" s="60" t="str">
        <f>IFERROR(__xludf.DUMMYFUNCTION("IFERROR(INDEX(SPLIT(A1314,"":""),1,2),)"),"SOMICONVEY")</f>
        <v>SOMICONVEY</v>
      </c>
      <c r="K1314" s="60">
        <f t="shared" si="4"/>
        <v>731</v>
      </c>
      <c r="L1314" s="60" t="str">
        <f t="shared" si="5"/>
        <v/>
      </c>
      <c r="M1314" s="60">
        <f t="shared" si="6"/>
        <v>1107</v>
      </c>
      <c r="N1314" s="62">
        <f>IFERROR(__xludf.DUMMYFUNCTION("IFERROR(GOOGLEFINANCE(A1314,""TRADETIME""),)"),46086.64583333333)</f>
        <v>46086.64583</v>
      </c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</row>
    <row r="1315">
      <c r="A1315" s="68" t="s">
        <v>1361</v>
      </c>
      <c r="B1315" s="64" t="str">
        <f>IFERROR(__xludf.DUMMYFUNCTION("IFERROR(GOOGLEFINANCE(A1315,""NAME""),)"),"Sonata Software Ltd")</f>
        <v>Sonata Software Ltd</v>
      </c>
      <c r="C1315" s="64">
        <f>IFERROR(__xludf.DUMMYFUNCTION("IFERROR(GOOGLEFINANCE(A1315,""CHANGE""),)"),-4.65)</f>
        <v>-4.65</v>
      </c>
      <c r="D1315" s="64">
        <f>IFERROR(__xludf.DUMMYFUNCTION("IFERROR(GOOGLEFINANCE(A1315,""CHANGEPCT""),)"),-1.82)</f>
        <v>-1.82</v>
      </c>
      <c r="E1315" s="64" t="str">
        <f t="shared" si="1"/>
        <v>-1.82%</v>
      </c>
      <c r="F1315" s="64" t="str">
        <f t="shared" si="2"/>
        <v/>
      </c>
      <c r="G1315" s="64">
        <f t="shared" si="3"/>
        <v>-1.82</v>
      </c>
      <c r="H1315" s="64">
        <f>IFERROR(__xludf.DUMMYFUNCTION("IFERROR(GOOGLEFINANCE(A1315,""PRICE""),)"),251.0)</f>
        <v>251</v>
      </c>
      <c r="I1315" s="65">
        <f>IFERROR(__xludf.DUMMYFUNCTION("IFERROR(GOOGLEFINANCE(A1315,""VOLUME""),)"),795084.0)</f>
        <v>795084</v>
      </c>
      <c r="J1315" s="64" t="str">
        <f>IFERROR(__xludf.DUMMYFUNCTION("IFERROR(INDEX(SPLIT(A1315,"":""),1,2),)"),"SONATSOFTW")</f>
        <v>SONATSOFTW</v>
      </c>
      <c r="K1315" s="64" t="str">
        <f t="shared" si="4"/>
        <v/>
      </c>
      <c r="L1315" s="64">
        <f t="shared" si="5"/>
        <v>329</v>
      </c>
      <c r="M1315" s="64">
        <f t="shared" si="6"/>
        <v>316</v>
      </c>
      <c r="N1315" s="66">
        <f>IFERROR(__xludf.DUMMYFUNCTION("IFERROR(GOOGLEFINANCE(A1315,""TRADETIME""),)"),46086.64584490741)</f>
        <v>46086.64584</v>
      </c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</row>
    <row r="1316">
      <c r="A1316" s="67" t="s">
        <v>1362</v>
      </c>
      <c r="B1316" s="60" t="str">
        <f>IFERROR(__xludf.DUMMYFUNCTION("IFERROR(GOOGLEFINANCE(A1316,""NAME""),)"),"Savita Oil Technologies Ltd")</f>
        <v>Savita Oil Technologies Ltd</v>
      </c>
      <c r="C1316" s="60">
        <f>IFERROR(__xludf.DUMMYFUNCTION("IFERROR(GOOGLEFINANCE(A1316,""CHANGE""),)"),1.85)</f>
        <v>1.85</v>
      </c>
      <c r="D1316" s="60">
        <f>IFERROR(__xludf.DUMMYFUNCTION("IFERROR(GOOGLEFINANCE(A1316,""CHANGEPCT""),)"),0.81)</f>
        <v>0.81</v>
      </c>
      <c r="E1316" s="60" t="str">
        <f t="shared" si="1"/>
        <v>0.81%</v>
      </c>
      <c r="F1316" s="60">
        <f t="shared" si="2"/>
        <v>0.81</v>
      </c>
      <c r="G1316" s="60" t="str">
        <f t="shared" si="3"/>
        <v/>
      </c>
      <c r="H1316" s="60">
        <f>IFERROR(__xludf.DUMMYFUNCTION("IFERROR(GOOGLEFINANCE(A1316,""PRICE""),)"),360.95)</f>
        <v>360.95</v>
      </c>
      <c r="I1316" s="61">
        <f>IFERROR(__xludf.DUMMYFUNCTION("IFERROR(GOOGLEFINANCE(A1316,""VOLUME""),)"),16122.0)</f>
        <v>16122</v>
      </c>
      <c r="J1316" s="60" t="str">
        <f>IFERROR(__xludf.DUMMYFUNCTION("IFERROR(INDEX(SPLIT(A1316,"":""),1,2),)"),"SOTL")</f>
        <v>SOTL</v>
      </c>
      <c r="K1316" s="60">
        <f t="shared" si="4"/>
        <v>779</v>
      </c>
      <c r="L1316" s="60" t="str">
        <f t="shared" si="5"/>
        <v/>
      </c>
      <c r="M1316" s="60">
        <f t="shared" si="6"/>
        <v>1185</v>
      </c>
      <c r="N1316" s="62">
        <f>IFERROR(__xludf.DUMMYFUNCTION("IFERROR(GOOGLEFINANCE(A1316,""TRADETIME""),)"),46086.64583333333)</f>
        <v>46086.64583</v>
      </c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</row>
    <row r="1317">
      <c r="A1317" s="68" t="s">
        <v>1363</v>
      </c>
      <c r="B1317" s="64" t="str">
        <f>IFERROR(__xludf.DUMMYFUNCTION("IFERROR(GOOGLEFINANCE(A1317,""NAME""),)"),"South Indian Bank Ltd")</f>
        <v>South Indian Bank Ltd</v>
      </c>
      <c r="C1317" s="64">
        <f>IFERROR(__xludf.DUMMYFUNCTION("IFERROR(GOOGLEFINANCE(A1317,""CHANGE""),)"),0.18)</f>
        <v>0.18</v>
      </c>
      <c r="D1317" s="64">
        <f>IFERROR(__xludf.DUMMYFUNCTION("IFERROR(GOOGLEFINANCE(A1317,""CHANGEPCT""),)"),0.45)</f>
        <v>0.45</v>
      </c>
      <c r="E1317" s="64" t="str">
        <f t="shared" si="1"/>
        <v>0.45%</v>
      </c>
      <c r="F1317" s="64">
        <f t="shared" si="2"/>
        <v>0.45</v>
      </c>
      <c r="G1317" s="64" t="str">
        <f t="shared" si="3"/>
        <v/>
      </c>
      <c r="H1317" s="64">
        <f>IFERROR(__xludf.DUMMYFUNCTION("IFERROR(GOOGLEFINANCE(A1317,""PRICE""),)"),40.29)</f>
        <v>40.29</v>
      </c>
      <c r="I1317" s="65">
        <f>IFERROR(__xludf.DUMMYFUNCTION("IFERROR(GOOGLEFINANCE(A1317,""VOLUME""),)"),1.5028971E7)</f>
        <v>15028971</v>
      </c>
      <c r="J1317" s="64" t="str">
        <f>IFERROR(__xludf.DUMMYFUNCTION("IFERROR(INDEX(SPLIT(A1317,"":""),1,2),)"),"SOUTHBANK")</f>
        <v>SOUTHBANK</v>
      </c>
      <c r="K1317" s="64">
        <f t="shared" si="4"/>
        <v>894</v>
      </c>
      <c r="L1317" s="64" t="str">
        <f t="shared" si="5"/>
        <v/>
      </c>
      <c r="M1317" s="64">
        <f t="shared" si="6"/>
        <v>44</v>
      </c>
      <c r="N1317" s="66">
        <f>IFERROR(__xludf.DUMMYFUNCTION("IFERROR(GOOGLEFINANCE(A1317,""TRADETIME""),)"),46086.64584490741)</f>
        <v>46086.64584</v>
      </c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</row>
    <row r="1318">
      <c r="A1318" s="67" t="s">
        <v>1364</v>
      </c>
      <c r="B1318" s="60" t="str">
        <f>IFERROR(__xludf.DUMMYFUNCTION("IFERROR(GOOGLEFINANCE(A1318,""NAME""),)"),"South West Pinnacle Exploration Ltd")</f>
        <v>South West Pinnacle Exploration Ltd</v>
      </c>
      <c r="C1318" s="60">
        <f>IFERROR(__xludf.DUMMYFUNCTION("IFERROR(GOOGLEFINANCE(A1318,""CHANGE""),)"),8.95)</f>
        <v>8.95</v>
      </c>
      <c r="D1318" s="60">
        <f>IFERROR(__xludf.DUMMYFUNCTION("IFERROR(GOOGLEFINANCE(A1318,""CHANGEPCT""),)"),5.0)</f>
        <v>5</v>
      </c>
      <c r="E1318" s="60" t="str">
        <f t="shared" si="1"/>
        <v>5%</v>
      </c>
      <c r="F1318" s="60">
        <f t="shared" si="2"/>
        <v>5</v>
      </c>
      <c r="G1318" s="60" t="str">
        <f t="shared" si="3"/>
        <v/>
      </c>
      <c r="H1318" s="60">
        <f>IFERROR(__xludf.DUMMYFUNCTION("IFERROR(GOOGLEFINANCE(A1318,""PRICE""),)"),188.0)</f>
        <v>188</v>
      </c>
      <c r="I1318" s="61">
        <f>IFERROR(__xludf.DUMMYFUNCTION("IFERROR(GOOGLEFINANCE(A1318,""VOLUME""),)"),53121.0)</f>
        <v>53121</v>
      </c>
      <c r="J1318" s="60" t="str">
        <f>IFERROR(__xludf.DUMMYFUNCTION("IFERROR(INDEX(SPLIT(A1318,"":""),1,2),)"),"SOUTHWEST")</f>
        <v>SOUTHWEST</v>
      </c>
      <c r="K1318" s="60">
        <f t="shared" si="4"/>
        <v>72</v>
      </c>
      <c r="L1318" s="60" t="str">
        <f t="shared" si="5"/>
        <v/>
      </c>
      <c r="M1318" s="60">
        <f t="shared" si="6"/>
        <v>914</v>
      </c>
      <c r="N1318" s="62">
        <f>IFERROR(__xludf.DUMMYFUNCTION("IFERROR(GOOGLEFINANCE(A1318,""TRADETIME""),)"),46086.64583333333)</f>
        <v>46086.64583</v>
      </c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</row>
    <row r="1319">
      <c r="A1319" s="68" t="s">
        <v>1365</v>
      </c>
      <c r="B1319" s="64" t="str">
        <f>IFERROR(__xludf.DUMMYFUNCTION("IFERROR(GOOGLEFINANCE(A1319,""NAME""),)"),"S.P.Apparels Ltd")</f>
        <v>S.P.Apparels Ltd</v>
      </c>
      <c r="C1319" s="64">
        <f>IFERROR(__xludf.DUMMYFUNCTION("IFERROR(GOOGLEFINANCE(A1319,""CHANGE""),)"),-4.8)</f>
        <v>-4.8</v>
      </c>
      <c r="D1319" s="64">
        <f>IFERROR(__xludf.DUMMYFUNCTION("IFERROR(GOOGLEFINANCE(A1319,""CHANGEPCT""),)"),-0.68)</f>
        <v>-0.68</v>
      </c>
      <c r="E1319" s="64" t="str">
        <f t="shared" si="1"/>
        <v>-0.68%</v>
      </c>
      <c r="F1319" s="64" t="str">
        <f t="shared" si="2"/>
        <v/>
      </c>
      <c r="G1319" s="64">
        <f t="shared" si="3"/>
        <v>-0.68</v>
      </c>
      <c r="H1319" s="64">
        <f>IFERROR(__xludf.DUMMYFUNCTION("IFERROR(GOOGLEFINANCE(A1319,""PRICE""),)"),700.8)</f>
        <v>700.8</v>
      </c>
      <c r="I1319" s="65">
        <f>IFERROR(__xludf.DUMMYFUNCTION("IFERROR(GOOGLEFINANCE(A1319,""VOLUME""),)"),24225.0)</f>
        <v>24225</v>
      </c>
      <c r="J1319" s="64" t="str">
        <f>IFERROR(__xludf.DUMMYFUNCTION("IFERROR(INDEX(SPLIT(A1319,"":""),1,2),)"),"SPAL")</f>
        <v>SPAL</v>
      </c>
      <c r="K1319" s="64" t="str">
        <f t="shared" si="4"/>
        <v/>
      </c>
      <c r="L1319" s="64">
        <f t="shared" si="5"/>
        <v>164</v>
      </c>
      <c r="M1319" s="64">
        <f t="shared" si="6"/>
        <v>1106</v>
      </c>
      <c r="N1319" s="66">
        <f>IFERROR(__xludf.DUMMYFUNCTION("IFERROR(GOOGLEFINANCE(A1319,""TRADETIME""),)"),46086.64583333333)</f>
        <v>46086.64583</v>
      </c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</row>
    <row r="1320">
      <c r="A1320" s="67" t="s">
        <v>1366</v>
      </c>
      <c r="B1320" s="60" t="str">
        <f>IFERROR(__xludf.DUMMYFUNCTION("IFERROR(GOOGLEFINANCE(A1320,""NAME""),)"),"Spandana Sphoorty Financial Ltd")</f>
        <v>Spandana Sphoorty Financial Ltd</v>
      </c>
      <c r="C1320" s="60">
        <f>IFERROR(__xludf.DUMMYFUNCTION("IFERROR(GOOGLEFINANCE(A1320,""CHANGE""),)"),7.05)</f>
        <v>7.05</v>
      </c>
      <c r="D1320" s="60">
        <f>IFERROR(__xludf.DUMMYFUNCTION("IFERROR(GOOGLEFINANCE(A1320,""CHANGEPCT""),)"),2.54)</f>
        <v>2.54</v>
      </c>
      <c r="E1320" s="60" t="str">
        <f t="shared" si="1"/>
        <v>2.54%</v>
      </c>
      <c r="F1320" s="60">
        <f t="shared" si="2"/>
        <v>2.54</v>
      </c>
      <c r="G1320" s="60" t="str">
        <f t="shared" si="3"/>
        <v/>
      </c>
      <c r="H1320" s="60">
        <f>IFERROR(__xludf.DUMMYFUNCTION("IFERROR(GOOGLEFINANCE(A1320,""PRICE""),)"),244.0)</f>
        <v>244</v>
      </c>
      <c r="I1320" s="61">
        <f>IFERROR(__xludf.DUMMYFUNCTION("IFERROR(GOOGLEFINANCE(A1320,""VOLUME""),)"),75641.0)</f>
        <v>75641</v>
      </c>
      <c r="J1320" s="60" t="str">
        <f>IFERROR(__xludf.DUMMYFUNCTION("IFERROR(INDEX(SPLIT(A1320,"":""),1,2),)"),"SPANDANA")</f>
        <v>SPANDANA</v>
      </c>
      <c r="K1320" s="60">
        <f t="shared" si="4"/>
        <v>336</v>
      </c>
      <c r="L1320" s="60" t="str">
        <f t="shared" si="5"/>
        <v/>
      </c>
      <c r="M1320" s="60">
        <f t="shared" si="6"/>
        <v>827</v>
      </c>
      <c r="N1320" s="62">
        <f>IFERROR(__xludf.DUMMYFUNCTION("IFERROR(GOOGLEFINANCE(A1320,""TRADETIME""),)"),46086.64583333333)</f>
        <v>46086.64583</v>
      </c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</row>
    <row r="1321">
      <c r="A1321" s="68" t="s">
        <v>1367</v>
      </c>
      <c r="B1321" s="64" t="str">
        <f>IFERROR(__xludf.DUMMYFUNCTION("IFERROR(GOOGLEFINANCE(A1321,""NAME""),)"),"Sun Pharma Advanced Research Co Ltd")</f>
        <v>Sun Pharma Advanced Research Co Ltd</v>
      </c>
      <c r="C1321" s="64">
        <f>IFERROR(__xludf.DUMMYFUNCTION("IFERROR(GOOGLEFINANCE(A1321,""CHANGE""),)"),0.78)</f>
        <v>0.78</v>
      </c>
      <c r="D1321" s="64">
        <f>IFERROR(__xludf.DUMMYFUNCTION("IFERROR(GOOGLEFINANCE(A1321,""CHANGEPCT""),)"),0.63)</f>
        <v>0.63</v>
      </c>
      <c r="E1321" s="64" t="str">
        <f t="shared" si="1"/>
        <v>0.63%</v>
      </c>
      <c r="F1321" s="64">
        <f t="shared" si="2"/>
        <v>0.63</v>
      </c>
      <c r="G1321" s="64" t="str">
        <f t="shared" si="3"/>
        <v/>
      </c>
      <c r="H1321" s="64">
        <f>IFERROR(__xludf.DUMMYFUNCTION("IFERROR(GOOGLEFINANCE(A1321,""PRICE""),)"),124.25)</f>
        <v>124.25</v>
      </c>
      <c r="I1321" s="65">
        <f>IFERROR(__xludf.DUMMYFUNCTION("IFERROR(GOOGLEFINANCE(A1321,""VOLUME""),)"),442061.0)</f>
        <v>442061</v>
      </c>
      <c r="J1321" s="64" t="str">
        <f>IFERROR(__xludf.DUMMYFUNCTION("IFERROR(INDEX(SPLIT(A1321,"":""),1,2),)"),"SPARC")</f>
        <v>SPARC</v>
      </c>
      <c r="K1321" s="64">
        <f t="shared" si="4"/>
        <v>841</v>
      </c>
      <c r="L1321" s="64" t="str">
        <f t="shared" si="5"/>
        <v/>
      </c>
      <c r="M1321" s="64">
        <f t="shared" si="6"/>
        <v>420</v>
      </c>
      <c r="N1321" s="66">
        <f>IFERROR(__xludf.DUMMYFUNCTION("IFERROR(GOOGLEFINANCE(A1321,""TRADETIME""),)"),46086.64583333333)</f>
        <v>46086.64583</v>
      </c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</row>
    <row r="1322">
      <c r="A1322" s="67" t="s">
        <v>1368</v>
      </c>
      <c r="B1322" s="60" t="str">
        <f>IFERROR(__xludf.DUMMYFUNCTION("IFERROR(GOOGLEFINANCE(A1322,""NAME""),)"),"Speciality Restaurants Ltd")</f>
        <v>Speciality Restaurants Ltd</v>
      </c>
      <c r="C1322" s="60">
        <f>IFERROR(__xludf.DUMMYFUNCTION("IFERROR(GOOGLEFINANCE(A1322,""CHANGE""),)"),2.88)</f>
        <v>2.88</v>
      </c>
      <c r="D1322" s="60">
        <f>IFERROR(__xludf.DUMMYFUNCTION("IFERROR(GOOGLEFINANCE(A1322,""CHANGEPCT""),)"),2.84)</f>
        <v>2.84</v>
      </c>
      <c r="E1322" s="60" t="str">
        <f t="shared" si="1"/>
        <v>2.84%</v>
      </c>
      <c r="F1322" s="60">
        <f t="shared" si="2"/>
        <v>2.84</v>
      </c>
      <c r="G1322" s="60" t="str">
        <f t="shared" si="3"/>
        <v/>
      </c>
      <c r="H1322" s="60">
        <f>IFERROR(__xludf.DUMMYFUNCTION("IFERROR(GOOGLEFINANCE(A1322,""PRICE""),)"),104.2)</f>
        <v>104.2</v>
      </c>
      <c r="I1322" s="61">
        <f>IFERROR(__xludf.DUMMYFUNCTION("IFERROR(GOOGLEFINANCE(A1322,""VOLUME""),)"),35769.0)</f>
        <v>35769</v>
      </c>
      <c r="J1322" s="60" t="str">
        <f>IFERROR(__xludf.DUMMYFUNCTION("IFERROR(INDEX(SPLIT(A1322,"":""),1,2),)"),"SPECIALITY")</f>
        <v>SPECIALITY</v>
      </c>
      <c r="K1322" s="60">
        <f t="shared" si="4"/>
        <v>283</v>
      </c>
      <c r="L1322" s="60" t="str">
        <f t="shared" si="5"/>
        <v/>
      </c>
      <c r="M1322" s="60">
        <f t="shared" si="6"/>
        <v>1013</v>
      </c>
      <c r="N1322" s="62">
        <f>IFERROR(__xludf.DUMMYFUNCTION("IFERROR(GOOGLEFINANCE(A1322,""TRADETIME""),)"),46086.64039351852)</f>
        <v>46086.64039</v>
      </c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</row>
    <row r="1323">
      <c r="A1323" s="68" t="s">
        <v>1369</v>
      </c>
      <c r="B1323" s="64" t="str">
        <f>IFERROR(__xludf.DUMMYFUNCTION("IFERROR(GOOGLEFINANCE(A1323,""NAME""),)"),"Spencer's Retail Ltd")</f>
        <v>Spencer's Retail Ltd</v>
      </c>
      <c r="C1323" s="64">
        <f>IFERROR(__xludf.DUMMYFUNCTION("IFERROR(GOOGLEFINANCE(A1323,""CHANGE""),)"),-0.43)</f>
        <v>-0.43</v>
      </c>
      <c r="D1323" s="64">
        <f>IFERROR(__xludf.DUMMYFUNCTION("IFERROR(GOOGLEFINANCE(A1323,""CHANGEPCT""),)"),-1.37)</f>
        <v>-1.37</v>
      </c>
      <c r="E1323" s="64" t="str">
        <f t="shared" si="1"/>
        <v>-1.37%</v>
      </c>
      <c r="F1323" s="64" t="str">
        <f t="shared" si="2"/>
        <v/>
      </c>
      <c r="G1323" s="64">
        <f t="shared" si="3"/>
        <v>-1.37</v>
      </c>
      <c r="H1323" s="64">
        <f>IFERROR(__xludf.DUMMYFUNCTION("IFERROR(GOOGLEFINANCE(A1323,""PRICE""),)"),31.03)</f>
        <v>31.03</v>
      </c>
      <c r="I1323" s="65">
        <f>IFERROR(__xludf.DUMMYFUNCTION("IFERROR(GOOGLEFINANCE(A1323,""VOLUME""),)"),45090.0)</f>
        <v>45090</v>
      </c>
      <c r="J1323" s="64" t="str">
        <f>IFERROR(__xludf.DUMMYFUNCTION("IFERROR(INDEX(SPLIT(A1323,"":""),1,2),)"),"SPENCERS")</f>
        <v>SPENCERS</v>
      </c>
      <c r="K1323" s="64" t="str">
        <f t="shared" si="4"/>
        <v/>
      </c>
      <c r="L1323" s="64">
        <f t="shared" si="5"/>
        <v>277</v>
      </c>
      <c r="M1323" s="64">
        <f t="shared" si="6"/>
        <v>964</v>
      </c>
      <c r="N1323" s="66">
        <f>IFERROR(__xludf.DUMMYFUNCTION("IFERROR(GOOGLEFINANCE(A1323,""TRADETIME""),)"),46086.64246527778)</f>
        <v>46086.64247</v>
      </c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</row>
    <row r="1324">
      <c r="A1324" s="67" t="s">
        <v>1370</v>
      </c>
      <c r="B1324" s="60" t="str">
        <f>IFERROR(__xludf.DUMMYFUNCTION("IFERROR(GOOGLEFINANCE(A1324,""NAME""),)"),"")</f>
        <v/>
      </c>
      <c r="C1324" s="60" t="str">
        <f>IFERROR(__xludf.DUMMYFUNCTION("IFERROR(GOOGLEFINANCE(A1324,""CHANGE""),)"),"")</f>
        <v/>
      </c>
      <c r="D1324" s="60" t="str">
        <f>IFERROR(__xludf.DUMMYFUNCTION("IFERROR(GOOGLEFINANCE(A1324,""CHANGEPCT""),)"),"")</f>
        <v/>
      </c>
      <c r="E1324" s="60" t="str">
        <f t="shared" si="1"/>
        <v>%</v>
      </c>
      <c r="F1324" s="60" t="str">
        <f t="shared" si="2"/>
        <v/>
      </c>
      <c r="G1324" s="60" t="str">
        <f t="shared" si="3"/>
        <v/>
      </c>
      <c r="H1324" s="60" t="str">
        <f>IFERROR(__xludf.DUMMYFUNCTION("IFERROR(GOOGLEFINANCE(A1324,""PRICE""),)"),"")</f>
        <v/>
      </c>
      <c r="I1324" s="61" t="str">
        <f>IFERROR(__xludf.DUMMYFUNCTION("IFERROR(GOOGLEFINANCE(A1324,""VOLUME""),)"),"")</f>
        <v/>
      </c>
      <c r="J1324" s="60" t="str">
        <f>IFERROR(__xludf.DUMMYFUNCTION("IFERROR(INDEX(SPLIT(A1324,"":""),1,2),)"),"SPENTEX")</f>
        <v>SPENTEX</v>
      </c>
      <c r="K1324" s="60" t="str">
        <f t="shared" si="4"/>
        <v/>
      </c>
      <c r="L1324" s="60" t="str">
        <f t="shared" si="5"/>
        <v/>
      </c>
      <c r="M1324" s="60" t="str">
        <f t="shared" si="6"/>
        <v/>
      </c>
      <c r="N1324" s="62" t="str">
        <f>IFERROR(__xludf.DUMMYFUNCTION("IFERROR(GOOGLEFINANCE(A1324,""TRADETIME""),)"),"")</f>
        <v/>
      </c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</row>
    <row r="1325">
      <c r="A1325" s="68" t="s">
        <v>1371</v>
      </c>
      <c r="B1325" s="64" t="str">
        <f>IFERROR(__xludf.DUMMYFUNCTION("IFERROR(GOOGLEFINANCE(A1325,""NAME""),)"),"Southern Petrochemical Industries CorpLd")</f>
        <v>Southern Petrochemical Industries CorpLd</v>
      </c>
      <c r="C1325" s="64">
        <f>IFERROR(__xludf.DUMMYFUNCTION("IFERROR(GOOGLEFINANCE(A1325,""CHANGE""),)"),-1.08)</f>
        <v>-1.08</v>
      </c>
      <c r="D1325" s="64">
        <f>IFERROR(__xludf.DUMMYFUNCTION("IFERROR(GOOGLEFINANCE(A1325,""CHANGEPCT""),)"),-1.89)</f>
        <v>-1.89</v>
      </c>
      <c r="E1325" s="64" t="str">
        <f t="shared" si="1"/>
        <v>-1.89%</v>
      </c>
      <c r="F1325" s="64" t="str">
        <f t="shared" si="2"/>
        <v/>
      </c>
      <c r="G1325" s="64">
        <f t="shared" si="3"/>
        <v>-1.89</v>
      </c>
      <c r="H1325" s="64">
        <f>IFERROR(__xludf.DUMMYFUNCTION("IFERROR(GOOGLEFINANCE(A1325,""PRICE""),)"),64.17)</f>
        <v>64.17</v>
      </c>
      <c r="I1325" s="65">
        <f>IFERROR(__xludf.DUMMYFUNCTION("IFERROR(GOOGLEFINANCE(A1325,""VOLUME""),)"),945789.0)</f>
        <v>945789</v>
      </c>
      <c r="J1325" s="64" t="str">
        <f>IFERROR(__xludf.DUMMYFUNCTION("IFERROR(INDEX(SPLIT(A1325,"":""),1,2),)"),"SPIC")</f>
        <v>SPIC</v>
      </c>
      <c r="K1325" s="64" t="str">
        <f t="shared" si="4"/>
        <v/>
      </c>
      <c r="L1325" s="64">
        <f t="shared" si="5"/>
        <v>335</v>
      </c>
      <c r="M1325" s="64">
        <f t="shared" si="6"/>
        <v>291</v>
      </c>
      <c r="N1325" s="66">
        <f>IFERROR(__xludf.DUMMYFUNCTION("IFERROR(GOOGLEFINANCE(A1325,""TRADETIME""),)"),46086.64584490741)</f>
        <v>46086.64584</v>
      </c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</row>
    <row r="1326">
      <c r="A1326" s="67" t="s">
        <v>1372</v>
      </c>
      <c r="B1326" s="60" t="str">
        <f>IFERROR(__xludf.DUMMYFUNCTION("IFERROR(GOOGLEFINANCE(A1326,""NAME""),)"),"")</f>
        <v/>
      </c>
      <c r="C1326" s="60" t="str">
        <f>IFERROR(__xludf.DUMMYFUNCTION("IFERROR(GOOGLEFINANCE(A1326,""CHANGE""),)"),"")</f>
        <v/>
      </c>
      <c r="D1326" s="60" t="str">
        <f>IFERROR(__xludf.DUMMYFUNCTION("IFERROR(GOOGLEFINANCE(A1326,""CHANGEPCT""),)"),"")</f>
        <v/>
      </c>
      <c r="E1326" s="60" t="str">
        <f t="shared" si="1"/>
        <v>%</v>
      </c>
      <c r="F1326" s="60" t="str">
        <f t="shared" si="2"/>
        <v/>
      </c>
      <c r="G1326" s="60" t="str">
        <f t="shared" si="3"/>
        <v/>
      </c>
      <c r="H1326" s="60" t="str">
        <f>IFERROR(__xludf.DUMMYFUNCTION("IFERROR(GOOGLEFINANCE(A1326,""PRICE""),)"),"")</f>
        <v/>
      </c>
      <c r="I1326" s="61" t="str">
        <f>IFERROR(__xludf.DUMMYFUNCTION("IFERROR(GOOGLEFINANCE(A1326,""VOLUME""),)"),"")</f>
        <v/>
      </c>
      <c r="J1326" s="60" t="str">
        <f>IFERROR(__xludf.DUMMYFUNCTION("IFERROR(INDEX(SPLIT(A1326,"":""),1,2),)"),"SPICEJET")</f>
        <v>SPICEJET</v>
      </c>
      <c r="K1326" s="60" t="str">
        <f t="shared" si="4"/>
        <v/>
      </c>
      <c r="L1326" s="60" t="str">
        <f t="shared" si="5"/>
        <v/>
      </c>
      <c r="M1326" s="60" t="str">
        <f t="shared" si="6"/>
        <v/>
      </c>
      <c r="N1326" s="62" t="str">
        <f>IFERROR(__xludf.DUMMYFUNCTION("IFERROR(GOOGLEFINANCE(A1326,""TRADETIME""),)"),"")</f>
        <v/>
      </c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</row>
    <row r="1327">
      <c r="A1327" s="68" t="s">
        <v>1373</v>
      </c>
      <c r="B1327" s="64" t="str">
        <f>IFERROR(__xludf.DUMMYFUNCTION("IFERROR(GOOGLEFINANCE(A1327,""NAME""),)"),"SPL Industries Ltd")</f>
        <v>SPL Industries Ltd</v>
      </c>
      <c r="C1327" s="64">
        <f>IFERROR(__xludf.DUMMYFUNCTION("IFERROR(GOOGLEFINANCE(A1327,""CHANGE""),)"),-0.41)</f>
        <v>-0.41</v>
      </c>
      <c r="D1327" s="64">
        <f>IFERROR(__xludf.DUMMYFUNCTION("IFERROR(GOOGLEFINANCE(A1327,""CHANGEPCT""),)"),-1.47)</f>
        <v>-1.47</v>
      </c>
      <c r="E1327" s="64" t="str">
        <f t="shared" si="1"/>
        <v>-1.47%</v>
      </c>
      <c r="F1327" s="64" t="str">
        <f t="shared" si="2"/>
        <v/>
      </c>
      <c r="G1327" s="64">
        <f t="shared" si="3"/>
        <v>-1.47</v>
      </c>
      <c r="H1327" s="64">
        <f>IFERROR(__xludf.DUMMYFUNCTION("IFERROR(GOOGLEFINANCE(A1327,""PRICE""),)"),27.5)</f>
        <v>27.5</v>
      </c>
      <c r="I1327" s="65">
        <f>IFERROR(__xludf.DUMMYFUNCTION("IFERROR(GOOGLEFINANCE(A1327,""VOLUME""),)"),5302.0)</f>
        <v>5302</v>
      </c>
      <c r="J1327" s="64" t="str">
        <f>IFERROR(__xludf.DUMMYFUNCTION("IFERROR(INDEX(SPLIT(A1327,"":""),1,2),)"),"SPLIL")</f>
        <v>SPLIL</v>
      </c>
      <c r="K1327" s="64" t="str">
        <f t="shared" si="4"/>
        <v/>
      </c>
      <c r="L1327" s="64">
        <f t="shared" si="5"/>
        <v>287</v>
      </c>
      <c r="M1327" s="64">
        <f t="shared" si="6"/>
        <v>1336</v>
      </c>
      <c r="N1327" s="66">
        <f>IFERROR(__xludf.DUMMYFUNCTION("IFERROR(GOOGLEFINANCE(A1327,""TRADETIME""),)"),46086.64583333333)</f>
        <v>46086.64583</v>
      </c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</row>
    <row r="1328">
      <c r="A1328" s="67" t="s">
        <v>1374</v>
      </c>
      <c r="B1328" s="60" t="str">
        <f>IFERROR(__xludf.DUMMYFUNCTION("IFERROR(GOOGLEFINANCE(A1328,""NAME""),)"),"SPML Infra Ltd")</f>
        <v>SPML Infra Ltd</v>
      </c>
      <c r="C1328" s="60">
        <f>IFERROR(__xludf.DUMMYFUNCTION("IFERROR(GOOGLEFINANCE(A1328,""CHANGE""),)"),-1.94)</f>
        <v>-1.94</v>
      </c>
      <c r="D1328" s="60">
        <f>IFERROR(__xludf.DUMMYFUNCTION("IFERROR(GOOGLEFINANCE(A1328,""CHANGEPCT""),)"),-1.36)</f>
        <v>-1.36</v>
      </c>
      <c r="E1328" s="60" t="str">
        <f t="shared" si="1"/>
        <v>-1.36%</v>
      </c>
      <c r="F1328" s="60" t="str">
        <f t="shared" si="2"/>
        <v/>
      </c>
      <c r="G1328" s="60">
        <f t="shared" si="3"/>
        <v>-1.36</v>
      </c>
      <c r="H1328" s="60">
        <f>IFERROR(__xludf.DUMMYFUNCTION("IFERROR(GOOGLEFINANCE(A1328,""PRICE""),)"),176.9)</f>
        <v>176.9</v>
      </c>
      <c r="I1328" s="61">
        <f>IFERROR(__xludf.DUMMYFUNCTION("IFERROR(GOOGLEFINANCE(A1328,""VOLUME""),)"),1.5062993E7)</f>
        <v>15062993</v>
      </c>
      <c r="J1328" s="60" t="str">
        <f>IFERROR(__xludf.DUMMYFUNCTION("IFERROR(INDEX(SPLIT(A1328,"":""),1,2),)"),"SPMLINFRA")</f>
        <v>SPMLINFRA</v>
      </c>
      <c r="K1328" s="60" t="str">
        <f t="shared" si="4"/>
        <v/>
      </c>
      <c r="L1328" s="60">
        <f t="shared" si="5"/>
        <v>274</v>
      </c>
      <c r="M1328" s="60">
        <f t="shared" si="6"/>
        <v>43</v>
      </c>
      <c r="N1328" s="62">
        <f>IFERROR(__xludf.DUMMYFUNCTION("IFERROR(GOOGLEFINANCE(A1328,""TRADETIME""),)"),46086.64584490741)</f>
        <v>46086.64584</v>
      </c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</row>
    <row r="1329">
      <c r="A1329" s="68" t="s">
        <v>1375</v>
      </c>
      <c r="B1329" s="64" t="str">
        <f>IFERROR(__xludf.DUMMYFUNCTION("IFERROR(GOOGLEFINANCE(A1329,""NAME""),)"),"")</f>
        <v/>
      </c>
      <c r="C1329" s="64" t="str">
        <f>IFERROR(__xludf.DUMMYFUNCTION("IFERROR(GOOGLEFINANCE(A1329,""CHANGE""),)"),"")</f>
        <v/>
      </c>
      <c r="D1329" s="64" t="str">
        <f>IFERROR(__xludf.DUMMYFUNCTION("IFERROR(GOOGLEFINANCE(A1329,""CHANGEPCT""),)"),"")</f>
        <v/>
      </c>
      <c r="E1329" s="64" t="str">
        <f t="shared" si="1"/>
        <v>%</v>
      </c>
      <c r="F1329" s="64" t="str">
        <f t="shared" si="2"/>
        <v/>
      </c>
      <c r="G1329" s="64" t="str">
        <f t="shared" si="3"/>
        <v/>
      </c>
      <c r="H1329" s="64" t="str">
        <f>IFERROR(__xludf.DUMMYFUNCTION("IFERROR(GOOGLEFINANCE(A1329,""PRICE""),)"),"")</f>
        <v/>
      </c>
      <c r="I1329" s="65" t="str">
        <f>IFERROR(__xludf.DUMMYFUNCTION("IFERROR(GOOGLEFINANCE(A1329,""VOLUME""),)"),"")</f>
        <v/>
      </c>
      <c r="J1329" s="64" t="str">
        <f>IFERROR(__xludf.DUMMYFUNCTION("IFERROR(INDEX(SPLIT(A1329,"":""),1,2),)"),"SPTL")</f>
        <v>SPTL</v>
      </c>
      <c r="K1329" s="64" t="str">
        <f t="shared" si="4"/>
        <v/>
      </c>
      <c r="L1329" s="64" t="str">
        <f t="shared" si="5"/>
        <v/>
      </c>
      <c r="M1329" s="64" t="str">
        <f t="shared" si="6"/>
        <v/>
      </c>
      <c r="N1329" s="66" t="str">
        <f>IFERROR(__xludf.DUMMYFUNCTION("IFERROR(GOOGLEFINANCE(A1329,""TRADETIME""),)"),"")</f>
        <v/>
      </c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</row>
    <row r="1330">
      <c r="A1330" s="67" t="s">
        <v>1376</v>
      </c>
      <c r="B1330" s="60" t="str">
        <f>IFERROR(__xludf.DUMMYFUNCTION("IFERROR(GOOGLEFINANCE(A1330,""NAME""),)"),"")</f>
        <v/>
      </c>
      <c r="C1330" s="60" t="str">
        <f>IFERROR(__xludf.DUMMYFUNCTION("IFERROR(GOOGLEFINANCE(A1330,""CHANGE""),)"),"")</f>
        <v/>
      </c>
      <c r="D1330" s="60" t="str">
        <f>IFERROR(__xludf.DUMMYFUNCTION("IFERROR(GOOGLEFINANCE(A1330,""CHANGEPCT""),)"),"")</f>
        <v/>
      </c>
      <c r="E1330" s="60" t="str">
        <f t="shared" si="1"/>
        <v>%</v>
      </c>
      <c r="F1330" s="60" t="str">
        <f t="shared" si="2"/>
        <v/>
      </c>
      <c r="G1330" s="60" t="str">
        <f t="shared" si="3"/>
        <v/>
      </c>
      <c r="H1330" s="60" t="str">
        <f>IFERROR(__xludf.DUMMYFUNCTION("IFERROR(GOOGLEFINANCE(A1330,""PRICE""),)"),"")</f>
        <v/>
      </c>
      <c r="I1330" s="61" t="str">
        <f>IFERROR(__xludf.DUMMYFUNCTION("IFERROR(GOOGLEFINANCE(A1330,""VOLUME""),)"),"")</f>
        <v/>
      </c>
      <c r="J1330" s="60" t="str">
        <f>IFERROR(__xludf.DUMMYFUNCTION("IFERROR(INDEX(SPLIT(A1330,"":""),1,2),)"),"SPYL")</f>
        <v>SPYL</v>
      </c>
      <c r="K1330" s="60" t="str">
        <f t="shared" si="4"/>
        <v/>
      </c>
      <c r="L1330" s="60" t="str">
        <f t="shared" si="5"/>
        <v/>
      </c>
      <c r="M1330" s="60" t="str">
        <f t="shared" si="6"/>
        <v/>
      </c>
      <c r="N1330" s="62" t="str">
        <f>IFERROR(__xludf.DUMMYFUNCTION("IFERROR(GOOGLEFINANCE(A1330,""TRADETIME""),)"),"")</f>
        <v/>
      </c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</row>
    <row r="1331">
      <c r="A1331" s="68" t="s">
        <v>1377</v>
      </c>
      <c r="B1331" s="64" t="str">
        <f>IFERROR(__xludf.DUMMYFUNCTION("IFERROR(GOOGLEFINANCE(A1331,""NAME""),)"),"Sreeleathers Ltd")</f>
        <v>Sreeleathers Ltd</v>
      </c>
      <c r="C1331" s="64">
        <f>IFERROR(__xludf.DUMMYFUNCTION("IFERROR(GOOGLEFINANCE(A1331,""CHANGE""),)"),0.4)</f>
        <v>0.4</v>
      </c>
      <c r="D1331" s="64">
        <f>IFERROR(__xludf.DUMMYFUNCTION("IFERROR(GOOGLEFINANCE(A1331,""CHANGEPCT""),)"),0.2)</f>
        <v>0.2</v>
      </c>
      <c r="E1331" s="64" t="str">
        <f t="shared" si="1"/>
        <v>0.2%</v>
      </c>
      <c r="F1331" s="64">
        <f t="shared" si="2"/>
        <v>0.2</v>
      </c>
      <c r="G1331" s="64" t="str">
        <f t="shared" si="3"/>
        <v/>
      </c>
      <c r="H1331" s="64">
        <f>IFERROR(__xludf.DUMMYFUNCTION("IFERROR(GOOGLEFINANCE(A1331,""PRICE""),)"),199.0)</f>
        <v>199</v>
      </c>
      <c r="I1331" s="65">
        <f>IFERROR(__xludf.DUMMYFUNCTION("IFERROR(GOOGLEFINANCE(A1331,""VOLUME""),)"),3233.0)</f>
        <v>3233</v>
      </c>
      <c r="J1331" s="64" t="str">
        <f>IFERROR(__xludf.DUMMYFUNCTION("IFERROR(INDEX(SPLIT(A1331,"":""),1,2),)"),"SREEL")</f>
        <v>SREEL</v>
      </c>
      <c r="K1331" s="64">
        <f t="shared" si="4"/>
        <v>953</v>
      </c>
      <c r="L1331" s="64" t="str">
        <f t="shared" si="5"/>
        <v/>
      </c>
      <c r="M1331" s="64">
        <f t="shared" si="6"/>
        <v>1379</v>
      </c>
      <c r="N1331" s="66">
        <f>IFERROR(__xludf.DUMMYFUNCTION("IFERROR(GOOGLEFINANCE(A1331,""TRADETIME""),)"),46086.64583333333)</f>
        <v>46086.64583</v>
      </c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</row>
    <row r="1332">
      <c r="A1332" s="67" t="s">
        <v>1378</v>
      </c>
      <c r="B1332" s="60" t="str">
        <f>IFERROR(__xludf.DUMMYFUNCTION("IFERROR(GOOGLEFINANCE(A1332,""NAME""),)"),"")</f>
        <v/>
      </c>
      <c r="C1332" s="60" t="str">
        <f>IFERROR(__xludf.DUMMYFUNCTION("IFERROR(GOOGLEFINANCE(A1332,""CHANGE""),)"),"")</f>
        <v/>
      </c>
      <c r="D1332" s="60" t="str">
        <f>IFERROR(__xludf.DUMMYFUNCTION("IFERROR(GOOGLEFINANCE(A1332,""CHANGEPCT""),)"),"")</f>
        <v/>
      </c>
      <c r="E1332" s="60" t="str">
        <f t="shared" si="1"/>
        <v>%</v>
      </c>
      <c r="F1332" s="60" t="str">
        <f t="shared" si="2"/>
        <v/>
      </c>
      <c r="G1332" s="60" t="str">
        <f t="shared" si="3"/>
        <v/>
      </c>
      <c r="H1332" s="60" t="str">
        <f>IFERROR(__xludf.DUMMYFUNCTION("IFERROR(GOOGLEFINANCE(A1332,""PRICE""),)"),"")</f>
        <v/>
      </c>
      <c r="I1332" s="61" t="str">
        <f>IFERROR(__xludf.DUMMYFUNCTION("IFERROR(GOOGLEFINANCE(A1332,""VOLUME""),)"),"")</f>
        <v/>
      </c>
      <c r="J1332" s="60" t="str">
        <f>IFERROR(__xludf.DUMMYFUNCTION("IFERROR(INDEX(SPLIT(A1332,"":""),1,2),)"),"SREINFRA")</f>
        <v>SREINFRA</v>
      </c>
      <c r="K1332" s="60" t="str">
        <f t="shared" si="4"/>
        <v/>
      </c>
      <c r="L1332" s="60" t="str">
        <f t="shared" si="5"/>
        <v/>
      </c>
      <c r="M1332" s="60" t="str">
        <f t="shared" si="6"/>
        <v/>
      </c>
      <c r="N1332" s="62" t="str">
        <f>IFERROR(__xludf.DUMMYFUNCTION("IFERROR(GOOGLEFINANCE(A1332,""TRADETIME""),)"),"")</f>
        <v/>
      </c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</row>
    <row r="1333">
      <c r="A1333" s="68" t="s">
        <v>1379</v>
      </c>
      <c r="B1333" s="64" t="str">
        <f>IFERROR(__xludf.DUMMYFUNCTION("IFERROR(GOOGLEFINANCE(A1333,""NAME""),)"),"SRF Ltd")</f>
        <v>SRF Ltd</v>
      </c>
      <c r="C1333" s="64">
        <f>IFERROR(__xludf.DUMMYFUNCTION("IFERROR(GOOGLEFINANCE(A1333,""CHANGE""),)"),34.4)</f>
        <v>34.4</v>
      </c>
      <c r="D1333" s="64">
        <f>IFERROR(__xludf.DUMMYFUNCTION("IFERROR(GOOGLEFINANCE(A1333,""CHANGEPCT""),)"),1.36)</f>
        <v>1.36</v>
      </c>
      <c r="E1333" s="64" t="str">
        <f t="shared" si="1"/>
        <v>1.36%</v>
      </c>
      <c r="F1333" s="64">
        <f t="shared" si="2"/>
        <v>1.36</v>
      </c>
      <c r="G1333" s="64" t="str">
        <f t="shared" si="3"/>
        <v/>
      </c>
      <c r="H1333" s="64">
        <f>IFERROR(__xludf.DUMMYFUNCTION("IFERROR(GOOGLEFINANCE(A1333,""PRICE""),)"),2571.0)</f>
        <v>2571</v>
      </c>
      <c r="I1333" s="65">
        <f>IFERROR(__xludf.DUMMYFUNCTION("IFERROR(GOOGLEFINANCE(A1333,""VOLUME""),)"),446057.0)</f>
        <v>446057</v>
      </c>
      <c r="J1333" s="64" t="str">
        <f>IFERROR(__xludf.DUMMYFUNCTION("IFERROR(INDEX(SPLIT(A1333,"":""),1,2),)"),"SRF")</f>
        <v>SRF</v>
      </c>
      <c r="K1333" s="64">
        <f t="shared" si="4"/>
        <v>616</v>
      </c>
      <c r="L1333" s="64" t="str">
        <f t="shared" si="5"/>
        <v/>
      </c>
      <c r="M1333" s="64">
        <f t="shared" si="6"/>
        <v>419</v>
      </c>
      <c r="N1333" s="66">
        <f>IFERROR(__xludf.DUMMYFUNCTION("IFERROR(GOOGLEFINANCE(A1333,""TRADETIME""),)"),46086.640381944446)</f>
        <v>46086.64038</v>
      </c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</row>
    <row r="1334">
      <c r="A1334" s="67" t="s">
        <v>1380</v>
      </c>
      <c r="B1334" s="60" t="str">
        <f>IFERROR(__xludf.DUMMYFUNCTION("IFERROR(GOOGLEFINANCE(A1334,""NAME""),)"),"Sree Rayalaseema Hi-Strength Hypo Ltd")</f>
        <v>Sree Rayalaseema Hi-Strength Hypo Ltd</v>
      </c>
      <c r="C1334" s="60">
        <f>IFERROR(__xludf.DUMMYFUNCTION("IFERROR(GOOGLEFINANCE(A1334,""CHANGE""),)"),2.7)</f>
        <v>2.7</v>
      </c>
      <c r="D1334" s="60">
        <f>IFERROR(__xludf.DUMMYFUNCTION("IFERROR(GOOGLEFINANCE(A1334,""CHANGEPCT""),)"),0.6)</f>
        <v>0.6</v>
      </c>
      <c r="E1334" s="60" t="str">
        <f t="shared" si="1"/>
        <v>0.6%</v>
      </c>
      <c r="F1334" s="60">
        <f t="shared" si="2"/>
        <v>0.6</v>
      </c>
      <c r="G1334" s="60" t="str">
        <f t="shared" si="3"/>
        <v/>
      </c>
      <c r="H1334" s="60">
        <f>IFERROR(__xludf.DUMMYFUNCTION("IFERROR(GOOGLEFINANCE(A1334,""PRICE""),)"),445.0)</f>
        <v>445</v>
      </c>
      <c r="I1334" s="61">
        <f>IFERROR(__xludf.DUMMYFUNCTION("IFERROR(GOOGLEFINANCE(A1334,""VOLUME""),)"),7349.0)</f>
        <v>7349</v>
      </c>
      <c r="J1334" s="60" t="str">
        <f>IFERROR(__xludf.DUMMYFUNCTION("IFERROR(INDEX(SPLIT(A1334,"":""),1,2),)"),"SRHHYPOLTD")</f>
        <v>SRHHYPOLTD</v>
      </c>
      <c r="K1334" s="60">
        <f t="shared" si="4"/>
        <v>847</v>
      </c>
      <c r="L1334" s="60" t="str">
        <f t="shared" si="5"/>
        <v/>
      </c>
      <c r="M1334" s="60">
        <f t="shared" si="6"/>
        <v>1305</v>
      </c>
      <c r="N1334" s="62">
        <f>IFERROR(__xludf.DUMMYFUNCTION("IFERROR(GOOGLEFINANCE(A1334,""TRADETIME""),)"),46086.64584490741)</f>
        <v>46086.64584</v>
      </c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</row>
    <row r="1335">
      <c r="A1335" s="68" t="s">
        <v>1381</v>
      </c>
      <c r="B1335" s="64" t="str">
        <f>IFERROR(__xludf.DUMMYFUNCTION("IFERROR(GOOGLEFINANCE(A1335,""NAME""),)"),"Shreeram Proteins Ltd")</f>
        <v>Shreeram Proteins Ltd</v>
      </c>
      <c r="C1335" s="64">
        <f>IFERROR(__xludf.DUMMYFUNCTION("IFERROR(GOOGLEFINANCE(A1335,""CHANGE""),)"),-0.02)</f>
        <v>-0.02</v>
      </c>
      <c r="D1335" s="64">
        <f>IFERROR(__xludf.DUMMYFUNCTION("IFERROR(GOOGLEFINANCE(A1335,""CHANGEPCT""),)"),-3.64)</f>
        <v>-3.64</v>
      </c>
      <c r="E1335" s="64" t="str">
        <f t="shared" si="1"/>
        <v>-3.64%</v>
      </c>
      <c r="F1335" s="64" t="str">
        <f t="shared" si="2"/>
        <v/>
      </c>
      <c r="G1335" s="64">
        <f t="shared" si="3"/>
        <v>-3.64</v>
      </c>
      <c r="H1335" s="64">
        <f>IFERROR(__xludf.DUMMYFUNCTION("IFERROR(GOOGLEFINANCE(A1335,""PRICE""),)"),0.53)</f>
        <v>0.53</v>
      </c>
      <c r="I1335" s="65">
        <f>IFERROR(__xludf.DUMMYFUNCTION("IFERROR(GOOGLEFINANCE(A1335,""VOLUME""),)"),214023.0)</f>
        <v>214023</v>
      </c>
      <c r="J1335" s="64" t="str">
        <f>IFERROR(__xludf.DUMMYFUNCTION("IFERROR(INDEX(SPLIT(A1335,"":""),1,2),)"),"SRPL")</f>
        <v>SRPL</v>
      </c>
      <c r="K1335" s="64" t="str">
        <f t="shared" si="4"/>
        <v/>
      </c>
      <c r="L1335" s="64">
        <f t="shared" si="5"/>
        <v>423</v>
      </c>
      <c r="M1335" s="64">
        <f t="shared" si="6"/>
        <v>586</v>
      </c>
      <c r="N1335" s="66">
        <f>IFERROR(__xludf.DUMMYFUNCTION("IFERROR(GOOGLEFINANCE(A1335,""TRADETIME""),)"),46083.64583333333)</f>
        <v>46083.64583</v>
      </c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</row>
    <row r="1336">
      <c r="A1336" s="67" t="s">
        <v>1382</v>
      </c>
      <c r="B1336" s="60" t="str">
        <f>IFERROR(__xludf.DUMMYFUNCTION("IFERROR(GOOGLEFINANCE(A1336,""NAME""),)"),"Shriram Finance Ltd")</f>
        <v>Shriram Finance Ltd</v>
      </c>
      <c r="C1336" s="60">
        <f>IFERROR(__xludf.DUMMYFUNCTION("IFERROR(GOOGLEFINANCE(A1336,""CHANGE""),)"),27.9)</f>
        <v>27.9</v>
      </c>
      <c r="D1336" s="60">
        <f>IFERROR(__xludf.DUMMYFUNCTION("IFERROR(GOOGLEFINANCE(A1336,""CHANGEPCT""),)"),2.92)</f>
        <v>2.92</v>
      </c>
      <c r="E1336" s="60" t="str">
        <f t="shared" si="1"/>
        <v>2.92%</v>
      </c>
      <c r="F1336" s="60">
        <f t="shared" si="2"/>
        <v>2.92</v>
      </c>
      <c r="G1336" s="60" t="str">
        <f t="shared" si="3"/>
        <v/>
      </c>
      <c r="H1336" s="60">
        <f>IFERROR(__xludf.DUMMYFUNCTION("IFERROR(GOOGLEFINANCE(A1336,""PRICE""),)"),1039.5)</f>
        <v>1039.5</v>
      </c>
      <c r="I1336" s="61">
        <f>IFERROR(__xludf.DUMMYFUNCTION("IFERROR(GOOGLEFINANCE(A1336,""VOLUME""),)"),5051361.0)</f>
        <v>5051361</v>
      </c>
      <c r="J1336" s="60" t="str">
        <f>IFERROR(__xludf.DUMMYFUNCTION("IFERROR(INDEX(SPLIT(A1336,"":""),1,2),)"),"SHRIRAMFIN")</f>
        <v>SHRIRAMFIN</v>
      </c>
      <c r="K1336" s="60">
        <f t="shared" si="4"/>
        <v>271</v>
      </c>
      <c r="L1336" s="60" t="str">
        <f t="shared" si="5"/>
        <v/>
      </c>
      <c r="M1336" s="60">
        <f t="shared" si="6"/>
        <v>107</v>
      </c>
      <c r="N1336" s="62">
        <f>IFERROR(__xludf.DUMMYFUNCTION("IFERROR(GOOGLEFINANCE(A1336,""TRADETIME""),)"),46086.64583333333)</f>
        <v>46086.64583</v>
      </c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</row>
    <row r="1337">
      <c r="A1337" s="68" t="s">
        <v>1383</v>
      </c>
      <c r="B1337" s="64" t="str">
        <f>IFERROR(__xludf.DUMMYFUNCTION("IFERROR(GOOGLEFINANCE(A1337,""NAME""),)"),"Steel Strips Wheels Ltd")</f>
        <v>Steel Strips Wheels Ltd</v>
      </c>
      <c r="C1337" s="64">
        <f>IFERROR(__xludf.DUMMYFUNCTION("IFERROR(GOOGLEFINANCE(A1337,""CHANGE""),)"),1.95)</f>
        <v>1.95</v>
      </c>
      <c r="D1337" s="64">
        <f>IFERROR(__xludf.DUMMYFUNCTION("IFERROR(GOOGLEFINANCE(A1337,""CHANGEPCT""),)"),0.99)</f>
        <v>0.99</v>
      </c>
      <c r="E1337" s="64" t="str">
        <f t="shared" si="1"/>
        <v>0.99%</v>
      </c>
      <c r="F1337" s="64">
        <f t="shared" si="2"/>
        <v>0.99</v>
      </c>
      <c r="G1337" s="64" t="str">
        <f t="shared" si="3"/>
        <v/>
      </c>
      <c r="H1337" s="64">
        <f>IFERROR(__xludf.DUMMYFUNCTION("IFERROR(GOOGLEFINANCE(A1337,""PRICE""),)"),197.99)</f>
        <v>197.99</v>
      </c>
      <c r="I1337" s="65">
        <f>IFERROR(__xludf.DUMMYFUNCTION("IFERROR(GOOGLEFINANCE(A1337,""VOLUME""),)"),283282.0)</f>
        <v>283282</v>
      </c>
      <c r="J1337" s="64" t="str">
        <f>IFERROR(__xludf.DUMMYFUNCTION("IFERROR(INDEX(SPLIT(A1337,"":""),1,2),)"),"SSWL")</f>
        <v>SSWL</v>
      </c>
      <c r="K1337" s="64">
        <f t="shared" si="4"/>
        <v>727</v>
      </c>
      <c r="L1337" s="64" t="str">
        <f t="shared" si="5"/>
        <v/>
      </c>
      <c r="M1337" s="64">
        <f t="shared" si="6"/>
        <v>524</v>
      </c>
      <c r="N1337" s="66">
        <f>IFERROR(__xludf.DUMMYFUNCTION("IFERROR(GOOGLEFINANCE(A1337,""TRADETIME""),)"),46086.64583333333)</f>
        <v>46086.64583</v>
      </c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</row>
    <row r="1338">
      <c r="A1338" s="67" t="s">
        <v>1384</v>
      </c>
      <c r="B1338" s="60" t="str">
        <f>IFERROR(__xludf.DUMMYFUNCTION("IFERROR(GOOGLEFINANCE(A1338,""NAME""),)"),"Strides Pharma Science Ltd")</f>
        <v>Strides Pharma Science Ltd</v>
      </c>
      <c r="C1338" s="60">
        <f>IFERROR(__xludf.DUMMYFUNCTION("IFERROR(GOOGLEFINANCE(A1338,""CHANGE""),)"),15.15)</f>
        <v>15.15</v>
      </c>
      <c r="D1338" s="60">
        <f>IFERROR(__xludf.DUMMYFUNCTION("IFERROR(GOOGLEFINANCE(A1338,""CHANGEPCT""),)"),1.82)</f>
        <v>1.82</v>
      </c>
      <c r="E1338" s="60" t="str">
        <f t="shared" si="1"/>
        <v>1.82%</v>
      </c>
      <c r="F1338" s="60">
        <f t="shared" si="2"/>
        <v>1.82</v>
      </c>
      <c r="G1338" s="60" t="str">
        <f t="shared" si="3"/>
        <v/>
      </c>
      <c r="H1338" s="60">
        <f>IFERROR(__xludf.DUMMYFUNCTION("IFERROR(GOOGLEFINANCE(A1338,""PRICE""),)"),848.0)</f>
        <v>848</v>
      </c>
      <c r="I1338" s="61">
        <f>IFERROR(__xludf.DUMMYFUNCTION("IFERROR(GOOGLEFINANCE(A1338,""VOLUME""),)"),98654.0)</f>
        <v>98654</v>
      </c>
      <c r="J1338" s="60" t="str">
        <f>IFERROR(__xludf.DUMMYFUNCTION("IFERROR(INDEX(SPLIT(A1338,"":""),1,2),)"),"STAR")</f>
        <v>STAR</v>
      </c>
      <c r="K1338" s="60">
        <f t="shared" si="4"/>
        <v>492</v>
      </c>
      <c r="L1338" s="60" t="str">
        <f t="shared" si="5"/>
        <v/>
      </c>
      <c r="M1338" s="60">
        <f t="shared" si="6"/>
        <v>759</v>
      </c>
      <c r="N1338" s="62">
        <f>IFERROR(__xludf.DUMMYFUNCTION("IFERROR(GOOGLEFINANCE(A1338,""TRADETIME""),)"),46086.64195601852)</f>
        <v>46086.64196</v>
      </c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</row>
    <row r="1339">
      <c r="A1339" s="68" t="s">
        <v>1385</v>
      </c>
      <c r="B1339" s="64" t="str">
        <f>IFERROR(__xludf.DUMMYFUNCTION("IFERROR(GOOGLEFINANCE(A1339,""NAME""),)"),"Star Cement Ltd")</f>
        <v>Star Cement Ltd</v>
      </c>
      <c r="C1339" s="64">
        <f>IFERROR(__xludf.DUMMYFUNCTION("IFERROR(GOOGLEFINANCE(A1339,""CHANGE""),)"),-1.92)</f>
        <v>-1.92</v>
      </c>
      <c r="D1339" s="64">
        <f>IFERROR(__xludf.DUMMYFUNCTION("IFERROR(GOOGLEFINANCE(A1339,""CHANGEPCT""),)"),-0.94)</f>
        <v>-0.94</v>
      </c>
      <c r="E1339" s="64" t="str">
        <f t="shared" si="1"/>
        <v>-0.94%</v>
      </c>
      <c r="F1339" s="64" t="str">
        <f t="shared" si="2"/>
        <v/>
      </c>
      <c r="G1339" s="64">
        <f t="shared" si="3"/>
        <v>-0.94</v>
      </c>
      <c r="H1339" s="64">
        <f>IFERROR(__xludf.DUMMYFUNCTION("IFERROR(GOOGLEFINANCE(A1339,""PRICE""),)"),203.71)</f>
        <v>203.71</v>
      </c>
      <c r="I1339" s="65">
        <f>IFERROR(__xludf.DUMMYFUNCTION("IFERROR(GOOGLEFINANCE(A1339,""VOLUME""),)"),168601.0)</f>
        <v>168601</v>
      </c>
      <c r="J1339" s="64" t="str">
        <f>IFERROR(__xludf.DUMMYFUNCTION("IFERROR(INDEX(SPLIT(A1339,"":""),1,2),)"),"STARCEMENT")</f>
        <v>STARCEMENT</v>
      </c>
      <c r="K1339" s="64" t="str">
        <f t="shared" si="4"/>
        <v/>
      </c>
      <c r="L1339" s="64">
        <f t="shared" si="5"/>
        <v>210</v>
      </c>
      <c r="M1339" s="64">
        <f t="shared" si="6"/>
        <v>642</v>
      </c>
      <c r="N1339" s="66">
        <f>IFERROR(__xludf.DUMMYFUNCTION("IFERROR(GOOGLEFINANCE(A1339,""TRADETIME""),)"),46086.64583333333)</f>
        <v>46086.64583</v>
      </c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</row>
    <row r="1340">
      <c r="A1340" s="67" t="s">
        <v>1386</v>
      </c>
      <c r="B1340" s="60" t="str">
        <f>IFERROR(__xludf.DUMMYFUNCTION("IFERROR(GOOGLEFINANCE(A1340,""NAME""),)"),"Star Paper Mills Ltd")</f>
        <v>Star Paper Mills Ltd</v>
      </c>
      <c r="C1340" s="60">
        <f>IFERROR(__xludf.DUMMYFUNCTION("IFERROR(GOOGLEFINANCE(A1340,""CHANGE""),)"),-0.17)</f>
        <v>-0.17</v>
      </c>
      <c r="D1340" s="60">
        <f>IFERROR(__xludf.DUMMYFUNCTION("IFERROR(GOOGLEFINANCE(A1340,""CHANGEPCT""),)"),-0.12)</f>
        <v>-0.12</v>
      </c>
      <c r="E1340" s="60" t="str">
        <f t="shared" si="1"/>
        <v>-0.12%</v>
      </c>
      <c r="F1340" s="60" t="str">
        <f t="shared" si="2"/>
        <v/>
      </c>
      <c r="G1340" s="60">
        <f t="shared" si="3"/>
        <v>-0.12</v>
      </c>
      <c r="H1340" s="60">
        <f>IFERROR(__xludf.DUMMYFUNCTION("IFERROR(GOOGLEFINANCE(A1340,""PRICE""),)"),136.5)</f>
        <v>136.5</v>
      </c>
      <c r="I1340" s="61">
        <f>IFERROR(__xludf.DUMMYFUNCTION("IFERROR(GOOGLEFINANCE(A1340,""VOLUME""),)"),8348.0)</f>
        <v>8348</v>
      </c>
      <c r="J1340" s="60" t="str">
        <f>IFERROR(__xludf.DUMMYFUNCTION("IFERROR(INDEX(SPLIT(A1340,"":""),1,2),)"),"STARPAPER")</f>
        <v>STARPAPER</v>
      </c>
      <c r="K1340" s="60" t="str">
        <f t="shared" si="4"/>
        <v/>
      </c>
      <c r="L1340" s="60">
        <f t="shared" si="5"/>
        <v>35</v>
      </c>
      <c r="M1340" s="60">
        <f t="shared" si="6"/>
        <v>1291</v>
      </c>
      <c r="N1340" s="62">
        <f>IFERROR(__xludf.DUMMYFUNCTION("IFERROR(GOOGLEFINANCE(A1340,""TRADETIME""),)"),46086.63976851852)</f>
        <v>46086.63977</v>
      </c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</row>
    <row r="1341">
      <c r="A1341" s="68" t="s">
        <v>1387</v>
      </c>
      <c r="B1341" s="64" t="str">
        <f>IFERROR(__xludf.DUMMYFUNCTION("IFERROR(GOOGLEFINANCE(A1341,""NAME""),)"),"State Trading Corporation of India Ltd")</f>
        <v>State Trading Corporation of India Ltd</v>
      </c>
      <c r="C1341" s="64">
        <f>IFERROR(__xludf.DUMMYFUNCTION("IFERROR(GOOGLEFINANCE(A1341,""CHANGE""),)"),1.78)</f>
        <v>1.78</v>
      </c>
      <c r="D1341" s="64">
        <f>IFERROR(__xludf.DUMMYFUNCTION("IFERROR(GOOGLEFINANCE(A1341,""CHANGEPCT""),)"),1.66)</f>
        <v>1.66</v>
      </c>
      <c r="E1341" s="64" t="str">
        <f t="shared" si="1"/>
        <v>1.66%</v>
      </c>
      <c r="F1341" s="64">
        <f t="shared" si="2"/>
        <v>1.66</v>
      </c>
      <c r="G1341" s="64" t="str">
        <f t="shared" si="3"/>
        <v/>
      </c>
      <c r="H1341" s="64">
        <f>IFERROR(__xludf.DUMMYFUNCTION("IFERROR(GOOGLEFINANCE(A1341,""PRICE""),)"),109.1)</f>
        <v>109.1</v>
      </c>
      <c r="I1341" s="65">
        <f>IFERROR(__xludf.DUMMYFUNCTION("IFERROR(GOOGLEFINANCE(A1341,""VOLUME""),)"),47366.0)</f>
        <v>47366</v>
      </c>
      <c r="J1341" s="64" t="str">
        <f>IFERROR(__xludf.DUMMYFUNCTION("IFERROR(INDEX(SPLIT(A1341,"":""),1,2),)"),"STCINDIA")</f>
        <v>STCINDIA</v>
      </c>
      <c r="K1341" s="64">
        <f t="shared" si="4"/>
        <v>525</v>
      </c>
      <c r="L1341" s="64" t="str">
        <f t="shared" si="5"/>
        <v/>
      </c>
      <c r="M1341" s="64">
        <f t="shared" si="6"/>
        <v>951</v>
      </c>
      <c r="N1341" s="66">
        <f>IFERROR(__xludf.DUMMYFUNCTION("IFERROR(GOOGLEFINANCE(A1341,""TRADETIME""),)"),46086.64585648148)</f>
        <v>46086.64586</v>
      </c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</row>
    <row r="1342">
      <c r="A1342" s="67" t="s">
        <v>1388</v>
      </c>
      <c r="B1342" s="60" t="str">
        <f>IFERROR(__xludf.DUMMYFUNCTION("IFERROR(GOOGLEFINANCE(A1342,""NAME""),)"),"Steel City Securities Ltd")</f>
        <v>Steel City Securities Ltd</v>
      </c>
      <c r="C1342" s="60">
        <f>IFERROR(__xludf.DUMMYFUNCTION("IFERROR(GOOGLEFINANCE(A1342,""CHANGE""),)"),-5.7)</f>
        <v>-5.7</v>
      </c>
      <c r="D1342" s="60">
        <f>IFERROR(__xludf.DUMMYFUNCTION("IFERROR(GOOGLEFINANCE(A1342,""CHANGEPCT""),)"),-6.41)</f>
        <v>-6.41</v>
      </c>
      <c r="E1342" s="60" t="str">
        <f t="shared" si="1"/>
        <v>-6.41%</v>
      </c>
      <c r="F1342" s="60" t="str">
        <f t="shared" si="2"/>
        <v/>
      </c>
      <c r="G1342" s="60">
        <f t="shared" si="3"/>
        <v>-6.41</v>
      </c>
      <c r="H1342" s="60">
        <f>IFERROR(__xludf.DUMMYFUNCTION("IFERROR(GOOGLEFINANCE(A1342,""PRICE""),)"),83.2)</f>
        <v>83.2</v>
      </c>
      <c r="I1342" s="61">
        <f>IFERROR(__xludf.DUMMYFUNCTION("IFERROR(GOOGLEFINANCE(A1342,""VOLUME""),)"),46714.0)</f>
        <v>46714</v>
      </c>
      <c r="J1342" s="60" t="str">
        <f>IFERROR(__xludf.DUMMYFUNCTION("IFERROR(INDEX(SPLIT(A1342,"":""),1,2),)"),"STEELCITY")</f>
        <v>STEELCITY</v>
      </c>
      <c r="K1342" s="60" t="str">
        <f t="shared" si="4"/>
        <v/>
      </c>
      <c r="L1342" s="60">
        <f t="shared" si="5"/>
        <v>449</v>
      </c>
      <c r="M1342" s="60">
        <f t="shared" si="6"/>
        <v>958</v>
      </c>
      <c r="N1342" s="62">
        <f>IFERROR(__xludf.DUMMYFUNCTION("IFERROR(GOOGLEFINANCE(A1342,""TRADETIME""),)"),46086.64585648148)</f>
        <v>46086.64586</v>
      </c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</row>
    <row r="1343">
      <c r="A1343" s="68" t="s">
        <v>1389</v>
      </c>
      <c r="B1343" s="64" t="str">
        <f>IFERROR(__xludf.DUMMYFUNCTION("IFERROR(GOOGLEFINANCE(A1343,""NAME""),)"),"Steel Exchange India Ltd")</f>
        <v>Steel Exchange India Ltd</v>
      </c>
      <c r="C1343" s="64">
        <f>IFERROR(__xludf.DUMMYFUNCTION("IFERROR(GOOGLEFINANCE(A1343,""CHANGE""),)"),0.51)</f>
        <v>0.51</v>
      </c>
      <c r="D1343" s="64">
        <f>IFERROR(__xludf.DUMMYFUNCTION("IFERROR(GOOGLEFINANCE(A1343,""CHANGEPCT""),)"),6.38)</f>
        <v>6.38</v>
      </c>
      <c r="E1343" s="64" t="str">
        <f t="shared" si="1"/>
        <v>6.38%</v>
      </c>
      <c r="F1343" s="64">
        <f t="shared" si="2"/>
        <v>6.38</v>
      </c>
      <c r="G1343" s="64" t="str">
        <f t="shared" si="3"/>
        <v/>
      </c>
      <c r="H1343" s="64">
        <f>IFERROR(__xludf.DUMMYFUNCTION("IFERROR(GOOGLEFINANCE(A1343,""PRICE""),)"),8.5)</f>
        <v>8.5</v>
      </c>
      <c r="I1343" s="65">
        <f>IFERROR(__xludf.DUMMYFUNCTION("IFERROR(GOOGLEFINANCE(A1343,""VOLUME""),)"),3752042.0)</f>
        <v>3752042</v>
      </c>
      <c r="J1343" s="64" t="str">
        <f>IFERROR(__xludf.DUMMYFUNCTION("IFERROR(INDEX(SPLIT(A1343,"":""),1,2),)"),"STEELXIND")</f>
        <v>STEELXIND</v>
      </c>
      <c r="K1343" s="64">
        <f t="shared" si="4"/>
        <v>37</v>
      </c>
      <c r="L1343" s="64" t="str">
        <f t="shared" si="5"/>
        <v/>
      </c>
      <c r="M1343" s="64">
        <f t="shared" si="6"/>
        <v>131</v>
      </c>
      <c r="N1343" s="66">
        <f>IFERROR(__xludf.DUMMYFUNCTION("IFERROR(GOOGLEFINANCE(A1343,""TRADETIME""),)"),46086.64583333333)</f>
        <v>46086.64583</v>
      </c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</row>
    <row r="1344">
      <c r="A1344" s="67" t="s">
        <v>1390</v>
      </c>
      <c r="B1344" s="60" t="str">
        <f>IFERROR(__xludf.DUMMYFUNCTION("IFERROR(GOOGLEFINANCE(A1344,""NAME""),)"),"STEL Holdings Ltd")</f>
        <v>STEL Holdings Ltd</v>
      </c>
      <c r="C1344" s="60">
        <f>IFERROR(__xludf.DUMMYFUNCTION("IFERROR(GOOGLEFINANCE(A1344,""CHANGE""),)"),11.9)</f>
        <v>11.9</v>
      </c>
      <c r="D1344" s="60">
        <f>IFERROR(__xludf.DUMMYFUNCTION("IFERROR(GOOGLEFINANCE(A1344,""CHANGEPCT""),)"),2.3)</f>
        <v>2.3</v>
      </c>
      <c r="E1344" s="60" t="str">
        <f t="shared" si="1"/>
        <v>2.3%</v>
      </c>
      <c r="F1344" s="60">
        <f t="shared" si="2"/>
        <v>2.3</v>
      </c>
      <c r="G1344" s="60" t="str">
        <f t="shared" si="3"/>
        <v/>
      </c>
      <c r="H1344" s="60">
        <f>IFERROR(__xludf.DUMMYFUNCTION("IFERROR(GOOGLEFINANCE(A1344,""PRICE""),)"),529.0)</f>
        <v>529</v>
      </c>
      <c r="I1344" s="61">
        <f>IFERROR(__xludf.DUMMYFUNCTION("IFERROR(GOOGLEFINANCE(A1344,""VOLUME""),)"),10251.0)</f>
        <v>10251</v>
      </c>
      <c r="J1344" s="60" t="str">
        <f>IFERROR(__xludf.DUMMYFUNCTION("IFERROR(INDEX(SPLIT(A1344,"":""),1,2),)"),"STEL")</f>
        <v>STEL</v>
      </c>
      <c r="K1344" s="60">
        <f t="shared" si="4"/>
        <v>377</v>
      </c>
      <c r="L1344" s="60" t="str">
        <f t="shared" si="5"/>
        <v/>
      </c>
      <c r="M1344" s="60">
        <f t="shared" si="6"/>
        <v>1260</v>
      </c>
      <c r="N1344" s="62">
        <f>IFERROR(__xludf.DUMMYFUNCTION("IFERROR(GOOGLEFINANCE(A1344,""TRADETIME""),)"),46086.64583333333)</f>
        <v>46086.64583</v>
      </c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</row>
    <row r="1345">
      <c r="A1345" s="68" t="s">
        <v>1391</v>
      </c>
      <c r="B1345" s="64" t="str">
        <f>IFERROR(__xludf.DUMMYFUNCTION("IFERROR(GOOGLEFINANCE(A1345,""NAME""),)"),"Sterling Tools Ltd")</f>
        <v>Sterling Tools Ltd</v>
      </c>
      <c r="C1345" s="64">
        <f>IFERROR(__xludf.DUMMYFUNCTION("IFERROR(GOOGLEFINANCE(A1345,""CHANGE""),)"),0.73)</f>
        <v>0.73</v>
      </c>
      <c r="D1345" s="64">
        <f>IFERROR(__xludf.DUMMYFUNCTION("IFERROR(GOOGLEFINANCE(A1345,""CHANGEPCT""),)"),-0.04)</f>
        <v>-0.04</v>
      </c>
      <c r="E1345" s="64" t="str">
        <f t="shared" si="1"/>
        <v>-0.04%</v>
      </c>
      <c r="F1345" s="64" t="str">
        <f t="shared" si="2"/>
        <v/>
      </c>
      <c r="G1345" s="64">
        <f t="shared" si="3"/>
        <v>-0.04</v>
      </c>
      <c r="H1345" s="64">
        <f>IFERROR(__xludf.DUMMYFUNCTION("IFERROR(GOOGLEFINANCE(A1345,""PRICE""),)"),206.4)</f>
        <v>206.4</v>
      </c>
      <c r="I1345" s="65">
        <f>IFERROR(__xludf.DUMMYFUNCTION("IFERROR(GOOGLEFINANCE(A1345,""VOLUME""),)"),75742.0)</f>
        <v>75742</v>
      </c>
      <c r="J1345" s="64" t="str">
        <f>IFERROR(__xludf.DUMMYFUNCTION("IFERROR(INDEX(SPLIT(A1345,"":""),1,2),)"),"STERTOOLS")</f>
        <v>STERTOOLS</v>
      </c>
      <c r="K1345" s="64" t="str">
        <f t="shared" si="4"/>
        <v/>
      </c>
      <c r="L1345" s="64">
        <f t="shared" si="5"/>
        <v>9</v>
      </c>
      <c r="M1345" s="64">
        <f t="shared" si="6"/>
        <v>826</v>
      </c>
      <c r="N1345" s="66">
        <f>IFERROR(__xludf.DUMMYFUNCTION("IFERROR(GOOGLEFINANCE(A1345,""TRADETIME""),)"),46086.63967592592)</f>
        <v>46086.63968</v>
      </c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</row>
    <row r="1346">
      <c r="A1346" s="67" t="s">
        <v>1392</v>
      </c>
      <c r="B1346" s="60" t="str">
        <f>IFERROR(__xludf.DUMMYFUNCTION("IFERROR(GOOGLEFINANCE(A1346,""NAME""),)"),"Sterlite Technologies Ltd")</f>
        <v>Sterlite Technologies Ltd</v>
      </c>
      <c r="C1346" s="60">
        <f>IFERROR(__xludf.DUMMYFUNCTION("IFERROR(GOOGLEFINANCE(A1346,""CHANGE""),)"),7.2)</f>
        <v>7.2</v>
      </c>
      <c r="D1346" s="60">
        <f>IFERROR(__xludf.DUMMYFUNCTION("IFERROR(GOOGLEFINANCE(A1346,""CHANGEPCT""),)"),4.31)</f>
        <v>4.31</v>
      </c>
      <c r="E1346" s="60" t="str">
        <f t="shared" si="1"/>
        <v>4.31%</v>
      </c>
      <c r="F1346" s="60">
        <f t="shared" si="2"/>
        <v>4.31</v>
      </c>
      <c r="G1346" s="60" t="str">
        <f t="shared" si="3"/>
        <v/>
      </c>
      <c r="H1346" s="60">
        <f>IFERROR(__xludf.DUMMYFUNCTION("IFERROR(GOOGLEFINANCE(A1346,""PRICE""),)"),174.13)</f>
        <v>174.13</v>
      </c>
      <c r="I1346" s="61">
        <f>IFERROR(__xludf.DUMMYFUNCTION("IFERROR(GOOGLEFINANCE(A1346,""VOLUME""),)"),1.7779696E7)</f>
        <v>17779696</v>
      </c>
      <c r="J1346" s="60" t="str">
        <f>IFERROR(__xludf.DUMMYFUNCTION("IFERROR(INDEX(SPLIT(A1346,"":""),1,2),)"),"STLTECH")</f>
        <v>STLTECH</v>
      </c>
      <c r="K1346" s="60">
        <f t="shared" si="4"/>
        <v>120</v>
      </c>
      <c r="L1346" s="60" t="str">
        <f t="shared" si="5"/>
        <v/>
      </c>
      <c r="M1346" s="60">
        <f t="shared" si="6"/>
        <v>35</v>
      </c>
      <c r="N1346" s="62">
        <f>IFERROR(__xludf.DUMMYFUNCTION("IFERROR(GOOGLEFINANCE(A1346,""TRADETIME""),)"),46086.64584490741)</f>
        <v>46086.64584</v>
      </c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</row>
    <row r="1347">
      <c r="A1347" s="68" t="s">
        <v>1393</v>
      </c>
      <c r="B1347" s="64" t="str">
        <f>IFERROR(__xludf.DUMMYFUNCTION("IFERROR(GOOGLEFINANCE(A1347,""NAME""),)"),"Subex Ltd")</f>
        <v>Subex Ltd</v>
      </c>
      <c r="C1347" s="64">
        <f>IFERROR(__xludf.DUMMYFUNCTION("IFERROR(GOOGLEFINANCE(A1347,""CHANGE""),)"),0.08)</f>
        <v>0.08</v>
      </c>
      <c r="D1347" s="64">
        <f>IFERROR(__xludf.DUMMYFUNCTION("IFERROR(GOOGLEFINANCE(A1347,""CHANGEPCT""),)"),0.94)</f>
        <v>0.94</v>
      </c>
      <c r="E1347" s="64" t="str">
        <f t="shared" si="1"/>
        <v>0.94%</v>
      </c>
      <c r="F1347" s="64">
        <f t="shared" si="2"/>
        <v>0.94</v>
      </c>
      <c r="G1347" s="64" t="str">
        <f t="shared" si="3"/>
        <v/>
      </c>
      <c r="H1347" s="64">
        <f>IFERROR(__xludf.DUMMYFUNCTION("IFERROR(GOOGLEFINANCE(A1347,""PRICE""),)"),8.59)</f>
        <v>8.59</v>
      </c>
      <c r="I1347" s="65">
        <f>IFERROR(__xludf.DUMMYFUNCTION("IFERROR(GOOGLEFINANCE(A1347,""VOLUME""),)"),1981534.0)</f>
        <v>1981534</v>
      </c>
      <c r="J1347" s="64" t="str">
        <f>IFERROR(__xludf.DUMMYFUNCTION("IFERROR(INDEX(SPLIT(A1347,"":""),1,2),)"),"SUBEXLTD")</f>
        <v>SUBEXLTD</v>
      </c>
      <c r="K1347" s="64">
        <f t="shared" si="4"/>
        <v>743</v>
      </c>
      <c r="L1347" s="64" t="str">
        <f t="shared" si="5"/>
        <v/>
      </c>
      <c r="M1347" s="64">
        <f t="shared" si="6"/>
        <v>205</v>
      </c>
      <c r="N1347" s="66">
        <f>IFERROR(__xludf.DUMMYFUNCTION("IFERROR(GOOGLEFINANCE(A1347,""TRADETIME""),)"),46086.63993055555)</f>
        <v>46086.63993</v>
      </c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</row>
    <row r="1348">
      <c r="A1348" s="67" t="s">
        <v>1394</v>
      </c>
      <c r="B1348" s="60" t="str">
        <f>IFERROR(__xludf.DUMMYFUNCTION("IFERROR(GOOGLEFINANCE(A1348,""NAME""),)"),"Subros Ltd")</f>
        <v>Subros Ltd</v>
      </c>
      <c r="C1348" s="60">
        <f>IFERROR(__xludf.DUMMYFUNCTION("IFERROR(GOOGLEFINANCE(A1348,""CHANGE""),)"),8.75)</f>
        <v>8.75</v>
      </c>
      <c r="D1348" s="60">
        <f>IFERROR(__xludf.DUMMYFUNCTION("IFERROR(GOOGLEFINANCE(A1348,""CHANGEPCT""),)"),1.53)</f>
        <v>1.53</v>
      </c>
      <c r="E1348" s="60" t="str">
        <f t="shared" si="1"/>
        <v>1.53%</v>
      </c>
      <c r="F1348" s="60">
        <f t="shared" si="2"/>
        <v>1.53</v>
      </c>
      <c r="G1348" s="60" t="str">
        <f t="shared" si="3"/>
        <v/>
      </c>
      <c r="H1348" s="60">
        <f>IFERROR(__xludf.DUMMYFUNCTION("IFERROR(GOOGLEFINANCE(A1348,""PRICE""),)"),734.35)</f>
        <v>734.35</v>
      </c>
      <c r="I1348" s="61">
        <f>IFERROR(__xludf.DUMMYFUNCTION("IFERROR(GOOGLEFINANCE(A1348,""VOLUME""),)"),72060.0)</f>
        <v>72060</v>
      </c>
      <c r="J1348" s="60" t="str">
        <f>IFERROR(__xludf.DUMMYFUNCTION("IFERROR(INDEX(SPLIT(A1348,"":""),1,2),)"),"SUBROS")</f>
        <v>SUBROS</v>
      </c>
      <c r="K1348" s="60">
        <f t="shared" si="4"/>
        <v>562</v>
      </c>
      <c r="L1348" s="60" t="str">
        <f t="shared" si="5"/>
        <v/>
      </c>
      <c r="M1348" s="60">
        <f t="shared" si="6"/>
        <v>838</v>
      </c>
      <c r="N1348" s="62">
        <f>IFERROR(__xludf.DUMMYFUNCTION("IFERROR(GOOGLEFINANCE(A1348,""TRADETIME""),)"),46086.64583333333)</f>
        <v>46086.64583</v>
      </c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</row>
    <row r="1349">
      <c r="A1349" s="68" t="s">
        <v>1395</v>
      </c>
      <c r="B1349" s="64" t="str">
        <f>IFERROR(__xludf.DUMMYFUNCTION("IFERROR(GOOGLEFINANCE(A1349,""NAME""),)"),"Sudarshan Chemical Industries Ltd")</f>
        <v>Sudarshan Chemical Industries Ltd</v>
      </c>
      <c r="C1349" s="64">
        <f>IFERROR(__xludf.DUMMYFUNCTION("IFERROR(GOOGLEFINANCE(A1349,""CHANGE""),)"),-6.7)</f>
        <v>-6.7</v>
      </c>
      <c r="D1349" s="64">
        <f>IFERROR(__xludf.DUMMYFUNCTION("IFERROR(GOOGLEFINANCE(A1349,""CHANGEPCT""),)"),-0.81)</f>
        <v>-0.81</v>
      </c>
      <c r="E1349" s="64" t="str">
        <f t="shared" si="1"/>
        <v>-0.81%</v>
      </c>
      <c r="F1349" s="64" t="str">
        <f t="shared" si="2"/>
        <v/>
      </c>
      <c r="G1349" s="64">
        <f t="shared" si="3"/>
        <v>-0.81</v>
      </c>
      <c r="H1349" s="64">
        <f>IFERROR(__xludf.DUMMYFUNCTION("IFERROR(GOOGLEFINANCE(A1349,""PRICE""),)"),820.0)</f>
        <v>820</v>
      </c>
      <c r="I1349" s="65">
        <f>IFERROR(__xludf.DUMMYFUNCTION("IFERROR(GOOGLEFINANCE(A1349,""VOLUME""),)"),29215.0)</f>
        <v>29215</v>
      </c>
      <c r="J1349" s="64" t="str">
        <f>IFERROR(__xludf.DUMMYFUNCTION("IFERROR(INDEX(SPLIT(A1349,"":""),1,2),)"),"SUDARSCHEM")</f>
        <v>SUDARSCHEM</v>
      </c>
      <c r="K1349" s="64" t="str">
        <f t="shared" si="4"/>
        <v/>
      </c>
      <c r="L1349" s="64">
        <f t="shared" si="5"/>
        <v>183</v>
      </c>
      <c r="M1349" s="64">
        <f t="shared" si="6"/>
        <v>1063</v>
      </c>
      <c r="N1349" s="66">
        <f>IFERROR(__xludf.DUMMYFUNCTION("IFERROR(GOOGLEFINANCE(A1349,""TRADETIME""),)"),46086.64583333333)</f>
        <v>46086.64583</v>
      </c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</row>
    <row r="1350">
      <c r="A1350" s="67" t="s">
        <v>1396</v>
      </c>
      <c r="B1350" s="60" t="str">
        <f>IFERROR(__xludf.DUMMYFUNCTION("IFERROR(GOOGLEFINANCE(A1350,""NAME""),)"),"Sumitomo Chemical India Ltd")</f>
        <v>Sumitomo Chemical India Ltd</v>
      </c>
      <c r="C1350" s="60">
        <f>IFERROR(__xludf.DUMMYFUNCTION("IFERROR(GOOGLEFINANCE(A1350,""CHANGE""),)"),3.15)</f>
        <v>3.15</v>
      </c>
      <c r="D1350" s="60">
        <f>IFERROR(__xludf.DUMMYFUNCTION("IFERROR(GOOGLEFINANCE(A1350,""CHANGEPCT""),)"),0.8)</f>
        <v>0.8</v>
      </c>
      <c r="E1350" s="60" t="str">
        <f t="shared" si="1"/>
        <v>0.8%</v>
      </c>
      <c r="F1350" s="60">
        <f t="shared" si="2"/>
        <v>0.8</v>
      </c>
      <c r="G1350" s="60" t="str">
        <f t="shared" si="3"/>
        <v/>
      </c>
      <c r="H1350" s="60">
        <f>IFERROR(__xludf.DUMMYFUNCTION("IFERROR(GOOGLEFINANCE(A1350,""PRICE""),)"),398.5)</f>
        <v>398.5</v>
      </c>
      <c r="I1350" s="61">
        <f>IFERROR(__xludf.DUMMYFUNCTION("IFERROR(GOOGLEFINANCE(A1350,""VOLUME""),)"),151140.0)</f>
        <v>151140</v>
      </c>
      <c r="J1350" s="60" t="str">
        <f>IFERROR(__xludf.DUMMYFUNCTION("IFERROR(INDEX(SPLIT(A1350,"":""),1,2),)"),"SUMICHEM")</f>
        <v>SUMICHEM</v>
      </c>
      <c r="K1350" s="60">
        <f t="shared" si="4"/>
        <v>783</v>
      </c>
      <c r="L1350" s="60" t="str">
        <f t="shared" si="5"/>
        <v/>
      </c>
      <c r="M1350" s="60">
        <f t="shared" si="6"/>
        <v>672</v>
      </c>
      <c r="N1350" s="62">
        <f>IFERROR(__xludf.DUMMYFUNCTION("IFERROR(GOOGLEFINANCE(A1350,""TRADETIME""),)"),46086.64583333333)</f>
        <v>46086.64583</v>
      </c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</row>
    <row r="1351">
      <c r="A1351" s="68" t="s">
        <v>1397</v>
      </c>
      <c r="B1351" s="64" t="str">
        <f>IFERROR(__xludf.DUMMYFUNCTION("IFERROR(GOOGLEFINANCE(A1351,""NAME""),)"),"Sumit Woods Ltd")</f>
        <v>Sumit Woods Ltd</v>
      </c>
      <c r="C1351" s="64">
        <f>IFERROR(__xludf.DUMMYFUNCTION("IFERROR(GOOGLEFINANCE(A1351,""CHANGE""),)"),0.81)</f>
        <v>0.81</v>
      </c>
      <c r="D1351" s="64">
        <f>IFERROR(__xludf.DUMMYFUNCTION("IFERROR(GOOGLEFINANCE(A1351,""CHANGEPCT""),)"),2.17)</f>
        <v>2.17</v>
      </c>
      <c r="E1351" s="64" t="str">
        <f t="shared" si="1"/>
        <v>2.17%</v>
      </c>
      <c r="F1351" s="64">
        <f t="shared" si="2"/>
        <v>2.17</v>
      </c>
      <c r="G1351" s="64" t="str">
        <f t="shared" si="3"/>
        <v/>
      </c>
      <c r="H1351" s="64">
        <f>IFERROR(__xludf.DUMMYFUNCTION("IFERROR(GOOGLEFINANCE(A1351,""PRICE""),)"),38.12)</f>
        <v>38.12</v>
      </c>
      <c r="I1351" s="65">
        <f>IFERROR(__xludf.DUMMYFUNCTION("IFERROR(GOOGLEFINANCE(A1351,""VOLUME""),)"),143589.0)</f>
        <v>143589</v>
      </c>
      <c r="J1351" s="64" t="str">
        <f>IFERROR(__xludf.DUMMYFUNCTION("IFERROR(INDEX(SPLIT(A1351,"":""),1,2),)"),"SUMIT")</f>
        <v>SUMIT</v>
      </c>
      <c r="K1351" s="64">
        <f t="shared" si="4"/>
        <v>404</v>
      </c>
      <c r="L1351" s="64" t="str">
        <f t="shared" si="5"/>
        <v/>
      </c>
      <c r="M1351" s="64">
        <f t="shared" si="6"/>
        <v>683</v>
      </c>
      <c r="N1351" s="66">
        <f>IFERROR(__xludf.DUMMYFUNCTION("IFERROR(GOOGLEFINANCE(A1351,""TRADETIME""),)"),46086.64583333333)</f>
        <v>46086.64583</v>
      </c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</row>
    <row r="1352">
      <c r="A1352" s="67" t="s">
        <v>1398</v>
      </c>
      <c r="B1352" s="60" t="str">
        <f>IFERROR(__xludf.DUMMYFUNCTION("IFERROR(GOOGLEFINANCE(A1352,""NAME""),)"),"Summit Securities Ltd")</f>
        <v>Summit Securities Ltd</v>
      </c>
      <c r="C1352" s="60">
        <f>IFERROR(__xludf.DUMMYFUNCTION("IFERROR(GOOGLEFINANCE(A1352,""CHANGE""),)"),24.1)</f>
        <v>24.1</v>
      </c>
      <c r="D1352" s="60">
        <f>IFERROR(__xludf.DUMMYFUNCTION("IFERROR(GOOGLEFINANCE(A1352,""CHANGEPCT""),)"),1.54)</f>
        <v>1.54</v>
      </c>
      <c r="E1352" s="60" t="str">
        <f t="shared" si="1"/>
        <v>1.54%</v>
      </c>
      <c r="F1352" s="60">
        <f t="shared" si="2"/>
        <v>1.54</v>
      </c>
      <c r="G1352" s="60" t="str">
        <f t="shared" si="3"/>
        <v/>
      </c>
      <c r="H1352" s="60">
        <f>IFERROR(__xludf.DUMMYFUNCTION("IFERROR(GOOGLEFINANCE(A1352,""PRICE""),)"),1593.3)</f>
        <v>1593.3</v>
      </c>
      <c r="I1352" s="61">
        <f>IFERROR(__xludf.DUMMYFUNCTION("IFERROR(GOOGLEFINANCE(A1352,""VOLUME""),)"),3625.0)</f>
        <v>3625</v>
      </c>
      <c r="J1352" s="60" t="str">
        <f>IFERROR(__xludf.DUMMYFUNCTION("IFERROR(INDEX(SPLIT(A1352,"":""),1,2),)"),"SUMMITSEC")</f>
        <v>SUMMITSEC</v>
      </c>
      <c r="K1352" s="60">
        <f t="shared" si="4"/>
        <v>556</v>
      </c>
      <c r="L1352" s="60" t="str">
        <f t="shared" si="5"/>
        <v/>
      </c>
      <c r="M1352" s="60">
        <f t="shared" si="6"/>
        <v>1373</v>
      </c>
      <c r="N1352" s="62">
        <f>IFERROR(__xludf.DUMMYFUNCTION("IFERROR(GOOGLEFINANCE(A1352,""TRADETIME""),)"),46086.64583333333)</f>
        <v>46086.64583</v>
      </c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</row>
    <row r="1353">
      <c r="A1353" s="68" t="s">
        <v>1399</v>
      </c>
      <c r="B1353" s="64" t="str">
        <f>IFERROR(__xludf.DUMMYFUNCTION("IFERROR(GOOGLEFINANCE(A1353,""NAME""),)"),"")</f>
        <v/>
      </c>
      <c r="C1353" s="64" t="str">
        <f>IFERROR(__xludf.DUMMYFUNCTION("IFERROR(GOOGLEFINANCE(A1353,""CHANGE""),)"),"")</f>
        <v/>
      </c>
      <c r="D1353" s="64" t="str">
        <f>IFERROR(__xludf.DUMMYFUNCTION("IFERROR(GOOGLEFINANCE(A1353,""CHANGEPCT""),)"),"")</f>
        <v/>
      </c>
      <c r="E1353" s="64" t="str">
        <f t="shared" si="1"/>
        <v>%</v>
      </c>
      <c r="F1353" s="64" t="str">
        <f t="shared" si="2"/>
        <v/>
      </c>
      <c r="G1353" s="64" t="str">
        <f t="shared" si="3"/>
        <v/>
      </c>
      <c r="H1353" s="64" t="str">
        <f>IFERROR(__xludf.DUMMYFUNCTION("IFERROR(GOOGLEFINANCE(A1353,""PRICE""),)"),"")</f>
        <v/>
      </c>
      <c r="I1353" s="65" t="str">
        <f>IFERROR(__xludf.DUMMYFUNCTION("IFERROR(GOOGLEFINANCE(A1353,""VOLUME""),)"),"")</f>
        <v/>
      </c>
      <c r="J1353" s="64" t="str">
        <f>IFERROR(__xludf.DUMMYFUNCTION("IFERROR(INDEX(SPLIT(A1353,"":""),1,2),)"),"SUNCLAYLTD")</f>
        <v>SUNCLAYLTD</v>
      </c>
      <c r="K1353" s="64" t="str">
        <f t="shared" si="4"/>
        <v/>
      </c>
      <c r="L1353" s="64" t="str">
        <f t="shared" si="5"/>
        <v/>
      </c>
      <c r="M1353" s="64" t="str">
        <f t="shared" si="6"/>
        <v/>
      </c>
      <c r="N1353" s="66" t="str">
        <f>IFERROR(__xludf.DUMMYFUNCTION("IFERROR(GOOGLEFINANCE(A1353,""TRADETIME""),)"),"")</f>
        <v/>
      </c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</row>
    <row r="1354">
      <c r="A1354" s="67" t="s">
        <v>1400</v>
      </c>
      <c r="B1354" s="60" t="str">
        <f>IFERROR(__xludf.DUMMYFUNCTION("IFERROR(GOOGLEFINANCE(A1354,""NAME""),)"),"Sundaram Multi Pap Ltd")</f>
        <v>Sundaram Multi Pap Ltd</v>
      </c>
      <c r="C1354" s="60">
        <f>IFERROR(__xludf.DUMMYFUNCTION("IFERROR(GOOGLEFINANCE(A1354,""CHANGE""),)"),0.03)</f>
        <v>0.03</v>
      </c>
      <c r="D1354" s="60">
        <f>IFERROR(__xludf.DUMMYFUNCTION("IFERROR(GOOGLEFINANCE(A1354,""CHANGEPCT""),)"),2.26)</f>
        <v>2.26</v>
      </c>
      <c r="E1354" s="60" t="str">
        <f t="shared" si="1"/>
        <v>2.26%</v>
      </c>
      <c r="F1354" s="60">
        <f t="shared" si="2"/>
        <v>2.26</v>
      </c>
      <c r="G1354" s="60" t="str">
        <f t="shared" si="3"/>
        <v/>
      </c>
      <c r="H1354" s="60">
        <f>IFERROR(__xludf.DUMMYFUNCTION("IFERROR(GOOGLEFINANCE(A1354,""PRICE""),)"),1.35)</f>
        <v>1.35</v>
      </c>
      <c r="I1354" s="61">
        <f>IFERROR(__xludf.DUMMYFUNCTION("IFERROR(GOOGLEFINANCE(A1354,""VOLUME""),)"),331758.0)</f>
        <v>331758</v>
      </c>
      <c r="J1354" s="60" t="str">
        <f>IFERROR(__xludf.DUMMYFUNCTION("IFERROR(INDEX(SPLIT(A1354,"":""),1,2),)"),"SUNDARAM")</f>
        <v>SUNDARAM</v>
      </c>
      <c r="K1354" s="60">
        <f t="shared" si="4"/>
        <v>385</v>
      </c>
      <c r="L1354" s="60" t="str">
        <f t="shared" si="5"/>
        <v/>
      </c>
      <c r="M1354" s="60">
        <f t="shared" si="6"/>
        <v>492</v>
      </c>
      <c r="N1354" s="62">
        <f>IFERROR(__xludf.DUMMYFUNCTION("IFERROR(GOOGLEFINANCE(A1354,""TRADETIME""),)"),46086.64583333333)</f>
        <v>46086.64583</v>
      </c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</row>
    <row r="1355">
      <c r="A1355" s="68" t="s">
        <v>1401</v>
      </c>
      <c r="B1355" s="64" t="str">
        <f>IFERROR(__xludf.DUMMYFUNCTION("IFERROR(GOOGLEFINANCE(A1355,""NAME""),)"),"Sundaram Finance Ltd")</f>
        <v>Sundaram Finance Ltd</v>
      </c>
      <c r="C1355" s="64">
        <f>IFERROR(__xludf.DUMMYFUNCTION("IFERROR(GOOGLEFINANCE(A1355,""CHANGE""),)"),152.0)</f>
        <v>152</v>
      </c>
      <c r="D1355" s="64">
        <f>IFERROR(__xludf.DUMMYFUNCTION("IFERROR(GOOGLEFINANCE(A1355,""CHANGEPCT""),)"),2.21)</f>
        <v>2.21</v>
      </c>
      <c r="E1355" s="64" t="str">
        <f t="shared" si="1"/>
        <v>2.21%</v>
      </c>
      <c r="F1355" s="64">
        <f t="shared" si="2"/>
        <v>2.21</v>
      </c>
      <c r="G1355" s="64" t="str">
        <f t="shared" si="3"/>
        <v/>
      </c>
      <c r="H1355" s="64">
        <f>IFERROR(__xludf.DUMMYFUNCTION("IFERROR(GOOGLEFINANCE(A1355,""PRICE""),)"),5560.0)</f>
        <v>5560</v>
      </c>
      <c r="I1355" s="65">
        <f>IFERROR(__xludf.DUMMYFUNCTION("IFERROR(GOOGLEFINANCE(A1355,""VOLUME""),)"),97822.0)</f>
        <v>97822</v>
      </c>
      <c r="J1355" s="64" t="str">
        <f>IFERROR(__xludf.DUMMYFUNCTION("IFERROR(INDEX(SPLIT(A1355,"":""),1,2),)"),"SUNDARMFIN")</f>
        <v>SUNDARMFIN</v>
      </c>
      <c r="K1355" s="64">
        <f t="shared" si="4"/>
        <v>399</v>
      </c>
      <c r="L1355" s="64" t="str">
        <f t="shared" si="5"/>
        <v/>
      </c>
      <c r="M1355" s="64">
        <f t="shared" si="6"/>
        <v>761</v>
      </c>
      <c r="N1355" s="66">
        <f>IFERROR(__xludf.DUMMYFUNCTION("IFERROR(GOOGLEFINANCE(A1355,""TRADETIME""),)"),46086.639826388884)</f>
        <v>46086.63983</v>
      </c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</row>
    <row r="1356">
      <c r="A1356" s="67" t="s">
        <v>1402</v>
      </c>
      <c r="B1356" s="60" t="str">
        <f>IFERROR(__xludf.DUMMYFUNCTION("IFERROR(GOOGLEFINANCE(A1356,""NAME""),)"),"")</f>
        <v/>
      </c>
      <c r="C1356" s="60" t="str">
        <f>IFERROR(__xludf.DUMMYFUNCTION("IFERROR(GOOGLEFINANCE(A1356,""CHANGE""),)"),"")</f>
        <v/>
      </c>
      <c r="D1356" s="60" t="str">
        <f>IFERROR(__xludf.DUMMYFUNCTION("IFERROR(GOOGLEFINANCE(A1356,""CHANGEPCT""),)"),"")</f>
        <v/>
      </c>
      <c r="E1356" s="60" t="str">
        <f t="shared" si="1"/>
        <v>%</v>
      </c>
      <c r="F1356" s="60" t="str">
        <f t="shared" si="2"/>
        <v/>
      </c>
      <c r="G1356" s="60" t="str">
        <f t="shared" si="3"/>
        <v/>
      </c>
      <c r="H1356" s="60" t="str">
        <f>IFERROR(__xludf.DUMMYFUNCTION("IFERROR(GOOGLEFINANCE(A1356,""PRICE""),)"),"")</f>
        <v/>
      </c>
      <c r="I1356" s="61" t="str">
        <f>IFERROR(__xludf.DUMMYFUNCTION("IFERROR(GOOGLEFINANCE(A1356,""VOLUME""),)"),"")</f>
        <v/>
      </c>
      <c r="J1356" s="60" t="str">
        <f>IFERROR(__xludf.DUMMYFUNCTION("IFERROR(INDEX(SPLIT(A1356,"":""),1,2),)"),"SUNDARMHLD")</f>
        <v>SUNDARMHLD</v>
      </c>
      <c r="K1356" s="60" t="str">
        <f t="shared" si="4"/>
        <v/>
      </c>
      <c r="L1356" s="60" t="str">
        <f t="shared" si="5"/>
        <v/>
      </c>
      <c r="M1356" s="60" t="str">
        <f t="shared" si="6"/>
        <v/>
      </c>
      <c r="N1356" s="62" t="str">
        <f>IFERROR(__xludf.DUMMYFUNCTION("IFERROR(GOOGLEFINANCE(A1356,""TRADETIME""),)"),"")</f>
        <v/>
      </c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</row>
    <row r="1357">
      <c r="A1357" s="68" t="s">
        <v>1403</v>
      </c>
      <c r="B1357" s="64" t="str">
        <f>IFERROR(__xludf.DUMMYFUNCTION("IFERROR(GOOGLEFINANCE(A1357,""NAME""),)"),"Sundaram Brake Linings Ltd")</f>
        <v>Sundaram Brake Linings Ltd</v>
      </c>
      <c r="C1357" s="64">
        <f>IFERROR(__xludf.DUMMYFUNCTION("IFERROR(GOOGLEFINANCE(A1357,""CHANGE""),)"),3.2)</f>
        <v>3.2</v>
      </c>
      <c r="D1357" s="64">
        <f>IFERROR(__xludf.DUMMYFUNCTION("IFERROR(GOOGLEFINANCE(A1357,""CHANGEPCT""),)"),0.56)</f>
        <v>0.56</v>
      </c>
      <c r="E1357" s="64" t="str">
        <f t="shared" si="1"/>
        <v>0.56%</v>
      </c>
      <c r="F1357" s="64">
        <f t="shared" si="2"/>
        <v>0.56</v>
      </c>
      <c r="G1357" s="64" t="str">
        <f t="shared" si="3"/>
        <v/>
      </c>
      <c r="H1357" s="64">
        <f>IFERROR(__xludf.DUMMYFUNCTION("IFERROR(GOOGLEFINANCE(A1357,""PRICE""),)"),572.6)</f>
        <v>572.6</v>
      </c>
      <c r="I1357" s="65">
        <f>IFERROR(__xludf.DUMMYFUNCTION("IFERROR(GOOGLEFINANCE(A1357,""VOLUME""),)"),2439.0)</f>
        <v>2439</v>
      </c>
      <c r="J1357" s="64" t="str">
        <f>IFERROR(__xludf.DUMMYFUNCTION("IFERROR(INDEX(SPLIT(A1357,"":""),1,2),)"),"SUNDRMBRAK")</f>
        <v>SUNDRMBRAK</v>
      </c>
      <c r="K1357" s="64">
        <f t="shared" si="4"/>
        <v>860</v>
      </c>
      <c r="L1357" s="64" t="str">
        <f t="shared" si="5"/>
        <v/>
      </c>
      <c r="M1357" s="64">
        <f t="shared" si="6"/>
        <v>1394</v>
      </c>
      <c r="N1357" s="66">
        <f>IFERROR(__xludf.DUMMYFUNCTION("IFERROR(GOOGLEFINANCE(A1357,""TRADETIME""),)"),46086.64583333333)</f>
        <v>46086.64583</v>
      </c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</row>
    <row r="1358">
      <c r="A1358" s="67" t="s">
        <v>1404</v>
      </c>
      <c r="B1358" s="60" t="str">
        <f>IFERROR(__xludf.DUMMYFUNCTION("IFERROR(GOOGLEFINANCE(A1358,""NAME""),)"),"Sundram Fasteners Ltd")</f>
        <v>Sundram Fasteners Ltd</v>
      </c>
      <c r="C1358" s="60">
        <f>IFERROR(__xludf.DUMMYFUNCTION("IFERROR(GOOGLEFINANCE(A1358,""CHANGE""),)"),17.95)</f>
        <v>17.95</v>
      </c>
      <c r="D1358" s="60">
        <f>IFERROR(__xludf.DUMMYFUNCTION("IFERROR(GOOGLEFINANCE(A1358,""CHANGEPCT""),)"),2.11)</f>
        <v>2.11</v>
      </c>
      <c r="E1358" s="60" t="str">
        <f t="shared" si="1"/>
        <v>2.11%</v>
      </c>
      <c r="F1358" s="60">
        <f t="shared" si="2"/>
        <v>2.11</v>
      </c>
      <c r="G1358" s="60" t="str">
        <f t="shared" si="3"/>
        <v/>
      </c>
      <c r="H1358" s="60">
        <f>IFERROR(__xludf.DUMMYFUNCTION("IFERROR(GOOGLEFINANCE(A1358,""PRICE""),)"),850.3)</f>
        <v>850.3</v>
      </c>
      <c r="I1358" s="61">
        <f>IFERROR(__xludf.DUMMYFUNCTION("IFERROR(GOOGLEFINANCE(A1358,""VOLUME""),)"),125362.0)</f>
        <v>125362</v>
      </c>
      <c r="J1358" s="60" t="str">
        <f>IFERROR(__xludf.DUMMYFUNCTION("IFERROR(INDEX(SPLIT(A1358,"":""),1,2),)"),"SUNDRMFAST")</f>
        <v>SUNDRMFAST</v>
      </c>
      <c r="K1358" s="60">
        <f t="shared" si="4"/>
        <v>415</v>
      </c>
      <c r="L1358" s="60" t="str">
        <f t="shared" si="5"/>
        <v/>
      </c>
      <c r="M1358" s="60">
        <f t="shared" si="6"/>
        <v>713</v>
      </c>
      <c r="N1358" s="62">
        <f>IFERROR(__xludf.DUMMYFUNCTION("IFERROR(GOOGLEFINANCE(A1358,""TRADETIME""),)"),46086.64584490741)</f>
        <v>46086.64584</v>
      </c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</row>
    <row r="1359">
      <c r="A1359" s="68" t="s">
        <v>1405</v>
      </c>
      <c r="B1359" s="64" t="str">
        <f>IFERROR(__xludf.DUMMYFUNCTION("IFERROR(GOOGLEFINANCE(A1359,""NAME""),)"),"Sunflag Iron and Steel Co Ltd")</f>
        <v>Sunflag Iron and Steel Co Ltd</v>
      </c>
      <c r="C1359" s="64">
        <f>IFERROR(__xludf.DUMMYFUNCTION("IFERROR(GOOGLEFINANCE(A1359,""CHANGE""),)"),3.29)</f>
        <v>3.29</v>
      </c>
      <c r="D1359" s="64">
        <f>IFERROR(__xludf.DUMMYFUNCTION("IFERROR(GOOGLEFINANCE(A1359,""CHANGEPCT""),)"),1.39)</f>
        <v>1.39</v>
      </c>
      <c r="E1359" s="64" t="str">
        <f t="shared" si="1"/>
        <v>1.39%</v>
      </c>
      <c r="F1359" s="64">
        <f t="shared" si="2"/>
        <v>1.39</v>
      </c>
      <c r="G1359" s="64" t="str">
        <f t="shared" si="3"/>
        <v/>
      </c>
      <c r="H1359" s="64">
        <f>IFERROR(__xludf.DUMMYFUNCTION("IFERROR(GOOGLEFINANCE(A1359,""PRICE""),)"),239.95)</f>
        <v>239.95</v>
      </c>
      <c r="I1359" s="65">
        <f>IFERROR(__xludf.DUMMYFUNCTION("IFERROR(GOOGLEFINANCE(A1359,""VOLUME""),)"),129077.0)</f>
        <v>129077</v>
      </c>
      <c r="J1359" s="64" t="str">
        <f>IFERROR(__xludf.DUMMYFUNCTION("IFERROR(INDEX(SPLIT(A1359,"":""),1,2),)"),"SUNFLAG")</f>
        <v>SUNFLAG</v>
      </c>
      <c r="K1359" s="64">
        <f t="shared" si="4"/>
        <v>607</v>
      </c>
      <c r="L1359" s="64" t="str">
        <f t="shared" si="5"/>
        <v/>
      </c>
      <c r="M1359" s="64">
        <f t="shared" si="6"/>
        <v>702</v>
      </c>
      <c r="N1359" s="66">
        <f>IFERROR(__xludf.DUMMYFUNCTION("IFERROR(GOOGLEFINANCE(A1359,""TRADETIME""),)"),46086.64583333333)</f>
        <v>46086.64583</v>
      </c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</row>
    <row r="1360">
      <c r="A1360" s="67" t="s">
        <v>1406</v>
      </c>
      <c r="B1360" s="60" t="str">
        <f>IFERROR(__xludf.DUMMYFUNCTION("IFERROR(GOOGLEFINANCE(A1360,""NAME""),)"),"Sun Pharmaceutical Industries Ltd")</f>
        <v>Sun Pharmaceutical Industries Ltd</v>
      </c>
      <c r="C1360" s="60">
        <f>IFERROR(__xludf.DUMMYFUNCTION("IFERROR(GOOGLEFINANCE(A1360,""CHANGE""),)"),33.2)</f>
        <v>33.2</v>
      </c>
      <c r="D1360" s="60">
        <f>IFERROR(__xludf.DUMMYFUNCTION("IFERROR(GOOGLEFINANCE(A1360,""CHANGEPCT""),)"),1.9)</f>
        <v>1.9</v>
      </c>
      <c r="E1360" s="60" t="str">
        <f t="shared" si="1"/>
        <v>1.9%</v>
      </c>
      <c r="F1360" s="60">
        <f t="shared" si="2"/>
        <v>1.9</v>
      </c>
      <c r="G1360" s="60" t="str">
        <f t="shared" si="3"/>
        <v/>
      </c>
      <c r="H1360" s="60">
        <f>IFERROR(__xludf.DUMMYFUNCTION("IFERROR(GOOGLEFINANCE(A1360,""PRICE""),)"),1783.7)</f>
        <v>1783.7</v>
      </c>
      <c r="I1360" s="61">
        <f>IFERROR(__xludf.DUMMYFUNCTION("IFERROR(GOOGLEFINANCE(A1360,""VOLUME""),)"),3600859.0)</f>
        <v>3600859</v>
      </c>
      <c r="J1360" s="60" t="str">
        <f>IFERROR(__xludf.DUMMYFUNCTION("IFERROR(INDEX(SPLIT(A1360,"":""),1,2),)"),"SUNPHARMA")</f>
        <v>SUNPHARMA</v>
      </c>
      <c r="K1360" s="60">
        <f t="shared" si="4"/>
        <v>461</v>
      </c>
      <c r="L1360" s="60" t="str">
        <f t="shared" si="5"/>
        <v/>
      </c>
      <c r="M1360" s="60">
        <f t="shared" si="6"/>
        <v>134</v>
      </c>
      <c r="N1360" s="62">
        <f>IFERROR(__xludf.DUMMYFUNCTION("IFERROR(GOOGLEFINANCE(A1360,""TRADETIME""),)"),46086.64583333333)</f>
        <v>46086.64583</v>
      </c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</row>
    <row r="1361">
      <c r="A1361" s="68" t="s">
        <v>1407</v>
      </c>
      <c r="B1361" s="64" t="str">
        <f>IFERROR(__xludf.DUMMYFUNCTION("IFERROR(GOOGLEFINANCE(A1361,""NAME""),)"),"Sunteck Realty Ltd")</f>
        <v>Sunteck Realty Ltd</v>
      </c>
      <c r="C1361" s="64">
        <f>IFERROR(__xludf.DUMMYFUNCTION("IFERROR(GOOGLEFINANCE(A1361,""CHANGE""),)"),4.35)</f>
        <v>4.35</v>
      </c>
      <c r="D1361" s="64">
        <f>IFERROR(__xludf.DUMMYFUNCTION("IFERROR(GOOGLEFINANCE(A1361,""CHANGEPCT""),)"),1.16)</f>
        <v>1.16</v>
      </c>
      <c r="E1361" s="64" t="str">
        <f t="shared" si="1"/>
        <v>1.16%</v>
      </c>
      <c r="F1361" s="64">
        <f t="shared" si="2"/>
        <v>1.16</v>
      </c>
      <c r="G1361" s="64" t="str">
        <f t="shared" si="3"/>
        <v/>
      </c>
      <c r="H1361" s="64">
        <f>IFERROR(__xludf.DUMMYFUNCTION("IFERROR(GOOGLEFINANCE(A1361,""PRICE""),)"),379.9)</f>
        <v>379.9</v>
      </c>
      <c r="I1361" s="65">
        <f>IFERROR(__xludf.DUMMYFUNCTION("IFERROR(GOOGLEFINANCE(A1361,""VOLUME""),)"),159410.0)</f>
        <v>159410</v>
      </c>
      <c r="J1361" s="64" t="str">
        <f>IFERROR(__xludf.DUMMYFUNCTION("IFERROR(INDEX(SPLIT(A1361,"":""),1,2),)"),"SUNTECK")</f>
        <v>SUNTECK</v>
      </c>
      <c r="K1361" s="64">
        <f t="shared" si="4"/>
        <v>675</v>
      </c>
      <c r="L1361" s="64" t="str">
        <f t="shared" si="5"/>
        <v/>
      </c>
      <c r="M1361" s="64">
        <f t="shared" si="6"/>
        <v>659</v>
      </c>
      <c r="N1361" s="66">
        <f>IFERROR(__xludf.DUMMYFUNCTION("IFERROR(GOOGLEFINANCE(A1361,""TRADETIME""),)"),46086.64586805555)</f>
        <v>46086.64587</v>
      </c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</row>
    <row r="1362">
      <c r="A1362" s="67" t="s">
        <v>1408</v>
      </c>
      <c r="B1362" s="60" t="str">
        <f>IFERROR(__xludf.DUMMYFUNCTION("IFERROR(GOOGLEFINANCE(A1362,""NAME""),)"),"Sun Tv Network Ltd")</f>
        <v>Sun Tv Network Ltd</v>
      </c>
      <c r="C1362" s="60">
        <f>IFERROR(__xludf.DUMMYFUNCTION("IFERROR(GOOGLEFINANCE(A1362,""CHANGE""),)"),-1.1)</f>
        <v>-1.1</v>
      </c>
      <c r="D1362" s="60">
        <f>IFERROR(__xludf.DUMMYFUNCTION("IFERROR(GOOGLEFINANCE(A1362,""CHANGEPCT""),)"),-0.19)</f>
        <v>-0.19</v>
      </c>
      <c r="E1362" s="60" t="str">
        <f t="shared" si="1"/>
        <v>-0.19%</v>
      </c>
      <c r="F1362" s="60" t="str">
        <f t="shared" si="2"/>
        <v/>
      </c>
      <c r="G1362" s="60">
        <f t="shared" si="3"/>
        <v>-0.19</v>
      </c>
      <c r="H1362" s="60">
        <f>IFERROR(__xludf.DUMMYFUNCTION("IFERROR(GOOGLEFINANCE(A1362,""PRICE""),)"),592.0)</f>
        <v>592</v>
      </c>
      <c r="I1362" s="61">
        <f>IFERROR(__xludf.DUMMYFUNCTION("IFERROR(GOOGLEFINANCE(A1362,""VOLUME""),)"),191051.0)</f>
        <v>191051</v>
      </c>
      <c r="J1362" s="60" t="str">
        <f>IFERROR(__xludf.DUMMYFUNCTION("IFERROR(INDEX(SPLIT(A1362,"":""),1,2),)"),"SUNTV")</f>
        <v>SUNTV</v>
      </c>
      <c r="K1362" s="60" t="str">
        <f t="shared" si="4"/>
        <v/>
      </c>
      <c r="L1362" s="60">
        <f t="shared" si="5"/>
        <v>49</v>
      </c>
      <c r="M1362" s="60">
        <f t="shared" si="6"/>
        <v>619</v>
      </c>
      <c r="N1362" s="62">
        <f>IFERROR(__xludf.DUMMYFUNCTION("IFERROR(GOOGLEFINANCE(A1362,""TRADETIME""),)"),46086.64583333333)</f>
        <v>46086.64583</v>
      </c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</row>
    <row r="1363">
      <c r="A1363" s="68" t="s">
        <v>1409</v>
      </c>
      <c r="B1363" s="64" t="str">
        <f>IFERROR(__xludf.DUMMYFUNCTION("IFERROR(GOOGLEFINANCE(A1363,""NAME""),)"),"Super House Ltd")</f>
        <v>Super House Ltd</v>
      </c>
      <c r="C1363" s="64">
        <f>IFERROR(__xludf.DUMMYFUNCTION("IFERROR(GOOGLEFINANCE(A1363,""CHANGE""),)"),7.03)</f>
        <v>7.03</v>
      </c>
      <c r="D1363" s="64">
        <f>IFERROR(__xludf.DUMMYFUNCTION("IFERROR(GOOGLEFINANCE(A1363,""CHANGEPCT""),)"),4.79)</f>
        <v>4.79</v>
      </c>
      <c r="E1363" s="64" t="str">
        <f t="shared" si="1"/>
        <v>4.79%</v>
      </c>
      <c r="F1363" s="64">
        <f t="shared" si="2"/>
        <v>4.79</v>
      </c>
      <c r="G1363" s="64" t="str">
        <f t="shared" si="3"/>
        <v/>
      </c>
      <c r="H1363" s="64">
        <f>IFERROR(__xludf.DUMMYFUNCTION("IFERROR(GOOGLEFINANCE(A1363,""PRICE""),)"),153.9)</f>
        <v>153.9</v>
      </c>
      <c r="I1363" s="65">
        <f>IFERROR(__xludf.DUMMYFUNCTION("IFERROR(GOOGLEFINANCE(A1363,""VOLUME""),)"),3513.0)</f>
        <v>3513</v>
      </c>
      <c r="J1363" s="64" t="str">
        <f>IFERROR(__xludf.DUMMYFUNCTION("IFERROR(INDEX(SPLIT(A1363,"":""),1,2),)"),"SUPERHOUSE")</f>
        <v>SUPERHOUSE</v>
      </c>
      <c r="K1363" s="64">
        <f t="shared" si="4"/>
        <v>90</v>
      </c>
      <c r="L1363" s="64" t="str">
        <f t="shared" si="5"/>
        <v/>
      </c>
      <c r="M1363" s="64">
        <f t="shared" si="6"/>
        <v>1376</v>
      </c>
      <c r="N1363" s="66">
        <f>IFERROR(__xludf.DUMMYFUNCTION("IFERROR(GOOGLEFINANCE(A1363,""TRADETIME""),)"),46086.64583333333)</f>
        <v>46086.64583</v>
      </c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</row>
    <row r="1364">
      <c r="A1364" s="67" t="s">
        <v>1410</v>
      </c>
      <c r="B1364" s="60" t="str">
        <f>IFERROR(__xludf.DUMMYFUNCTION("IFERROR(GOOGLEFINANCE(A1364,""NAME""),)"),"Super Spinning Mills Ltd")</f>
        <v>Super Spinning Mills Ltd</v>
      </c>
      <c r="C1364" s="60">
        <f>IFERROR(__xludf.DUMMYFUNCTION("IFERROR(GOOGLEFINANCE(A1364,""CHANGE""),)"),-0.03)</f>
        <v>-0.03</v>
      </c>
      <c r="D1364" s="60">
        <f>IFERROR(__xludf.DUMMYFUNCTION("IFERROR(GOOGLEFINANCE(A1364,""CHANGEPCT""),)"),-0.48)</f>
        <v>-0.48</v>
      </c>
      <c r="E1364" s="60" t="str">
        <f t="shared" si="1"/>
        <v>-0.48%</v>
      </c>
      <c r="F1364" s="60" t="str">
        <f t="shared" si="2"/>
        <v/>
      </c>
      <c r="G1364" s="60">
        <f t="shared" si="3"/>
        <v>-0.48</v>
      </c>
      <c r="H1364" s="60">
        <f>IFERROR(__xludf.DUMMYFUNCTION("IFERROR(GOOGLEFINANCE(A1364,""PRICE""),)"),6.2)</f>
        <v>6.2</v>
      </c>
      <c r="I1364" s="61">
        <f>IFERROR(__xludf.DUMMYFUNCTION("IFERROR(GOOGLEFINANCE(A1364,""VOLUME""),)"),25126.0)</f>
        <v>25126</v>
      </c>
      <c r="J1364" s="60" t="str">
        <f>IFERROR(__xludf.DUMMYFUNCTION("IFERROR(INDEX(SPLIT(A1364,"":""),1,2),)"),"SUPERSPIN")</f>
        <v>SUPERSPIN</v>
      </c>
      <c r="K1364" s="60" t="str">
        <f t="shared" si="4"/>
        <v/>
      </c>
      <c r="L1364" s="60">
        <f t="shared" si="5"/>
        <v>115</v>
      </c>
      <c r="M1364" s="60">
        <f t="shared" si="6"/>
        <v>1094</v>
      </c>
      <c r="N1364" s="62">
        <f>IFERROR(__xludf.DUMMYFUNCTION("IFERROR(GOOGLEFINANCE(A1364,""TRADETIME""),)"),46086.64583333333)</f>
        <v>46086.64583</v>
      </c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</row>
    <row r="1365">
      <c r="A1365" s="68" t="s">
        <v>1411</v>
      </c>
      <c r="B1365" s="64" t="str">
        <f>IFERROR(__xludf.DUMMYFUNCTION("IFERROR(GOOGLEFINANCE(A1365,""NAME""),)"),"Supreme Petrochem Ltd")</f>
        <v>Supreme Petrochem Ltd</v>
      </c>
      <c r="C1365" s="64">
        <f>IFERROR(__xludf.DUMMYFUNCTION("IFERROR(GOOGLEFINANCE(A1365,""CHANGE""),)"),26.7)</f>
        <v>26.7</v>
      </c>
      <c r="D1365" s="64">
        <f>IFERROR(__xludf.DUMMYFUNCTION("IFERROR(GOOGLEFINANCE(A1365,""CHANGEPCT""),)"),3.19)</f>
        <v>3.19</v>
      </c>
      <c r="E1365" s="64" t="str">
        <f t="shared" si="1"/>
        <v>3.19%</v>
      </c>
      <c r="F1365" s="64">
        <f t="shared" si="2"/>
        <v>3.19</v>
      </c>
      <c r="G1365" s="64" t="str">
        <f t="shared" si="3"/>
        <v/>
      </c>
      <c r="H1365" s="64">
        <f>IFERROR(__xludf.DUMMYFUNCTION("IFERROR(GOOGLEFINANCE(A1365,""PRICE""),)"),685.0)</f>
        <v>685</v>
      </c>
      <c r="I1365" s="65">
        <f>IFERROR(__xludf.DUMMYFUNCTION("IFERROR(GOOGLEFINANCE(A1365,""VOLUME""),)"),88853.0)</f>
        <v>88853</v>
      </c>
      <c r="J1365" s="64" t="str">
        <f>IFERROR(__xludf.DUMMYFUNCTION("IFERROR(INDEX(SPLIT(A1365,"":""),1,2),)"),"SPLPETRO")</f>
        <v>SPLPETRO</v>
      </c>
      <c r="K1365" s="64">
        <f t="shared" si="4"/>
        <v>227</v>
      </c>
      <c r="L1365" s="64" t="str">
        <f t="shared" si="5"/>
        <v/>
      </c>
      <c r="M1365" s="64">
        <f t="shared" si="6"/>
        <v>787</v>
      </c>
      <c r="N1365" s="66">
        <f>IFERROR(__xludf.DUMMYFUNCTION("IFERROR(GOOGLEFINANCE(A1365,""TRADETIME""),)"),46086.64047453704)</f>
        <v>46086.64047</v>
      </c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</row>
    <row r="1366">
      <c r="A1366" s="67" t="s">
        <v>1412</v>
      </c>
      <c r="B1366" s="60" t="str">
        <f>IFERROR(__xludf.DUMMYFUNCTION("IFERROR(GOOGLEFINANCE(A1366,""NAME""),)"),"Suprajit Engineering Ltd")</f>
        <v>Suprajit Engineering Ltd</v>
      </c>
      <c r="C1366" s="60">
        <f>IFERROR(__xludf.DUMMYFUNCTION("IFERROR(GOOGLEFINANCE(A1366,""CHANGE""),)"),2.65)</f>
        <v>2.65</v>
      </c>
      <c r="D1366" s="60">
        <f>IFERROR(__xludf.DUMMYFUNCTION("IFERROR(GOOGLEFINANCE(A1366,""CHANGEPCT""),)"),0.63)</f>
        <v>0.63</v>
      </c>
      <c r="E1366" s="60" t="str">
        <f t="shared" si="1"/>
        <v>0.63%</v>
      </c>
      <c r="F1366" s="60">
        <f t="shared" si="2"/>
        <v>0.63</v>
      </c>
      <c r="G1366" s="60" t="str">
        <f t="shared" si="3"/>
        <v/>
      </c>
      <c r="H1366" s="60">
        <f>IFERROR(__xludf.DUMMYFUNCTION("IFERROR(GOOGLEFINANCE(A1366,""PRICE""),)"),425.5)</f>
        <v>425.5</v>
      </c>
      <c r="I1366" s="61">
        <f>IFERROR(__xludf.DUMMYFUNCTION("IFERROR(GOOGLEFINANCE(A1366,""VOLUME""),)"),50733.0)</f>
        <v>50733</v>
      </c>
      <c r="J1366" s="60" t="str">
        <f>IFERROR(__xludf.DUMMYFUNCTION("IFERROR(INDEX(SPLIT(A1366,"":""),1,2),)"),"SUPRAJIT")</f>
        <v>SUPRAJIT</v>
      </c>
      <c r="K1366" s="60">
        <f t="shared" si="4"/>
        <v>842</v>
      </c>
      <c r="L1366" s="60" t="str">
        <f t="shared" si="5"/>
        <v/>
      </c>
      <c r="M1366" s="60">
        <f t="shared" si="6"/>
        <v>932</v>
      </c>
      <c r="N1366" s="62">
        <f>IFERROR(__xludf.DUMMYFUNCTION("IFERROR(GOOGLEFINANCE(A1366,""TRADETIME""),)"),46086.64583333333)</f>
        <v>46086.64583</v>
      </c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</row>
    <row r="1367">
      <c r="A1367" s="68" t="s">
        <v>1413</v>
      </c>
      <c r="B1367" s="64" t="str">
        <f>IFERROR(__xludf.DUMMYFUNCTION("IFERROR(GOOGLEFINANCE(A1367,""NAME""),)"),"Supreme Engineering Ltd")</f>
        <v>Supreme Engineering Ltd</v>
      </c>
      <c r="C1367" s="64">
        <f>IFERROR(__xludf.DUMMYFUNCTION("IFERROR(GOOGLEFINANCE(A1367,""CHANGE""),)"),0.04)</f>
        <v>0.04</v>
      </c>
      <c r="D1367" s="64">
        <f>IFERROR(__xludf.DUMMYFUNCTION("IFERROR(GOOGLEFINANCE(A1367,""CHANGEPCT""),)"),4.3)</f>
        <v>4.3</v>
      </c>
      <c r="E1367" s="64" t="str">
        <f t="shared" si="1"/>
        <v>4.3%</v>
      </c>
      <c r="F1367" s="64">
        <f t="shared" si="2"/>
        <v>4.3</v>
      </c>
      <c r="G1367" s="64" t="str">
        <f t="shared" si="3"/>
        <v/>
      </c>
      <c r="H1367" s="64">
        <f>IFERROR(__xludf.DUMMYFUNCTION("IFERROR(GOOGLEFINANCE(A1367,""PRICE""),)"),0.97)</f>
        <v>0.97</v>
      </c>
      <c r="I1367" s="65">
        <f>IFERROR(__xludf.DUMMYFUNCTION("IFERROR(GOOGLEFINANCE(A1367,""VOLUME""),)"),206467.0)</f>
        <v>206467</v>
      </c>
      <c r="J1367" s="64" t="str">
        <f>IFERROR(__xludf.DUMMYFUNCTION("IFERROR(INDEX(SPLIT(A1367,"":""),1,2),)"),"SUPREMEENG")</f>
        <v>SUPREMEENG</v>
      </c>
      <c r="K1367" s="64">
        <f t="shared" si="4"/>
        <v>123</v>
      </c>
      <c r="L1367" s="64" t="str">
        <f t="shared" si="5"/>
        <v/>
      </c>
      <c r="M1367" s="64">
        <f t="shared" si="6"/>
        <v>597</v>
      </c>
      <c r="N1367" s="66">
        <f>IFERROR(__xludf.DUMMYFUNCTION("IFERROR(GOOGLEFINANCE(A1367,""TRADETIME""),)"),46086.64583333333)</f>
        <v>46086.64583</v>
      </c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</row>
    <row r="1368">
      <c r="A1368" s="67" t="s">
        <v>1414</v>
      </c>
      <c r="B1368" s="60" t="str">
        <f>IFERROR(__xludf.DUMMYFUNCTION("IFERROR(GOOGLEFINANCE(A1368,""NAME""),)"),"Supreme Industries Ltd")</f>
        <v>Supreme Industries Ltd</v>
      </c>
      <c r="C1368" s="60">
        <f>IFERROR(__xludf.DUMMYFUNCTION("IFERROR(GOOGLEFINANCE(A1368,""CHANGE""),)"),51.5)</f>
        <v>51.5</v>
      </c>
      <c r="D1368" s="60">
        <f>IFERROR(__xludf.DUMMYFUNCTION("IFERROR(GOOGLEFINANCE(A1368,""CHANGEPCT""),)"),1.07)</f>
        <v>1.07</v>
      </c>
      <c r="E1368" s="60" t="str">
        <f t="shared" si="1"/>
        <v>1.07%</v>
      </c>
      <c r="F1368" s="60">
        <f t="shared" si="2"/>
        <v>1.07</v>
      </c>
      <c r="G1368" s="60" t="str">
        <f t="shared" si="3"/>
        <v/>
      </c>
      <c r="H1368" s="60">
        <f>IFERROR(__xludf.DUMMYFUNCTION("IFERROR(GOOGLEFINANCE(A1368,""PRICE""),)"),3945.4)</f>
        <v>3945.4</v>
      </c>
      <c r="I1368" s="61">
        <f>IFERROR(__xludf.DUMMYFUNCTION("IFERROR(GOOGLEFINANCE(A1368,""VOLUME""),)"),195521.0)</f>
        <v>195521</v>
      </c>
      <c r="J1368" s="60" t="str">
        <f>IFERROR(__xludf.DUMMYFUNCTION("IFERROR(INDEX(SPLIT(A1368,"":""),1,2),)"),"SUPREMEIND")</f>
        <v>SUPREMEIND</v>
      </c>
      <c r="K1368" s="60">
        <f t="shared" si="4"/>
        <v>702</v>
      </c>
      <c r="L1368" s="60" t="str">
        <f t="shared" si="5"/>
        <v/>
      </c>
      <c r="M1368" s="60">
        <f t="shared" si="6"/>
        <v>613</v>
      </c>
      <c r="N1368" s="62">
        <f>IFERROR(__xludf.DUMMYFUNCTION("IFERROR(GOOGLEFINANCE(A1368,""TRADETIME""),)"),46086.64585648148)</f>
        <v>46086.64586</v>
      </c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</row>
    <row r="1369">
      <c r="A1369" s="68" t="s">
        <v>1415</v>
      </c>
      <c r="B1369" s="64" t="str">
        <f>IFERROR(__xludf.DUMMYFUNCTION("IFERROR(GOOGLEFINANCE(A1369,""NAME""),)"),"Surana Solar Ltd")</f>
        <v>Surana Solar Ltd</v>
      </c>
      <c r="C1369" s="64">
        <f>IFERROR(__xludf.DUMMYFUNCTION("IFERROR(GOOGLEFINANCE(A1369,""CHANGE""),)"),0.37)</f>
        <v>0.37</v>
      </c>
      <c r="D1369" s="64">
        <f>IFERROR(__xludf.DUMMYFUNCTION("IFERROR(GOOGLEFINANCE(A1369,""CHANGEPCT""),)"),3.94)</f>
        <v>3.94</v>
      </c>
      <c r="E1369" s="64" t="str">
        <f t="shared" si="1"/>
        <v>3.94%</v>
      </c>
      <c r="F1369" s="64">
        <f t="shared" si="2"/>
        <v>3.94</v>
      </c>
      <c r="G1369" s="64" t="str">
        <f t="shared" si="3"/>
        <v/>
      </c>
      <c r="H1369" s="64">
        <f>IFERROR(__xludf.DUMMYFUNCTION("IFERROR(GOOGLEFINANCE(A1369,""PRICE""),)"),21.42)</f>
        <v>21.42</v>
      </c>
      <c r="I1369" s="65">
        <f>IFERROR(__xludf.DUMMYFUNCTION("IFERROR(GOOGLEFINANCE(A1369,""VOLUME""),)"),44990.0)</f>
        <v>44990</v>
      </c>
      <c r="J1369" s="64" t="str">
        <f>IFERROR(__xludf.DUMMYFUNCTION("IFERROR(INDEX(SPLIT(A1369,"":""),1,2),)"),"SURANASOL")</f>
        <v>SURANASOL</v>
      </c>
      <c r="K1369" s="64">
        <f t="shared" si="4"/>
        <v>146</v>
      </c>
      <c r="L1369" s="64" t="str">
        <f t="shared" si="5"/>
        <v/>
      </c>
      <c r="M1369" s="64">
        <f t="shared" si="6"/>
        <v>966</v>
      </c>
      <c r="N1369" s="66">
        <f>IFERROR(__xludf.DUMMYFUNCTION("IFERROR(GOOGLEFINANCE(A1369,""TRADETIME""),)"),46086.64583333333)</f>
        <v>46086.64583</v>
      </c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</row>
    <row r="1370">
      <c r="A1370" s="67" t="s">
        <v>1416</v>
      </c>
      <c r="B1370" s="60" t="str">
        <f>IFERROR(__xludf.DUMMYFUNCTION("IFERROR(GOOGLEFINANCE(A1370,""NAME""),)"),"Surana Telecom and Power Ltd")</f>
        <v>Surana Telecom and Power Ltd</v>
      </c>
      <c r="C1370" s="60">
        <f>IFERROR(__xludf.DUMMYFUNCTION("IFERROR(GOOGLEFINANCE(A1370,""CHANGE""),)"),0.38)</f>
        <v>0.38</v>
      </c>
      <c r="D1370" s="60">
        <f>IFERROR(__xludf.DUMMYFUNCTION("IFERROR(GOOGLEFINANCE(A1370,""CHANGEPCT""),)"),2.24)</f>
        <v>2.24</v>
      </c>
      <c r="E1370" s="60" t="str">
        <f t="shared" si="1"/>
        <v>2.24%</v>
      </c>
      <c r="F1370" s="60">
        <f t="shared" si="2"/>
        <v>2.24</v>
      </c>
      <c r="G1370" s="60" t="str">
        <f t="shared" si="3"/>
        <v/>
      </c>
      <c r="H1370" s="60">
        <f>IFERROR(__xludf.DUMMYFUNCTION("IFERROR(GOOGLEFINANCE(A1370,""PRICE""),)"),17.35)</f>
        <v>17.35</v>
      </c>
      <c r="I1370" s="61">
        <f>IFERROR(__xludf.DUMMYFUNCTION("IFERROR(GOOGLEFINANCE(A1370,""VOLUME""),)"),44599.0)</f>
        <v>44599</v>
      </c>
      <c r="J1370" s="60" t="str">
        <f>IFERROR(__xludf.DUMMYFUNCTION("IFERROR(INDEX(SPLIT(A1370,"":""),1,2),)"),"SURANAT&amp;P")</f>
        <v>SURANAT&amp;P</v>
      </c>
      <c r="K1370" s="60">
        <f t="shared" si="4"/>
        <v>391</v>
      </c>
      <c r="L1370" s="60" t="str">
        <f t="shared" si="5"/>
        <v/>
      </c>
      <c r="M1370" s="60">
        <f t="shared" si="6"/>
        <v>968</v>
      </c>
      <c r="N1370" s="62">
        <f>IFERROR(__xludf.DUMMYFUNCTION("IFERROR(GOOGLEFINANCE(A1370,""TRADETIME""),)"),46086.64583333333)</f>
        <v>46086.64583</v>
      </c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</row>
    <row r="1371">
      <c r="A1371" s="68" t="s">
        <v>1417</v>
      </c>
      <c r="B1371" s="64" t="str">
        <f>IFERROR(__xludf.DUMMYFUNCTION("IFERROR(GOOGLEFINANCE(A1371,""NAME""),)"),"Surya Lakshmi Cotton Mills Ltd")</f>
        <v>Surya Lakshmi Cotton Mills Ltd</v>
      </c>
      <c r="C1371" s="64">
        <f>IFERROR(__xludf.DUMMYFUNCTION("IFERROR(GOOGLEFINANCE(A1371,""CHANGE""),)"),0.82)</f>
        <v>0.82</v>
      </c>
      <c r="D1371" s="64">
        <f>IFERROR(__xludf.DUMMYFUNCTION("IFERROR(GOOGLEFINANCE(A1371,""CHANGEPCT""),)"),1.56)</f>
        <v>1.56</v>
      </c>
      <c r="E1371" s="64" t="str">
        <f t="shared" si="1"/>
        <v>1.56%</v>
      </c>
      <c r="F1371" s="64">
        <f t="shared" si="2"/>
        <v>1.56</v>
      </c>
      <c r="G1371" s="64" t="str">
        <f t="shared" si="3"/>
        <v/>
      </c>
      <c r="H1371" s="64">
        <f>IFERROR(__xludf.DUMMYFUNCTION("IFERROR(GOOGLEFINANCE(A1371,""PRICE""),)"),53.49)</f>
        <v>53.49</v>
      </c>
      <c r="I1371" s="65">
        <f>IFERROR(__xludf.DUMMYFUNCTION("IFERROR(GOOGLEFINANCE(A1371,""VOLUME""),)"),2783.0)</f>
        <v>2783</v>
      </c>
      <c r="J1371" s="64" t="str">
        <f>IFERROR(__xludf.DUMMYFUNCTION("IFERROR(INDEX(SPLIT(A1371,"":""),1,2),)"),"SURYALAXMI")</f>
        <v>SURYALAXMI</v>
      </c>
      <c r="K1371" s="64">
        <f t="shared" si="4"/>
        <v>550</v>
      </c>
      <c r="L1371" s="64" t="str">
        <f t="shared" si="5"/>
        <v/>
      </c>
      <c r="M1371" s="64">
        <f t="shared" si="6"/>
        <v>1386</v>
      </c>
      <c r="N1371" s="66">
        <f>IFERROR(__xludf.DUMMYFUNCTION("IFERROR(GOOGLEFINANCE(A1371,""TRADETIME""),)"),46086.64583333333)</f>
        <v>46086.64583</v>
      </c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</row>
    <row r="1372">
      <c r="A1372" s="67" t="s">
        <v>1418</v>
      </c>
      <c r="B1372" s="60" t="str">
        <f>IFERROR(__xludf.DUMMYFUNCTION("IFERROR(GOOGLEFINANCE(A1372,""NAME""),)"),"Surya Roshni Ltd")</f>
        <v>Surya Roshni Ltd</v>
      </c>
      <c r="C1372" s="60">
        <f>IFERROR(__xludf.DUMMYFUNCTION("IFERROR(GOOGLEFINANCE(A1372,""CHANGE""),)"),0.64)</f>
        <v>0.64</v>
      </c>
      <c r="D1372" s="60">
        <f>IFERROR(__xludf.DUMMYFUNCTION("IFERROR(GOOGLEFINANCE(A1372,""CHANGEPCT""),)"),0.3)</f>
        <v>0.3</v>
      </c>
      <c r="E1372" s="60" t="str">
        <f t="shared" si="1"/>
        <v>0.3%</v>
      </c>
      <c r="F1372" s="60">
        <f t="shared" si="2"/>
        <v>0.3</v>
      </c>
      <c r="G1372" s="60" t="str">
        <f t="shared" si="3"/>
        <v/>
      </c>
      <c r="H1372" s="60">
        <f>IFERROR(__xludf.DUMMYFUNCTION("IFERROR(GOOGLEFINANCE(A1372,""PRICE""),)"),212.99)</f>
        <v>212.99</v>
      </c>
      <c r="I1372" s="61">
        <f>IFERROR(__xludf.DUMMYFUNCTION("IFERROR(GOOGLEFINANCE(A1372,""VOLUME""),)"),436080.0)</f>
        <v>436080</v>
      </c>
      <c r="J1372" s="60" t="str">
        <f>IFERROR(__xludf.DUMMYFUNCTION("IFERROR(INDEX(SPLIT(A1372,"":""),1,2),)"),"SURYAROSNI")</f>
        <v>SURYAROSNI</v>
      </c>
      <c r="K1372" s="60">
        <f t="shared" si="4"/>
        <v>932</v>
      </c>
      <c r="L1372" s="60" t="str">
        <f t="shared" si="5"/>
        <v/>
      </c>
      <c r="M1372" s="60">
        <f t="shared" si="6"/>
        <v>426</v>
      </c>
      <c r="N1372" s="62">
        <f>IFERROR(__xludf.DUMMYFUNCTION("IFERROR(GOOGLEFINANCE(A1372,""TRADETIME""),)"),46086.64585648148)</f>
        <v>46086.64586</v>
      </c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</row>
    <row r="1373">
      <c r="A1373" s="68" t="s">
        <v>1419</v>
      </c>
      <c r="B1373" s="64" t="str">
        <f>IFERROR(__xludf.DUMMYFUNCTION("IFERROR(GOOGLEFINANCE(A1373,""NAME""),)"),"Sutlej Textiles And Industries Ltd")</f>
        <v>Sutlej Textiles And Industries Ltd</v>
      </c>
      <c r="C1373" s="64">
        <f>IFERROR(__xludf.DUMMYFUNCTION("IFERROR(GOOGLEFINANCE(A1373,""CHANGE""),)"),0.16)</f>
        <v>0.16</v>
      </c>
      <c r="D1373" s="64">
        <f>IFERROR(__xludf.DUMMYFUNCTION("IFERROR(GOOGLEFINANCE(A1373,""CHANGEPCT""),)"),0.54)</f>
        <v>0.54</v>
      </c>
      <c r="E1373" s="64" t="str">
        <f t="shared" si="1"/>
        <v>0.54%</v>
      </c>
      <c r="F1373" s="64">
        <f t="shared" si="2"/>
        <v>0.54</v>
      </c>
      <c r="G1373" s="64" t="str">
        <f t="shared" si="3"/>
        <v/>
      </c>
      <c r="H1373" s="64">
        <f>IFERROR(__xludf.DUMMYFUNCTION("IFERROR(GOOGLEFINANCE(A1373,""PRICE""),)"),30.01)</f>
        <v>30.01</v>
      </c>
      <c r="I1373" s="65">
        <f>IFERROR(__xludf.DUMMYFUNCTION("IFERROR(GOOGLEFINANCE(A1373,""VOLUME""),)"),47716.0)</f>
        <v>47716</v>
      </c>
      <c r="J1373" s="64" t="str">
        <f>IFERROR(__xludf.DUMMYFUNCTION("IFERROR(INDEX(SPLIT(A1373,"":""),1,2),)"),"SUTLEJTEX")</f>
        <v>SUTLEJTEX</v>
      </c>
      <c r="K1373" s="64">
        <f t="shared" si="4"/>
        <v>868</v>
      </c>
      <c r="L1373" s="64" t="str">
        <f t="shared" si="5"/>
        <v/>
      </c>
      <c r="M1373" s="64">
        <f t="shared" si="6"/>
        <v>950</v>
      </c>
      <c r="N1373" s="66">
        <f>IFERROR(__xludf.DUMMYFUNCTION("IFERROR(GOOGLEFINANCE(A1373,""TRADETIME""),)"),46086.64583333333)</f>
        <v>46086.64583</v>
      </c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</row>
    <row r="1374">
      <c r="A1374" s="67" t="s">
        <v>1420</v>
      </c>
      <c r="B1374" s="60" t="str">
        <f>IFERROR(__xludf.DUMMYFUNCTION("IFERROR(GOOGLEFINANCE(A1374,""NAME""),)"),"")</f>
        <v/>
      </c>
      <c r="C1374" s="60" t="str">
        <f>IFERROR(__xludf.DUMMYFUNCTION("IFERROR(GOOGLEFINANCE(A1374,""CHANGE""),)"),"")</f>
        <v/>
      </c>
      <c r="D1374" s="60" t="str">
        <f>IFERROR(__xludf.DUMMYFUNCTION("IFERROR(GOOGLEFINANCE(A1374,""CHANGEPCT""),)"),"")</f>
        <v/>
      </c>
      <c r="E1374" s="60" t="str">
        <f t="shared" si="1"/>
        <v>%</v>
      </c>
      <c r="F1374" s="60" t="str">
        <f t="shared" si="2"/>
        <v/>
      </c>
      <c r="G1374" s="60" t="str">
        <f t="shared" si="3"/>
        <v/>
      </c>
      <c r="H1374" s="60" t="str">
        <f>IFERROR(__xludf.DUMMYFUNCTION("IFERROR(GOOGLEFINANCE(A1374,""PRICE""),)"),"")</f>
        <v/>
      </c>
      <c r="I1374" s="61" t="str">
        <f>IFERROR(__xludf.DUMMYFUNCTION("IFERROR(GOOGLEFINANCE(A1374,""VOLUME""),)"),"")</f>
        <v/>
      </c>
      <c r="J1374" s="60" t="str">
        <f>IFERROR(__xludf.DUMMYFUNCTION("IFERROR(INDEX(SPLIT(A1374,"":""),1,2),)"),"SUULD")</f>
        <v>SUULD</v>
      </c>
      <c r="K1374" s="60" t="str">
        <f t="shared" si="4"/>
        <v/>
      </c>
      <c r="L1374" s="60" t="str">
        <f t="shared" si="5"/>
        <v/>
      </c>
      <c r="M1374" s="60" t="str">
        <f t="shared" si="6"/>
        <v/>
      </c>
      <c r="N1374" s="62" t="str">
        <f>IFERROR(__xludf.DUMMYFUNCTION("IFERROR(GOOGLEFINANCE(A1374,""TRADETIME""),)"),"")</f>
        <v/>
      </c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</row>
    <row r="1375">
      <c r="A1375" s="68" t="s">
        <v>1421</v>
      </c>
      <c r="B1375" s="64" t="str">
        <f>IFERROR(__xludf.DUMMYFUNCTION("IFERROR(GOOGLEFINANCE(A1375,""NAME""),)"),"Suven Life Sciences Ltd")</f>
        <v>Suven Life Sciences Ltd</v>
      </c>
      <c r="C1375" s="64">
        <f>IFERROR(__xludf.DUMMYFUNCTION("IFERROR(GOOGLEFINANCE(A1375,""CHANGE""),)"),2.21)</f>
        <v>2.21</v>
      </c>
      <c r="D1375" s="64">
        <f>IFERROR(__xludf.DUMMYFUNCTION("IFERROR(GOOGLEFINANCE(A1375,""CHANGEPCT""),)"),2.26)</f>
        <v>2.26</v>
      </c>
      <c r="E1375" s="64" t="str">
        <f t="shared" si="1"/>
        <v>2.26%</v>
      </c>
      <c r="F1375" s="64">
        <f t="shared" si="2"/>
        <v>2.26</v>
      </c>
      <c r="G1375" s="64" t="str">
        <f t="shared" si="3"/>
        <v/>
      </c>
      <c r="H1375" s="64">
        <f>IFERROR(__xludf.DUMMYFUNCTION("IFERROR(GOOGLEFINANCE(A1375,""PRICE""),)"),136.6)</f>
        <v>136.6</v>
      </c>
      <c r="I1375" s="65">
        <f>IFERROR(__xludf.DUMMYFUNCTION("IFERROR(GOOGLEFINANCE(A1375,""VOLUME""),)"),258074.0)</f>
        <v>258074</v>
      </c>
      <c r="J1375" s="64" t="str">
        <f>IFERROR(__xludf.DUMMYFUNCTION("IFERROR(INDEX(SPLIT(A1375,"":""),1,2),)"),"SUVEN")</f>
        <v>SUVEN</v>
      </c>
      <c r="K1375" s="64">
        <f t="shared" si="4"/>
        <v>386</v>
      </c>
      <c r="L1375" s="64" t="str">
        <f t="shared" si="5"/>
        <v/>
      </c>
      <c r="M1375" s="64">
        <f t="shared" si="6"/>
        <v>546</v>
      </c>
      <c r="N1375" s="66">
        <f>IFERROR(__xludf.DUMMYFUNCTION("IFERROR(GOOGLEFINANCE(A1375,""TRADETIME""),)"),46086.64583333333)</f>
        <v>46086.64583</v>
      </c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</row>
    <row r="1376">
      <c r="A1376" s="67" t="s">
        <v>1422</v>
      </c>
      <c r="B1376" s="60" t="str">
        <f>IFERROR(__xludf.DUMMYFUNCTION("IFERROR(GOOGLEFINANCE(A1376,""NAME""),)"),"")</f>
        <v/>
      </c>
      <c r="C1376" s="60" t="str">
        <f>IFERROR(__xludf.DUMMYFUNCTION("IFERROR(GOOGLEFINANCE(A1376,""CHANGE""),)"),"")</f>
        <v/>
      </c>
      <c r="D1376" s="60" t="str">
        <f>IFERROR(__xludf.DUMMYFUNCTION("IFERROR(GOOGLEFINANCE(A1376,""CHANGEPCT""),)"),"")</f>
        <v/>
      </c>
      <c r="E1376" s="60" t="str">
        <f t="shared" si="1"/>
        <v>%</v>
      </c>
      <c r="F1376" s="60" t="str">
        <f t="shared" si="2"/>
        <v/>
      </c>
      <c r="G1376" s="60" t="str">
        <f t="shared" si="3"/>
        <v/>
      </c>
      <c r="H1376" s="60" t="str">
        <f>IFERROR(__xludf.DUMMYFUNCTION("IFERROR(GOOGLEFINANCE(A1376,""PRICE""),)"),"")</f>
        <v/>
      </c>
      <c r="I1376" s="61" t="str">
        <f>IFERROR(__xludf.DUMMYFUNCTION("IFERROR(GOOGLEFINANCE(A1376,""VOLUME""),)"),"")</f>
        <v/>
      </c>
      <c r="J1376" s="60" t="str">
        <f>IFERROR(__xludf.DUMMYFUNCTION("IFERROR(INDEX(SPLIT(A1376,"":""),1,2),)"),"SUVENPHAR")</f>
        <v>SUVENPHAR</v>
      </c>
      <c r="K1376" s="60" t="str">
        <f t="shared" si="4"/>
        <v/>
      </c>
      <c r="L1376" s="60" t="str">
        <f t="shared" si="5"/>
        <v/>
      </c>
      <c r="M1376" s="60" t="str">
        <f t="shared" si="6"/>
        <v/>
      </c>
      <c r="N1376" s="62" t="str">
        <f>IFERROR(__xludf.DUMMYFUNCTION("IFERROR(GOOGLEFINANCE(A1376,""TRADETIME""),)"),"")</f>
        <v/>
      </c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</row>
    <row r="1377">
      <c r="A1377" s="68" t="s">
        <v>1423</v>
      </c>
      <c r="B1377" s="64" t="str">
        <f>IFERROR(__xludf.DUMMYFUNCTION("IFERROR(GOOGLEFINANCE(A1377,""NAME""),)"),"Suzlon Energy Ltd")</f>
        <v>Suzlon Energy Ltd</v>
      </c>
      <c r="C1377" s="64">
        <f>IFERROR(__xludf.DUMMYFUNCTION("IFERROR(GOOGLEFINANCE(A1377,""CHANGE""),)"),0.29)</f>
        <v>0.29</v>
      </c>
      <c r="D1377" s="64">
        <f>IFERROR(__xludf.DUMMYFUNCTION("IFERROR(GOOGLEFINANCE(A1377,""CHANGEPCT""),)"),0.63)</f>
        <v>0.63</v>
      </c>
      <c r="E1377" s="64" t="str">
        <f t="shared" si="1"/>
        <v>0.63%</v>
      </c>
      <c r="F1377" s="64">
        <f t="shared" si="2"/>
        <v>0.63</v>
      </c>
      <c r="G1377" s="64" t="str">
        <f t="shared" si="3"/>
        <v/>
      </c>
      <c r="H1377" s="64">
        <f>IFERROR(__xludf.DUMMYFUNCTION("IFERROR(GOOGLEFINANCE(A1377,""PRICE""),)"),40.3)</f>
        <v>40.3</v>
      </c>
      <c r="I1377" s="65">
        <f>IFERROR(__xludf.DUMMYFUNCTION("IFERROR(GOOGLEFINANCE(A1377,""VOLUME""),)"),8.916074E7)</f>
        <v>89160740</v>
      </c>
      <c r="J1377" s="64" t="str">
        <f>IFERROR(__xludf.DUMMYFUNCTION("IFERROR(INDEX(SPLIT(A1377,"":""),1,2),)"),"SUZLON")</f>
        <v>SUZLON</v>
      </c>
      <c r="K1377" s="64">
        <f t="shared" si="4"/>
        <v>843</v>
      </c>
      <c r="L1377" s="64" t="str">
        <f t="shared" si="5"/>
        <v/>
      </c>
      <c r="M1377" s="64">
        <f t="shared" si="6"/>
        <v>2</v>
      </c>
      <c r="N1377" s="66">
        <f>IFERROR(__xludf.DUMMYFUNCTION("IFERROR(GOOGLEFINANCE(A1377,""TRADETIME""),)"),46086.64583333333)</f>
        <v>46086.64583</v>
      </c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</row>
    <row r="1378">
      <c r="A1378" s="67" t="s">
        <v>1424</v>
      </c>
      <c r="B1378" s="60" t="str">
        <f>IFERROR(__xludf.DUMMYFUNCTION("IFERROR(GOOGLEFINANCE(A1378,""NAME""),)"),"")</f>
        <v/>
      </c>
      <c r="C1378" s="60" t="str">
        <f>IFERROR(__xludf.DUMMYFUNCTION("IFERROR(GOOGLEFINANCE(A1378,""CHANGE""),)"),"")</f>
        <v/>
      </c>
      <c r="D1378" s="60" t="str">
        <f>IFERROR(__xludf.DUMMYFUNCTION("IFERROR(GOOGLEFINANCE(A1378,""CHANGEPCT""),)"),"")</f>
        <v/>
      </c>
      <c r="E1378" s="60" t="str">
        <f t="shared" si="1"/>
        <v>%</v>
      </c>
      <c r="F1378" s="60" t="str">
        <f t="shared" si="2"/>
        <v/>
      </c>
      <c r="G1378" s="60" t="str">
        <f t="shared" si="3"/>
        <v/>
      </c>
      <c r="H1378" s="60" t="str">
        <f>IFERROR(__xludf.DUMMYFUNCTION("IFERROR(GOOGLEFINANCE(A1378,""PRICE""),)"),"")</f>
        <v/>
      </c>
      <c r="I1378" s="61" t="str">
        <f>IFERROR(__xludf.DUMMYFUNCTION("IFERROR(GOOGLEFINANCE(A1378,""VOLUME""),)"),"")</f>
        <v/>
      </c>
      <c r="J1378" s="60" t="str">
        <f>IFERROR(__xludf.DUMMYFUNCTION("IFERROR(INDEX(SPLIT(A1378,"":""),1,2),)"),"SWANENERGY")</f>
        <v>SWANENERGY</v>
      </c>
      <c r="K1378" s="60" t="str">
        <f t="shared" si="4"/>
        <v/>
      </c>
      <c r="L1378" s="60" t="str">
        <f t="shared" si="5"/>
        <v/>
      </c>
      <c r="M1378" s="60" t="str">
        <f t="shared" si="6"/>
        <v/>
      </c>
      <c r="N1378" s="62" t="str">
        <f>IFERROR(__xludf.DUMMYFUNCTION("IFERROR(GOOGLEFINANCE(A1378,""TRADETIME""),)"),"")</f>
        <v/>
      </c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</row>
    <row r="1379">
      <c r="A1379" s="68" t="s">
        <v>1425</v>
      </c>
      <c r="B1379" s="64" t="str">
        <f>IFERROR(__xludf.DUMMYFUNCTION("IFERROR(GOOGLEFINANCE(A1379,""NAME""),)"),"Swaraj Engines Ltd")</f>
        <v>Swaraj Engines Ltd</v>
      </c>
      <c r="C1379" s="64">
        <f>IFERROR(__xludf.DUMMYFUNCTION("IFERROR(GOOGLEFINANCE(A1379,""CHANGE""),)"),13.5)</f>
        <v>13.5</v>
      </c>
      <c r="D1379" s="64">
        <f>IFERROR(__xludf.DUMMYFUNCTION("IFERROR(GOOGLEFINANCE(A1379,""CHANGEPCT""),)"),0.39)</f>
        <v>0.39</v>
      </c>
      <c r="E1379" s="64" t="str">
        <f t="shared" si="1"/>
        <v>0.39%</v>
      </c>
      <c r="F1379" s="64">
        <f t="shared" si="2"/>
        <v>0.39</v>
      </c>
      <c r="G1379" s="64" t="str">
        <f t="shared" si="3"/>
        <v/>
      </c>
      <c r="H1379" s="64">
        <f>IFERROR(__xludf.DUMMYFUNCTION("IFERROR(GOOGLEFINANCE(A1379,""PRICE""),)"),3493.0)</f>
        <v>3493</v>
      </c>
      <c r="I1379" s="65">
        <f>IFERROR(__xludf.DUMMYFUNCTION("IFERROR(GOOGLEFINANCE(A1379,""VOLUME""),)"),40650.0)</f>
        <v>40650</v>
      </c>
      <c r="J1379" s="64" t="str">
        <f>IFERROR(__xludf.DUMMYFUNCTION("IFERROR(INDEX(SPLIT(A1379,"":""),1,2),)"),"SWARAJENG")</f>
        <v>SWARAJENG</v>
      </c>
      <c r="K1379" s="64">
        <f t="shared" si="4"/>
        <v>909</v>
      </c>
      <c r="L1379" s="64" t="str">
        <f t="shared" si="5"/>
        <v/>
      </c>
      <c r="M1379" s="64">
        <f t="shared" si="6"/>
        <v>990</v>
      </c>
      <c r="N1379" s="66">
        <f>IFERROR(__xludf.DUMMYFUNCTION("IFERROR(GOOGLEFINANCE(A1379,""TRADETIME""),)"),46086.64583333333)</f>
        <v>46086.64583</v>
      </c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</row>
    <row r="1380">
      <c r="A1380" s="67" t="s">
        <v>1426</v>
      </c>
      <c r="B1380" s="60" t="str">
        <f>IFERROR(__xludf.DUMMYFUNCTION("IFERROR(GOOGLEFINANCE(A1380,""NAME""),)"),"Swelect Energy Systems Ltd")</f>
        <v>Swelect Energy Systems Ltd</v>
      </c>
      <c r="C1380" s="60">
        <f>IFERROR(__xludf.DUMMYFUNCTION("IFERROR(GOOGLEFINANCE(A1380,""CHANGE""),)"),12.85)</f>
        <v>12.85</v>
      </c>
      <c r="D1380" s="60">
        <f>IFERROR(__xludf.DUMMYFUNCTION("IFERROR(GOOGLEFINANCE(A1380,""CHANGEPCT""),)"),2.55)</f>
        <v>2.55</v>
      </c>
      <c r="E1380" s="60" t="str">
        <f t="shared" si="1"/>
        <v>2.55%</v>
      </c>
      <c r="F1380" s="60">
        <f t="shared" si="2"/>
        <v>2.55</v>
      </c>
      <c r="G1380" s="60" t="str">
        <f t="shared" si="3"/>
        <v/>
      </c>
      <c r="H1380" s="60">
        <f>IFERROR(__xludf.DUMMYFUNCTION("IFERROR(GOOGLEFINANCE(A1380,""PRICE""),)"),515.8)</f>
        <v>515.8</v>
      </c>
      <c r="I1380" s="61">
        <f>IFERROR(__xludf.DUMMYFUNCTION("IFERROR(GOOGLEFINANCE(A1380,""VOLUME""),)"),11104.0)</f>
        <v>11104</v>
      </c>
      <c r="J1380" s="60" t="str">
        <f>IFERROR(__xludf.DUMMYFUNCTION("IFERROR(INDEX(SPLIT(A1380,"":""),1,2),)"),"SWELECTES")</f>
        <v>SWELECTES</v>
      </c>
      <c r="K1380" s="60">
        <f t="shared" si="4"/>
        <v>333</v>
      </c>
      <c r="L1380" s="60" t="str">
        <f t="shared" si="5"/>
        <v/>
      </c>
      <c r="M1380" s="60">
        <f t="shared" si="6"/>
        <v>1246</v>
      </c>
      <c r="N1380" s="62">
        <f>IFERROR(__xludf.DUMMYFUNCTION("IFERROR(GOOGLEFINANCE(A1380,""TRADETIME""),)"),46086.64583333333)</f>
        <v>46086.64583</v>
      </c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</row>
    <row r="1381">
      <c r="A1381" s="68" t="s">
        <v>1427</v>
      </c>
      <c r="B1381" s="64" t="str">
        <f>IFERROR(__xludf.DUMMYFUNCTION("IFERROR(GOOGLEFINANCE(A1381,""NAME""),)"),"Sterling and Wilson Renewable Energy Ltd")</f>
        <v>Sterling and Wilson Renewable Energy Ltd</v>
      </c>
      <c r="C1381" s="64">
        <f>IFERROR(__xludf.DUMMYFUNCTION("IFERROR(GOOGLEFINANCE(A1381,""CHANGE""),)"),-1.16)</f>
        <v>-1.16</v>
      </c>
      <c r="D1381" s="64">
        <f>IFERROR(__xludf.DUMMYFUNCTION("IFERROR(GOOGLEFINANCE(A1381,""CHANGEPCT""),)"),-0.64)</f>
        <v>-0.64</v>
      </c>
      <c r="E1381" s="64" t="str">
        <f t="shared" si="1"/>
        <v>-0.64%</v>
      </c>
      <c r="F1381" s="64" t="str">
        <f t="shared" si="2"/>
        <v/>
      </c>
      <c r="G1381" s="64">
        <f t="shared" si="3"/>
        <v>-0.64</v>
      </c>
      <c r="H1381" s="64">
        <f>IFERROR(__xludf.DUMMYFUNCTION("IFERROR(GOOGLEFINANCE(A1381,""PRICE""),)"),180.15)</f>
        <v>180.15</v>
      </c>
      <c r="I1381" s="65">
        <f>IFERROR(__xludf.DUMMYFUNCTION("IFERROR(GOOGLEFINANCE(A1381,""VOLUME""),)"),2052016.0)</f>
        <v>2052016</v>
      </c>
      <c r="J1381" s="64" t="str">
        <f>IFERROR(__xludf.DUMMYFUNCTION("IFERROR(INDEX(SPLIT(A1381,"":""),1,2),)"),"SWSOLAR")</f>
        <v>SWSOLAR</v>
      </c>
      <c r="K1381" s="64" t="str">
        <f t="shared" si="4"/>
        <v/>
      </c>
      <c r="L1381" s="64">
        <f t="shared" si="5"/>
        <v>157</v>
      </c>
      <c r="M1381" s="64">
        <f t="shared" si="6"/>
        <v>197</v>
      </c>
      <c r="N1381" s="66">
        <f>IFERROR(__xludf.DUMMYFUNCTION("IFERROR(GOOGLEFINANCE(A1381,""TRADETIME""),)"),46086.64201388889)</f>
        <v>46086.64201</v>
      </c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</row>
    <row r="1382">
      <c r="A1382" s="67" t="s">
        <v>1428</v>
      </c>
      <c r="B1382" s="60" t="str">
        <f>IFERROR(__xludf.DUMMYFUNCTION("IFERROR(GOOGLEFINANCE(A1382,""NAME""),)"),"Symphony Ltd")</f>
        <v>Symphony Ltd</v>
      </c>
      <c r="C1382" s="60">
        <f>IFERROR(__xludf.DUMMYFUNCTION("IFERROR(GOOGLEFINANCE(A1382,""CHANGE""),)"),-6.65)</f>
        <v>-6.65</v>
      </c>
      <c r="D1382" s="60">
        <f>IFERROR(__xludf.DUMMYFUNCTION("IFERROR(GOOGLEFINANCE(A1382,""CHANGEPCT""),)"),-0.72)</f>
        <v>-0.72</v>
      </c>
      <c r="E1382" s="60" t="str">
        <f t="shared" si="1"/>
        <v>-0.72%</v>
      </c>
      <c r="F1382" s="60" t="str">
        <f t="shared" si="2"/>
        <v/>
      </c>
      <c r="G1382" s="60">
        <f t="shared" si="3"/>
        <v>-0.72</v>
      </c>
      <c r="H1382" s="60">
        <f>IFERROR(__xludf.DUMMYFUNCTION("IFERROR(GOOGLEFINANCE(A1382,""PRICE""),)"),760.1)</f>
        <v>760.1</v>
      </c>
      <c r="I1382" s="61">
        <f>IFERROR(__xludf.DUMMYFUNCTION("IFERROR(GOOGLEFINANCE(A1382,""VOLUME""),)"),200708.0)</f>
        <v>200708</v>
      </c>
      <c r="J1382" s="60" t="str">
        <f>IFERROR(__xludf.DUMMYFUNCTION("IFERROR(INDEX(SPLIT(A1382,"":""),1,2),)"),"SYMPHONY")</f>
        <v>SYMPHONY</v>
      </c>
      <c r="K1382" s="60" t="str">
        <f t="shared" si="4"/>
        <v/>
      </c>
      <c r="L1382" s="60">
        <f t="shared" si="5"/>
        <v>172</v>
      </c>
      <c r="M1382" s="60">
        <f t="shared" si="6"/>
        <v>606</v>
      </c>
      <c r="N1382" s="62">
        <f>IFERROR(__xludf.DUMMYFUNCTION("IFERROR(GOOGLEFINANCE(A1382,""TRADETIME""),)"),46086.64584490741)</f>
        <v>46086.64584</v>
      </c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</row>
    <row r="1383">
      <c r="A1383" s="68" t="s">
        <v>1429</v>
      </c>
      <c r="B1383" s="64" t="str">
        <f>IFERROR(__xludf.DUMMYFUNCTION("IFERROR(GOOGLEFINANCE(A1383,""NAME""),)"),"Syngene International Ltd")</f>
        <v>Syngene International Ltd</v>
      </c>
      <c r="C1383" s="64">
        <f>IFERROR(__xludf.DUMMYFUNCTION("IFERROR(GOOGLEFINANCE(A1383,""CHANGE""),)"),4.05)</f>
        <v>4.05</v>
      </c>
      <c r="D1383" s="64">
        <f>IFERROR(__xludf.DUMMYFUNCTION("IFERROR(GOOGLEFINANCE(A1383,""CHANGEPCT""),)"),1.01)</f>
        <v>1.01</v>
      </c>
      <c r="E1383" s="64" t="str">
        <f t="shared" si="1"/>
        <v>1.01%</v>
      </c>
      <c r="F1383" s="64">
        <f t="shared" si="2"/>
        <v>1.01</v>
      </c>
      <c r="G1383" s="64" t="str">
        <f t="shared" si="3"/>
        <v/>
      </c>
      <c r="H1383" s="64">
        <f>IFERROR(__xludf.DUMMYFUNCTION("IFERROR(GOOGLEFINANCE(A1383,""PRICE""),)"),404.75)</f>
        <v>404.75</v>
      </c>
      <c r="I1383" s="65">
        <f>IFERROR(__xludf.DUMMYFUNCTION("IFERROR(GOOGLEFINANCE(A1383,""VOLUME""),)"),614259.0)</f>
        <v>614259</v>
      </c>
      <c r="J1383" s="64" t="str">
        <f>IFERROR(__xludf.DUMMYFUNCTION("IFERROR(INDEX(SPLIT(A1383,"":""),1,2),)"),"SYNGENE")</f>
        <v>SYNGENE</v>
      </c>
      <c r="K1383" s="64">
        <f t="shared" si="4"/>
        <v>721</v>
      </c>
      <c r="L1383" s="64" t="str">
        <f t="shared" si="5"/>
        <v/>
      </c>
      <c r="M1383" s="64">
        <f t="shared" si="6"/>
        <v>359</v>
      </c>
      <c r="N1383" s="66">
        <f>IFERROR(__xludf.DUMMYFUNCTION("IFERROR(GOOGLEFINANCE(A1383,""TRADETIME""),)"),46086.63983796297)</f>
        <v>46086.63984</v>
      </c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</row>
    <row r="1384">
      <c r="A1384" s="59" t="s">
        <v>1430</v>
      </c>
      <c r="B1384" s="60" t="str">
        <f>IFERROR(__xludf.DUMMYFUNCTION("IFERROR(GOOGLEFINANCE(A1384,""NAME""),)"),"Thomas Scott (India) Ltd")</f>
        <v>Thomas Scott (India) Ltd</v>
      </c>
      <c r="C1384" s="60">
        <f>IFERROR(__xludf.DUMMYFUNCTION("IFERROR(GOOGLEFINANCE(A1384,""CHANGE""),)"),-4.35)</f>
        <v>-4.35</v>
      </c>
      <c r="D1384" s="60">
        <f>IFERROR(__xludf.DUMMYFUNCTION("IFERROR(GOOGLEFINANCE(A1384,""CHANGEPCT""),)"),-2.53)</f>
        <v>-2.53</v>
      </c>
      <c r="E1384" s="60" t="str">
        <f t="shared" si="1"/>
        <v>-2.53%</v>
      </c>
      <c r="F1384" s="60" t="str">
        <f t="shared" si="2"/>
        <v/>
      </c>
      <c r="G1384" s="60">
        <f t="shared" si="3"/>
        <v>-2.53</v>
      </c>
      <c r="H1384" s="60">
        <f>IFERROR(__xludf.DUMMYFUNCTION("IFERROR(GOOGLEFINANCE(A1384,""PRICE""),)"),274.7)</f>
        <v>274.7</v>
      </c>
      <c r="I1384" s="61">
        <f>IFERROR(__xludf.DUMMYFUNCTION("IFERROR(GOOGLEFINANCE(A1384,""VOLUME""),)"),31504.0)</f>
        <v>31504</v>
      </c>
      <c r="J1384" s="60" t="str">
        <f>IFERROR(__xludf.DUMMYFUNCTION("IFERROR(INDEX(SPLIT(A1384,"":""),1,2),)"),"THOMASCOTT")</f>
        <v>THOMASCOTT</v>
      </c>
      <c r="K1384" s="60" t="str">
        <f t="shared" si="4"/>
        <v/>
      </c>
      <c r="L1384" s="60">
        <f t="shared" si="5"/>
        <v>389</v>
      </c>
      <c r="M1384" s="60">
        <f t="shared" si="6"/>
        <v>1045</v>
      </c>
      <c r="N1384" s="62">
        <f>IFERROR(__xludf.DUMMYFUNCTION("IFERROR(GOOGLEFINANCE(A1384,""TRADETIME""),)"),46086.642638888894)</f>
        <v>46086.64264</v>
      </c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</row>
    <row r="1385">
      <c r="A1385" s="68" t="s">
        <v>1431</v>
      </c>
      <c r="B1385" s="64" t="str">
        <f>IFERROR(__xludf.DUMMYFUNCTION("IFERROR(GOOGLEFINANCE(A1385,""NAME""),)"),"TAJ GVK Hotels and Resorts Ltd")</f>
        <v>TAJ GVK Hotels and Resorts Ltd</v>
      </c>
      <c r="C1385" s="64">
        <f>IFERROR(__xludf.DUMMYFUNCTION("IFERROR(GOOGLEFINANCE(A1385,""CHANGE""),)"),-0.05)</f>
        <v>-0.05</v>
      </c>
      <c r="D1385" s="64">
        <f>IFERROR(__xludf.DUMMYFUNCTION("IFERROR(GOOGLEFINANCE(A1385,""CHANGEPCT""),)"),-0.02)</f>
        <v>-0.02</v>
      </c>
      <c r="E1385" s="64" t="str">
        <f t="shared" si="1"/>
        <v>-0.02%</v>
      </c>
      <c r="F1385" s="64" t="str">
        <f t="shared" si="2"/>
        <v/>
      </c>
      <c r="G1385" s="64">
        <f t="shared" si="3"/>
        <v>-0.02</v>
      </c>
      <c r="H1385" s="64">
        <f>IFERROR(__xludf.DUMMYFUNCTION("IFERROR(GOOGLEFINANCE(A1385,""PRICE""),)"),332.85)</f>
        <v>332.85</v>
      </c>
      <c r="I1385" s="65">
        <f>IFERROR(__xludf.DUMMYFUNCTION("IFERROR(GOOGLEFINANCE(A1385,""VOLUME""),)"),174236.0)</f>
        <v>174236</v>
      </c>
      <c r="J1385" s="64" t="str">
        <f>IFERROR(__xludf.DUMMYFUNCTION("IFERROR(INDEX(SPLIT(A1385,"":""),1,2),)"),"TAJGVK")</f>
        <v>TAJGVK</v>
      </c>
      <c r="K1385" s="64" t="str">
        <f t="shared" si="4"/>
        <v/>
      </c>
      <c r="L1385" s="64">
        <f t="shared" si="5"/>
        <v>6</v>
      </c>
      <c r="M1385" s="64">
        <f t="shared" si="6"/>
        <v>632</v>
      </c>
      <c r="N1385" s="66">
        <f>IFERROR(__xludf.DUMMYFUNCTION("IFERROR(GOOGLEFINANCE(A1385,""TRADETIME""),)"),46086.64114583333)</f>
        <v>46086.64115</v>
      </c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</row>
    <row r="1386">
      <c r="A1386" s="67" t="s">
        <v>1432</v>
      </c>
      <c r="B1386" s="60" t="str">
        <f>IFERROR(__xludf.DUMMYFUNCTION("IFERROR(GOOGLEFINANCE(A1386,""NAME""),)"),"Take Solutions Ltd")</f>
        <v>Take Solutions Ltd</v>
      </c>
      <c r="C1386" s="60">
        <f>IFERROR(__xludf.DUMMYFUNCTION("IFERROR(GOOGLEFINANCE(A1386,""CHANGE""),)"),-1.9)</f>
        <v>-1.9</v>
      </c>
      <c r="D1386" s="60">
        <f>IFERROR(__xludf.DUMMYFUNCTION("IFERROR(GOOGLEFINANCE(A1386,""CHANGEPCT""),)"),-4.99)</f>
        <v>-4.99</v>
      </c>
      <c r="E1386" s="60" t="str">
        <f t="shared" si="1"/>
        <v>-4.99%</v>
      </c>
      <c r="F1386" s="60" t="str">
        <f t="shared" si="2"/>
        <v/>
      </c>
      <c r="G1386" s="60">
        <f t="shared" si="3"/>
        <v>-4.99</v>
      </c>
      <c r="H1386" s="60">
        <f>IFERROR(__xludf.DUMMYFUNCTION("IFERROR(GOOGLEFINANCE(A1386,""PRICE""),)"),36.21)</f>
        <v>36.21</v>
      </c>
      <c r="I1386" s="61">
        <f>IFERROR(__xludf.DUMMYFUNCTION("IFERROR(GOOGLEFINANCE(A1386,""VOLUME""),)"),70771.0)</f>
        <v>70771</v>
      </c>
      <c r="J1386" s="60" t="str">
        <f>IFERROR(__xludf.DUMMYFUNCTION("IFERROR(INDEX(SPLIT(A1386,"":""),1,2),)"),"TAKE")</f>
        <v>TAKE</v>
      </c>
      <c r="K1386" s="60" t="str">
        <f t="shared" si="4"/>
        <v/>
      </c>
      <c r="L1386" s="60">
        <f t="shared" si="5"/>
        <v>440</v>
      </c>
      <c r="M1386" s="60">
        <f t="shared" si="6"/>
        <v>841</v>
      </c>
      <c r="N1386" s="62">
        <f>IFERROR(__xludf.DUMMYFUNCTION("IFERROR(GOOGLEFINANCE(A1386,""TRADETIME""),)"),46086.64583333333)</f>
        <v>46086.64583</v>
      </c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</row>
    <row r="1387">
      <c r="A1387" s="68" t="s">
        <v>1433</v>
      </c>
      <c r="B1387" s="64" t="str">
        <f>IFERROR(__xludf.DUMMYFUNCTION("IFERROR(GOOGLEFINANCE(A1387,""NAME""),)"),"Talbros Automotive Components Ltd")</f>
        <v>Talbros Automotive Components Ltd</v>
      </c>
      <c r="C1387" s="64">
        <f>IFERROR(__xludf.DUMMYFUNCTION("IFERROR(GOOGLEFINANCE(A1387,""CHANGE""),)"),3.25)</f>
        <v>3.25</v>
      </c>
      <c r="D1387" s="64">
        <f>IFERROR(__xludf.DUMMYFUNCTION("IFERROR(GOOGLEFINANCE(A1387,""CHANGEPCT""),)"),1.65)</f>
        <v>1.65</v>
      </c>
      <c r="E1387" s="64" t="str">
        <f t="shared" si="1"/>
        <v>1.65%</v>
      </c>
      <c r="F1387" s="64">
        <f t="shared" si="2"/>
        <v>1.65</v>
      </c>
      <c r="G1387" s="64" t="str">
        <f t="shared" si="3"/>
        <v/>
      </c>
      <c r="H1387" s="64">
        <f>IFERROR(__xludf.DUMMYFUNCTION("IFERROR(GOOGLEFINANCE(A1387,""PRICE""),)"),246.75)</f>
        <v>246.75</v>
      </c>
      <c r="I1387" s="65">
        <f>IFERROR(__xludf.DUMMYFUNCTION("IFERROR(GOOGLEFINANCE(A1387,""VOLUME""),)"),41151.0)</f>
        <v>41151</v>
      </c>
      <c r="J1387" s="64" t="str">
        <f>IFERROR(__xludf.DUMMYFUNCTION("IFERROR(INDEX(SPLIT(A1387,"":""),1,2),)"),"TALBROAUTO")</f>
        <v>TALBROAUTO</v>
      </c>
      <c r="K1387" s="64">
        <f t="shared" si="4"/>
        <v>529</v>
      </c>
      <c r="L1387" s="64" t="str">
        <f t="shared" si="5"/>
        <v/>
      </c>
      <c r="M1387" s="64">
        <f t="shared" si="6"/>
        <v>986</v>
      </c>
      <c r="N1387" s="66">
        <f>IFERROR(__xludf.DUMMYFUNCTION("IFERROR(GOOGLEFINANCE(A1387,""TRADETIME""),)"),46086.64583333333)</f>
        <v>46086.64583</v>
      </c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</row>
    <row r="1388">
      <c r="A1388" s="67" t="s">
        <v>1434</v>
      </c>
      <c r="B1388" s="60" t="str">
        <f>IFERROR(__xludf.DUMMYFUNCTION("IFERROR(GOOGLEFINANCE(A1388,""NAME""),)"),"Tanla Platforms Ltd")</f>
        <v>Tanla Platforms Ltd</v>
      </c>
      <c r="C1388" s="60">
        <f>IFERROR(__xludf.DUMMYFUNCTION("IFERROR(GOOGLEFINANCE(A1388,""CHANGE""),)"),6.3)</f>
        <v>6.3</v>
      </c>
      <c r="D1388" s="60">
        <f>IFERROR(__xludf.DUMMYFUNCTION("IFERROR(GOOGLEFINANCE(A1388,""CHANGEPCT""),)"),1.44)</f>
        <v>1.44</v>
      </c>
      <c r="E1388" s="60" t="str">
        <f t="shared" si="1"/>
        <v>1.44%</v>
      </c>
      <c r="F1388" s="60">
        <f t="shared" si="2"/>
        <v>1.44</v>
      </c>
      <c r="G1388" s="60" t="str">
        <f t="shared" si="3"/>
        <v/>
      </c>
      <c r="H1388" s="60">
        <f>IFERROR(__xludf.DUMMYFUNCTION("IFERROR(GOOGLEFINANCE(A1388,""PRICE""),)"),443.0)</f>
        <v>443</v>
      </c>
      <c r="I1388" s="61">
        <f>IFERROR(__xludf.DUMMYFUNCTION("IFERROR(GOOGLEFINANCE(A1388,""VOLUME""),)"),249048.0)</f>
        <v>249048</v>
      </c>
      <c r="J1388" s="60" t="str">
        <f>IFERROR(__xludf.DUMMYFUNCTION("IFERROR(INDEX(SPLIT(A1388,"":""),1,2),)"),"TANLA")</f>
        <v>TANLA</v>
      </c>
      <c r="K1388" s="60">
        <f t="shared" si="4"/>
        <v>593</v>
      </c>
      <c r="L1388" s="60" t="str">
        <f t="shared" si="5"/>
        <v/>
      </c>
      <c r="M1388" s="60">
        <f t="shared" si="6"/>
        <v>557</v>
      </c>
      <c r="N1388" s="62">
        <f>IFERROR(__xludf.DUMMYFUNCTION("IFERROR(GOOGLEFINANCE(A1388,""TRADETIME""),)"),46086.64584490741)</f>
        <v>46086.64584</v>
      </c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</row>
    <row r="1389">
      <c r="A1389" s="68" t="s">
        <v>1435</v>
      </c>
      <c r="B1389" s="64" t="str">
        <f>IFERROR(__xludf.DUMMYFUNCTION("IFERROR(GOOGLEFINANCE(A1389,""NAME""),)"),"")</f>
        <v/>
      </c>
      <c r="C1389" s="64" t="str">
        <f>IFERROR(__xludf.DUMMYFUNCTION("IFERROR(GOOGLEFINANCE(A1389,""CHANGE""),)"),"")</f>
        <v/>
      </c>
      <c r="D1389" s="64" t="str">
        <f>IFERROR(__xludf.DUMMYFUNCTION("IFERROR(GOOGLEFINANCE(A1389,""CHANGEPCT""),)"),"")</f>
        <v/>
      </c>
      <c r="E1389" s="64" t="str">
        <f t="shared" si="1"/>
        <v>%</v>
      </c>
      <c r="F1389" s="64" t="str">
        <f t="shared" si="2"/>
        <v/>
      </c>
      <c r="G1389" s="64" t="str">
        <f t="shared" si="3"/>
        <v/>
      </c>
      <c r="H1389" s="64" t="str">
        <f>IFERROR(__xludf.DUMMYFUNCTION("IFERROR(GOOGLEFINANCE(A1389,""PRICE""),)"),"")</f>
        <v/>
      </c>
      <c r="I1389" s="65" t="str">
        <f>IFERROR(__xludf.DUMMYFUNCTION("IFERROR(GOOGLEFINANCE(A1389,""VOLUME""),)"),"")</f>
        <v/>
      </c>
      <c r="J1389" s="64" t="str">
        <f>IFERROR(__xludf.DUMMYFUNCTION("IFERROR(INDEX(SPLIT(A1389,"":""),1,2),)"),"TANTIACONS")</f>
        <v>TANTIACONS</v>
      </c>
      <c r="K1389" s="64" t="str">
        <f t="shared" si="4"/>
        <v/>
      </c>
      <c r="L1389" s="64" t="str">
        <f t="shared" si="5"/>
        <v/>
      </c>
      <c r="M1389" s="64" t="str">
        <f t="shared" si="6"/>
        <v/>
      </c>
      <c r="N1389" s="66" t="str">
        <f>IFERROR(__xludf.DUMMYFUNCTION("IFERROR(GOOGLEFINANCE(A1389,""TRADETIME""),)"),"")</f>
        <v/>
      </c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</row>
    <row r="1390">
      <c r="A1390" s="67" t="s">
        <v>1436</v>
      </c>
      <c r="B1390" s="60" t="str">
        <f>IFERROR(__xludf.DUMMYFUNCTION("IFERROR(GOOGLEFINANCE(A1390,""NAME""),)"),"Tarc Ltd")</f>
        <v>Tarc Ltd</v>
      </c>
      <c r="C1390" s="60">
        <f>IFERROR(__xludf.DUMMYFUNCTION("IFERROR(GOOGLEFINANCE(A1390,""CHANGE""),)"),-0.08)</f>
        <v>-0.08</v>
      </c>
      <c r="D1390" s="60">
        <f>IFERROR(__xludf.DUMMYFUNCTION("IFERROR(GOOGLEFINANCE(A1390,""CHANGEPCT""),)"),-0.06)</f>
        <v>-0.06</v>
      </c>
      <c r="E1390" s="60" t="str">
        <f t="shared" si="1"/>
        <v>-0.06%</v>
      </c>
      <c r="F1390" s="60" t="str">
        <f t="shared" si="2"/>
        <v/>
      </c>
      <c r="G1390" s="60">
        <f t="shared" si="3"/>
        <v>-0.06</v>
      </c>
      <c r="H1390" s="60">
        <f>IFERROR(__xludf.DUMMYFUNCTION("IFERROR(GOOGLEFINANCE(A1390,""PRICE""),)"),139.0)</f>
        <v>139</v>
      </c>
      <c r="I1390" s="61">
        <f>IFERROR(__xludf.DUMMYFUNCTION("IFERROR(GOOGLEFINANCE(A1390,""VOLUME""),)"),325382.0)</f>
        <v>325382</v>
      </c>
      <c r="J1390" s="60" t="str">
        <f>IFERROR(__xludf.DUMMYFUNCTION("IFERROR(INDEX(SPLIT(A1390,"":""),1,2),)"),"TARC")</f>
        <v>TARC</v>
      </c>
      <c r="K1390" s="60" t="str">
        <f t="shared" si="4"/>
        <v/>
      </c>
      <c r="L1390" s="60">
        <f t="shared" si="5"/>
        <v>17</v>
      </c>
      <c r="M1390" s="60">
        <f t="shared" si="6"/>
        <v>494</v>
      </c>
      <c r="N1390" s="62">
        <f>IFERROR(__xludf.DUMMYFUNCTION("IFERROR(GOOGLEFINANCE(A1390,""TRADETIME""),)"),46086.64583333333)</f>
        <v>46086.64583</v>
      </c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</row>
    <row r="1391">
      <c r="A1391" s="68" t="s">
        <v>1437</v>
      </c>
      <c r="B1391" s="64" t="str">
        <f>IFERROR(__xludf.DUMMYFUNCTION("IFERROR(GOOGLEFINANCE(A1391,""NAME""),)"),"Tarmat Ltd")</f>
        <v>Tarmat Ltd</v>
      </c>
      <c r="C1391" s="64">
        <f>IFERROR(__xludf.DUMMYFUNCTION("IFERROR(GOOGLEFINANCE(A1391,""CHANGE""),)"),1.37)</f>
        <v>1.37</v>
      </c>
      <c r="D1391" s="64">
        <f>IFERROR(__xludf.DUMMYFUNCTION("IFERROR(GOOGLEFINANCE(A1391,""CHANGEPCT""),)"),1.43)</f>
        <v>1.43</v>
      </c>
      <c r="E1391" s="64" t="str">
        <f t="shared" si="1"/>
        <v>1.43%</v>
      </c>
      <c r="F1391" s="64">
        <f t="shared" si="2"/>
        <v>1.43</v>
      </c>
      <c r="G1391" s="64" t="str">
        <f t="shared" si="3"/>
        <v/>
      </c>
      <c r="H1391" s="64">
        <f>IFERROR(__xludf.DUMMYFUNCTION("IFERROR(GOOGLEFINANCE(A1391,""PRICE""),)"),67.0)</f>
        <v>67</v>
      </c>
      <c r="I1391" s="65">
        <f>IFERROR(__xludf.DUMMYFUNCTION("IFERROR(GOOGLEFINANCE(A1391,""VOLUME""),)"),91342.0)</f>
        <v>91342</v>
      </c>
      <c r="J1391" s="64" t="str">
        <f>IFERROR(__xludf.DUMMYFUNCTION("IFERROR(INDEX(SPLIT(A1391,"":""),1,2),)"),"TARMAT")</f>
        <v>TARMAT</v>
      </c>
      <c r="K1391" s="64">
        <f t="shared" si="4"/>
        <v>601</v>
      </c>
      <c r="L1391" s="64" t="str">
        <f t="shared" si="5"/>
        <v/>
      </c>
      <c r="M1391" s="64">
        <f t="shared" si="6"/>
        <v>776</v>
      </c>
      <c r="N1391" s="66">
        <f>IFERROR(__xludf.DUMMYFUNCTION("IFERROR(GOOGLEFINANCE(A1391,""TRADETIME""),)"),46086.64585648148)</f>
        <v>46086.64586</v>
      </c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</row>
    <row r="1392">
      <c r="A1392" s="67" t="s">
        <v>1438</v>
      </c>
      <c r="B1392" s="60" t="str">
        <f>IFERROR(__xludf.DUMMYFUNCTION("IFERROR(GOOGLEFINANCE(A1392,""NAME""),)"),"Tasty Bite Eatables Ltd")</f>
        <v>Tasty Bite Eatables Ltd</v>
      </c>
      <c r="C1392" s="60">
        <f>IFERROR(__xludf.DUMMYFUNCTION("IFERROR(GOOGLEFINANCE(A1392,""CHANGE""),)"),-4.5)</f>
        <v>-4.5</v>
      </c>
      <c r="D1392" s="60">
        <f>IFERROR(__xludf.DUMMYFUNCTION("IFERROR(GOOGLEFINANCE(A1392,""CHANGEPCT""),)"),-0.06)</f>
        <v>-0.06</v>
      </c>
      <c r="E1392" s="60" t="str">
        <f t="shared" si="1"/>
        <v>-0.06%</v>
      </c>
      <c r="F1392" s="60" t="str">
        <f t="shared" si="2"/>
        <v/>
      </c>
      <c r="G1392" s="60">
        <f t="shared" si="3"/>
        <v>-0.06</v>
      </c>
      <c r="H1392" s="60">
        <f>IFERROR(__xludf.DUMMYFUNCTION("IFERROR(GOOGLEFINANCE(A1392,""PRICE""),)"),7064.0)</f>
        <v>7064</v>
      </c>
      <c r="I1392" s="61">
        <f>IFERROR(__xludf.DUMMYFUNCTION("IFERROR(GOOGLEFINANCE(A1392,""VOLUME""),)"),1168.0)</f>
        <v>1168</v>
      </c>
      <c r="J1392" s="60" t="str">
        <f>IFERROR(__xludf.DUMMYFUNCTION("IFERROR(INDEX(SPLIT(A1392,"":""),1,2),)"),"TASTYBITE")</f>
        <v>TASTYBITE</v>
      </c>
      <c r="K1392" s="60" t="str">
        <f t="shared" si="4"/>
        <v/>
      </c>
      <c r="L1392" s="60">
        <f t="shared" si="5"/>
        <v>18</v>
      </c>
      <c r="M1392" s="60">
        <f t="shared" si="6"/>
        <v>1428</v>
      </c>
      <c r="N1392" s="62">
        <f>IFERROR(__xludf.DUMMYFUNCTION("IFERROR(GOOGLEFINANCE(A1392,""TRADETIME""),)"),46086.64583333333)</f>
        <v>46086.64583</v>
      </c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</row>
    <row r="1393">
      <c r="A1393" s="68" t="s">
        <v>1439</v>
      </c>
      <c r="B1393" s="64" t="str">
        <f>IFERROR(__xludf.DUMMYFUNCTION("IFERROR(GOOGLEFINANCE(A1393,""NAME""),)"),"Tata Chemicals Ltd")</f>
        <v>Tata Chemicals Ltd</v>
      </c>
      <c r="C1393" s="64">
        <f>IFERROR(__xludf.DUMMYFUNCTION("IFERROR(GOOGLEFINANCE(A1393,""CHANGE""),)"),3.3)</f>
        <v>3.3</v>
      </c>
      <c r="D1393" s="64">
        <f>IFERROR(__xludf.DUMMYFUNCTION("IFERROR(GOOGLEFINANCE(A1393,""CHANGEPCT""),)"),0.47)</f>
        <v>0.47</v>
      </c>
      <c r="E1393" s="64" t="str">
        <f t="shared" si="1"/>
        <v>0.47%</v>
      </c>
      <c r="F1393" s="64">
        <f t="shared" si="2"/>
        <v>0.47</v>
      </c>
      <c r="G1393" s="64" t="str">
        <f t="shared" si="3"/>
        <v/>
      </c>
      <c r="H1393" s="64">
        <f>IFERROR(__xludf.DUMMYFUNCTION("IFERROR(GOOGLEFINANCE(A1393,""PRICE""),)"),711.0)</f>
        <v>711</v>
      </c>
      <c r="I1393" s="65">
        <f>IFERROR(__xludf.DUMMYFUNCTION("IFERROR(GOOGLEFINANCE(A1393,""VOLUME""),)"),576255.0)</f>
        <v>576255</v>
      </c>
      <c r="J1393" s="64" t="str">
        <f>IFERROR(__xludf.DUMMYFUNCTION("IFERROR(INDEX(SPLIT(A1393,"":""),1,2),)"),"TATACHEM")</f>
        <v>TATACHEM</v>
      </c>
      <c r="K1393" s="64">
        <f t="shared" si="4"/>
        <v>889</v>
      </c>
      <c r="L1393" s="64" t="str">
        <f t="shared" si="5"/>
        <v/>
      </c>
      <c r="M1393" s="64">
        <f t="shared" si="6"/>
        <v>377</v>
      </c>
      <c r="N1393" s="66">
        <f>IFERROR(__xludf.DUMMYFUNCTION("IFERROR(GOOGLEFINANCE(A1393,""TRADETIME""),)"),46086.64584490741)</f>
        <v>46086.64584</v>
      </c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</row>
    <row r="1394">
      <c r="A1394" s="67" t="s">
        <v>1440</v>
      </c>
      <c r="B1394" s="60" t="str">
        <f>IFERROR(__xludf.DUMMYFUNCTION("IFERROR(GOOGLEFINANCE(A1394,""NAME""),)"),"")</f>
        <v/>
      </c>
      <c r="C1394" s="60" t="str">
        <f>IFERROR(__xludf.DUMMYFUNCTION("IFERROR(GOOGLEFINANCE(A1394,""CHANGE""),)"),"")</f>
        <v/>
      </c>
      <c r="D1394" s="60" t="str">
        <f>IFERROR(__xludf.DUMMYFUNCTION("IFERROR(GOOGLEFINANCE(A1394,""CHANGEPCT""),)"),"")</f>
        <v/>
      </c>
      <c r="E1394" s="60" t="str">
        <f t="shared" si="1"/>
        <v>%</v>
      </c>
      <c r="F1394" s="60" t="str">
        <f t="shared" si="2"/>
        <v/>
      </c>
      <c r="G1394" s="60" t="str">
        <f t="shared" si="3"/>
        <v/>
      </c>
      <c r="H1394" s="60" t="str">
        <f>IFERROR(__xludf.DUMMYFUNCTION("IFERROR(GOOGLEFINANCE(A1394,""PRICE""),)"),"")</f>
        <v/>
      </c>
      <c r="I1394" s="61" t="str">
        <f>IFERROR(__xludf.DUMMYFUNCTION("IFERROR(GOOGLEFINANCE(A1394,""VOLUME""),)"),"")</f>
        <v/>
      </c>
      <c r="J1394" s="60" t="str">
        <f>IFERROR(__xludf.DUMMYFUNCTION("IFERROR(INDEX(SPLIT(A1394,"":""),1,2),)"),"TATACOFFEE")</f>
        <v>TATACOFFEE</v>
      </c>
      <c r="K1394" s="60" t="str">
        <f t="shared" si="4"/>
        <v/>
      </c>
      <c r="L1394" s="60" t="str">
        <f t="shared" si="5"/>
        <v/>
      </c>
      <c r="M1394" s="60" t="str">
        <f t="shared" si="6"/>
        <v/>
      </c>
      <c r="N1394" s="62" t="str">
        <f>IFERROR(__xludf.DUMMYFUNCTION("IFERROR(GOOGLEFINANCE(A1394,""TRADETIME""),)"),"")</f>
        <v/>
      </c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</row>
    <row r="1395">
      <c r="A1395" s="68" t="s">
        <v>1441</v>
      </c>
      <c r="B1395" s="64" t="str">
        <f>IFERROR(__xludf.DUMMYFUNCTION("IFERROR(GOOGLEFINANCE(A1395,""NAME""),)"),"Tata Communications Ltd")</f>
        <v>Tata Communications Ltd</v>
      </c>
      <c r="C1395" s="64">
        <f>IFERROR(__xludf.DUMMYFUNCTION("IFERROR(GOOGLEFINANCE(A1395,""CHANGE""),)"),-21.8)</f>
        <v>-21.8</v>
      </c>
      <c r="D1395" s="64">
        <f>IFERROR(__xludf.DUMMYFUNCTION("IFERROR(GOOGLEFINANCE(A1395,""CHANGEPCT""),)"),-1.47)</f>
        <v>-1.47</v>
      </c>
      <c r="E1395" s="64" t="str">
        <f t="shared" si="1"/>
        <v>-1.47%</v>
      </c>
      <c r="F1395" s="64" t="str">
        <f t="shared" si="2"/>
        <v/>
      </c>
      <c r="G1395" s="64">
        <f t="shared" si="3"/>
        <v>-1.47</v>
      </c>
      <c r="H1395" s="64">
        <f>IFERROR(__xludf.DUMMYFUNCTION("IFERROR(GOOGLEFINANCE(A1395,""PRICE""),)"),1461.0)</f>
        <v>1461</v>
      </c>
      <c r="I1395" s="65">
        <f>IFERROR(__xludf.DUMMYFUNCTION("IFERROR(GOOGLEFINANCE(A1395,""VOLUME""),)"),295055.0)</f>
        <v>295055</v>
      </c>
      <c r="J1395" s="64" t="str">
        <f>IFERROR(__xludf.DUMMYFUNCTION("IFERROR(INDEX(SPLIT(A1395,"":""),1,2),)"),"TATACOMM")</f>
        <v>TATACOMM</v>
      </c>
      <c r="K1395" s="64" t="str">
        <f t="shared" si="4"/>
        <v/>
      </c>
      <c r="L1395" s="64">
        <f t="shared" si="5"/>
        <v>288</v>
      </c>
      <c r="M1395" s="64">
        <f t="shared" si="6"/>
        <v>511</v>
      </c>
      <c r="N1395" s="66">
        <f>IFERROR(__xludf.DUMMYFUNCTION("IFERROR(GOOGLEFINANCE(A1395,""TRADETIME""),)"),46086.64583333333)</f>
        <v>46086.64583</v>
      </c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</row>
    <row r="1396">
      <c r="A1396" s="67" t="s">
        <v>1442</v>
      </c>
      <c r="B1396" s="60" t="str">
        <f>IFERROR(__xludf.DUMMYFUNCTION("IFERROR(GOOGLEFINANCE(A1396,""NAME""),)"),"Tata Consumer Products Ltd")</f>
        <v>Tata Consumer Products Ltd</v>
      </c>
      <c r="C1396" s="60">
        <f>IFERROR(__xludf.DUMMYFUNCTION("IFERROR(GOOGLEFINANCE(A1396,""CHANGE""),)"),10.5)</f>
        <v>10.5</v>
      </c>
      <c r="D1396" s="60">
        <f>IFERROR(__xludf.DUMMYFUNCTION("IFERROR(GOOGLEFINANCE(A1396,""CHANGEPCT""),)"),0.95)</f>
        <v>0.95</v>
      </c>
      <c r="E1396" s="60" t="str">
        <f t="shared" si="1"/>
        <v>0.95%</v>
      </c>
      <c r="F1396" s="60">
        <f t="shared" si="2"/>
        <v>0.95</v>
      </c>
      <c r="G1396" s="60" t="str">
        <f t="shared" si="3"/>
        <v/>
      </c>
      <c r="H1396" s="60">
        <f>IFERROR(__xludf.DUMMYFUNCTION("IFERROR(GOOGLEFINANCE(A1396,""PRICE""),)"),1121.1)</f>
        <v>1121.1</v>
      </c>
      <c r="I1396" s="61">
        <f>IFERROR(__xludf.DUMMYFUNCTION("IFERROR(GOOGLEFINANCE(A1396,""VOLUME""),)"),1368103.0)</f>
        <v>1368103</v>
      </c>
      <c r="J1396" s="60" t="str">
        <f>IFERROR(__xludf.DUMMYFUNCTION("IFERROR(INDEX(SPLIT(A1396,"":""),1,2),)"),"TATACONSUM")</f>
        <v>TATACONSUM</v>
      </c>
      <c r="K1396" s="60">
        <f t="shared" si="4"/>
        <v>738</v>
      </c>
      <c r="L1396" s="60" t="str">
        <f t="shared" si="5"/>
        <v/>
      </c>
      <c r="M1396" s="60">
        <f t="shared" si="6"/>
        <v>250</v>
      </c>
      <c r="N1396" s="62">
        <f>IFERROR(__xludf.DUMMYFUNCTION("IFERROR(GOOGLEFINANCE(A1396,""TRADETIME""),)"),46086.640428240746)</f>
        <v>46086.64043</v>
      </c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</row>
    <row r="1397">
      <c r="A1397" s="68" t="s">
        <v>1443</v>
      </c>
      <c r="B1397" s="64" t="str">
        <f>IFERROR(__xludf.DUMMYFUNCTION("IFERROR(GOOGLEFINANCE(A1397,""NAME""),)"),"Tata Elxsi Ltd")</f>
        <v>Tata Elxsi Ltd</v>
      </c>
      <c r="C1397" s="64">
        <f>IFERROR(__xludf.DUMMYFUNCTION("IFERROR(GOOGLEFINANCE(A1397,""CHANGE""),)"),42.3)</f>
        <v>42.3</v>
      </c>
      <c r="D1397" s="64">
        <f>IFERROR(__xludf.DUMMYFUNCTION("IFERROR(GOOGLEFINANCE(A1397,""CHANGEPCT""),)"),0.97)</f>
        <v>0.97</v>
      </c>
      <c r="E1397" s="64" t="str">
        <f t="shared" si="1"/>
        <v>0.97%</v>
      </c>
      <c r="F1397" s="64">
        <f t="shared" si="2"/>
        <v>0.97</v>
      </c>
      <c r="G1397" s="64" t="str">
        <f t="shared" si="3"/>
        <v/>
      </c>
      <c r="H1397" s="64">
        <f>IFERROR(__xludf.DUMMYFUNCTION("IFERROR(GOOGLEFINANCE(A1397,""PRICE""),)"),4402.8)</f>
        <v>4402.8</v>
      </c>
      <c r="I1397" s="65">
        <f>IFERROR(__xludf.DUMMYFUNCTION("IFERROR(GOOGLEFINANCE(A1397,""VOLUME""),)"),199528.0)</f>
        <v>199528</v>
      </c>
      <c r="J1397" s="64" t="str">
        <f>IFERROR(__xludf.DUMMYFUNCTION("IFERROR(INDEX(SPLIT(A1397,"":""),1,2),)"),"TATAELXSI")</f>
        <v>TATAELXSI</v>
      </c>
      <c r="K1397" s="64">
        <f t="shared" si="4"/>
        <v>732</v>
      </c>
      <c r="L1397" s="64" t="str">
        <f t="shared" si="5"/>
        <v/>
      </c>
      <c r="M1397" s="64">
        <f t="shared" si="6"/>
        <v>607</v>
      </c>
      <c r="N1397" s="66">
        <f>IFERROR(__xludf.DUMMYFUNCTION("IFERROR(GOOGLEFINANCE(A1397,""TRADETIME""),)"),46086.6440162037)</f>
        <v>46086.64402</v>
      </c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</row>
    <row r="1398">
      <c r="A1398" s="67" t="s">
        <v>1444</v>
      </c>
      <c r="B1398" s="60" t="str">
        <f>IFERROR(__xludf.DUMMYFUNCTION("IFERROR(GOOGLEFINANCE(A1398,""NAME""),)"),"Tata Investment Corporation Ltd")</f>
        <v>Tata Investment Corporation Ltd</v>
      </c>
      <c r="C1398" s="60">
        <f>IFERROR(__xludf.DUMMYFUNCTION("IFERROR(GOOGLEFINANCE(A1398,""CHANGE""),)"),34.35)</f>
        <v>34.35</v>
      </c>
      <c r="D1398" s="60">
        <f>IFERROR(__xludf.DUMMYFUNCTION("IFERROR(GOOGLEFINANCE(A1398,""CHANGEPCT""),)"),5.49)</f>
        <v>5.49</v>
      </c>
      <c r="E1398" s="60" t="str">
        <f t="shared" si="1"/>
        <v>5.49%</v>
      </c>
      <c r="F1398" s="60">
        <f t="shared" si="2"/>
        <v>5.49</v>
      </c>
      <c r="G1398" s="60" t="str">
        <f t="shared" si="3"/>
        <v/>
      </c>
      <c r="H1398" s="60">
        <f>IFERROR(__xludf.DUMMYFUNCTION("IFERROR(GOOGLEFINANCE(A1398,""PRICE""),)"),660.0)</f>
        <v>660</v>
      </c>
      <c r="I1398" s="61">
        <f>IFERROR(__xludf.DUMMYFUNCTION("IFERROR(GOOGLEFINANCE(A1398,""VOLUME""),)"),4620323.0)</f>
        <v>4620323</v>
      </c>
      <c r="J1398" s="60" t="str">
        <f>IFERROR(__xludf.DUMMYFUNCTION("IFERROR(INDEX(SPLIT(A1398,"":""),1,2),)"),"TATAINVEST")</f>
        <v>TATAINVEST</v>
      </c>
      <c r="K1398" s="60">
        <f t="shared" si="4"/>
        <v>53</v>
      </c>
      <c r="L1398" s="60" t="str">
        <f t="shared" si="5"/>
        <v/>
      </c>
      <c r="M1398" s="60">
        <f t="shared" si="6"/>
        <v>118</v>
      </c>
      <c r="N1398" s="62">
        <f>IFERROR(__xludf.DUMMYFUNCTION("IFERROR(GOOGLEFINANCE(A1398,""TRADETIME""),)"),46086.64585648148)</f>
        <v>46086.64586</v>
      </c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</row>
    <row r="1399">
      <c r="A1399" s="68" t="s">
        <v>1445</v>
      </c>
      <c r="B1399" s="64" t="str">
        <f>IFERROR(__xludf.DUMMYFUNCTION("IFERROR(GOOGLEFINANCE(A1399,""NAME""),)"),"")</f>
        <v/>
      </c>
      <c r="C1399" s="64" t="str">
        <f>IFERROR(__xludf.DUMMYFUNCTION("IFERROR(GOOGLEFINANCE(A1399,""CHANGE""),)"),"")</f>
        <v/>
      </c>
      <c r="D1399" s="64" t="str">
        <f>IFERROR(__xludf.DUMMYFUNCTION("IFERROR(GOOGLEFINANCE(A1399,""CHANGEPCT""),)"),"")</f>
        <v/>
      </c>
      <c r="E1399" s="64" t="str">
        <f t="shared" si="1"/>
        <v>%</v>
      </c>
      <c r="F1399" s="64" t="str">
        <f t="shared" si="2"/>
        <v/>
      </c>
      <c r="G1399" s="64" t="str">
        <f t="shared" si="3"/>
        <v/>
      </c>
      <c r="H1399" s="64" t="str">
        <f>IFERROR(__xludf.DUMMYFUNCTION("IFERROR(GOOGLEFINANCE(A1399,""PRICE""),)"),"")</f>
        <v/>
      </c>
      <c r="I1399" s="65" t="str">
        <f>IFERROR(__xludf.DUMMYFUNCTION("IFERROR(GOOGLEFINANCE(A1399,""VOLUME""),)"),"")</f>
        <v/>
      </c>
      <c r="J1399" s="64" t="str">
        <f>IFERROR(__xludf.DUMMYFUNCTION("IFERROR(INDEX(SPLIT(A1399,"":""),1,2),)"),"TATAMETALI")</f>
        <v>TATAMETALI</v>
      </c>
      <c r="K1399" s="64" t="str">
        <f t="shared" si="4"/>
        <v/>
      </c>
      <c r="L1399" s="64" t="str">
        <f t="shared" si="5"/>
        <v/>
      </c>
      <c r="M1399" s="64" t="str">
        <f t="shared" si="6"/>
        <v/>
      </c>
      <c r="N1399" s="66" t="str">
        <f>IFERROR(__xludf.DUMMYFUNCTION("IFERROR(GOOGLEFINANCE(A1399,""TRADETIME""),)"),"")</f>
        <v/>
      </c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</row>
    <row r="1400">
      <c r="A1400" s="67" t="s">
        <v>1446</v>
      </c>
      <c r="B1400" s="60" t="str">
        <f>IFERROR(__xludf.DUMMYFUNCTION("IFERROR(GOOGLEFINANCE(A1400,""NAME""),)"),"")</f>
        <v/>
      </c>
      <c r="C1400" s="60" t="str">
        <f>IFERROR(__xludf.DUMMYFUNCTION("IFERROR(GOOGLEFINANCE(A1400,""CHANGE""),)"),"")</f>
        <v/>
      </c>
      <c r="D1400" s="60" t="str">
        <f>IFERROR(__xludf.DUMMYFUNCTION("IFERROR(GOOGLEFINANCE(A1400,""CHANGEPCT""),)"),"")</f>
        <v/>
      </c>
      <c r="E1400" s="60" t="str">
        <f t="shared" si="1"/>
        <v>%</v>
      </c>
      <c r="F1400" s="60" t="str">
        <f t="shared" si="2"/>
        <v/>
      </c>
      <c r="G1400" s="60" t="str">
        <f t="shared" si="3"/>
        <v/>
      </c>
      <c r="H1400" s="60" t="str">
        <f>IFERROR(__xludf.DUMMYFUNCTION("IFERROR(GOOGLEFINANCE(A1400,""PRICE""),)"),"")</f>
        <v/>
      </c>
      <c r="I1400" s="61" t="str">
        <f>IFERROR(__xludf.DUMMYFUNCTION("IFERROR(GOOGLEFINANCE(A1400,""VOLUME""),)"),"")</f>
        <v/>
      </c>
      <c r="J1400" s="60" t="str">
        <f>IFERROR(__xludf.DUMMYFUNCTION("IFERROR(INDEX(SPLIT(A1400,"":""),1,2),)"),"TATAMOTORS")</f>
        <v>TATAMOTORS</v>
      </c>
      <c r="K1400" s="60" t="str">
        <f t="shared" si="4"/>
        <v/>
      </c>
      <c r="L1400" s="60" t="str">
        <f t="shared" si="5"/>
        <v/>
      </c>
      <c r="M1400" s="60" t="str">
        <f t="shared" si="6"/>
        <v/>
      </c>
      <c r="N1400" s="62" t="str">
        <f>IFERROR(__xludf.DUMMYFUNCTION("IFERROR(GOOGLEFINANCE(A1400,""TRADETIME""),)"),"")</f>
        <v/>
      </c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</row>
    <row r="1401">
      <c r="A1401" s="68" t="s">
        <v>1447</v>
      </c>
      <c r="B1401" s="64" t="str">
        <f>IFERROR(__xludf.DUMMYFUNCTION("IFERROR(GOOGLEFINANCE(A1401,""NAME""),)"),"")</f>
        <v/>
      </c>
      <c r="C1401" s="64" t="str">
        <f>IFERROR(__xludf.DUMMYFUNCTION("IFERROR(GOOGLEFINANCE(A1401,""CHANGE""),)"),"")</f>
        <v/>
      </c>
      <c r="D1401" s="64" t="str">
        <f>IFERROR(__xludf.DUMMYFUNCTION("IFERROR(GOOGLEFINANCE(A1401,""CHANGEPCT""),)"),"")</f>
        <v/>
      </c>
      <c r="E1401" s="64" t="str">
        <f t="shared" si="1"/>
        <v>%</v>
      </c>
      <c r="F1401" s="64" t="str">
        <f t="shared" si="2"/>
        <v/>
      </c>
      <c r="G1401" s="64" t="str">
        <f t="shared" si="3"/>
        <v/>
      </c>
      <c r="H1401" s="64" t="str">
        <f>IFERROR(__xludf.DUMMYFUNCTION("IFERROR(GOOGLEFINANCE(A1401,""PRICE""),)"),"")</f>
        <v/>
      </c>
      <c r="I1401" s="65" t="str">
        <f>IFERROR(__xludf.DUMMYFUNCTION("IFERROR(GOOGLEFINANCE(A1401,""VOLUME""),)"),"")</f>
        <v/>
      </c>
      <c r="J1401" s="64" t="str">
        <f>IFERROR(__xludf.DUMMYFUNCTION("IFERROR(INDEX(SPLIT(A1401,"":""),1,2),)"),"TATAMTRDVR")</f>
        <v>TATAMTRDVR</v>
      </c>
      <c r="K1401" s="64" t="str">
        <f t="shared" si="4"/>
        <v/>
      </c>
      <c r="L1401" s="64" t="str">
        <f t="shared" si="5"/>
        <v/>
      </c>
      <c r="M1401" s="64" t="str">
        <f t="shared" si="6"/>
        <v/>
      </c>
      <c r="N1401" s="66" t="str">
        <f>IFERROR(__xludf.DUMMYFUNCTION("IFERROR(GOOGLEFINANCE(A1401,""TRADETIME""),)"),"")</f>
        <v/>
      </c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</row>
    <row r="1402">
      <c r="A1402" s="67" t="s">
        <v>1448</v>
      </c>
      <c r="B1402" s="60" t="str">
        <f>IFERROR(__xludf.DUMMYFUNCTION("IFERROR(GOOGLEFINANCE(A1402,""NAME""),)"),"Tata Power Company Ltd")</f>
        <v>Tata Power Company Ltd</v>
      </c>
      <c r="C1402" s="60">
        <f>IFERROR(__xludf.DUMMYFUNCTION("IFERROR(GOOGLEFINANCE(A1402,""CHANGE""),)"),10.9)</f>
        <v>10.9</v>
      </c>
      <c r="D1402" s="60">
        <f>IFERROR(__xludf.DUMMYFUNCTION("IFERROR(GOOGLEFINANCE(A1402,""CHANGEPCT""),)"),2.99)</f>
        <v>2.99</v>
      </c>
      <c r="E1402" s="60" t="str">
        <f t="shared" si="1"/>
        <v>2.99%</v>
      </c>
      <c r="F1402" s="60">
        <f t="shared" si="2"/>
        <v>2.99</v>
      </c>
      <c r="G1402" s="60" t="str">
        <f t="shared" si="3"/>
        <v/>
      </c>
      <c r="H1402" s="60">
        <f>IFERROR(__xludf.DUMMYFUNCTION("IFERROR(GOOGLEFINANCE(A1402,""PRICE""),)"),376.8)</f>
        <v>376.8</v>
      </c>
      <c r="I1402" s="61">
        <f>IFERROR(__xludf.DUMMYFUNCTION("IFERROR(GOOGLEFINANCE(A1402,""VOLUME""),)"),5763575.0)</f>
        <v>5763575</v>
      </c>
      <c r="J1402" s="60" t="str">
        <f>IFERROR(__xludf.DUMMYFUNCTION("IFERROR(INDEX(SPLIT(A1402,"":""),1,2),)"),"TATAPOWER")</f>
        <v>TATAPOWER</v>
      </c>
      <c r="K1402" s="60">
        <f t="shared" si="4"/>
        <v>259</v>
      </c>
      <c r="L1402" s="60" t="str">
        <f t="shared" si="5"/>
        <v/>
      </c>
      <c r="M1402" s="60">
        <f t="shared" si="6"/>
        <v>96</v>
      </c>
      <c r="N1402" s="62">
        <f>IFERROR(__xludf.DUMMYFUNCTION("IFERROR(GOOGLEFINANCE(A1402,""TRADETIME""),)"),46086.64583333333)</f>
        <v>46086.64583</v>
      </c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</row>
    <row r="1403">
      <c r="A1403" s="68" t="s">
        <v>1449</v>
      </c>
      <c r="B1403" s="64" t="str">
        <f>IFERROR(__xludf.DUMMYFUNCTION("IFERROR(GOOGLEFINANCE(A1403,""NAME""),)"),"Tata Steel Ltd")</f>
        <v>Tata Steel Ltd</v>
      </c>
      <c r="C1403" s="64">
        <f>IFERROR(__xludf.DUMMYFUNCTION("IFERROR(GOOGLEFINANCE(A1403,""CHANGE""),)"),3.87)</f>
        <v>3.87</v>
      </c>
      <c r="D1403" s="64">
        <f>IFERROR(__xludf.DUMMYFUNCTION("IFERROR(GOOGLEFINANCE(A1403,""CHANGEPCT""),)"),2.03)</f>
        <v>2.03</v>
      </c>
      <c r="E1403" s="64" t="str">
        <f t="shared" si="1"/>
        <v>2.03%</v>
      </c>
      <c r="F1403" s="64">
        <f t="shared" si="2"/>
        <v>2.03</v>
      </c>
      <c r="G1403" s="64" t="str">
        <f t="shared" si="3"/>
        <v/>
      </c>
      <c r="H1403" s="64">
        <f>IFERROR(__xludf.DUMMYFUNCTION("IFERROR(GOOGLEFINANCE(A1403,""PRICE""),)"),200.72)</f>
        <v>200.72</v>
      </c>
      <c r="I1403" s="65">
        <f>IFERROR(__xludf.DUMMYFUNCTION("IFERROR(GOOGLEFINANCE(A1403,""VOLUME""),)"),4.1027644E7)</f>
        <v>41027644</v>
      </c>
      <c r="J1403" s="64" t="str">
        <f>IFERROR(__xludf.DUMMYFUNCTION("IFERROR(INDEX(SPLIT(A1403,"":""),1,2),)"),"TATASTEEL")</f>
        <v>TATASTEEL</v>
      </c>
      <c r="K1403" s="64">
        <f t="shared" si="4"/>
        <v>434</v>
      </c>
      <c r="L1403" s="64" t="str">
        <f t="shared" si="5"/>
        <v/>
      </c>
      <c r="M1403" s="64">
        <f t="shared" si="6"/>
        <v>7</v>
      </c>
      <c r="N1403" s="66">
        <f>IFERROR(__xludf.DUMMYFUNCTION("IFERROR(GOOGLEFINANCE(A1403,""TRADETIME""),)"),46086.64583333333)</f>
        <v>46086.64583</v>
      </c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</row>
    <row r="1404">
      <c r="A1404" s="67" t="s">
        <v>1450</v>
      </c>
      <c r="B1404" s="60" t="str">
        <f>IFERROR(__xludf.DUMMYFUNCTION("IFERROR(GOOGLEFINANCE(A1404,""NAME""),)"),"")</f>
        <v/>
      </c>
      <c r="C1404" s="60" t="str">
        <f>IFERROR(__xludf.DUMMYFUNCTION("IFERROR(GOOGLEFINANCE(A1404,""CHANGE""),)"),"")</f>
        <v/>
      </c>
      <c r="D1404" s="60" t="str">
        <f>IFERROR(__xludf.DUMMYFUNCTION("IFERROR(GOOGLEFINANCE(A1404,""CHANGEPCT""),)"),"")</f>
        <v/>
      </c>
      <c r="E1404" s="60" t="str">
        <f t="shared" si="1"/>
        <v>%</v>
      </c>
      <c r="F1404" s="60" t="str">
        <f t="shared" si="2"/>
        <v/>
      </c>
      <c r="G1404" s="60" t="str">
        <f t="shared" si="3"/>
        <v/>
      </c>
      <c r="H1404" s="60" t="str">
        <f>IFERROR(__xludf.DUMMYFUNCTION("IFERROR(GOOGLEFINANCE(A1404,""PRICE""),)"),"")</f>
        <v/>
      </c>
      <c r="I1404" s="61" t="str">
        <f>IFERROR(__xludf.DUMMYFUNCTION("IFERROR(GOOGLEFINANCE(A1404,""VOLUME""),)"),"")</f>
        <v/>
      </c>
      <c r="J1404" s="60" t="str">
        <f>IFERROR(__xludf.DUMMYFUNCTION("IFERROR(INDEX(SPLIT(A1404,"":""),1,2),)"),"TATASTLLP")</f>
        <v>TATASTLLP</v>
      </c>
      <c r="K1404" s="60" t="str">
        <f t="shared" si="4"/>
        <v/>
      </c>
      <c r="L1404" s="60" t="str">
        <f t="shared" si="5"/>
        <v/>
      </c>
      <c r="M1404" s="60" t="str">
        <f t="shared" si="6"/>
        <v/>
      </c>
      <c r="N1404" s="62" t="str">
        <f>IFERROR(__xludf.DUMMYFUNCTION("IFERROR(GOOGLEFINANCE(A1404,""TRADETIME""),)"),"")</f>
        <v/>
      </c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</row>
    <row r="1405">
      <c r="A1405" s="68" t="s">
        <v>1451</v>
      </c>
      <c r="B1405" s="64" t="str">
        <f>IFERROR(__xludf.DUMMYFUNCTION("IFERROR(GOOGLEFINANCE(A1405,""NAME""),)"),"Tribhovandas Bhimji Zaveri Ltd")</f>
        <v>Tribhovandas Bhimji Zaveri Ltd</v>
      </c>
      <c r="C1405" s="64">
        <f>IFERROR(__xludf.DUMMYFUNCTION("IFERROR(GOOGLEFINANCE(A1405,""CHANGE""),)"),3.8)</f>
        <v>3.8</v>
      </c>
      <c r="D1405" s="64">
        <f>IFERROR(__xludf.DUMMYFUNCTION("IFERROR(GOOGLEFINANCE(A1405,""CHANGEPCT""),)"),2.74)</f>
        <v>2.74</v>
      </c>
      <c r="E1405" s="64" t="str">
        <f t="shared" si="1"/>
        <v>2.74%</v>
      </c>
      <c r="F1405" s="64">
        <f t="shared" si="2"/>
        <v>2.74</v>
      </c>
      <c r="G1405" s="64" t="str">
        <f t="shared" si="3"/>
        <v/>
      </c>
      <c r="H1405" s="64">
        <f>IFERROR(__xludf.DUMMYFUNCTION("IFERROR(GOOGLEFINANCE(A1405,""PRICE""),)"),142.39)</f>
        <v>142.39</v>
      </c>
      <c r="I1405" s="65">
        <f>IFERROR(__xludf.DUMMYFUNCTION("IFERROR(GOOGLEFINANCE(A1405,""VOLUME""),)"),200712.0)</f>
        <v>200712</v>
      </c>
      <c r="J1405" s="64" t="str">
        <f>IFERROR(__xludf.DUMMYFUNCTION("IFERROR(INDEX(SPLIT(A1405,"":""),1,2),)"),"TBZ")</f>
        <v>TBZ</v>
      </c>
      <c r="K1405" s="64">
        <f t="shared" si="4"/>
        <v>304</v>
      </c>
      <c r="L1405" s="64" t="str">
        <f t="shared" si="5"/>
        <v/>
      </c>
      <c r="M1405" s="64">
        <f t="shared" si="6"/>
        <v>605</v>
      </c>
      <c r="N1405" s="66">
        <f>IFERROR(__xludf.DUMMYFUNCTION("IFERROR(GOOGLEFINANCE(A1405,""TRADETIME""),)"),46086.64030092592)</f>
        <v>46086.6403</v>
      </c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</row>
    <row r="1406">
      <c r="A1406" s="67" t="s">
        <v>1452</v>
      </c>
      <c r="B1406" s="60" t="str">
        <f>IFERROR(__xludf.DUMMYFUNCTION("IFERROR(GOOGLEFINANCE(A1406,""NAME""),)"),"Transport Corporation of India Ltd")</f>
        <v>Transport Corporation of India Ltd</v>
      </c>
      <c r="C1406" s="60">
        <f>IFERROR(__xludf.DUMMYFUNCTION("IFERROR(GOOGLEFINANCE(A1406,""CHANGE""),)"),30.4)</f>
        <v>30.4</v>
      </c>
      <c r="D1406" s="60">
        <f>IFERROR(__xludf.DUMMYFUNCTION("IFERROR(GOOGLEFINANCE(A1406,""CHANGEPCT""),)"),3.18)</f>
        <v>3.18</v>
      </c>
      <c r="E1406" s="60" t="str">
        <f t="shared" si="1"/>
        <v>3.18%</v>
      </c>
      <c r="F1406" s="60">
        <f t="shared" si="2"/>
        <v>3.18</v>
      </c>
      <c r="G1406" s="60" t="str">
        <f t="shared" si="3"/>
        <v/>
      </c>
      <c r="H1406" s="60">
        <f>IFERROR(__xludf.DUMMYFUNCTION("IFERROR(GOOGLEFINANCE(A1406,""PRICE""),)"),986.0)</f>
        <v>986</v>
      </c>
      <c r="I1406" s="61">
        <f>IFERROR(__xludf.DUMMYFUNCTION("IFERROR(GOOGLEFINANCE(A1406,""VOLUME""),)"),29308.0)</f>
        <v>29308</v>
      </c>
      <c r="J1406" s="60" t="str">
        <f>IFERROR(__xludf.DUMMYFUNCTION("IFERROR(INDEX(SPLIT(A1406,"":""),1,2),)"),"TCI")</f>
        <v>TCI</v>
      </c>
      <c r="K1406" s="60">
        <f t="shared" si="4"/>
        <v>229</v>
      </c>
      <c r="L1406" s="60" t="str">
        <f t="shared" si="5"/>
        <v/>
      </c>
      <c r="M1406" s="60">
        <f t="shared" si="6"/>
        <v>1062</v>
      </c>
      <c r="N1406" s="62">
        <f>IFERROR(__xludf.DUMMYFUNCTION("IFERROR(GOOGLEFINANCE(A1406,""TRADETIME""),)"),46086.64583333333)</f>
        <v>46086.64583</v>
      </c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</row>
    <row r="1407">
      <c r="A1407" s="68" t="s">
        <v>1453</v>
      </c>
      <c r="B1407" s="64" t="str">
        <f>IFERROR(__xludf.DUMMYFUNCTION("IFERROR(GOOGLEFINANCE(A1407,""NAME""),)"),"TCI Express Ltd")</f>
        <v>TCI Express Ltd</v>
      </c>
      <c r="C1407" s="64">
        <f>IFERROR(__xludf.DUMMYFUNCTION("IFERROR(GOOGLEFINANCE(A1407,""CHANGE""),)"),36.05)</f>
        <v>36.05</v>
      </c>
      <c r="D1407" s="64">
        <f>IFERROR(__xludf.DUMMYFUNCTION("IFERROR(GOOGLEFINANCE(A1407,""CHANGEPCT""),)"),7.06)</f>
        <v>7.06</v>
      </c>
      <c r="E1407" s="64" t="str">
        <f t="shared" si="1"/>
        <v>7.06%</v>
      </c>
      <c r="F1407" s="64">
        <f t="shared" si="2"/>
        <v>7.06</v>
      </c>
      <c r="G1407" s="64" t="str">
        <f t="shared" si="3"/>
        <v/>
      </c>
      <c r="H1407" s="64">
        <f>IFERROR(__xludf.DUMMYFUNCTION("IFERROR(GOOGLEFINANCE(A1407,""PRICE""),)"),547.0)</f>
        <v>547</v>
      </c>
      <c r="I1407" s="65">
        <f>IFERROR(__xludf.DUMMYFUNCTION("IFERROR(GOOGLEFINANCE(A1407,""VOLUME""),)"),70978.0)</f>
        <v>70978</v>
      </c>
      <c r="J1407" s="64" t="str">
        <f>IFERROR(__xludf.DUMMYFUNCTION("IFERROR(INDEX(SPLIT(A1407,"":""),1,2),)"),"TCIEXP")</f>
        <v>TCIEXP</v>
      </c>
      <c r="K1407" s="64">
        <f t="shared" si="4"/>
        <v>28</v>
      </c>
      <c r="L1407" s="64" t="str">
        <f t="shared" si="5"/>
        <v/>
      </c>
      <c r="M1407" s="64">
        <f t="shared" si="6"/>
        <v>840</v>
      </c>
      <c r="N1407" s="66">
        <f>IFERROR(__xludf.DUMMYFUNCTION("IFERROR(GOOGLEFINANCE(A1407,""TRADETIME""),)"),46086.64583333333)</f>
        <v>46086.64583</v>
      </c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</row>
    <row r="1408">
      <c r="A1408" s="67" t="s">
        <v>1454</v>
      </c>
      <c r="B1408" s="60" t="str">
        <f>IFERROR(__xludf.DUMMYFUNCTION("IFERROR(GOOGLEFINANCE(A1408,""NAME""),)"),"TCI Finance Ltd")</f>
        <v>TCI Finance Ltd</v>
      </c>
      <c r="C1408" s="60">
        <f>IFERROR(__xludf.DUMMYFUNCTION("IFERROR(GOOGLEFINANCE(A1408,""CHANGE""),)"),-0.22)</f>
        <v>-0.22</v>
      </c>
      <c r="D1408" s="60">
        <f>IFERROR(__xludf.DUMMYFUNCTION("IFERROR(GOOGLEFINANCE(A1408,""CHANGEPCT""),)"),-1.54)</f>
        <v>-1.54</v>
      </c>
      <c r="E1408" s="60" t="str">
        <f t="shared" si="1"/>
        <v>-1.54%</v>
      </c>
      <c r="F1408" s="60" t="str">
        <f t="shared" si="2"/>
        <v/>
      </c>
      <c r="G1408" s="60">
        <f t="shared" si="3"/>
        <v>-1.54</v>
      </c>
      <c r="H1408" s="60">
        <f>IFERROR(__xludf.DUMMYFUNCTION("IFERROR(GOOGLEFINANCE(A1408,""PRICE""),)"),14.15)</f>
        <v>14.15</v>
      </c>
      <c r="I1408" s="61">
        <f>IFERROR(__xludf.DUMMYFUNCTION("IFERROR(GOOGLEFINANCE(A1408,""VOLUME""),)"),27146.0)</f>
        <v>27146</v>
      </c>
      <c r="J1408" s="60" t="str">
        <f>IFERROR(__xludf.DUMMYFUNCTION("IFERROR(INDEX(SPLIT(A1408,"":""),1,2),)"),"TCIFINANCE")</f>
        <v>TCIFINANCE</v>
      </c>
      <c r="K1408" s="60" t="str">
        <f t="shared" si="4"/>
        <v/>
      </c>
      <c r="L1408" s="60">
        <f t="shared" si="5"/>
        <v>292</v>
      </c>
      <c r="M1408" s="60">
        <f t="shared" si="6"/>
        <v>1077</v>
      </c>
      <c r="N1408" s="62">
        <f>IFERROR(__xludf.DUMMYFUNCTION("IFERROR(GOOGLEFINANCE(A1408,""TRADETIME""),)"),46086.64583333333)</f>
        <v>46086.64583</v>
      </c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</row>
    <row r="1409">
      <c r="A1409" s="68" t="s">
        <v>1455</v>
      </c>
      <c r="B1409" s="64" t="str">
        <f>IFERROR(__xludf.DUMMYFUNCTION("IFERROR(GOOGLEFINANCE(A1409,""NAME""),)"),"")</f>
        <v/>
      </c>
      <c r="C1409" s="64" t="str">
        <f>IFERROR(__xludf.DUMMYFUNCTION("IFERROR(GOOGLEFINANCE(A1409,""CHANGE""),)"),"")</f>
        <v/>
      </c>
      <c r="D1409" s="64" t="str">
        <f>IFERROR(__xludf.DUMMYFUNCTION("IFERROR(GOOGLEFINANCE(A1409,""CHANGEPCT""),)"),"")</f>
        <v/>
      </c>
      <c r="E1409" s="64" t="str">
        <f t="shared" si="1"/>
        <v>%</v>
      </c>
      <c r="F1409" s="64" t="str">
        <f t="shared" si="2"/>
        <v/>
      </c>
      <c r="G1409" s="64" t="str">
        <f t="shared" si="3"/>
        <v/>
      </c>
      <c r="H1409" s="64" t="str">
        <f>IFERROR(__xludf.DUMMYFUNCTION("IFERROR(GOOGLEFINANCE(A1409,""PRICE""),)"),"")</f>
        <v/>
      </c>
      <c r="I1409" s="65" t="str">
        <f>IFERROR(__xludf.DUMMYFUNCTION("IFERROR(GOOGLEFINANCE(A1409,""VOLUME""),)"),"")</f>
        <v/>
      </c>
      <c r="J1409" s="64" t="str">
        <f>IFERROR(__xludf.DUMMYFUNCTION("IFERROR(INDEX(SPLIT(A1409,"":""),1,2),)"),"TCNSBRANDS")</f>
        <v>TCNSBRANDS</v>
      </c>
      <c r="K1409" s="64" t="str">
        <f t="shared" si="4"/>
        <v/>
      </c>
      <c r="L1409" s="64" t="str">
        <f t="shared" si="5"/>
        <v/>
      </c>
      <c r="M1409" s="64" t="str">
        <f t="shared" si="6"/>
        <v/>
      </c>
      <c r="N1409" s="66" t="str">
        <f>IFERROR(__xludf.DUMMYFUNCTION("IFERROR(GOOGLEFINANCE(A1409,""TRADETIME""),)"),"")</f>
        <v/>
      </c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</row>
    <row r="1410">
      <c r="A1410" s="67" t="s">
        <v>1456</v>
      </c>
      <c r="B1410" s="60" t="str">
        <f>IFERROR(__xludf.DUMMYFUNCTION("IFERROR(GOOGLEFINANCE(A1410,""NAME""),)"),"TCPL Packaging Ltd")</f>
        <v>TCPL Packaging Ltd</v>
      </c>
      <c r="C1410" s="60">
        <f>IFERROR(__xludf.DUMMYFUNCTION("IFERROR(GOOGLEFINANCE(A1410,""CHANGE""),)"),38.3)</f>
        <v>38.3</v>
      </c>
      <c r="D1410" s="60">
        <f>IFERROR(__xludf.DUMMYFUNCTION("IFERROR(GOOGLEFINANCE(A1410,""CHANGEPCT""),)"),0.73)</f>
        <v>0.73</v>
      </c>
      <c r="E1410" s="60" t="str">
        <f t="shared" si="1"/>
        <v>0.73%</v>
      </c>
      <c r="F1410" s="60">
        <f t="shared" si="2"/>
        <v>0.73</v>
      </c>
      <c r="G1410" s="60" t="str">
        <f t="shared" si="3"/>
        <v/>
      </c>
      <c r="H1410" s="60">
        <f>IFERROR(__xludf.DUMMYFUNCTION("IFERROR(GOOGLEFINANCE(A1410,""PRICE""),)"),2589.8)</f>
        <v>2589.8</v>
      </c>
      <c r="I1410" s="61">
        <f>IFERROR(__xludf.DUMMYFUNCTION("IFERROR(GOOGLEFINANCE(A1410,""VOLUME""),)"),2266.0)</f>
        <v>2266</v>
      </c>
      <c r="J1410" s="60" t="str">
        <f>IFERROR(__xludf.DUMMYFUNCTION("IFERROR(INDEX(SPLIT(A1410,"":""),1,2),)"),"TCPLPACK")</f>
        <v>TCPLPACK</v>
      </c>
      <c r="K1410" s="60">
        <f t="shared" si="4"/>
        <v>816</v>
      </c>
      <c r="L1410" s="60" t="str">
        <f t="shared" si="5"/>
        <v/>
      </c>
      <c r="M1410" s="60">
        <f t="shared" si="6"/>
        <v>1398</v>
      </c>
      <c r="N1410" s="62">
        <f>IFERROR(__xludf.DUMMYFUNCTION("IFERROR(GOOGLEFINANCE(A1410,""TRADETIME""),)"),46086.64583333333)</f>
        <v>46086.64583</v>
      </c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</row>
    <row r="1411">
      <c r="A1411" s="68" t="s">
        <v>1457</v>
      </c>
      <c r="B1411" s="64" t="str">
        <f>IFERROR(__xludf.DUMMYFUNCTION("IFERROR(GOOGLEFINANCE(A1411,""NAME""),)"),"Tata Consultancy Services Ltd")</f>
        <v>Tata Consultancy Services Ltd</v>
      </c>
      <c r="C1411" s="64">
        <f>IFERROR(__xludf.DUMMYFUNCTION("IFERROR(GOOGLEFINANCE(A1411,""CHANGE""),)"),-12.8)</f>
        <v>-12.8</v>
      </c>
      <c r="D1411" s="64">
        <f>IFERROR(__xludf.DUMMYFUNCTION("IFERROR(GOOGLEFINANCE(A1411,""CHANGEPCT""),)"),-0.49)</f>
        <v>-0.49</v>
      </c>
      <c r="E1411" s="64" t="str">
        <f t="shared" si="1"/>
        <v>-0.49%</v>
      </c>
      <c r="F1411" s="64" t="str">
        <f t="shared" si="2"/>
        <v/>
      </c>
      <c r="G1411" s="64">
        <f t="shared" si="3"/>
        <v>-0.49</v>
      </c>
      <c r="H1411" s="64">
        <f>IFERROR(__xludf.DUMMYFUNCTION("IFERROR(GOOGLEFINANCE(A1411,""PRICE""),)"),2575.0)</f>
        <v>2575</v>
      </c>
      <c r="I1411" s="65">
        <f>IFERROR(__xludf.DUMMYFUNCTION("IFERROR(GOOGLEFINANCE(A1411,""VOLUME""),)"),2852488.0)</f>
        <v>2852488</v>
      </c>
      <c r="J1411" s="64" t="str">
        <f>IFERROR(__xludf.DUMMYFUNCTION("IFERROR(INDEX(SPLIT(A1411,"":""),1,2),)"),"TCS")</f>
        <v>TCS</v>
      </c>
      <c r="K1411" s="64" t="str">
        <f t="shared" si="4"/>
        <v/>
      </c>
      <c r="L1411" s="64">
        <f t="shared" si="5"/>
        <v>117</v>
      </c>
      <c r="M1411" s="64">
        <f t="shared" si="6"/>
        <v>157</v>
      </c>
      <c r="N1411" s="66">
        <f>IFERROR(__xludf.DUMMYFUNCTION("IFERROR(GOOGLEFINANCE(A1411,""TRADETIME""),)"),46086.64583333333)</f>
        <v>46086.64583</v>
      </c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</row>
    <row r="1412">
      <c r="A1412" s="67" t="s">
        <v>1458</v>
      </c>
      <c r="B1412" s="60" t="str">
        <f>IFERROR(__xludf.DUMMYFUNCTION("IFERROR(GOOGLEFINANCE(A1412,""NAME""),)"),"TD Power Systems Ltd")</f>
        <v>TD Power Systems Ltd</v>
      </c>
      <c r="C1412" s="60">
        <f>IFERROR(__xludf.DUMMYFUNCTION("IFERROR(GOOGLEFINANCE(A1412,""CHANGE""),)"),13.15)</f>
        <v>13.15</v>
      </c>
      <c r="D1412" s="60">
        <f>IFERROR(__xludf.DUMMYFUNCTION("IFERROR(GOOGLEFINANCE(A1412,""CHANGEPCT""),)"),1.22)</f>
        <v>1.22</v>
      </c>
      <c r="E1412" s="60" t="str">
        <f t="shared" si="1"/>
        <v>1.22%</v>
      </c>
      <c r="F1412" s="60">
        <f t="shared" si="2"/>
        <v>1.22</v>
      </c>
      <c r="G1412" s="60" t="str">
        <f t="shared" si="3"/>
        <v/>
      </c>
      <c r="H1412" s="60">
        <f>IFERROR(__xludf.DUMMYFUNCTION("IFERROR(GOOGLEFINANCE(A1412,""PRICE""),)"),889.6)</f>
        <v>889.6</v>
      </c>
      <c r="I1412" s="61">
        <f>IFERROR(__xludf.DUMMYFUNCTION("IFERROR(GOOGLEFINANCE(A1412,""VOLUME""),)"),615447.0)</f>
        <v>615447</v>
      </c>
      <c r="J1412" s="60" t="str">
        <f>IFERROR(__xludf.DUMMYFUNCTION("IFERROR(INDEX(SPLIT(A1412,"":""),1,2),)"),"TDPOWERSYS")</f>
        <v>TDPOWERSYS</v>
      </c>
      <c r="K1412" s="60">
        <f t="shared" si="4"/>
        <v>668</v>
      </c>
      <c r="L1412" s="60" t="str">
        <f t="shared" si="5"/>
        <v/>
      </c>
      <c r="M1412" s="60">
        <f t="shared" si="6"/>
        <v>356</v>
      </c>
      <c r="N1412" s="62">
        <f>IFERROR(__xludf.DUMMYFUNCTION("IFERROR(GOOGLEFINANCE(A1412,""TRADETIME""),)"),46086.64583333333)</f>
        <v>46086.64583</v>
      </c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</row>
    <row r="1413">
      <c r="A1413" s="68" t="s">
        <v>1459</v>
      </c>
      <c r="B1413" s="64" t="str">
        <f>IFERROR(__xludf.DUMMYFUNCTION("IFERROR(GOOGLEFINANCE(A1413,""NAME""),)"),"Teamlease Services Ltd")</f>
        <v>Teamlease Services Ltd</v>
      </c>
      <c r="C1413" s="64">
        <f>IFERROR(__xludf.DUMMYFUNCTION("IFERROR(GOOGLEFINANCE(A1413,""CHANGE""),)"),-27.9)</f>
        <v>-27.9</v>
      </c>
      <c r="D1413" s="64">
        <f>IFERROR(__xludf.DUMMYFUNCTION("IFERROR(GOOGLEFINANCE(A1413,""CHANGEPCT""),)"),-2.36)</f>
        <v>-2.36</v>
      </c>
      <c r="E1413" s="64" t="str">
        <f t="shared" si="1"/>
        <v>-2.36%</v>
      </c>
      <c r="F1413" s="64" t="str">
        <f t="shared" si="2"/>
        <v/>
      </c>
      <c r="G1413" s="64">
        <f t="shared" si="3"/>
        <v>-2.36</v>
      </c>
      <c r="H1413" s="64">
        <f>IFERROR(__xludf.DUMMYFUNCTION("IFERROR(GOOGLEFINANCE(A1413,""PRICE""),)"),1155.0)</f>
        <v>1155</v>
      </c>
      <c r="I1413" s="65">
        <f>IFERROR(__xludf.DUMMYFUNCTION("IFERROR(GOOGLEFINANCE(A1413,""VOLUME""),)"),81139.0)</f>
        <v>81139</v>
      </c>
      <c r="J1413" s="64" t="str">
        <f>IFERROR(__xludf.DUMMYFUNCTION("IFERROR(INDEX(SPLIT(A1413,"":""),1,2),)"),"TEAMLEASE")</f>
        <v>TEAMLEASE</v>
      </c>
      <c r="K1413" s="64" t="str">
        <f t="shared" si="4"/>
        <v/>
      </c>
      <c r="L1413" s="64">
        <f t="shared" si="5"/>
        <v>379</v>
      </c>
      <c r="M1413" s="64">
        <f t="shared" si="6"/>
        <v>808</v>
      </c>
      <c r="N1413" s="66">
        <f>IFERROR(__xludf.DUMMYFUNCTION("IFERROR(GOOGLEFINANCE(A1413,""TRADETIME""),)"),46086.64586805555)</f>
        <v>46086.64587</v>
      </c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</row>
    <row r="1414">
      <c r="A1414" s="67" t="s">
        <v>1460</v>
      </c>
      <c r="B1414" s="60" t="str">
        <f>IFERROR(__xludf.DUMMYFUNCTION("IFERROR(GOOGLEFINANCE(A1414,""NAME""),)"),"")</f>
        <v/>
      </c>
      <c r="C1414" s="60" t="str">
        <f>IFERROR(__xludf.DUMMYFUNCTION("IFERROR(GOOGLEFINANCE(A1414,""CHANGE""),)"),"")</f>
        <v/>
      </c>
      <c r="D1414" s="60" t="str">
        <f>IFERROR(__xludf.DUMMYFUNCTION("IFERROR(GOOGLEFINANCE(A1414,""CHANGEPCT""),)"),"")</f>
        <v/>
      </c>
      <c r="E1414" s="60" t="str">
        <f t="shared" si="1"/>
        <v>%</v>
      </c>
      <c r="F1414" s="60" t="str">
        <f t="shared" si="2"/>
        <v/>
      </c>
      <c r="G1414" s="60" t="str">
        <f t="shared" si="3"/>
        <v/>
      </c>
      <c r="H1414" s="60" t="str">
        <f>IFERROR(__xludf.DUMMYFUNCTION("IFERROR(GOOGLEFINANCE(A1414,""PRICE""),)"),"")</f>
        <v/>
      </c>
      <c r="I1414" s="61" t="str">
        <f>IFERROR(__xludf.DUMMYFUNCTION("IFERROR(GOOGLEFINANCE(A1414,""VOLUME""),)"),"")</f>
        <v/>
      </c>
      <c r="J1414" s="60" t="str">
        <f>IFERROR(__xludf.DUMMYFUNCTION("IFERROR(INDEX(SPLIT(A1414,"":""),1,2),)"),"TECHIN")</f>
        <v>TECHIN</v>
      </c>
      <c r="K1414" s="60" t="str">
        <f t="shared" si="4"/>
        <v/>
      </c>
      <c r="L1414" s="60" t="str">
        <f t="shared" si="5"/>
        <v/>
      </c>
      <c r="M1414" s="60" t="str">
        <f t="shared" si="6"/>
        <v/>
      </c>
      <c r="N1414" s="62" t="str">
        <f>IFERROR(__xludf.DUMMYFUNCTION("IFERROR(GOOGLEFINANCE(A1414,""TRADETIME""),)"),"")</f>
        <v/>
      </c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</row>
    <row r="1415">
      <c r="A1415" s="68" t="s">
        <v>1461</v>
      </c>
      <c r="B1415" s="64" t="str">
        <f>IFERROR(__xludf.DUMMYFUNCTION("IFERROR(GOOGLEFINANCE(A1415,""NAME""),)"),"Tech Mahindra Ltd")</f>
        <v>Tech Mahindra Ltd</v>
      </c>
      <c r="C1415" s="64">
        <f>IFERROR(__xludf.DUMMYFUNCTION("IFERROR(GOOGLEFINANCE(A1415,""CHANGE""),)"),-18.7)</f>
        <v>-18.7</v>
      </c>
      <c r="D1415" s="64">
        <f>IFERROR(__xludf.DUMMYFUNCTION("IFERROR(GOOGLEFINANCE(A1415,""CHANGEPCT""),)"),-1.38)</f>
        <v>-1.38</v>
      </c>
      <c r="E1415" s="64" t="str">
        <f t="shared" si="1"/>
        <v>-1.38%</v>
      </c>
      <c r="F1415" s="64" t="str">
        <f t="shared" si="2"/>
        <v/>
      </c>
      <c r="G1415" s="64">
        <f t="shared" si="3"/>
        <v>-1.38</v>
      </c>
      <c r="H1415" s="64">
        <f>IFERROR(__xludf.DUMMYFUNCTION("IFERROR(GOOGLEFINANCE(A1415,""PRICE""),)"),1335.4)</f>
        <v>1335.4</v>
      </c>
      <c r="I1415" s="65">
        <f>IFERROR(__xludf.DUMMYFUNCTION("IFERROR(GOOGLEFINANCE(A1415,""VOLUME""),)"),1120812.0)</f>
        <v>1120812</v>
      </c>
      <c r="J1415" s="64" t="str">
        <f>IFERROR(__xludf.DUMMYFUNCTION("IFERROR(INDEX(SPLIT(A1415,"":""),1,2),)"),"TECHM")</f>
        <v>TECHM</v>
      </c>
      <c r="K1415" s="64" t="str">
        <f t="shared" si="4"/>
        <v/>
      </c>
      <c r="L1415" s="64">
        <f t="shared" si="5"/>
        <v>279</v>
      </c>
      <c r="M1415" s="64">
        <f t="shared" si="6"/>
        <v>272</v>
      </c>
      <c r="N1415" s="66">
        <f>IFERROR(__xludf.DUMMYFUNCTION("IFERROR(GOOGLEFINANCE(A1415,""TRADETIME""),)"),46086.64583333333)</f>
        <v>46086.64583</v>
      </c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</row>
    <row r="1416">
      <c r="A1416" s="67" t="s">
        <v>1462</v>
      </c>
      <c r="B1416" s="60" t="str">
        <f>IFERROR(__xludf.DUMMYFUNCTION("IFERROR(GOOGLEFINANCE(A1416,""NAME""),)"),"Techno Electric &amp; Engineering Cmpany Ltd")</f>
        <v>Techno Electric &amp; Engineering Cmpany Ltd</v>
      </c>
      <c r="C1416" s="60">
        <f>IFERROR(__xludf.DUMMYFUNCTION("IFERROR(GOOGLEFINANCE(A1416,""CHANGE""),)"),8.0)</f>
        <v>8</v>
      </c>
      <c r="D1416" s="60">
        <f>IFERROR(__xludf.DUMMYFUNCTION("IFERROR(GOOGLEFINANCE(A1416,""CHANGEPCT""),)"),0.71)</f>
        <v>0.71</v>
      </c>
      <c r="E1416" s="60" t="str">
        <f t="shared" si="1"/>
        <v>0.71%</v>
      </c>
      <c r="F1416" s="60">
        <f t="shared" si="2"/>
        <v>0.71</v>
      </c>
      <c r="G1416" s="60" t="str">
        <f t="shared" si="3"/>
        <v/>
      </c>
      <c r="H1416" s="60">
        <f>IFERROR(__xludf.DUMMYFUNCTION("IFERROR(GOOGLEFINANCE(A1416,""PRICE""),)"),1132.0)</f>
        <v>1132</v>
      </c>
      <c r="I1416" s="61">
        <f>IFERROR(__xludf.DUMMYFUNCTION("IFERROR(GOOGLEFINANCE(A1416,""VOLUME""),)"),145795.0)</f>
        <v>145795</v>
      </c>
      <c r="J1416" s="60" t="str">
        <f>IFERROR(__xludf.DUMMYFUNCTION("IFERROR(INDEX(SPLIT(A1416,"":""),1,2),)"),"TECHNOE")</f>
        <v>TECHNOE</v>
      </c>
      <c r="K1416" s="60">
        <f t="shared" si="4"/>
        <v>821</v>
      </c>
      <c r="L1416" s="60" t="str">
        <f t="shared" si="5"/>
        <v/>
      </c>
      <c r="M1416" s="60">
        <f t="shared" si="6"/>
        <v>679</v>
      </c>
      <c r="N1416" s="62">
        <f>IFERROR(__xludf.DUMMYFUNCTION("IFERROR(GOOGLEFINANCE(A1416,""TRADETIME""),)"),46086.64584490741)</f>
        <v>46086.64584</v>
      </c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</row>
    <row r="1417">
      <c r="A1417" s="68" t="s">
        <v>1463</v>
      </c>
      <c r="B1417" s="64" t="str">
        <f>IFERROR(__xludf.DUMMYFUNCTION("IFERROR(GOOGLEFINANCE(A1417,""NAME""),)"),"Tejas Networks Ltd")</f>
        <v>Tejas Networks Ltd</v>
      </c>
      <c r="C1417" s="64">
        <f>IFERROR(__xludf.DUMMYFUNCTION("IFERROR(GOOGLEFINANCE(A1417,""CHANGE""),)"),-6.65)</f>
        <v>-6.65</v>
      </c>
      <c r="D1417" s="64">
        <f>IFERROR(__xludf.DUMMYFUNCTION("IFERROR(GOOGLEFINANCE(A1417,""CHANGEPCT""),)"),-1.33)</f>
        <v>-1.33</v>
      </c>
      <c r="E1417" s="64" t="str">
        <f t="shared" si="1"/>
        <v>-1.33%</v>
      </c>
      <c r="F1417" s="64" t="str">
        <f t="shared" si="2"/>
        <v/>
      </c>
      <c r="G1417" s="64">
        <f t="shared" si="3"/>
        <v>-1.33</v>
      </c>
      <c r="H1417" s="64">
        <f>IFERROR(__xludf.DUMMYFUNCTION("IFERROR(GOOGLEFINANCE(A1417,""PRICE""),)"),493.0)</f>
        <v>493</v>
      </c>
      <c r="I1417" s="65">
        <f>IFERROR(__xludf.DUMMYFUNCTION("IFERROR(GOOGLEFINANCE(A1417,""VOLUME""),)"),4.8670589E7)</f>
        <v>48670589</v>
      </c>
      <c r="J1417" s="64" t="str">
        <f>IFERROR(__xludf.DUMMYFUNCTION("IFERROR(INDEX(SPLIT(A1417,"":""),1,2),)"),"TEJASNET")</f>
        <v>TEJASNET</v>
      </c>
      <c r="K1417" s="64" t="str">
        <f t="shared" si="4"/>
        <v/>
      </c>
      <c r="L1417" s="64">
        <f t="shared" si="5"/>
        <v>270</v>
      </c>
      <c r="M1417" s="64">
        <f t="shared" si="6"/>
        <v>5</v>
      </c>
      <c r="N1417" s="66">
        <f>IFERROR(__xludf.DUMMYFUNCTION("IFERROR(GOOGLEFINANCE(A1417,""TRADETIME""),)"),46086.64583333333)</f>
        <v>46086.64583</v>
      </c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</row>
    <row r="1418">
      <c r="A1418" s="67" t="s">
        <v>1464</v>
      </c>
      <c r="B1418" s="60" t="str">
        <f>IFERROR(__xludf.DUMMYFUNCTION("IFERROR(GOOGLEFINANCE(A1418,""NAME""),)"),"Tera Software Ltd")</f>
        <v>Tera Software Ltd</v>
      </c>
      <c r="C1418" s="60">
        <f>IFERROR(__xludf.DUMMYFUNCTION("IFERROR(GOOGLEFINANCE(A1418,""CHANGE""),)"),17.85)</f>
        <v>17.85</v>
      </c>
      <c r="D1418" s="60">
        <f>IFERROR(__xludf.DUMMYFUNCTION("IFERROR(GOOGLEFINANCE(A1418,""CHANGEPCT""),)"),4.99)</f>
        <v>4.99</v>
      </c>
      <c r="E1418" s="60" t="str">
        <f t="shared" si="1"/>
        <v>4.99%</v>
      </c>
      <c r="F1418" s="60">
        <f t="shared" si="2"/>
        <v>4.99</v>
      </c>
      <c r="G1418" s="60" t="str">
        <f t="shared" si="3"/>
        <v/>
      </c>
      <c r="H1418" s="60">
        <f>IFERROR(__xludf.DUMMYFUNCTION("IFERROR(GOOGLEFINANCE(A1418,""PRICE""),)"),375.45)</f>
        <v>375.45</v>
      </c>
      <c r="I1418" s="61">
        <f>IFERROR(__xludf.DUMMYFUNCTION("IFERROR(GOOGLEFINANCE(A1418,""VOLUME""),)"),14392.0)</f>
        <v>14392</v>
      </c>
      <c r="J1418" s="60" t="str">
        <f>IFERROR(__xludf.DUMMYFUNCTION("IFERROR(INDEX(SPLIT(A1418,"":""),1,2),)"),"TERASOFT")</f>
        <v>TERASOFT</v>
      </c>
      <c r="K1418" s="60">
        <f t="shared" si="4"/>
        <v>78</v>
      </c>
      <c r="L1418" s="60" t="str">
        <f t="shared" si="5"/>
        <v/>
      </c>
      <c r="M1418" s="60">
        <f t="shared" si="6"/>
        <v>1202</v>
      </c>
      <c r="N1418" s="62">
        <f>IFERROR(__xludf.DUMMYFUNCTION("IFERROR(GOOGLEFINANCE(A1418,""TRADETIME""),)"),46086.64583333333)</f>
        <v>46086.64583</v>
      </c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</row>
    <row r="1419">
      <c r="A1419" s="68" t="s">
        <v>1465</v>
      </c>
      <c r="B1419" s="64" t="str">
        <f>IFERROR(__xludf.DUMMYFUNCTION("IFERROR(GOOGLEFINANCE(A1419,""NAME""),)"),"Texmaco Infrastructure &amp; Holdings Ltd")</f>
        <v>Texmaco Infrastructure &amp; Holdings Ltd</v>
      </c>
      <c r="C1419" s="64">
        <f>IFERROR(__xludf.DUMMYFUNCTION("IFERROR(GOOGLEFINANCE(A1419,""CHANGE""),)"),1.36)</f>
        <v>1.36</v>
      </c>
      <c r="D1419" s="64">
        <f>IFERROR(__xludf.DUMMYFUNCTION("IFERROR(GOOGLEFINANCE(A1419,""CHANGEPCT""),)"),1.53)</f>
        <v>1.53</v>
      </c>
      <c r="E1419" s="64" t="str">
        <f t="shared" si="1"/>
        <v>1.53%</v>
      </c>
      <c r="F1419" s="64">
        <f t="shared" si="2"/>
        <v>1.53</v>
      </c>
      <c r="G1419" s="64" t="str">
        <f t="shared" si="3"/>
        <v/>
      </c>
      <c r="H1419" s="64">
        <f>IFERROR(__xludf.DUMMYFUNCTION("IFERROR(GOOGLEFINANCE(A1419,""PRICE""),)"),90.5)</f>
        <v>90.5</v>
      </c>
      <c r="I1419" s="65">
        <f>IFERROR(__xludf.DUMMYFUNCTION("IFERROR(GOOGLEFINANCE(A1419,""VOLUME""),)"),73447.0)</f>
        <v>73447</v>
      </c>
      <c r="J1419" s="64" t="str">
        <f>IFERROR(__xludf.DUMMYFUNCTION("IFERROR(INDEX(SPLIT(A1419,"":""),1,2),)"),"TEXINFRA")</f>
        <v>TEXINFRA</v>
      </c>
      <c r="K1419" s="64">
        <f t="shared" si="4"/>
        <v>563</v>
      </c>
      <c r="L1419" s="64" t="str">
        <f t="shared" si="5"/>
        <v/>
      </c>
      <c r="M1419" s="64">
        <f t="shared" si="6"/>
        <v>834</v>
      </c>
      <c r="N1419" s="66">
        <f>IFERROR(__xludf.DUMMYFUNCTION("IFERROR(GOOGLEFINANCE(A1419,""TRADETIME""),)"),46086.64583333333)</f>
        <v>46086.64583</v>
      </c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</row>
    <row r="1420">
      <c r="A1420" s="67" t="s">
        <v>1466</v>
      </c>
      <c r="B1420" s="60" t="str">
        <f>IFERROR(__xludf.DUMMYFUNCTION("IFERROR(GOOGLEFINANCE(A1420,""NAME""),)"),"Texmo Pipes and Products Ltd")</f>
        <v>Texmo Pipes and Products Ltd</v>
      </c>
      <c r="C1420" s="60">
        <f>IFERROR(__xludf.DUMMYFUNCTION("IFERROR(GOOGLEFINANCE(A1420,""CHANGE""),)"),0.85)</f>
        <v>0.85</v>
      </c>
      <c r="D1420" s="60">
        <f>IFERROR(__xludf.DUMMYFUNCTION("IFERROR(GOOGLEFINANCE(A1420,""CHANGEPCT""),)"),2.02)</f>
        <v>2.02</v>
      </c>
      <c r="E1420" s="60" t="str">
        <f t="shared" si="1"/>
        <v>2.02%</v>
      </c>
      <c r="F1420" s="60">
        <f t="shared" si="2"/>
        <v>2.02</v>
      </c>
      <c r="G1420" s="60" t="str">
        <f t="shared" si="3"/>
        <v/>
      </c>
      <c r="H1420" s="60">
        <f>IFERROR(__xludf.DUMMYFUNCTION("IFERROR(GOOGLEFINANCE(A1420,""PRICE""),)"),43.0)</f>
        <v>43</v>
      </c>
      <c r="I1420" s="61">
        <f>IFERROR(__xludf.DUMMYFUNCTION("IFERROR(GOOGLEFINANCE(A1420,""VOLUME""),)"),21354.0)</f>
        <v>21354</v>
      </c>
      <c r="J1420" s="60" t="str">
        <f>IFERROR(__xludf.DUMMYFUNCTION("IFERROR(INDEX(SPLIT(A1420,"":""),1,2),)"),"TEXMOPIPES")</f>
        <v>TEXMOPIPES</v>
      </c>
      <c r="K1420" s="60">
        <f t="shared" si="4"/>
        <v>436</v>
      </c>
      <c r="L1420" s="60" t="str">
        <f t="shared" si="5"/>
        <v/>
      </c>
      <c r="M1420" s="60">
        <f t="shared" si="6"/>
        <v>1128</v>
      </c>
      <c r="N1420" s="62">
        <f>IFERROR(__xludf.DUMMYFUNCTION("IFERROR(GOOGLEFINANCE(A1420,""TRADETIME""),)"),46086.64583333333)</f>
        <v>46086.64583</v>
      </c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</row>
    <row r="1421">
      <c r="A1421" s="68" t="s">
        <v>1467</v>
      </c>
      <c r="B1421" s="64" t="str">
        <f>IFERROR(__xludf.DUMMYFUNCTION("IFERROR(GOOGLEFINANCE(A1421,""NAME""),)"),"Texmaco Rail &amp; Engineering Ltd")</f>
        <v>Texmaco Rail &amp; Engineering Ltd</v>
      </c>
      <c r="C1421" s="64">
        <f>IFERROR(__xludf.DUMMYFUNCTION("IFERROR(GOOGLEFINANCE(A1421,""CHANGE""),)"),1.25)</f>
        <v>1.25</v>
      </c>
      <c r="D1421" s="64">
        <f>IFERROR(__xludf.DUMMYFUNCTION("IFERROR(GOOGLEFINANCE(A1421,""CHANGEPCT""),)"),1.3)</f>
        <v>1.3</v>
      </c>
      <c r="E1421" s="64" t="str">
        <f t="shared" si="1"/>
        <v>1.3%</v>
      </c>
      <c r="F1421" s="64">
        <f t="shared" si="2"/>
        <v>1.3</v>
      </c>
      <c r="G1421" s="64" t="str">
        <f t="shared" si="3"/>
        <v/>
      </c>
      <c r="H1421" s="64">
        <f>IFERROR(__xludf.DUMMYFUNCTION("IFERROR(GOOGLEFINANCE(A1421,""PRICE""),)"),97.05)</f>
        <v>97.05</v>
      </c>
      <c r="I1421" s="65">
        <f>IFERROR(__xludf.DUMMYFUNCTION("IFERROR(GOOGLEFINANCE(A1421,""VOLUME""),)"),1698449.0)</f>
        <v>1698449</v>
      </c>
      <c r="J1421" s="64" t="str">
        <f>IFERROR(__xludf.DUMMYFUNCTION("IFERROR(INDEX(SPLIT(A1421,"":""),1,2),)"),"TEXRAIL")</f>
        <v>TEXRAIL</v>
      </c>
      <c r="K1421" s="64">
        <f t="shared" si="4"/>
        <v>641</v>
      </c>
      <c r="L1421" s="64" t="str">
        <f t="shared" si="5"/>
        <v/>
      </c>
      <c r="M1421" s="64">
        <f t="shared" si="6"/>
        <v>226</v>
      </c>
      <c r="N1421" s="66">
        <f>IFERROR(__xludf.DUMMYFUNCTION("IFERROR(GOOGLEFINANCE(A1421,""TRADETIME""),)"),46086.64583333333)</f>
        <v>46086.64583</v>
      </c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</row>
    <row r="1422">
      <c r="A1422" s="67" t="s">
        <v>1468</v>
      </c>
      <c r="B1422" s="60" t="str">
        <f>IFERROR(__xludf.DUMMYFUNCTION("IFERROR(GOOGLEFINANCE(A1422,""NAME""),)"),"Tourism Finance Corporation of India Ltd")</f>
        <v>Tourism Finance Corporation of India Ltd</v>
      </c>
      <c r="C1422" s="60">
        <f>IFERROR(__xludf.DUMMYFUNCTION("IFERROR(GOOGLEFINANCE(A1422,""CHANGE""),)"),-0.54)</f>
        <v>-0.54</v>
      </c>
      <c r="D1422" s="60">
        <f>IFERROR(__xludf.DUMMYFUNCTION("IFERROR(GOOGLEFINANCE(A1422,""CHANGEPCT""),)"),-0.78)</f>
        <v>-0.78</v>
      </c>
      <c r="E1422" s="60" t="str">
        <f t="shared" si="1"/>
        <v>-0.78%</v>
      </c>
      <c r="F1422" s="60" t="str">
        <f t="shared" si="2"/>
        <v/>
      </c>
      <c r="G1422" s="60">
        <f t="shared" si="3"/>
        <v>-0.78</v>
      </c>
      <c r="H1422" s="60">
        <f>IFERROR(__xludf.DUMMYFUNCTION("IFERROR(GOOGLEFINANCE(A1422,""PRICE""),)"),68.34)</f>
        <v>68.34</v>
      </c>
      <c r="I1422" s="61">
        <f>IFERROR(__xludf.DUMMYFUNCTION("IFERROR(GOOGLEFINANCE(A1422,""VOLUME""),)"),8007309.0)</f>
        <v>8007309</v>
      </c>
      <c r="J1422" s="60" t="str">
        <f>IFERROR(__xludf.DUMMYFUNCTION("IFERROR(INDEX(SPLIT(A1422,"":""),1,2),)"),"TFCILTD")</f>
        <v>TFCILTD</v>
      </c>
      <c r="K1422" s="60" t="str">
        <f t="shared" si="4"/>
        <v/>
      </c>
      <c r="L1422" s="60">
        <f t="shared" si="5"/>
        <v>180</v>
      </c>
      <c r="M1422" s="60">
        <f t="shared" si="6"/>
        <v>75</v>
      </c>
      <c r="N1422" s="62">
        <f>IFERROR(__xludf.DUMMYFUNCTION("IFERROR(GOOGLEFINANCE(A1422,""TRADETIME""),)"),46086.64585648148)</f>
        <v>46086.64586</v>
      </c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</row>
    <row r="1423">
      <c r="A1423" s="68" t="s">
        <v>1469</v>
      </c>
      <c r="B1423" s="64" t="str">
        <f>IFERROR(__xludf.DUMMYFUNCTION("IFERROR(GOOGLEFINANCE(A1423,""NAME""),)"),"Transwarranty Finance Ltd")</f>
        <v>Transwarranty Finance Ltd</v>
      </c>
      <c r="C1423" s="64">
        <f>IFERROR(__xludf.DUMMYFUNCTION("IFERROR(GOOGLEFINANCE(A1423,""CHANGE""),)"),0.37)</f>
        <v>0.37</v>
      </c>
      <c r="D1423" s="64">
        <f>IFERROR(__xludf.DUMMYFUNCTION("IFERROR(GOOGLEFINANCE(A1423,""CHANGEPCT""),)"),2.9)</f>
        <v>2.9</v>
      </c>
      <c r="E1423" s="64" t="str">
        <f t="shared" si="1"/>
        <v>2.9%</v>
      </c>
      <c r="F1423" s="64">
        <f t="shared" si="2"/>
        <v>2.9</v>
      </c>
      <c r="G1423" s="64" t="str">
        <f t="shared" si="3"/>
        <v/>
      </c>
      <c r="H1423" s="64">
        <f>IFERROR(__xludf.DUMMYFUNCTION("IFERROR(GOOGLEFINANCE(A1423,""PRICE""),)"),13.11)</f>
        <v>13.11</v>
      </c>
      <c r="I1423" s="65">
        <f>IFERROR(__xludf.DUMMYFUNCTION("IFERROR(GOOGLEFINANCE(A1423,""VOLUME""),)"),18857.0)</f>
        <v>18857</v>
      </c>
      <c r="J1423" s="64" t="str">
        <f>IFERROR(__xludf.DUMMYFUNCTION("IFERROR(INDEX(SPLIT(A1423,"":""),1,2),)"),"TFL")</f>
        <v>TFL</v>
      </c>
      <c r="K1423" s="64">
        <f t="shared" si="4"/>
        <v>277</v>
      </c>
      <c r="L1423" s="64" t="str">
        <f t="shared" si="5"/>
        <v/>
      </c>
      <c r="M1423" s="64">
        <f t="shared" si="6"/>
        <v>1154</v>
      </c>
      <c r="N1423" s="66">
        <f>IFERROR(__xludf.DUMMYFUNCTION("IFERROR(GOOGLEFINANCE(A1423,""TRADETIME""),)"),46086.64583333333)</f>
        <v>46086.64583</v>
      </c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</row>
    <row r="1424">
      <c r="A1424" s="67" t="s">
        <v>1470</v>
      </c>
      <c r="B1424" s="60" t="str">
        <f>IFERROR(__xludf.DUMMYFUNCTION("IFERROR(GOOGLEFINANCE(A1424,""NAME""),)"),"TGB Banquets and Hotels Ltd")</f>
        <v>TGB Banquets and Hotels Ltd</v>
      </c>
      <c r="C1424" s="60">
        <f>IFERROR(__xludf.DUMMYFUNCTION("IFERROR(GOOGLEFINANCE(A1424,""CHANGE""),)"),0.2)</f>
        <v>0.2</v>
      </c>
      <c r="D1424" s="60">
        <f>IFERROR(__xludf.DUMMYFUNCTION("IFERROR(GOOGLEFINANCE(A1424,""CHANGEPCT""),)"),2.27)</f>
        <v>2.27</v>
      </c>
      <c r="E1424" s="60" t="str">
        <f t="shared" si="1"/>
        <v>2.27%</v>
      </c>
      <c r="F1424" s="60">
        <f t="shared" si="2"/>
        <v>2.27</v>
      </c>
      <c r="G1424" s="60" t="str">
        <f t="shared" si="3"/>
        <v/>
      </c>
      <c r="H1424" s="60">
        <f>IFERROR(__xludf.DUMMYFUNCTION("IFERROR(GOOGLEFINANCE(A1424,""PRICE""),)"),9.01)</f>
        <v>9.01</v>
      </c>
      <c r="I1424" s="61">
        <f>IFERROR(__xludf.DUMMYFUNCTION("IFERROR(GOOGLEFINANCE(A1424,""VOLUME""),)"),30212.0)</f>
        <v>30212</v>
      </c>
      <c r="J1424" s="60" t="str">
        <f>IFERROR(__xludf.DUMMYFUNCTION("IFERROR(INDEX(SPLIT(A1424,"":""),1,2),)"),"TGBHOTELS")</f>
        <v>TGBHOTELS</v>
      </c>
      <c r="K1424" s="60">
        <f t="shared" si="4"/>
        <v>384</v>
      </c>
      <c r="L1424" s="60" t="str">
        <f t="shared" si="5"/>
        <v/>
      </c>
      <c r="M1424" s="60">
        <f t="shared" si="6"/>
        <v>1056</v>
      </c>
      <c r="N1424" s="62">
        <f>IFERROR(__xludf.DUMMYFUNCTION("IFERROR(GOOGLEFINANCE(A1424,""TRADETIME""),)"),46086.64583333333)</f>
        <v>46086.64583</v>
      </c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</row>
    <row r="1425">
      <c r="A1425" s="68" t="s">
        <v>1471</v>
      </c>
      <c r="B1425" s="64" t="str">
        <f>IFERROR(__xludf.DUMMYFUNCTION("IFERROR(GOOGLEFINANCE(A1425,""NAME""),)"),"Thangamayil Jewellery Ltd")</f>
        <v>Thangamayil Jewellery Ltd</v>
      </c>
      <c r="C1425" s="64">
        <f>IFERROR(__xludf.DUMMYFUNCTION("IFERROR(GOOGLEFINANCE(A1425,""CHANGE""),)"),27.2)</f>
        <v>27.2</v>
      </c>
      <c r="D1425" s="64">
        <f>IFERROR(__xludf.DUMMYFUNCTION("IFERROR(GOOGLEFINANCE(A1425,""CHANGEPCT""),)"),0.75)</f>
        <v>0.75</v>
      </c>
      <c r="E1425" s="64" t="str">
        <f t="shared" si="1"/>
        <v>0.75%</v>
      </c>
      <c r="F1425" s="64">
        <f t="shared" si="2"/>
        <v>0.75</v>
      </c>
      <c r="G1425" s="64" t="str">
        <f t="shared" si="3"/>
        <v/>
      </c>
      <c r="H1425" s="64">
        <f>IFERROR(__xludf.DUMMYFUNCTION("IFERROR(GOOGLEFINANCE(A1425,""PRICE""),)"),3632.0)</f>
        <v>3632</v>
      </c>
      <c r="I1425" s="65">
        <f>IFERROR(__xludf.DUMMYFUNCTION("IFERROR(GOOGLEFINANCE(A1425,""VOLUME""),)"),92346.0)</f>
        <v>92346</v>
      </c>
      <c r="J1425" s="64" t="str">
        <f>IFERROR(__xludf.DUMMYFUNCTION("IFERROR(INDEX(SPLIT(A1425,"":""),1,2),)"),"THANGAMAYL")</f>
        <v>THANGAMAYL</v>
      </c>
      <c r="K1425" s="64">
        <f t="shared" si="4"/>
        <v>803</v>
      </c>
      <c r="L1425" s="64" t="str">
        <f t="shared" si="5"/>
        <v/>
      </c>
      <c r="M1425" s="64">
        <f t="shared" si="6"/>
        <v>775</v>
      </c>
      <c r="N1425" s="66">
        <f>IFERROR(__xludf.DUMMYFUNCTION("IFERROR(GOOGLEFINANCE(A1425,""TRADETIME""),)"),46086.64583333333)</f>
        <v>46086.64583</v>
      </c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</row>
    <row r="1426">
      <c r="A1426" s="67" t="s">
        <v>1472</v>
      </c>
      <c r="B1426" s="60" t="str">
        <f>IFERROR(__xludf.DUMMYFUNCTION("IFERROR(GOOGLEFINANCE(A1426,""NAME""),)"),"Investment Trust of India Ltd")</f>
        <v>Investment Trust of India Ltd</v>
      </c>
      <c r="C1426" s="60">
        <f>IFERROR(__xludf.DUMMYFUNCTION("IFERROR(GOOGLEFINANCE(A1426,""CHANGE""),)"),1.39)</f>
        <v>1.39</v>
      </c>
      <c r="D1426" s="60">
        <f>IFERROR(__xludf.DUMMYFUNCTION("IFERROR(GOOGLEFINANCE(A1426,""CHANGEPCT""),)"),1.5)</f>
        <v>1.5</v>
      </c>
      <c r="E1426" s="60" t="str">
        <f t="shared" si="1"/>
        <v>1.5%</v>
      </c>
      <c r="F1426" s="60">
        <f t="shared" si="2"/>
        <v>1.5</v>
      </c>
      <c r="G1426" s="60" t="str">
        <f t="shared" si="3"/>
        <v/>
      </c>
      <c r="H1426" s="60">
        <f>IFERROR(__xludf.DUMMYFUNCTION("IFERROR(GOOGLEFINANCE(A1426,""PRICE""),)"),94.1)</f>
        <v>94.1</v>
      </c>
      <c r="I1426" s="61">
        <f>IFERROR(__xludf.DUMMYFUNCTION("IFERROR(GOOGLEFINANCE(A1426,""VOLUME""),)"),10784.0)</f>
        <v>10784</v>
      </c>
      <c r="J1426" s="60" t="str">
        <f>IFERROR(__xludf.DUMMYFUNCTION("IFERROR(INDEX(SPLIT(A1426,"":""),1,2),)"),"THEINVEST")</f>
        <v>THEINVEST</v>
      </c>
      <c r="K1426" s="60">
        <f t="shared" si="4"/>
        <v>573</v>
      </c>
      <c r="L1426" s="60" t="str">
        <f t="shared" si="5"/>
        <v/>
      </c>
      <c r="M1426" s="60">
        <f t="shared" si="6"/>
        <v>1252</v>
      </c>
      <c r="N1426" s="62">
        <f>IFERROR(__xludf.DUMMYFUNCTION("IFERROR(GOOGLEFINANCE(A1426,""TRADETIME""),)"),46086.64583333333)</f>
        <v>46086.64583</v>
      </c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</row>
    <row r="1427">
      <c r="A1427" s="68" t="s">
        <v>1473</v>
      </c>
      <c r="B1427" s="64" t="str">
        <f>IFERROR(__xludf.DUMMYFUNCTION("IFERROR(GOOGLEFINANCE(A1427,""NAME""),)"),"Themis Medicare Ltd")</f>
        <v>Themis Medicare Ltd</v>
      </c>
      <c r="C1427" s="64">
        <f>IFERROR(__xludf.DUMMYFUNCTION("IFERROR(GOOGLEFINANCE(A1427,""CHANGE""),)"),-1.3)</f>
        <v>-1.3</v>
      </c>
      <c r="D1427" s="64">
        <f>IFERROR(__xludf.DUMMYFUNCTION("IFERROR(GOOGLEFINANCE(A1427,""CHANGEPCT""),)"),-2.82)</f>
        <v>-2.82</v>
      </c>
      <c r="E1427" s="64" t="str">
        <f t="shared" si="1"/>
        <v>-2.82%</v>
      </c>
      <c r="F1427" s="64" t="str">
        <f t="shared" si="2"/>
        <v/>
      </c>
      <c r="G1427" s="64">
        <f t="shared" si="3"/>
        <v>-2.82</v>
      </c>
      <c r="H1427" s="64">
        <f>IFERROR(__xludf.DUMMYFUNCTION("IFERROR(GOOGLEFINANCE(A1427,""PRICE""),)"),80.0)</f>
        <v>80</v>
      </c>
      <c r="I1427" s="65">
        <f>IFERROR(__xludf.DUMMYFUNCTION("IFERROR(GOOGLEFINANCE(A1427,""VOLUME""),)"),34693.0)</f>
        <v>34693</v>
      </c>
      <c r="J1427" s="64" t="str">
        <f>IFERROR(__xludf.DUMMYFUNCTION("IFERROR(INDEX(SPLIT(A1427,"":""),1,2),)"),"THEMISMED")</f>
        <v>THEMISMED</v>
      </c>
      <c r="K1427" s="64" t="str">
        <f t="shared" si="4"/>
        <v/>
      </c>
      <c r="L1427" s="64">
        <f t="shared" si="5"/>
        <v>400</v>
      </c>
      <c r="M1427" s="64">
        <f t="shared" si="6"/>
        <v>1021</v>
      </c>
      <c r="N1427" s="66">
        <f>IFERROR(__xludf.DUMMYFUNCTION("IFERROR(GOOGLEFINANCE(A1427,""TRADETIME""),)"),46086.64583333333)</f>
        <v>46086.64583</v>
      </c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</row>
    <row r="1428">
      <c r="A1428" s="67" t="s">
        <v>1474</v>
      </c>
      <c r="B1428" s="60" t="str">
        <f>IFERROR(__xludf.DUMMYFUNCTION("IFERROR(GOOGLEFINANCE(A1428,""NAME""),)"),"Thermax Limited")</f>
        <v>Thermax Limited</v>
      </c>
      <c r="C1428" s="60">
        <f>IFERROR(__xludf.DUMMYFUNCTION("IFERROR(GOOGLEFINANCE(A1428,""CHANGE""),)"),37.5)</f>
        <v>37.5</v>
      </c>
      <c r="D1428" s="60">
        <f>IFERROR(__xludf.DUMMYFUNCTION("IFERROR(GOOGLEFINANCE(A1428,""CHANGEPCT""),)"),1.24)</f>
        <v>1.24</v>
      </c>
      <c r="E1428" s="60" t="str">
        <f t="shared" si="1"/>
        <v>1.24%</v>
      </c>
      <c r="F1428" s="60">
        <f t="shared" si="2"/>
        <v>1.24</v>
      </c>
      <c r="G1428" s="60" t="str">
        <f t="shared" si="3"/>
        <v/>
      </c>
      <c r="H1428" s="60">
        <f>IFERROR(__xludf.DUMMYFUNCTION("IFERROR(GOOGLEFINANCE(A1428,""PRICE""),)"),3053.0)</f>
        <v>3053</v>
      </c>
      <c r="I1428" s="61">
        <f>IFERROR(__xludf.DUMMYFUNCTION("IFERROR(GOOGLEFINANCE(A1428,""VOLUME""),)"),121181.0)</f>
        <v>121181</v>
      </c>
      <c r="J1428" s="60" t="str">
        <f>IFERROR(__xludf.DUMMYFUNCTION("IFERROR(INDEX(SPLIT(A1428,"":""),1,2),)"),"THERMAX")</f>
        <v>THERMAX</v>
      </c>
      <c r="K1428" s="60">
        <f t="shared" si="4"/>
        <v>658</v>
      </c>
      <c r="L1428" s="60" t="str">
        <f t="shared" si="5"/>
        <v/>
      </c>
      <c r="M1428" s="60">
        <f t="shared" si="6"/>
        <v>720</v>
      </c>
      <c r="N1428" s="62">
        <f>IFERROR(__xludf.DUMMYFUNCTION("IFERROR(GOOGLEFINANCE(A1428,""TRADETIME""),)"),46086.64175925926)</f>
        <v>46086.64176</v>
      </c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</row>
    <row r="1429">
      <c r="A1429" s="63" t="s">
        <v>1475</v>
      </c>
      <c r="B1429" s="64" t="str">
        <f>IFERROR(__xludf.DUMMYFUNCTION("IFERROR(GOOGLEFINANCE(A1429,""NAME""),)"),"Technocraft Industries (India) Ltd")</f>
        <v>Technocraft Industries (India) Ltd</v>
      </c>
      <c r="C1429" s="64">
        <f>IFERROR(__xludf.DUMMYFUNCTION("IFERROR(GOOGLEFINANCE(A1429,""CHANGE""),)"),65.0)</f>
        <v>65</v>
      </c>
      <c r="D1429" s="64">
        <f>IFERROR(__xludf.DUMMYFUNCTION("IFERROR(GOOGLEFINANCE(A1429,""CHANGEPCT""),)"),3.01)</f>
        <v>3.01</v>
      </c>
      <c r="E1429" s="64" t="str">
        <f t="shared" si="1"/>
        <v>3.01%</v>
      </c>
      <c r="F1429" s="64">
        <f t="shared" si="2"/>
        <v>3.01</v>
      </c>
      <c r="G1429" s="64" t="str">
        <f t="shared" si="3"/>
        <v/>
      </c>
      <c r="H1429" s="64">
        <f>IFERROR(__xludf.DUMMYFUNCTION("IFERROR(GOOGLEFINANCE(A1429,""PRICE""),)"),2170.0)</f>
        <v>2170</v>
      </c>
      <c r="I1429" s="65">
        <f>IFERROR(__xludf.DUMMYFUNCTION("IFERROR(GOOGLEFINANCE(A1429,""VOLUME""),)"),17733.0)</f>
        <v>17733</v>
      </c>
      <c r="J1429" s="64" t="str">
        <f>IFERROR(__xludf.DUMMYFUNCTION("IFERROR(INDEX(SPLIT(A1429,"":""),1,2),)"),"TIIL")</f>
        <v>TIIL</v>
      </c>
      <c r="K1429" s="64">
        <f t="shared" si="4"/>
        <v>255</v>
      </c>
      <c r="L1429" s="64" t="str">
        <f t="shared" si="5"/>
        <v/>
      </c>
      <c r="M1429" s="64">
        <f t="shared" si="6"/>
        <v>1170</v>
      </c>
      <c r="N1429" s="66">
        <f>IFERROR(__xludf.DUMMYFUNCTION("IFERROR(GOOGLEFINANCE(A1429,""TRADETIME""),)"),46086.64584490741)</f>
        <v>46086.64584</v>
      </c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</row>
    <row r="1430">
      <c r="A1430" s="59" t="s">
        <v>1476</v>
      </c>
      <c r="B1430" s="60" t="str">
        <f>IFERROR(__xludf.DUMMYFUNCTION("IFERROR(GOOGLEFINANCE(A1430,""NAME""),)"),"")</f>
        <v/>
      </c>
      <c r="C1430" s="60" t="str">
        <f>IFERROR(__xludf.DUMMYFUNCTION("IFERROR(GOOGLEFINANCE(A1430,""CHANGE""),)"),"")</f>
        <v/>
      </c>
      <c r="D1430" s="60" t="str">
        <f>IFERROR(__xludf.DUMMYFUNCTION("IFERROR(GOOGLEFINANCE(A1430,""CHANGEPCT""),)"),"")</f>
        <v/>
      </c>
      <c r="E1430" s="60" t="str">
        <f t="shared" si="1"/>
        <v>%</v>
      </c>
      <c r="F1430" s="60" t="str">
        <f t="shared" si="2"/>
        <v/>
      </c>
      <c r="G1430" s="60" t="str">
        <f t="shared" si="3"/>
        <v/>
      </c>
      <c r="H1430" s="60" t="str">
        <f>IFERROR(__xludf.DUMMYFUNCTION("IFERROR(GOOGLEFINANCE(A1430,""PRICE""),)"),"")</f>
        <v/>
      </c>
      <c r="I1430" s="61" t="str">
        <f>IFERROR(__xludf.DUMMYFUNCTION("IFERROR(GOOGLEFINANCE(A1430,""VOLUME""),)"),"")</f>
        <v/>
      </c>
      <c r="J1430" s="60" t="str">
        <f>IFERROR(__xludf.DUMMYFUNCTION("IFERROR(INDEX(SPLIT(A1430,"":""),1,2),)"),"TRIL")</f>
        <v>TRIL</v>
      </c>
      <c r="K1430" s="60" t="str">
        <f t="shared" si="4"/>
        <v/>
      </c>
      <c r="L1430" s="60" t="str">
        <f t="shared" si="5"/>
        <v/>
      </c>
      <c r="M1430" s="60" t="str">
        <f t="shared" si="6"/>
        <v/>
      </c>
      <c r="N1430" s="62" t="str">
        <f>IFERROR(__xludf.DUMMYFUNCTION("IFERROR(GOOGLEFINANCE(A1430,""TRADETIME""),)"),"")</f>
        <v/>
      </c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</row>
    <row r="1431">
      <c r="A1431" s="68" t="s">
        <v>1477</v>
      </c>
      <c r="B1431" s="64" t="str">
        <f>IFERROR(__xludf.DUMMYFUNCTION("IFERROR(GOOGLEFINANCE(A1431,""NAME""),)"),"Thyrocare Technologies Ltd")</f>
        <v>Thyrocare Technologies Ltd</v>
      </c>
      <c r="C1431" s="64">
        <f>IFERROR(__xludf.DUMMYFUNCTION("IFERROR(GOOGLEFINANCE(A1431,""CHANGE""),)"),-1.95)</f>
        <v>-1.95</v>
      </c>
      <c r="D1431" s="64">
        <f>IFERROR(__xludf.DUMMYFUNCTION("IFERROR(GOOGLEFINANCE(A1431,""CHANGEPCT""),)"),-0.52)</f>
        <v>-0.52</v>
      </c>
      <c r="E1431" s="64" t="str">
        <f t="shared" si="1"/>
        <v>-0.52%</v>
      </c>
      <c r="F1431" s="64" t="str">
        <f t="shared" si="2"/>
        <v/>
      </c>
      <c r="G1431" s="64">
        <f t="shared" si="3"/>
        <v>-0.52</v>
      </c>
      <c r="H1431" s="64">
        <f>IFERROR(__xludf.DUMMYFUNCTION("IFERROR(GOOGLEFINANCE(A1431,""PRICE""),)"),375.0)</f>
        <v>375</v>
      </c>
      <c r="I1431" s="65">
        <f>IFERROR(__xludf.DUMMYFUNCTION("IFERROR(GOOGLEFINANCE(A1431,""VOLUME""),)"),258368.0)</f>
        <v>258368</v>
      </c>
      <c r="J1431" s="64" t="str">
        <f>IFERROR(__xludf.DUMMYFUNCTION("IFERROR(INDEX(SPLIT(A1431,"":""),1,2),)"),"THYROCARE")</f>
        <v>THYROCARE</v>
      </c>
      <c r="K1431" s="64" t="str">
        <f t="shared" si="4"/>
        <v/>
      </c>
      <c r="L1431" s="64">
        <f t="shared" si="5"/>
        <v>126</v>
      </c>
      <c r="M1431" s="64">
        <f t="shared" si="6"/>
        <v>544</v>
      </c>
      <c r="N1431" s="66">
        <f>IFERROR(__xludf.DUMMYFUNCTION("IFERROR(GOOGLEFINANCE(A1431,""TRADETIME""),)"),46086.64584490741)</f>
        <v>46086.64584</v>
      </c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</row>
    <row r="1432">
      <c r="A1432" s="67" t="s">
        <v>1478</v>
      </c>
      <c r="B1432" s="60" t="str">
        <f>IFERROR(__xludf.DUMMYFUNCTION("IFERROR(GOOGLEFINANCE(A1432,""NAME""),)"),"Tilaknagar Industries Ltd")</f>
        <v>Tilaknagar Industries Ltd</v>
      </c>
      <c r="C1432" s="60">
        <f>IFERROR(__xludf.DUMMYFUNCTION("IFERROR(GOOGLEFINANCE(A1432,""CHANGE""),)"),3.1)</f>
        <v>3.1</v>
      </c>
      <c r="D1432" s="60">
        <f>IFERROR(__xludf.DUMMYFUNCTION("IFERROR(GOOGLEFINANCE(A1432,""CHANGEPCT""),)"),1.33)</f>
        <v>1.33</v>
      </c>
      <c r="E1432" s="60" t="str">
        <f t="shared" si="1"/>
        <v>1.33%</v>
      </c>
      <c r="F1432" s="60">
        <f t="shared" si="2"/>
        <v>1.33</v>
      </c>
      <c r="G1432" s="60" t="str">
        <f t="shared" si="3"/>
        <v/>
      </c>
      <c r="H1432" s="60">
        <f>IFERROR(__xludf.DUMMYFUNCTION("IFERROR(GOOGLEFINANCE(A1432,""PRICE""),)"),427.0)</f>
        <v>427</v>
      </c>
      <c r="I1432" s="61">
        <f>IFERROR(__xludf.DUMMYFUNCTION("IFERROR(GOOGLEFINANCE(A1432,""VOLUME""),)"),389161.0)</f>
        <v>389161</v>
      </c>
      <c r="J1432" s="60" t="str">
        <f>IFERROR(__xludf.DUMMYFUNCTION("IFERROR(INDEX(SPLIT(A1432,"":""),1,2),)"),"TI")</f>
        <v>TI</v>
      </c>
      <c r="K1432" s="60">
        <f t="shared" si="4"/>
        <v>629</v>
      </c>
      <c r="L1432" s="60" t="str">
        <f t="shared" si="5"/>
        <v/>
      </c>
      <c r="M1432" s="60">
        <f t="shared" si="6"/>
        <v>445</v>
      </c>
      <c r="N1432" s="62">
        <f>IFERROR(__xludf.DUMMYFUNCTION("IFERROR(GOOGLEFINANCE(A1432,""TRADETIME""),)"),46086.64585648148)</f>
        <v>46086.64586</v>
      </c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</row>
    <row r="1433">
      <c r="A1433" s="68" t="s">
        <v>1479</v>
      </c>
      <c r="B1433" s="64" t="str">
        <f>IFERROR(__xludf.DUMMYFUNCTION("IFERROR(GOOGLEFINANCE(A1433,""NAME""),)"),"")</f>
        <v/>
      </c>
      <c r="C1433" s="64" t="str">
        <f>IFERROR(__xludf.DUMMYFUNCTION("IFERROR(GOOGLEFINANCE(A1433,""CHANGE""),)"),"")</f>
        <v/>
      </c>
      <c r="D1433" s="64" t="str">
        <f>IFERROR(__xludf.DUMMYFUNCTION("IFERROR(GOOGLEFINANCE(A1433,""CHANGEPCT""),)"),"")</f>
        <v/>
      </c>
      <c r="E1433" s="64" t="str">
        <f t="shared" si="1"/>
        <v>%</v>
      </c>
      <c r="F1433" s="64" t="str">
        <f t="shared" si="2"/>
        <v/>
      </c>
      <c r="G1433" s="64" t="str">
        <f t="shared" si="3"/>
        <v/>
      </c>
      <c r="H1433" s="64" t="str">
        <f>IFERROR(__xludf.DUMMYFUNCTION("IFERROR(GOOGLEFINANCE(A1433,""PRICE""),)"),"")</f>
        <v/>
      </c>
      <c r="I1433" s="65" t="str">
        <f>IFERROR(__xludf.DUMMYFUNCTION("IFERROR(GOOGLEFINANCE(A1433,""VOLUME""),)"),"")</f>
        <v/>
      </c>
      <c r="J1433" s="64" t="str">
        <f>IFERROR(__xludf.DUMMYFUNCTION("IFERROR(INDEX(SPLIT(A1433,"":""),1,2),)"),"TIDEWATER")</f>
        <v>TIDEWATER</v>
      </c>
      <c r="K1433" s="64" t="str">
        <f t="shared" si="4"/>
        <v/>
      </c>
      <c r="L1433" s="64" t="str">
        <f t="shared" si="5"/>
        <v/>
      </c>
      <c r="M1433" s="64" t="str">
        <f t="shared" si="6"/>
        <v/>
      </c>
      <c r="N1433" s="66" t="str">
        <f>IFERROR(__xludf.DUMMYFUNCTION("IFERROR(GOOGLEFINANCE(A1433,""TRADETIME""),)"),"")</f>
        <v/>
      </c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</row>
    <row r="1434">
      <c r="A1434" s="59" t="s">
        <v>1480</v>
      </c>
      <c r="B1434" s="60" t="str">
        <f>IFERROR(__xludf.DUMMYFUNCTION("IFERROR(GOOGLEFINANCE(A1434,""NAME""),)"),"")</f>
        <v/>
      </c>
      <c r="C1434" s="60" t="str">
        <f>IFERROR(__xludf.DUMMYFUNCTION("IFERROR(GOOGLEFINANCE(A1434,""CHANGE""),)"),"")</f>
        <v/>
      </c>
      <c r="D1434" s="60" t="str">
        <f>IFERROR(__xludf.DUMMYFUNCTION("IFERROR(GOOGLEFINANCE(A1434,""CHANGEPCT""),)"),"")</f>
        <v/>
      </c>
      <c r="E1434" s="60" t="str">
        <f t="shared" si="1"/>
        <v>%</v>
      </c>
      <c r="F1434" s="60" t="str">
        <f t="shared" si="2"/>
        <v/>
      </c>
      <c r="G1434" s="60" t="str">
        <f t="shared" si="3"/>
        <v/>
      </c>
      <c r="H1434" s="60" t="str">
        <f>IFERROR(__xludf.DUMMYFUNCTION("IFERROR(GOOGLEFINANCE(A1434,""PRICE""),)"),"")</f>
        <v/>
      </c>
      <c r="I1434" s="61" t="str">
        <f>IFERROR(__xludf.DUMMYFUNCTION("IFERROR(GOOGLEFINANCE(A1434,""VOLUME""),)"),"")</f>
        <v/>
      </c>
      <c r="J1434" s="60" t="str">
        <f>IFERROR(__xludf.DUMMYFUNCTION("IFERROR(INDEX(SPLIT(A1434,"":""),1,2),)"),"VENKYS")</f>
        <v>VENKYS</v>
      </c>
      <c r="K1434" s="60" t="str">
        <f t="shared" si="4"/>
        <v/>
      </c>
      <c r="L1434" s="60" t="str">
        <f t="shared" si="5"/>
        <v/>
      </c>
      <c r="M1434" s="60" t="str">
        <f t="shared" si="6"/>
        <v/>
      </c>
      <c r="N1434" s="62" t="str">
        <f>IFERROR(__xludf.DUMMYFUNCTION("IFERROR(GOOGLEFINANCE(A1434,""TRADETIME""),)"),"")</f>
        <v/>
      </c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</row>
    <row r="1435">
      <c r="A1435" s="68" t="s">
        <v>1481</v>
      </c>
      <c r="B1435" s="64" t="str">
        <f>IFERROR(__xludf.DUMMYFUNCTION("IFERROR(GOOGLEFINANCE(A1435,""NAME""),)"),"Tube Investments of India Ltd")</f>
        <v>Tube Investments of India Ltd</v>
      </c>
      <c r="C1435" s="64">
        <f>IFERROR(__xludf.DUMMYFUNCTION("IFERROR(GOOGLEFINANCE(A1435,""CHANGE""),)"),17.9)</f>
        <v>17.9</v>
      </c>
      <c r="D1435" s="64">
        <f>IFERROR(__xludf.DUMMYFUNCTION("IFERROR(GOOGLEFINANCE(A1435,""CHANGEPCT""),)"),0.36)</f>
        <v>0.36</v>
      </c>
      <c r="E1435" s="64" t="str">
        <f t="shared" si="1"/>
        <v>0.36%</v>
      </c>
      <c r="F1435" s="64">
        <f t="shared" si="2"/>
        <v>0.36</v>
      </c>
      <c r="G1435" s="64" t="str">
        <f t="shared" si="3"/>
        <v/>
      </c>
      <c r="H1435" s="64">
        <f>IFERROR(__xludf.DUMMYFUNCTION("IFERROR(GOOGLEFINANCE(A1435,""PRICE""),)"),2789.0)</f>
        <v>2789</v>
      </c>
      <c r="I1435" s="65">
        <f>IFERROR(__xludf.DUMMYFUNCTION("IFERROR(GOOGLEFINANCE(A1435,""VOLUME""),)"),516741.0)</f>
        <v>516741</v>
      </c>
      <c r="J1435" s="64" t="str">
        <f>IFERROR(__xludf.DUMMYFUNCTION("IFERROR(INDEX(SPLIT(A1435,"":""),1,2),)"),"TIINDIA")</f>
        <v>TIINDIA</v>
      </c>
      <c r="K1435" s="64">
        <f t="shared" si="4"/>
        <v>917</v>
      </c>
      <c r="L1435" s="64" t="str">
        <f t="shared" si="5"/>
        <v/>
      </c>
      <c r="M1435" s="64">
        <f t="shared" si="6"/>
        <v>393</v>
      </c>
      <c r="N1435" s="66">
        <f>IFERROR(__xludf.DUMMYFUNCTION("IFERROR(GOOGLEFINANCE(A1435,""TRADETIME""),)"),46086.64583333333)</f>
        <v>46086.64583</v>
      </c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</row>
    <row r="1436">
      <c r="A1436" s="67" t="s">
        <v>1482</v>
      </c>
      <c r="B1436" s="60" t="str">
        <f>IFERROR(__xludf.DUMMYFUNCTION("IFERROR(GOOGLEFINANCE(A1436,""NAME""),)"),"Tijaria Polypipes Ltd")</f>
        <v>Tijaria Polypipes Ltd</v>
      </c>
      <c r="C1436" s="60">
        <f>IFERROR(__xludf.DUMMYFUNCTION("IFERROR(GOOGLEFINANCE(A1436,""CHANGE""),)"),0.2)</f>
        <v>0.2</v>
      </c>
      <c r="D1436" s="60">
        <f>IFERROR(__xludf.DUMMYFUNCTION("IFERROR(GOOGLEFINANCE(A1436,""CHANGEPCT""),)"),4.38)</f>
        <v>4.38</v>
      </c>
      <c r="E1436" s="60" t="str">
        <f t="shared" si="1"/>
        <v>4.38%</v>
      </c>
      <c r="F1436" s="60">
        <f t="shared" si="2"/>
        <v>4.38</v>
      </c>
      <c r="G1436" s="60" t="str">
        <f t="shared" si="3"/>
        <v/>
      </c>
      <c r="H1436" s="60">
        <f>IFERROR(__xludf.DUMMYFUNCTION("IFERROR(GOOGLEFINANCE(A1436,""PRICE""),)"),4.77)</f>
        <v>4.77</v>
      </c>
      <c r="I1436" s="61">
        <f>IFERROR(__xludf.DUMMYFUNCTION("IFERROR(GOOGLEFINANCE(A1436,""VOLUME""),)"),34640.0)</f>
        <v>34640</v>
      </c>
      <c r="J1436" s="60" t="str">
        <f>IFERROR(__xludf.DUMMYFUNCTION("IFERROR(INDEX(SPLIT(A1436,"":""),1,2),)"),"TIJARIA")</f>
        <v>TIJARIA</v>
      </c>
      <c r="K1436" s="60">
        <f t="shared" si="4"/>
        <v>118</v>
      </c>
      <c r="L1436" s="60" t="str">
        <f t="shared" si="5"/>
        <v/>
      </c>
      <c r="M1436" s="60">
        <f t="shared" si="6"/>
        <v>1022</v>
      </c>
      <c r="N1436" s="62">
        <f>IFERROR(__xludf.DUMMYFUNCTION("IFERROR(GOOGLEFINANCE(A1436,""TRADETIME""),)"),46086.64583333333)</f>
        <v>46086.64583</v>
      </c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</row>
    <row r="1437">
      <c r="A1437" s="68" t="s">
        <v>1483</v>
      </c>
      <c r="B1437" s="64" t="str">
        <f>IFERROR(__xludf.DUMMYFUNCTION("IFERROR(GOOGLEFINANCE(A1437,""NAME""),)"),"TIL Ltd")</f>
        <v>TIL Ltd</v>
      </c>
      <c r="C1437" s="64">
        <f>IFERROR(__xludf.DUMMYFUNCTION("IFERROR(GOOGLEFINANCE(A1437,""CHANGE""),)"),0.28)</f>
        <v>0.28</v>
      </c>
      <c r="D1437" s="64">
        <f>IFERROR(__xludf.DUMMYFUNCTION("IFERROR(GOOGLEFINANCE(A1437,""CHANGEPCT""),)"),1.59)</f>
        <v>1.59</v>
      </c>
      <c r="E1437" s="64" t="str">
        <f t="shared" si="1"/>
        <v>1.59%</v>
      </c>
      <c r="F1437" s="64">
        <f t="shared" si="2"/>
        <v>1.59</v>
      </c>
      <c r="G1437" s="64" t="str">
        <f t="shared" si="3"/>
        <v/>
      </c>
      <c r="H1437" s="64">
        <f>IFERROR(__xludf.DUMMYFUNCTION("IFERROR(GOOGLEFINANCE(A1437,""PRICE""),)"),207.0)</f>
        <v>207</v>
      </c>
      <c r="I1437" s="65">
        <f>IFERROR(__xludf.DUMMYFUNCTION("IFERROR(GOOGLEFINANCE(A1437,""VOLUME""),)"),22431.0)</f>
        <v>22431</v>
      </c>
      <c r="J1437" s="64" t="str">
        <f>IFERROR(__xludf.DUMMYFUNCTION("IFERROR(INDEX(SPLIT(A1437,"":""),1,2),)"),"TIL")</f>
        <v>TIL</v>
      </c>
      <c r="K1437" s="64">
        <f t="shared" si="4"/>
        <v>540</v>
      </c>
      <c r="L1437" s="64" t="str">
        <f t="shared" si="5"/>
        <v/>
      </c>
      <c r="M1437" s="64">
        <f t="shared" si="6"/>
        <v>1121</v>
      </c>
      <c r="N1437" s="66">
        <f>IFERROR(__xludf.DUMMYFUNCTION("IFERROR(GOOGLEFINANCE(A1437,""TRADETIME""),)"),46086.64586805555)</f>
        <v>46086.64587</v>
      </c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</row>
    <row r="1438">
      <c r="A1438" s="67" t="s">
        <v>1484</v>
      </c>
      <c r="B1438" s="60" t="str">
        <f>IFERROR(__xludf.DUMMYFUNCTION("IFERROR(GOOGLEFINANCE(A1438,""NAME""),)"),"")</f>
        <v/>
      </c>
      <c r="C1438" s="60" t="str">
        <f>IFERROR(__xludf.DUMMYFUNCTION("IFERROR(GOOGLEFINANCE(A1438,""CHANGE""),)"),"")</f>
        <v/>
      </c>
      <c r="D1438" s="60" t="str">
        <f>IFERROR(__xludf.DUMMYFUNCTION("IFERROR(GOOGLEFINANCE(A1438,""CHANGEPCT""),)"),"")</f>
        <v/>
      </c>
      <c r="E1438" s="60" t="str">
        <f t="shared" si="1"/>
        <v>%</v>
      </c>
      <c r="F1438" s="60" t="str">
        <f t="shared" si="2"/>
        <v/>
      </c>
      <c r="G1438" s="60" t="str">
        <f t="shared" si="3"/>
        <v/>
      </c>
      <c r="H1438" s="60" t="str">
        <f>IFERROR(__xludf.DUMMYFUNCTION("IFERROR(GOOGLEFINANCE(A1438,""PRICE""),)"),"")</f>
        <v/>
      </c>
      <c r="I1438" s="61" t="str">
        <f>IFERROR(__xludf.DUMMYFUNCTION("IFERROR(GOOGLEFINANCE(A1438,""VOLUME""),)"),"")</f>
        <v/>
      </c>
      <c r="J1438" s="60" t="str">
        <f>IFERROR(__xludf.DUMMYFUNCTION("IFERROR(INDEX(SPLIT(A1438,"":""),1,2),)"),"TIMESGTY")</f>
        <v>TIMESGTY</v>
      </c>
      <c r="K1438" s="60" t="str">
        <f t="shared" si="4"/>
        <v/>
      </c>
      <c r="L1438" s="60" t="str">
        <f t="shared" si="5"/>
        <v/>
      </c>
      <c r="M1438" s="60" t="str">
        <f t="shared" si="6"/>
        <v/>
      </c>
      <c r="N1438" s="62" t="str">
        <f>IFERROR(__xludf.DUMMYFUNCTION("IFERROR(GOOGLEFINANCE(A1438,""TRADETIME""),)"),"")</f>
        <v/>
      </c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</row>
    <row r="1439">
      <c r="A1439" s="68" t="s">
        <v>1485</v>
      </c>
      <c r="B1439" s="64" t="str">
        <f>IFERROR(__xludf.DUMMYFUNCTION("IFERROR(GOOGLEFINANCE(A1439,""NAME""),)"),"Time Technoplast Ltd")</f>
        <v>Time Technoplast Ltd</v>
      </c>
      <c r="C1439" s="64">
        <f>IFERROR(__xludf.DUMMYFUNCTION("IFERROR(GOOGLEFINANCE(A1439,""CHANGE""),)"),6.33)</f>
        <v>6.33</v>
      </c>
      <c r="D1439" s="64">
        <f>IFERROR(__xludf.DUMMYFUNCTION("IFERROR(GOOGLEFINANCE(A1439,""CHANGEPCT""),)"),3.65)</f>
        <v>3.65</v>
      </c>
      <c r="E1439" s="64" t="str">
        <f t="shared" si="1"/>
        <v>3.65%</v>
      </c>
      <c r="F1439" s="64">
        <f t="shared" si="2"/>
        <v>3.65</v>
      </c>
      <c r="G1439" s="64" t="str">
        <f t="shared" si="3"/>
        <v/>
      </c>
      <c r="H1439" s="64">
        <f>IFERROR(__xludf.DUMMYFUNCTION("IFERROR(GOOGLEFINANCE(A1439,""PRICE""),)"),179.65)</f>
        <v>179.65</v>
      </c>
      <c r="I1439" s="65">
        <f>IFERROR(__xludf.DUMMYFUNCTION("IFERROR(GOOGLEFINANCE(A1439,""VOLUME""),)"),2192620.0)</f>
        <v>2192620</v>
      </c>
      <c r="J1439" s="64" t="str">
        <f>IFERROR(__xludf.DUMMYFUNCTION("IFERROR(INDEX(SPLIT(A1439,"":""),1,2),)"),"TIMETECHNO")</f>
        <v>TIMETECHNO</v>
      </c>
      <c r="K1439" s="64">
        <f t="shared" si="4"/>
        <v>179</v>
      </c>
      <c r="L1439" s="64" t="str">
        <f t="shared" si="5"/>
        <v/>
      </c>
      <c r="M1439" s="64">
        <f t="shared" si="6"/>
        <v>188</v>
      </c>
      <c r="N1439" s="66">
        <f>IFERROR(__xludf.DUMMYFUNCTION("IFERROR(GOOGLEFINANCE(A1439,""TRADETIME""),)"),46086.64585648148)</f>
        <v>46086.64586</v>
      </c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</row>
    <row r="1440">
      <c r="A1440" s="67" t="s">
        <v>1486</v>
      </c>
      <c r="B1440" s="60" t="str">
        <f>IFERROR(__xludf.DUMMYFUNCTION("IFERROR(GOOGLEFINANCE(A1440,""NAME""),)"),"Timken India Ltd")</f>
        <v>Timken India Ltd</v>
      </c>
      <c r="C1440" s="60">
        <f>IFERROR(__xludf.DUMMYFUNCTION("IFERROR(GOOGLEFINANCE(A1440,""CHANGE""),)"),104.0)</f>
        <v>104</v>
      </c>
      <c r="D1440" s="60">
        <f>IFERROR(__xludf.DUMMYFUNCTION("IFERROR(GOOGLEFINANCE(A1440,""CHANGEPCT""),)"),3.21)</f>
        <v>3.21</v>
      </c>
      <c r="E1440" s="60" t="str">
        <f t="shared" si="1"/>
        <v>3.21%</v>
      </c>
      <c r="F1440" s="60">
        <f t="shared" si="2"/>
        <v>3.21</v>
      </c>
      <c r="G1440" s="60" t="str">
        <f t="shared" si="3"/>
        <v/>
      </c>
      <c r="H1440" s="60">
        <f>IFERROR(__xludf.DUMMYFUNCTION("IFERROR(GOOGLEFINANCE(A1440,""PRICE""),)"),3340.0)</f>
        <v>3340</v>
      </c>
      <c r="I1440" s="61">
        <f>IFERROR(__xludf.DUMMYFUNCTION("IFERROR(GOOGLEFINANCE(A1440,""VOLUME""),)"),36325.0)</f>
        <v>36325</v>
      </c>
      <c r="J1440" s="60" t="str">
        <f>IFERROR(__xludf.DUMMYFUNCTION("IFERROR(INDEX(SPLIT(A1440,"":""),1,2),)"),"TIMKEN")</f>
        <v>TIMKEN</v>
      </c>
      <c r="K1440" s="60">
        <f t="shared" si="4"/>
        <v>222</v>
      </c>
      <c r="L1440" s="60" t="str">
        <f t="shared" si="5"/>
        <v/>
      </c>
      <c r="M1440" s="60">
        <f t="shared" si="6"/>
        <v>1009</v>
      </c>
      <c r="N1440" s="62">
        <f>IFERROR(__xludf.DUMMYFUNCTION("IFERROR(GOOGLEFINANCE(A1440,""TRADETIME""),)"),46086.64583333333)</f>
        <v>46086.64583</v>
      </c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</row>
    <row r="1441">
      <c r="A1441" s="68" t="s">
        <v>1487</v>
      </c>
      <c r="B1441" s="64" t="str">
        <f>IFERROR(__xludf.DUMMYFUNCTION("IFERROR(GOOGLEFINANCE(A1441,""NAME""),)"),"")</f>
        <v/>
      </c>
      <c r="C1441" s="64" t="str">
        <f>IFERROR(__xludf.DUMMYFUNCTION("IFERROR(GOOGLEFINANCE(A1441,""CHANGE""),)"),"")</f>
        <v/>
      </c>
      <c r="D1441" s="64" t="str">
        <f>IFERROR(__xludf.DUMMYFUNCTION("IFERROR(GOOGLEFINANCE(A1441,""CHANGEPCT""),)"),"")</f>
        <v/>
      </c>
      <c r="E1441" s="64" t="str">
        <f t="shared" si="1"/>
        <v>%</v>
      </c>
      <c r="F1441" s="64" t="str">
        <f t="shared" si="2"/>
        <v/>
      </c>
      <c r="G1441" s="64" t="str">
        <f t="shared" si="3"/>
        <v/>
      </c>
      <c r="H1441" s="64" t="str">
        <f>IFERROR(__xludf.DUMMYFUNCTION("IFERROR(GOOGLEFINANCE(A1441,""PRICE""),)"),"")</f>
        <v/>
      </c>
      <c r="I1441" s="65" t="str">
        <f>IFERROR(__xludf.DUMMYFUNCTION("IFERROR(GOOGLEFINANCE(A1441,""VOLUME""),)"),"")</f>
        <v/>
      </c>
      <c r="J1441" s="64" t="str">
        <f>IFERROR(__xludf.DUMMYFUNCTION("IFERROR(INDEX(SPLIT(A1441,"":""),1,2),)"),"TINPLATE")</f>
        <v>TINPLATE</v>
      </c>
      <c r="K1441" s="64" t="str">
        <f t="shared" si="4"/>
        <v/>
      </c>
      <c r="L1441" s="64" t="str">
        <f t="shared" si="5"/>
        <v/>
      </c>
      <c r="M1441" s="64" t="str">
        <f t="shared" si="6"/>
        <v/>
      </c>
      <c r="N1441" s="66" t="str">
        <f>IFERROR(__xludf.DUMMYFUNCTION("IFERROR(GOOGLEFINANCE(A1441,""TRADETIME""),)"),"")</f>
        <v/>
      </c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</row>
    <row r="1442">
      <c r="A1442" s="67" t="s">
        <v>1488</v>
      </c>
      <c r="B1442" s="60" t="str">
        <f>IFERROR(__xludf.DUMMYFUNCTION("IFERROR(GOOGLEFINANCE(A1442,""NAME""),)"),"")</f>
        <v/>
      </c>
      <c r="C1442" s="60" t="str">
        <f>IFERROR(__xludf.DUMMYFUNCTION("IFERROR(GOOGLEFINANCE(A1442,""CHANGE""),)"),"")</f>
        <v/>
      </c>
      <c r="D1442" s="60" t="str">
        <f>IFERROR(__xludf.DUMMYFUNCTION("IFERROR(GOOGLEFINANCE(A1442,""CHANGEPCT""),)"),"")</f>
        <v/>
      </c>
      <c r="E1442" s="60" t="str">
        <f t="shared" si="1"/>
        <v>%</v>
      </c>
      <c r="F1442" s="60" t="str">
        <f t="shared" si="2"/>
        <v/>
      </c>
      <c r="G1442" s="60" t="str">
        <f t="shared" si="3"/>
        <v/>
      </c>
      <c r="H1442" s="60" t="str">
        <f>IFERROR(__xludf.DUMMYFUNCTION("IFERROR(GOOGLEFINANCE(A1442,""PRICE""),)"),"")</f>
        <v/>
      </c>
      <c r="I1442" s="61" t="str">
        <f>IFERROR(__xludf.DUMMYFUNCTION("IFERROR(GOOGLEFINANCE(A1442,""VOLUME""),)"),"")</f>
        <v/>
      </c>
      <c r="J1442" s="60" t="str">
        <f>IFERROR(__xludf.DUMMYFUNCTION("IFERROR(INDEX(SPLIT(A1442,"":""),1,2),)"),"TIPSINDLTD")</f>
        <v>TIPSINDLTD</v>
      </c>
      <c r="K1442" s="60" t="str">
        <f t="shared" si="4"/>
        <v/>
      </c>
      <c r="L1442" s="60" t="str">
        <f t="shared" si="5"/>
        <v/>
      </c>
      <c r="M1442" s="60" t="str">
        <f t="shared" si="6"/>
        <v/>
      </c>
      <c r="N1442" s="62" t="str">
        <f>IFERROR(__xludf.DUMMYFUNCTION("IFERROR(GOOGLEFINANCE(A1442,""TRADETIME""),)"),"")</f>
        <v/>
      </c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</row>
    <row r="1443">
      <c r="A1443" s="68" t="s">
        <v>1489</v>
      </c>
      <c r="B1443" s="64" t="str">
        <f>IFERROR(__xludf.DUMMYFUNCTION("IFERROR(GOOGLEFINANCE(A1443,""NAME""),)"),"Thirumalai Chemicals Ltd")</f>
        <v>Thirumalai Chemicals Ltd</v>
      </c>
      <c r="C1443" s="64">
        <f>IFERROR(__xludf.DUMMYFUNCTION("IFERROR(GOOGLEFINANCE(A1443,""CHANGE""),)"),-7.93)</f>
        <v>-7.93</v>
      </c>
      <c r="D1443" s="64">
        <f>IFERROR(__xludf.DUMMYFUNCTION("IFERROR(GOOGLEFINANCE(A1443,""CHANGEPCT""),)"),-4.43)</f>
        <v>-4.43</v>
      </c>
      <c r="E1443" s="64" t="str">
        <f t="shared" si="1"/>
        <v>-4.43%</v>
      </c>
      <c r="F1443" s="64" t="str">
        <f t="shared" si="2"/>
        <v/>
      </c>
      <c r="G1443" s="64">
        <f t="shared" si="3"/>
        <v>-4.43</v>
      </c>
      <c r="H1443" s="64">
        <f>IFERROR(__xludf.DUMMYFUNCTION("IFERROR(GOOGLEFINANCE(A1443,""PRICE""),)"),171.0)</f>
        <v>171</v>
      </c>
      <c r="I1443" s="65">
        <f>IFERROR(__xludf.DUMMYFUNCTION("IFERROR(GOOGLEFINANCE(A1443,""VOLUME""),)"),587678.0)</f>
        <v>587678</v>
      </c>
      <c r="J1443" s="64" t="str">
        <f>IFERROR(__xludf.DUMMYFUNCTION("IFERROR(INDEX(SPLIT(A1443,"":""),1,2),)"),"TIRUMALCHM")</f>
        <v>TIRUMALCHM</v>
      </c>
      <c r="K1443" s="64" t="str">
        <f t="shared" si="4"/>
        <v/>
      </c>
      <c r="L1443" s="64">
        <f t="shared" si="5"/>
        <v>429</v>
      </c>
      <c r="M1443" s="64">
        <f t="shared" si="6"/>
        <v>371</v>
      </c>
      <c r="N1443" s="66">
        <f>IFERROR(__xludf.DUMMYFUNCTION("IFERROR(GOOGLEFINANCE(A1443,""TRADETIME""),)"),46086.64583333333)</f>
        <v>46086.64583</v>
      </c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</row>
    <row r="1444">
      <c r="A1444" s="67" t="s">
        <v>1490</v>
      </c>
      <c r="B1444" s="60" t="str">
        <f>IFERROR(__xludf.DUMMYFUNCTION("IFERROR(GOOGLEFINANCE(A1444,""NAME""),)"),"Tirupati Forge Ltd")</f>
        <v>Tirupati Forge Ltd</v>
      </c>
      <c r="C1444" s="60">
        <f>IFERROR(__xludf.DUMMYFUNCTION("IFERROR(GOOGLEFINANCE(A1444,""CHANGE""),)"),-0.34)</f>
        <v>-0.34</v>
      </c>
      <c r="D1444" s="60">
        <f>IFERROR(__xludf.DUMMYFUNCTION("IFERROR(GOOGLEFINANCE(A1444,""CHANGEPCT""),)"),-0.91)</f>
        <v>-0.91</v>
      </c>
      <c r="E1444" s="60" t="str">
        <f t="shared" si="1"/>
        <v>-0.91%</v>
      </c>
      <c r="F1444" s="60" t="str">
        <f t="shared" si="2"/>
        <v/>
      </c>
      <c r="G1444" s="60">
        <f t="shared" si="3"/>
        <v>-0.91</v>
      </c>
      <c r="H1444" s="60">
        <f>IFERROR(__xludf.DUMMYFUNCTION("IFERROR(GOOGLEFINANCE(A1444,""PRICE""),)"),36.79)</f>
        <v>36.79</v>
      </c>
      <c r="I1444" s="61">
        <f>IFERROR(__xludf.DUMMYFUNCTION("IFERROR(GOOGLEFINANCE(A1444,""VOLUME""),)"),491145.0)</f>
        <v>491145</v>
      </c>
      <c r="J1444" s="60" t="str">
        <f>IFERROR(__xludf.DUMMYFUNCTION("IFERROR(INDEX(SPLIT(A1444,"":""),1,2),)"),"TIRUPATIFL")</f>
        <v>TIRUPATIFL</v>
      </c>
      <c r="K1444" s="60" t="str">
        <f t="shared" si="4"/>
        <v/>
      </c>
      <c r="L1444" s="60">
        <f t="shared" si="5"/>
        <v>202</v>
      </c>
      <c r="M1444" s="60">
        <f t="shared" si="6"/>
        <v>403</v>
      </c>
      <c r="N1444" s="62">
        <f>IFERROR(__xludf.DUMMYFUNCTION("IFERROR(GOOGLEFINANCE(A1444,""TRADETIME""),)"),46086.64583333333)</f>
        <v>46086.64583</v>
      </c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</row>
    <row r="1445">
      <c r="A1445" s="68" t="s">
        <v>1491</v>
      </c>
      <c r="B1445" s="64" t="str">
        <f>IFERROR(__xludf.DUMMYFUNCTION("IFERROR(GOOGLEFINANCE(A1445,""NAME""),)"),"Titan Company Ltd")</f>
        <v>Titan Company Ltd</v>
      </c>
      <c r="C1445" s="64">
        <f>IFERROR(__xludf.DUMMYFUNCTION("IFERROR(GOOGLEFINANCE(A1445,""CHANGE""),)"),65.6)</f>
        <v>65.6</v>
      </c>
      <c r="D1445" s="64">
        <f>IFERROR(__xludf.DUMMYFUNCTION("IFERROR(GOOGLEFINANCE(A1445,""CHANGEPCT""),)"),1.56)</f>
        <v>1.56</v>
      </c>
      <c r="E1445" s="64" t="str">
        <f t="shared" si="1"/>
        <v>1.56%</v>
      </c>
      <c r="F1445" s="64">
        <f t="shared" si="2"/>
        <v>1.56</v>
      </c>
      <c r="G1445" s="64" t="str">
        <f t="shared" si="3"/>
        <v/>
      </c>
      <c r="H1445" s="64">
        <f>IFERROR(__xludf.DUMMYFUNCTION("IFERROR(GOOGLEFINANCE(A1445,""PRICE""),)"),4270.0)</f>
        <v>4270</v>
      </c>
      <c r="I1445" s="65">
        <f>IFERROR(__xludf.DUMMYFUNCTION("IFERROR(GOOGLEFINANCE(A1445,""VOLUME""),)"),691328.0)</f>
        <v>691328</v>
      </c>
      <c r="J1445" s="64" t="str">
        <f>IFERROR(__xludf.DUMMYFUNCTION("IFERROR(INDEX(SPLIT(A1445,"":""),1,2),)"),"TITAN")</f>
        <v>TITAN</v>
      </c>
      <c r="K1445" s="64">
        <f t="shared" si="4"/>
        <v>551</v>
      </c>
      <c r="L1445" s="64" t="str">
        <f t="shared" si="5"/>
        <v/>
      </c>
      <c r="M1445" s="64">
        <f t="shared" si="6"/>
        <v>341</v>
      </c>
      <c r="N1445" s="66">
        <f>IFERROR(__xludf.DUMMYFUNCTION("IFERROR(GOOGLEFINANCE(A1445,""TRADETIME""),)"),46086.64583333333)</f>
        <v>46086.64583</v>
      </c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</row>
    <row r="1446">
      <c r="A1446" s="67" t="s">
        <v>1492</v>
      </c>
      <c r="B1446" s="60" t="str">
        <f>IFERROR(__xludf.DUMMYFUNCTION("IFERROR(GOOGLEFINANCE(A1446,""NAME""),)"),"Heads UP Ventures Ltd")</f>
        <v>Heads UP Ventures Ltd</v>
      </c>
      <c r="C1446" s="60">
        <f>IFERROR(__xludf.DUMMYFUNCTION("IFERROR(GOOGLEFINANCE(A1446,""CHANGE""),)"),-0.04)</f>
        <v>-0.04</v>
      </c>
      <c r="D1446" s="60">
        <f>IFERROR(__xludf.DUMMYFUNCTION("IFERROR(GOOGLEFINANCE(A1446,""CHANGEPCT""),)"),-0.53)</f>
        <v>-0.53</v>
      </c>
      <c r="E1446" s="60" t="str">
        <f t="shared" si="1"/>
        <v>-0.53%</v>
      </c>
      <c r="F1446" s="60" t="str">
        <f t="shared" si="2"/>
        <v/>
      </c>
      <c r="G1446" s="60">
        <f t="shared" si="3"/>
        <v>-0.53</v>
      </c>
      <c r="H1446" s="60">
        <f>IFERROR(__xludf.DUMMYFUNCTION("IFERROR(GOOGLEFINANCE(A1446,""PRICE""),)"),7.51)</f>
        <v>7.51</v>
      </c>
      <c r="I1446" s="61">
        <f>IFERROR(__xludf.DUMMYFUNCTION("IFERROR(GOOGLEFINANCE(A1446,""VOLUME""),)"),11339.0)</f>
        <v>11339</v>
      </c>
      <c r="J1446" s="60" t="str">
        <f>IFERROR(__xludf.DUMMYFUNCTION("IFERROR(INDEX(SPLIT(A1446,"":""),1,2),)"),"HEADSUP")</f>
        <v>HEADSUP</v>
      </c>
      <c r="K1446" s="60" t="str">
        <f t="shared" si="4"/>
        <v/>
      </c>
      <c r="L1446" s="60">
        <f t="shared" si="5"/>
        <v>128</v>
      </c>
      <c r="M1446" s="60">
        <f t="shared" si="6"/>
        <v>1242</v>
      </c>
      <c r="N1446" s="62">
        <f>IFERROR(__xludf.DUMMYFUNCTION("IFERROR(GOOGLEFINANCE(A1446,""TRADETIME""),)"),46086.64583333333)</f>
        <v>46086.64583</v>
      </c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</row>
    <row r="1447">
      <c r="A1447" s="68" t="s">
        <v>1493</v>
      </c>
      <c r="B1447" s="64" t="str">
        <f>IFERROR(__xludf.DUMMYFUNCTION("IFERROR(GOOGLEFINANCE(A1447,""NAME""),)"),"Tamilnadu Petroproducts Ltd")</f>
        <v>Tamilnadu Petroproducts Ltd</v>
      </c>
      <c r="C1447" s="64">
        <f>IFERROR(__xludf.DUMMYFUNCTION("IFERROR(GOOGLEFINANCE(A1447,""CHANGE""),)"),-1.71)</f>
        <v>-1.71</v>
      </c>
      <c r="D1447" s="64">
        <f>IFERROR(__xludf.DUMMYFUNCTION("IFERROR(GOOGLEFINANCE(A1447,""CHANGEPCT""),)"),-1.91)</f>
        <v>-1.91</v>
      </c>
      <c r="E1447" s="64" t="str">
        <f t="shared" si="1"/>
        <v>-1.91%</v>
      </c>
      <c r="F1447" s="64" t="str">
        <f t="shared" si="2"/>
        <v/>
      </c>
      <c r="G1447" s="64">
        <f t="shared" si="3"/>
        <v>-1.91</v>
      </c>
      <c r="H1447" s="64">
        <f>IFERROR(__xludf.DUMMYFUNCTION("IFERROR(GOOGLEFINANCE(A1447,""PRICE""),)"),85.66)</f>
        <v>85.66</v>
      </c>
      <c r="I1447" s="65">
        <f>IFERROR(__xludf.DUMMYFUNCTION("IFERROR(GOOGLEFINANCE(A1447,""VOLUME""),)"),161090.0)</f>
        <v>161090</v>
      </c>
      <c r="J1447" s="64" t="str">
        <f>IFERROR(__xludf.DUMMYFUNCTION("IFERROR(INDEX(SPLIT(A1447,"":""),1,2),)"),"TNPETRO")</f>
        <v>TNPETRO</v>
      </c>
      <c r="K1447" s="64" t="str">
        <f t="shared" si="4"/>
        <v/>
      </c>
      <c r="L1447" s="64">
        <f t="shared" si="5"/>
        <v>339</v>
      </c>
      <c r="M1447" s="64">
        <f t="shared" si="6"/>
        <v>654</v>
      </c>
      <c r="N1447" s="66">
        <f>IFERROR(__xludf.DUMMYFUNCTION("IFERROR(GOOGLEFINANCE(A1447,""TRADETIME""),)"),46086.64583333333)</f>
        <v>46086.64583</v>
      </c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</row>
    <row r="1448">
      <c r="A1448" s="67" t="s">
        <v>1494</v>
      </c>
      <c r="B1448" s="60" t="str">
        <f>IFERROR(__xludf.DUMMYFUNCTION("IFERROR(GOOGLEFINANCE(A1448,""NAME""),)"),"Tamilnadu Newsprint &amp; Papers Ltd")</f>
        <v>Tamilnadu Newsprint &amp; Papers Ltd</v>
      </c>
      <c r="C1448" s="60">
        <f>IFERROR(__xludf.DUMMYFUNCTION("IFERROR(GOOGLEFINANCE(A1448,""CHANGE""),)"),3.83)</f>
        <v>3.83</v>
      </c>
      <c r="D1448" s="60">
        <f>IFERROR(__xludf.DUMMYFUNCTION("IFERROR(GOOGLEFINANCE(A1448,""CHANGEPCT""),)"),4.23)</f>
        <v>4.23</v>
      </c>
      <c r="E1448" s="60" t="str">
        <f t="shared" si="1"/>
        <v>4.23%</v>
      </c>
      <c r="F1448" s="60">
        <f t="shared" si="2"/>
        <v>4.23</v>
      </c>
      <c r="G1448" s="60" t="str">
        <f t="shared" si="3"/>
        <v/>
      </c>
      <c r="H1448" s="60">
        <f>IFERROR(__xludf.DUMMYFUNCTION("IFERROR(GOOGLEFINANCE(A1448,""PRICE""),)"),137.65)</f>
        <v>137.65</v>
      </c>
      <c r="I1448" s="61">
        <f>IFERROR(__xludf.DUMMYFUNCTION("IFERROR(GOOGLEFINANCE(A1448,""VOLUME""),)"),189540.0)</f>
        <v>189540</v>
      </c>
      <c r="J1448" s="60" t="str">
        <f>IFERROR(__xludf.DUMMYFUNCTION("IFERROR(INDEX(SPLIT(A1448,"":""),1,2),)"),"TNPL")</f>
        <v>TNPL</v>
      </c>
      <c r="K1448" s="60">
        <f t="shared" si="4"/>
        <v>130</v>
      </c>
      <c r="L1448" s="60" t="str">
        <f t="shared" si="5"/>
        <v/>
      </c>
      <c r="M1448" s="60">
        <f t="shared" si="6"/>
        <v>620</v>
      </c>
      <c r="N1448" s="62">
        <f>IFERROR(__xludf.DUMMYFUNCTION("IFERROR(GOOGLEFINANCE(A1448,""TRADETIME""),)"),46086.64583333333)</f>
        <v>46086.64583</v>
      </c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</row>
    <row r="1449">
      <c r="A1449" s="68" t="s">
        <v>1495</v>
      </c>
      <c r="B1449" s="64" t="str">
        <f>IFERROR(__xludf.DUMMYFUNCTION("IFERROR(GOOGLEFINANCE(A1449,""NAME""),)"),"Tamilnadu Telecommunication Ltd")</f>
        <v>Tamilnadu Telecommunication Ltd</v>
      </c>
      <c r="C1449" s="64">
        <f>IFERROR(__xludf.DUMMYFUNCTION("IFERROR(GOOGLEFINANCE(A1449,""CHANGE""),)"),0.24)</f>
        <v>0.24</v>
      </c>
      <c r="D1449" s="64">
        <f>IFERROR(__xludf.DUMMYFUNCTION("IFERROR(GOOGLEFINANCE(A1449,""CHANGEPCT""),)"),3.2)</f>
        <v>3.2</v>
      </c>
      <c r="E1449" s="64" t="str">
        <f t="shared" si="1"/>
        <v>3.2%</v>
      </c>
      <c r="F1449" s="64">
        <f t="shared" si="2"/>
        <v>3.2</v>
      </c>
      <c r="G1449" s="64" t="str">
        <f t="shared" si="3"/>
        <v/>
      </c>
      <c r="H1449" s="64">
        <f>IFERROR(__xludf.DUMMYFUNCTION("IFERROR(GOOGLEFINANCE(A1449,""PRICE""),)"),9.04)</f>
        <v>9.04</v>
      </c>
      <c r="I1449" s="65">
        <f>IFERROR(__xludf.DUMMYFUNCTION("IFERROR(GOOGLEFINANCE(A1449,""VOLUME""),)"),12814.0)</f>
        <v>12814</v>
      </c>
      <c r="J1449" s="64" t="str">
        <f>IFERROR(__xludf.DUMMYFUNCTION("IFERROR(INDEX(SPLIT(A1449,"":""),1,2),)"),"TNTELE")</f>
        <v>TNTELE</v>
      </c>
      <c r="K1449" s="64">
        <f t="shared" si="4"/>
        <v>226</v>
      </c>
      <c r="L1449" s="64" t="str">
        <f t="shared" si="5"/>
        <v/>
      </c>
      <c r="M1449" s="64">
        <f t="shared" si="6"/>
        <v>1216</v>
      </c>
      <c r="N1449" s="66">
        <f>IFERROR(__xludf.DUMMYFUNCTION("IFERROR(GOOGLEFINANCE(A1449,""TRADETIME""),)"),46086.64104166666)</f>
        <v>46086.64104</v>
      </c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</row>
    <row r="1450">
      <c r="A1450" s="67" t="s">
        <v>1496</v>
      </c>
      <c r="B1450" s="60" t="str">
        <f>IFERROR(__xludf.DUMMYFUNCTION("IFERROR(GOOGLEFINANCE(A1450,""NAME""),)"),"Tokyo Plast International Ltd")</f>
        <v>Tokyo Plast International Ltd</v>
      </c>
      <c r="C1450" s="60">
        <f>IFERROR(__xludf.DUMMYFUNCTION("IFERROR(GOOGLEFINANCE(A1450,""CHANGE""),)"),5.31)</f>
        <v>5.31</v>
      </c>
      <c r="D1450" s="60">
        <f>IFERROR(__xludf.DUMMYFUNCTION("IFERROR(GOOGLEFINANCE(A1450,""CHANGEPCT""),)"),7.21)</f>
        <v>7.21</v>
      </c>
      <c r="E1450" s="60" t="str">
        <f t="shared" si="1"/>
        <v>7.21%</v>
      </c>
      <c r="F1450" s="60">
        <f t="shared" si="2"/>
        <v>7.21</v>
      </c>
      <c r="G1450" s="60" t="str">
        <f t="shared" si="3"/>
        <v/>
      </c>
      <c r="H1450" s="60">
        <f>IFERROR(__xludf.DUMMYFUNCTION("IFERROR(GOOGLEFINANCE(A1450,""PRICE""),)"),78.98)</f>
        <v>78.98</v>
      </c>
      <c r="I1450" s="61">
        <f>IFERROR(__xludf.DUMMYFUNCTION("IFERROR(GOOGLEFINANCE(A1450,""VOLUME""),)"),12135.0)</f>
        <v>12135</v>
      </c>
      <c r="J1450" s="60" t="str">
        <f>IFERROR(__xludf.DUMMYFUNCTION("IFERROR(INDEX(SPLIT(A1450,"":""),1,2),)"),"TOKYOPLAST")</f>
        <v>TOKYOPLAST</v>
      </c>
      <c r="K1450" s="60">
        <f t="shared" si="4"/>
        <v>25</v>
      </c>
      <c r="L1450" s="60" t="str">
        <f t="shared" si="5"/>
        <v/>
      </c>
      <c r="M1450" s="60">
        <f t="shared" si="6"/>
        <v>1229</v>
      </c>
      <c r="N1450" s="62">
        <f>IFERROR(__xludf.DUMMYFUNCTION("IFERROR(GOOGLEFINANCE(A1450,""TRADETIME""),)"),46086.64583333333)</f>
        <v>46086.64583</v>
      </c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</row>
    <row r="1451">
      <c r="A1451" s="68" t="s">
        <v>1497</v>
      </c>
      <c r="B1451" s="64" t="str">
        <f>IFERROR(__xludf.DUMMYFUNCTION("IFERROR(GOOGLEFINANCE(A1451,""NAME""),)"),"Torrent Pharmaceuticals Ltd")</f>
        <v>Torrent Pharmaceuticals Ltd</v>
      </c>
      <c r="C1451" s="64">
        <f>IFERROR(__xludf.DUMMYFUNCTION("IFERROR(GOOGLEFINANCE(A1451,""CHANGE""),)"),16.9)</f>
        <v>16.9</v>
      </c>
      <c r="D1451" s="64">
        <f>IFERROR(__xludf.DUMMYFUNCTION("IFERROR(GOOGLEFINANCE(A1451,""CHANGEPCT""),)"),0.39)</f>
        <v>0.39</v>
      </c>
      <c r="E1451" s="64" t="str">
        <f t="shared" si="1"/>
        <v>0.39%</v>
      </c>
      <c r="F1451" s="64">
        <f t="shared" si="2"/>
        <v>0.39</v>
      </c>
      <c r="G1451" s="64" t="str">
        <f t="shared" si="3"/>
        <v/>
      </c>
      <c r="H1451" s="64">
        <f>IFERROR(__xludf.DUMMYFUNCTION("IFERROR(GOOGLEFINANCE(A1451,""PRICE""),)"),4351.3)</f>
        <v>4351.3</v>
      </c>
      <c r="I1451" s="65">
        <f>IFERROR(__xludf.DUMMYFUNCTION("IFERROR(GOOGLEFINANCE(A1451,""VOLUME""),)"),284262.0)</f>
        <v>284262</v>
      </c>
      <c r="J1451" s="64" t="str">
        <f>IFERROR(__xludf.DUMMYFUNCTION("IFERROR(INDEX(SPLIT(A1451,"":""),1,2),)"),"TORNTPHARM")</f>
        <v>TORNTPHARM</v>
      </c>
      <c r="K1451" s="64">
        <f t="shared" si="4"/>
        <v>910</v>
      </c>
      <c r="L1451" s="64" t="str">
        <f t="shared" si="5"/>
        <v/>
      </c>
      <c r="M1451" s="64">
        <f t="shared" si="6"/>
        <v>523</v>
      </c>
      <c r="N1451" s="66">
        <f>IFERROR(__xludf.DUMMYFUNCTION("IFERROR(GOOGLEFINANCE(A1451,""TRADETIME""),)"),46086.64583333333)</f>
        <v>46086.64583</v>
      </c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</row>
    <row r="1452">
      <c r="A1452" s="67" t="s">
        <v>1498</v>
      </c>
      <c r="B1452" s="60" t="str">
        <f>IFERROR(__xludf.DUMMYFUNCTION("IFERROR(GOOGLEFINANCE(A1452,""NAME""),)"),"Torrent Power Ltd")</f>
        <v>Torrent Power Ltd</v>
      </c>
      <c r="C1452" s="60">
        <f>IFERROR(__xludf.DUMMYFUNCTION("IFERROR(GOOGLEFINANCE(A1452,""CHANGE""),)"),26.8)</f>
        <v>26.8</v>
      </c>
      <c r="D1452" s="60">
        <f>IFERROR(__xludf.DUMMYFUNCTION("IFERROR(GOOGLEFINANCE(A1452,""CHANGEPCT""),)"),1.88)</f>
        <v>1.88</v>
      </c>
      <c r="E1452" s="60" t="str">
        <f t="shared" si="1"/>
        <v>1.88%</v>
      </c>
      <c r="F1452" s="60">
        <f t="shared" si="2"/>
        <v>1.88</v>
      </c>
      <c r="G1452" s="60" t="str">
        <f t="shared" si="3"/>
        <v/>
      </c>
      <c r="H1452" s="60">
        <f>IFERROR(__xludf.DUMMYFUNCTION("IFERROR(GOOGLEFINANCE(A1452,""PRICE""),)"),1502.7)</f>
        <v>1502.7</v>
      </c>
      <c r="I1452" s="61">
        <f>IFERROR(__xludf.DUMMYFUNCTION("IFERROR(GOOGLEFINANCE(A1452,""VOLUME""),)"),486197.0)</f>
        <v>486197</v>
      </c>
      <c r="J1452" s="60" t="str">
        <f>IFERROR(__xludf.DUMMYFUNCTION("IFERROR(INDEX(SPLIT(A1452,"":""),1,2),)"),"TORNTPOWER")</f>
        <v>TORNTPOWER</v>
      </c>
      <c r="K1452" s="60">
        <f t="shared" si="4"/>
        <v>467</v>
      </c>
      <c r="L1452" s="60" t="str">
        <f t="shared" si="5"/>
        <v/>
      </c>
      <c r="M1452" s="60">
        <f t="shared" si="6"/>
        <v>404</v>
      </c>
      <c r="N1452" s="62">
        <f>IFERROR(__xludf.DUMMYFUNCTION("IFERROR(GOOGLEFINANCE(A1452,""TRADETIME""),)"),46086.64583333333)</f>
        <v>46086.64583</v>
      </c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</row>
    <row r="1453">
      <c r="A1453" s="68" t="s">
        <v>1499</v>
      </c>
      <c r="B1453" s="64" t="str">
        <f>IFERROR(__xludf.DUMMYFUNCTION("IFERROR(GOOGLEFINANCE(A1453,""NAME""),)"),"Total Transport Systems Ltd")</f>
        <v>Total Transport Systems Ltd</v>
      </c>
      <c r="C1453" s="64">
        <f>IFERROR(__xludf.DUMMYFUNCTION("IFERROR(GOOGLEFINANCE(A1453,""CHANGE""),)"),3.24)</f>
        <v>3.24</v>
      </c>
      <c r="D1453" s="64">
        <f>IFERROR(__xludf.DUMMYFUNCTION("IFERROR(GOOGLEFINANCE(A1453,""CHANGEPCT""),)"),5.16)</f>
        <v>5.16</v>
      </c>
      <c r="E1453" s="64" t="str">
        <f t="shared" si="1"/>
        <v>5.16%</v>
      </c>
      <c r="F1453" s="64">
        <f t="shared" si="2"/>
        <v>5.16</v>
      </c>
      <c r="G1453" s="64" t="str">
        <f t="shared" si="3"/>
        <v/>
      </c>
      <c r="H1453" s="64">
        <f>IFERROR(__xludf.DUMMYFUNCTION("IFERROR(GOOGLEFINANCE(A1453,""PRICE""),)"),66.0)</f>
        <v>66</v>
      </c>
      <c r="I1453" s="65">
        <f>IFERROR(__xludf.DUMMYFUNCTION("IFERROR(GOOGLEFINANCE(A1453,""VOLUME""),)"),28550.0)</f>
        <v>28550</v>
      </c>
      <c r="J1453" s="64" t="str">
        <f>IFERROR(__xludf.DUMMYFUNCTION("IFERROR(INDEX(SPLIT(A1453,"":""),1,2),)"),"TOTAL")</f>
        <v>TOTAL</v>
      </c>
      <c r="K1453" s="64">
        <f t="shared" si="4"/>
        <v>62</v>
      </c>
      <c r="L1453" s="64" t="str">
        <f t="shared" si="5"/>
        <v/>
      </c>
      <c r="M1453" s="64">
        <f t="shared" si="6"/>
        <v>1067</v>
      </c>
      <c r="N1453" s="66">
        <f>IFERROR(__xludf.DUMMYFUNCTION("IFERROR(GOOGLEFINANCE(A1453,""TRADETIME""),)"),46086.64583333333)</f>
        <v>46086.64583</v>
      </c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</row>
    <row r="1454">
      <c r="A1454" s="67" t="s">
        <v>1500</v>
      </c>
      <c r="B1454" s="60" t="str">
        <f>IFERROR(__xludf.DUMMYFUNCTION("IFERROR(GOOGLEFINANCE(A1454,""NAME""),)"),"Touchwood Entertainment Ltd")</f>
        <v>Touchwood Entertainment Ltd</v>
      </c>
      <c r="C1454" s="60">
        <f>IFERROR(__xludf.DUMMYFUNCTION("IFERROR(GOOGLEFINANCE(A1454,""CHANGE""),)"),-0.32)</f>
        <v>-0.32</v>
      </c>
      <c r="D1454" s="60">
        <f>IFERROR(__xludf.DUMMYFUNCTION("IFERROR(GOOGLEFINANCE(A1454,""CHANGEPCT""),)"),-0.44)</f>
        <v>-0.44</v>
      </c>
      <c r="E1454" s="60" t="str">
        <f t="shared" si="1"/>
        <v>-0.44%</v>
      </c>
      <c r="F1454" s="60" t="str">
        <f t="shared" si="2"/>
        <v/>
      </c>
      <c r="G1454" s="60">
        <f t="shared" si="3"/>
        <v>-0.44</v>
      </c>
      <c r="H1454" s="60">
        <f>IFERROR(__xludf.DUMMYFUNCTION("IFERROR(GOOGLEFINANCE(A1454,""PRICE""),)"),72.52)</f>
        <v>72.52</v>
      </c>
      <c r="I1454" s="61">
        <f>IFERROR(__xludf.DUMMYFUNCTION("IFERROR(GOOGLEFINANCE(A1454,""VOLUME""),)"),1920.0)</f>
        <v>1920</v>
      </c>
      <c r="J1454" s="60" t="str">
        <f>IFERROR(__xludf.DUMMYFUNCTION("IFERROR(INDEX(SPLIT(A1454,"":""),1,2),)"),"TOUCHWOOD")</f>
        <v>TOUCHWOOD</v>
      </c>
      <c r="K1454" s="60" t="str">
        <f t="shared" si="4"/>
        <v/>
      </c>
      <c r="L1454" s="60">
        <f t="shared" si="5"/>
        <v>109</v>
      </c>
      <c r="M1454" s="60">
        <f t="shared" si="6"/>
        <v>1408</v>
      </c>
      <c r="N1454" s="62">
        <f>IFERROR(__xludf.DUMMYFUNCTION("IFERROR(GOOGLEFINANCE(A1454,""TRADETIME""),)"),46086.64583333333)</f>
        <v>46086.64583</v>
      </c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</row>
    <row r="1455">
      <c r="A1455" s="68" t="s">
        <v>1501</v>
      </c>
      <c r="B1455" s="64" t="str">
        <f>IFERROR(__xludf.DUMMYFUNCTION("IFERROR(GOOGLEFINANCE(A1455,""NAME""),)"),"TPL Plastech Ltd")</f>
        <v>TPL Plastech Ltd</v>
      </c>
      <c r="C1455" s="64">
        <f>IFERROR(__xludf.DUMMYFUNCTION("IFERROR(GOOGLEFINANCE(A1455,""CHANGE""),)"),0.61)</f>
        <v>0.61</v>
      </c>
      <c r="D1455" s="64">
        <f>IFERROR(__xludf.DUMMYFUNCTION("IFERROR(GOOGLEFINANCE(A1455,""CHANGEPCT""),)"),0.98)</f>
        <v>0.98</v>
      </c>
      <c r="E1455" s="64" t="str">
        <f t="shared" si="1"/>
        <v>0.98%</v>
      </c>
      <c r="F1455" s="64">
        <f t="shared" si="2"/>
        <v>0.98</v>
      </c>
      <c r="G1455" s="64" t="str">
        <f t="shared" si="3"/>
        <v/>
      </c>
      <c r="H1455" s="64">
        <f>IFERROR(__xludf.DUMMYFUNCTION("IFERROR(GOOGLEFINANCE(A1455,""PRICE""),)"),62.88)</f>
        <v>62.88</v>
      </c>
      <c r="I1455" s="65">
        <f>IFERROR(__xludf.DUMMYFUNCTION("IFERROR(GOOGLEFINANCE(A1455,""VOLUME""),)"),93303.0)</f>
        <v>93303</v>
      </c>
      <c r="J1455" s="64" t="str">
        <f>IFERROR(__xludf.DUMMYFUNCTION("IFERROR(INDEX(SPLIT(A1455,"":""),1,2),)"),"TPLPLASTEH")</f>
        <v>TPLPLASTEH</v>
      </c>
      <c r="K1455" s="64">
        <f t="shared" si="4"/>
        <v>728</v>
      </c>
      <c r="L1455" s="64" t="str">
        <f t="shared" si="5"/>
        <v/>
      </c>
      <c r="M1455" s="64">
        <f t="shared" si="6"/>
        <v>773</v>
      </c>
      <c r="N1455" s="66">
        <f>IFERROR(__xludf.DUMMYFUNCTION("IFERROR(GOOGLEFINANCE(A1455,""TRADETIME""),)"),46086.64583333333)</f>
        <v>46086.64583</v>
      </c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</row>
    <row r="1456">
      <c r="A1456" s="67" t="s">
        <v>1502</v>
      </c>
      <c r="B1456" s="60" t="str">
        <f>IFERROR(__xludf.DUMMYFUNCTION("IFERROR(GOOGLEFINANCE(A1456,""NAME""),)"),"Tree House Education and Accessories Ltd")</f>
        <v>Tree House Education and Accessories Ltd</v>
      </c>
      <c r="C1456" s="60">
        <f>IFERROR(__xludf.DUMMYFUNCTION("IFERROR(GOOGLEFINANCE(A1456,""CHANGE""),)"),0.49)</f>
        <v>0.49</v>
      </c>
      <c r="D1456" s="60">
        <f>IFERROR(__xludf.DUMMYFUNCTION("IFERROR(GOOGLEFINANCE(A1456,""CHANGEPCT""),)"),5.93)</f>
        <v>5.93</v>
      </c>
      <c r="E1456" s="60" t="str">
        <f t="shared" si="1"/>
        <v>5.93%</v>
      </c>
      <c r="F1456" s="60">
        <f t="shared" si="2"/>
        <v>5.93</v>
      </c>
      <c r="G1456" s="60" t="str">
        <f t="shared" si="3"/>
        <v/>
      </c>
      <c r="H1456" s="60">
        <f>IFERROR(__xludf.DUMMYFUNCTION("IFERROR(GOOGLEFINANCE(A1456,""PRICE""),)"),8.75)</f>
        <v>8.75</v>
      </c>
      <c r="I1456" s="61">
        <f>IFERROR(__xludf.DUMMYFUNCTION("IFERROR(GOOGLEFINANCE(A1456,""VOLUME""),)"),59582.0)</f>
        <v>59582</v>
      </c>
      <c r="J1456" s="60" t="str">
        <f>IFERROR(__xludf.DUMMYFUNCTION("IFERROR(INDEX(SPLIT(A1456,"":""),1,2),)"),"TREEHOUSE")</f>
        <v>TREEHOUSE</v>
      </c>
      <c r="K1456" s="60">
        <f t="shared" si="4"/>
        <v>43</v>
      </c>
      <c r="L1456" s="60" t="str">
        <f t="shared" si="5"/>
        <v/>
      </c>
      <c r="M1456" s="60">
        <f t="shared" si="6"/>
        <v>882</v>
      </c>
      <c r="N1456" s="62">
        <f>IFERROR(__xludf.DUMMYFUNCTION("IFERROR(GOOGLEFINANCE(A1456,""TRADETIME""),)"),46086.64583333333)</f>
        <v>46086.64583</v>
      </c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</row>
    <row r="1457">
      <c r="A1457" s="68" t="s">
        <v>1503</v>
      </c>
      <c r="B1457" s="64" t="str">
        <f>IFERROR(__xludf.DUMMYFUNCTION("IFERROR(GOOGLEFINANCE(A1457,""NAME""),)"),"Trejhara Solutions Ltd")</f>
        <v>Trejhara Solutions Ltd</v>
      </c>
      <c r="C1457" s="64">
        <f>IFERROR(__xludf.DUMMYFUNCTION("IFERROR(GOOGLEFINANCE(A1457,""CHANGE""),)"),-2.99)</f>
        <v>-2.99</v>
      </c>
      <c r="D1457" s="64">
        <f>IFERROR(__xludf.DUMMYFUNCTION("IFERROR(GOOGLEFINANCE(A1457,""CHANGEPCT""),)"),-1.66)</f>
        <v>-1.66</v>
      </c>
      <c r="E1457" s="64" t="str">
        <f t="shared" si="1"/>
        <v>-1.66%</v>
      </c>
      <c r="F1457" s="64" t="str">
        <f t="shared" si="2"/>
        <v/>
      </c>
      <c r="G1457" s="64">
        <f t="shared" si="3"/>
        <v>-1.66</v>
      </c>
      <c r="H1457" s="64">
        <f>IFERROR(__xludf.DUMMYFUNCTION("IFERROR(GOOGLEFINANCE(A1457,""PRICE""),)"),177.11)</f>
        <v>177.11</v>
      </c>
      <c r="I1457" s="65">
        <f>IFERROR(__xludf.DUMMYFUNCTION("IFERROR(GOOGLEFINANCE(A1457,""VOLUME""),)"),6499.0)</f>
        <v>6499</v>
      </c>
      <c r="J1457" s="64" t="str">
        <f>IFERROR(__xludf.DUMMYFUNCTION("IFERROR(INDEX(SPLIT(A1457,"":""),1,2),)"),"TREJHARA")</f>
        <v>TREJHARA</v>
      </c>
      <c r="K1457" s="64" t="str">
        <f t="shared" si="4"/>
        <v/>
      </c>
      <c r="L1457" s="64">
        <f t="shared" si="5"/>
        <v>306</v>
      </c>
      <c r="M1457" s="64">
        <f t="shared" si="6"/>
        <v>1317</v>
      </c>
      <c r="N1457" s="66">
        <f>IFERROR(__xludf.DUMMYFUNCTION("IFERROR(GOOGLEFINANCE(A1457,""TRADETIME""),)"),46086.64583333333)</f>
        <v>46086.64583</v>
      </c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</row>
    <row r="1458">
      <c r="A1458" s="67" t="s">
        <v>1504</v>
      </c>
      <c r="B1458" s="60" t="str">
        <f>IFERROR(__xludf.DUMMYFUNCTION("IFERROR(GOOGLEFINANCE(A1458,""NAME""),)"),"Trent Ltd")</f>
        <v>Trent Ltd</v>
      </c>
      <c r="C1458" s="60">
        <f>IFERROR(__xludf.DUMMYFUNCTION("IFERROR(GOOGLEFINANCE(A1458,""CHANGE""),)"),29.2)</f>
        <v>29.2</v>
      </c>
      <c r="D1458" s="60">
        <f>IFERROR(__xludf.DUMMYFUNCTION("IFERROR(GOOGLEFINANCE(A1458,""CHANGEPCT""),)"),0.78)</f>
        <v>0.78</v>
      </c>
      <c r="E1458" s="60" t="str">
        <f t="shared" si="1"/>
        <v>0.78%</v>
      </c>
      <c r="F1458" s="60">
        <f t="shared" si="2"/>
        <v>0.78</v>
      </c>
      <c r="G1458" s="60" t="str">
        <f t="shared" si="3"/>
        <v/>
      </c>
      <c r="H1458" s="60">
        <f>IFERROR(__xludf.DUMMYFUNCTION("IFERROR(GOOGLEFINANCE(A1458,""PRICE""),)"),3786.0)</f>
        <v>3786</v>
      </c>
      <c r="I1458" s="61">
        <f>IFERROR(__xludf.DUMMYFUNCTION("IFERROR(GOOGLEFINANCE(A1458,""VOLUME""),)"),658961.0)</f>
        <v>658961</v>
      </c>
      <c r="J1458" s="60" t="str">
        <f>IFERROR(__xludf.DUMMYFUNCTION("IFERROR(INDEX(SPLIT(A1458,"":""),1,2),)"),"TRENT")</f>
        <v>TRENT</v>
      </c>
      <c r="K1458" s="60">
        <f t="shared" si="4"/>
        <v>792</v>
      </c>
      <c r="L1458" s="60" t="str">
        <f t="shared" si="5"/>
        <v/>
      </c>
      <c r="M1458" s="60">
        <f t="shared" si="6"/>
        <v>347</v>
      </c>
      <c r="N1458" s="62">
        <f>IFERROR(__xludf.DUMMYFUNCTION("IFERROR(GOOGLEFINANCE(A1458,""TRADETIME""),)"),46086.64584490741)</f>
        <v>46086.64584</v>
      </c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</row>
    <row r="1459">
      <c r="A1459" s="68" t="s">
        <v>1505</v>
      </c>
      <c r="B1459" s="64" t="str">
        <f>IFERROR(__xludf.DUMMYFUNCTION("IFERROR(GOOGLEFINANCE(A1459,""NAME""),)"),"TRF Ltd")</f>
        <v>TRF Ltd</v>
      </c>
      <c r="C1459" s="64">
        <f>IFERROR(__xludf.DUMMYFUNCTION("IFERROR(GOOGLEFINANCE(A1459,""CHANGE""),)"),7.95)</f>
        <v>7.95</v>
      </c>
      <c r="D1459" s="64">
        <f>IFERROR(__xludf.DUMMYFUNCTION("IFERROR(GOOGLEFINANCE(A1459,""CHANGEPCT""),)"),3.38)</f>
        <v>3.38</v>
      </c>
      <c r="E1459" s="64" t="str">
        <f t="shared" si="1"/>
        <v>3.38%</v>
      </c>
      <c r="F1459" s="64">
        <f t="shared" si="2"/>
        <v>3.38</v>
      </c>
      <c r="G1459" s="64" t="str">
        <f t="shared" si="3"/>
        <v/>
      </c>
      <c r="H1459" s="64">
        <f>IFERROR(__xludf.DUMMYFUNCTION("IFERROR(GOOGLEFINANCE(A1459,""PRICE""),)"),242.9)</f>
        <v>242.9</v>
      </c>
      <c r="I1459" s="65">
        <f>IFERROR(__xludf.DUMMYFUNCTION("IFERROR(GOOGLEFINANCE(A1459,""VOLUME""),)"),18544.0)</f>
        <v>18544</v>
      </c>
      <c r="J1459" s="64" t="str">
        <f>IFERROR(__xludf.DUMMYFUNCTION("IFERROR(INDEX(SPLIT(A1459,"":""),1,2),)"),"TRF")</f>
        <v>TRF</v>
      </c>
      <c r="K1459" s="64">
        <f t="shared" si="4"/>
        <v>203</v>
      </c>
      <c r="L1459" s="64" t="str">
        <f t="shared" si="5"/>
        <v/>
      </c>
      <c r="M1459" s="64">
        <f t="shared" si="6"/>
        <v>1163</v>
      </c>
      <c r="N1459" s="66">
        <f>IFERROR(__xludf.DUMMYFUNCTION("IFERROR(GOOGLEFINANCE(A1459,""TRADETIME""),)"),46086.64583333333)</f>
        <v>46086.64583</v>
      </c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</row>
    <row r="1460">
      <c r="A1460" s="67" t="s">
        <v>1506</v>
      </c>
      <c r="B1460" s="60" t="str">
        <f>IFERROR(__xludf.DUMMYFUNCTION("IFERROR(GOOGLEFINANCE(A1460,""NAME""),)"),"Trident Ltd")</f>
        <v>Trident Ltd</v>
      </c>
      <c r="C1460" s="60">
        <f>IFERROR(__xludf.DUMMYFUNCTION("IFERROR(GOOGLEFINANCE(A1460,""CHANGE""),)"),0.31)</f>
        <v>0.31</v>
      </c>
      <c r="D1460" s="60">
        <f>IFERROR(__xludf.DUMMYFUNCTION("IFERROR(GOOGLEFINANCE(A1460,""CHANGEPCT""),)"),1.31)</f>
        <v>1.31</v>
      </c>
      <c r="E1460" s="60" t="str">
        <f t="shared" si="1"/>
        <v>1.31%</v>
      </c>
      <c r="F1460" s="60">
        <f t="shared" si="2"/>
        <v>1.31</v>
      </c>
      <c r="G1460" s="60" t="str">
        <f t="shared" si="3"/>
        <v/>
      </c>
      <c r="H1460" s="60">
        <f>IFERROR(__xludf.DUMMYFUNCTION("IFERROR(GOOGLEFINANCE(A1460,""PRICE""),)"),23.89)</f>
        <v>23.89</v>
      </c>
      <c r="I1460" s="61">
        <f>IFERROR(__xludf.DUMMYFUNCTION("IFERROR(GOOGLEFINANCE(A1460,""VOLUME""),)"),4714291.0)</f>
        <v>4714291</v>
      </c>
      <c r="J1460" s="60" t="str">
        <f>IFERROR(__xludf.DUMMYFUNCTION("IFERROR(INDEX(SPLIT(A1460,"":""),1,2),)"),"TRIDENT")</f>
        <v>TRIDENT</v>
      </c>
      <c r="K1460" s="60">
        <f t="shared" si="4"/>
        <v>638</v>
      </c>
      <c r="L1460" s="60" t="str">
        <f t="shared" si="5"/>
        <v/>
      </c>
      <c r="M1460" s="60">
        <f t="shared" si="6"/>
        <v>114</v>
      </c>
      <c r="N1460" s="62">
        <f>IFERROR(__xludf.DUMMYFUNCTION("IFERROR(GOOGLEFINANCE(A1460,""TRADETIME""),)"),46086.64584490741)</f>
        <v>46086.64584</v>
      </c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</row>
    <row r="1461">
      <c r="A1461" s="68" t="s">
        <v>1507</v>
      </c>
      <c r="B1461" s="64" t="str">
        <f>IFERROR(__xludf.DUMMYFUNCTION("IFERROR(GOOGLEFINANCE(A1461,""NAME""),)"),"Trigyn Technologies Ltd")</f>
        <v>Trigyn Technologies Ltd</v>
      </c>
      <c r="C1461" s="64">
        <f>IFERROR(__xludf.DUMMYFUNCTION("IFERROR(GOOGLEFINANCE(A1461,""CHANGE""),)"),-0.95)</f>
        <v>-0.95</v>
      </c>
      <c r="D1461" s="64">
        <f>IFERROR(__xludf.DUMMYFUNCTION("IFERROR(GOOGLEFINANCE(A1461,""CHANGEPCT""),)"),-1.9)</f>
        <v>-1.9</v>
      </c>
      <c r="E1461" s="64" t="str">
        <f t="shared" si="1"/>
        <v>-1.9%</v>
      </c>
      <c r="F1461" s="64" t="str">
        <f t="shared" si="2"/>
        <v/>
      </c>
      <c r="G1461" s="64">
        <f t="shared" si="3"/>
        <v>-1.9</v>
      </c>
      <c r="H1461" s="64">
        <f>IFERROR(__xludf.DUMMYFUNCTION("IFERROR(GOOGLEFINANCE(A1461,""PRICE""),)"),49.01)</f>
        <v>49.01</v>
      </c>
      <c r="I1461" s="65">
        <f>IFERROR(__xludf.DUMMYFUNCTION("IFERROR(GOOGLEFINANCE(A1461,""VOLUME""),)"),125951.0)</f>
        <v>125951</v>
      </c>
      <c r="J1461" s="64" t="str">
        <f>IFERROR(__xludf.DUMMYFUNCTION("IFERROR(INDEX(SPLIT(A1461,"":""),1,2),)"),"TRIGYN")</f>
        <v>TRIGYN</v>
      </c>
      <c r="K1461" s="64" t="str">
        <f t="shared" si="4"/>
        <v/>
      </c>
      <c r="L1461" s="64">
        <f t="shared" si="5"/>
        <v>337</v>
      </c>
      <c r="M1461" s="64">
        <f t="shared" si="6"/>
        <v>710</v>
      </c>
      <c r="N1461" s="66">
        <f>IFERROR(__xludf.DUMMYFUNCTION("IFERROR(GOOGLEFINANCE(A1461,""TRADETIME""),)"),46086.64583333333)</f>
        <v>46086.64583</v>
      </c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</row>
    <row r="1462">
      <c r="A1462" s="59" t="s">
        <v>1508</v>
      </c>
      <c r="B1462" s="60" t="str">
        <f>IFERROR(__xludf.DUMMYFUNCTION("IFERROR(GOOGLEFINANCE(A1462,""NAME""),)"),"Vinyl Chemicals (India) Ltd")</f>
        <v>Vinyl Chemicals (India) Ltd</v>
      </c>
      <c r="C1462" s="60">
        <f>IFERROR(__xludf.DUMMYFUNCTION("IFERROR(GOOGLEFINANCE(A1462,""CHANGE""),)"),-1.07)</f>
        <v>-1.07</v>
      </c>
      <c r="D1462" s="60">
        <f>IFERROR(__xludf.DUMMYFUNCTION("IFERROR(GOOGLEFINANCE(A1462,""CHANGEPCT""),)"),-0.52)</f>
        <v>-0.52</v>
      </c>
      <c r="E1462" s="60" t="str">
        <f t="shared" si="1"/>
        <v>-0.52%</v>
      </c>
      <c r="F1462" s="60" t="str">
        <f t="shared" si="2"/>
        <v/>
      </c>
      <c r="G1462" s="60">
        <f t="shared" si="3"/>
        <v>-0.52</v>
      </c>
      <c r="H1462" s="60">
        <f>IFERROR(__xludf.DUMMYFUNCTION("IFERROR(GOOGLEFINANCE(A1462,""PRICE""),)"),203.79)</f>
        <v>203.79</v>
      </c>
      <c r="I1462" s="61">
        <f>IFERROR(__xludf.DUMMYFUNCTION("IFERROR(GOOGLEFINANCE(A1462,""VOLUME""),)"),7759.0)</f>
        <v>7759</v>
      </c>
      <c r="J1462" s="60" t="str">
        <f>IFERROR(__xludf.DUMMYFUNCTION("IFERROR(INDEX(SPLIT(A1462,"":""),1,2),)"),"VINYLINDIA")</f>
        <v>VINYLINDIA</v>
      </c>
      <c r="K1462" s="60" t="str">
        <f t="shared" si="4"/>
        <v/>
      </c>
      <c r="L1462" s="60">
        <f t="shared" si="5"/>
        <v>127</v>
      </c>
      <c r="M1462" s="60">
        <f t="shared" si="6"/>
        <v>1302</v>
      </c>
      <c r="N1462" s="62">
        <f>IFERROR(__xludf.DUMMYFUNCTION("IFERROR(GOOGLEFINANCE(A1462,""TRADETIME""),)"),46086.64583333333)</f>
        <v>46086.64583</v>
      </c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</row>
    <row r="1463">
      <c r="A1463" s="68" t="s">
        <v>1509</v>
      </c>
      <c r="B1463" s="64" t="str">
        <f>IFERROR(__xludf.DUMMYFUNCTION("IFERROR(GOOGLEFINANCE(A1463,""NAME""),)"),"Triveni Turbine Ltd")</f>
        <v>Triveni Turbine Ltd</v>
      </c>
      <c r="C1463" s="64">
        <f>IFERROR(__xludf.DUMMYFUNCTION("IFERROR(GOOGLEFINANCE(A1463,""CHANGE""),)"),8.8)</f>
        <v>8.8</v>
      </c>
      <c r="D1463" s="64">
        <f>IFERROR(__xludf.DUMMYFUNCTION("IFERROR(GOOGLEFINANCE(A1463,""CHANGEPCT""),)"),1.91)</f>
        <v>1.91</v>
      </c>
      <c r="E1463" s="64" t="str">
        <f t="shared" si="1"/>
        <v>1.91%</v>
      </c>
      <c r="F1463" s="64">
        <f t="shared" si="2"/>
        <v>1.91</v>
      </c>
      <c r="G1463" s="64" t="str">
        <f t="shared" si="3"/>
        <v/>
      </c>
      <c r="H1463" s="64">
        <f>IFERROR(__xludf.DUMMYFUNCTION("IFERROR(GOOGLEFINANCE(A1463,""PRICE""),)"),469.0)</f>
        <v>469</v>
      </c>
      <c r="I1463" s="65">
        <f>IFERROR(__xludf.DUMMYFUNCTION("IFERROR(GOOGLEFINANCE(A1463,""VOLUME""),)"),361293.0)</f>
        <v>361293</v>
      </c>
      <c r="J1463" s="64" t="str">
        <f>IFERROR(__xludf.DUMMYFUNCTION("IFERROR(INDEX(SPLIT(A1463,"":""),1,2),)"),"TRITURBINE")</f>
        <v>TRITURBINE</v>
      </c>
      <c r="K1463" s="64">
        <f t="shared" si="4"/>
        <v>459</v>
      </c>
      <c r="L1463" s="64" t="str">
        <f t="shared" si="5"/>
        <v/>
      </c>
      <c r="M1463" s="64">
        <f t="shared" si="6"/>
        <v>472</v>
      </c>
      <c r="N1463" s="66">
        <f>IFERROR(__xludf.DUMMYFUNCTION("IFERROR(GOOGLEFINANCE(A1463,""TRADETIME""),)"),46086.64583333333)</f>
        <v>46086.64583</v>
      </c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</row>
    <row r="1464">
      <c r="A1464" s="67" t="s">
        <v>1510</v>
      </c>
      <c r="B1464" s="60" t="str">
        <f>IFERROR(__xludf.DUMMYFUNCTION("IFERROR(GOOGLEFINANCE(A1464,""NAME""),)"),"Triveni Engineering and Industries Ltd")</f>
        <v>Triveni Engineering and Industries Ltd</v>
      </c>
      <c r="C1464" s="60">
        <f>IFERROR(__xludf.DUMMYFUNCTION("IFERROR(GOOGLEFINANCE(A1464,""CHANGE""),)"),-0.9)</f>
        <v>-0.9</v>
      </c>
      <c r="D1464" s="60">
        <f>IFERROR(__xludf.DUMMYFUNCTION("IFERROR(GOOGLEFINANCE(A1464,""CHANGEPCT""),)"),-0.23)</f>
        <v>-0.23</v>
      </c>
      <c r="E1464" s="60" t="str">
        <f t="shared" si="1"/>
        <v>-0.23%</v>
      </c>
      <c r="F1464" s="60" t="str">
        <f t="shared" si="2"/>
        <v/>
      </c>
      <c r="G1464" s="60">
        <f t="shared" si="3"/>
        <v>-0.23</v>
      </c>
      <c r="H1464" s="60">
        <f>IFERROR(__xludf.DUMMYFUNCTION("IFERROR(GOOGLEFINANCE(A1464,""PRICE""),)"),398.0)</f>
        <v>398</v>
      </c>
      <c r="I1464" s="61">
        <f>IFERROR(__xludf.DUMMYFUNCTION("IFERROR(GOOGLEFINANCE(A1464,""VOLUME""),)"),547283.0)</f>
        <v>547283</v>
      </c>
      <c r="J1464" s="60" t="str">
        <f>IFERROR(__xludf.DUMMYFUNCTION("IFERROR(INDEX(SPLIT(A1464,"":""),1,2),)"),"TRIVENI")</f>
        <v>TRIVENI</v>
      </c>
      <c r="K1464" s="60" t="str">
        <f t="shared" si="4"/>
        <v/>
      </c>
      <c r="L1464" s="60">
        <f t="shared" si="5"/>
        <v>61</v>
      </c>
      <c r="M1464" s="60">
        <f t="shared" si="6"/>
        <v>384</v>
      </c>
      <c r="N1464" s="62">
        <f>IFERROR(__xludf.DUMMYFUNCTION("IFERROR(GOOGLEFINANCE(A1464,""TRADETIME""),)"),46086.64146990741)</f>
        <v>46086.64147</v>
      </c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</row>
    <row r="1465">
      <c r="A1465" s="68" t="s">
        <v>1511</v>
      </c>
      <c r="B1465" s="64" t="str">
        <f>IFERROR(__xludf.DUMMYFUNCTION("IFERROR(GOOGLEFINANCE(A1465,""NAME""),)"),"TTK Healthcare Ltd")</f>
        <v>TTK Healthcare Ltd</v>
      </c>
      <c r="C1465" s="64">
        <f>IFERROR(__xludf.DUMMYFUNCTION("IFERROR(GOOGLEFINANCE(A1465,""CHANGE""),)"),-1.85)</f>
        <v>-1.85</v>
      </c>
      <c r="D1465" s="64">
        <f>IFERROR(__xludf.DUMMYFUNCTION("IFERROR(GOOGLEFINANCE(A1465,""CHANGEPCT""),)"),-0.21)</f>
        <v>-0.21</v>
      </c>
      <c r="E1465" s="64" t="str">
        <f t="shared" si="1"/>
        <v>-0.21%</v>
      </c>
      <c r="F1465" s="64" t="str">
        <f t="shared" si="2"/>
        <v/>
      </c>
      <c r="G1465" s="64">
        <f t="shared" si="3"/>
        <v>-0.21</v>
      </c>
      <c r="H1465" s="64">
        <f>IFERROR(__xludf.DUMMYFUNCTION("IFERROR(GOOGLEFINANCE(A1465,""PRICE""),)"),875.0)</f>
        <v>875</v>
      </c>
      <c r="I1465" s="65">
        <f>IFERROR(__xludf.DUMMYFUNCTION("IFERROR(GOOGLEFINANCE(A1465,""VOLUME""),)"),11676.0)</f>
        <v>11676</v>
      </c>
      <c r="J1465" s="64" t="str">
        <f>IFERROR(__xludf.DUMMYFUNCTION("IFERROR(INDEX(SPLIT(A1465,"":""),1,2),)"),"TTKHLTCARE")</f>
        <v>TTKHLTCARE</v>
      </c>
      <c r="K1465" s="64" t="str">
        <f t="shared" si="4"/>
        <v/>
      </c>
      <c r="L1465" s="64">
        <f t="shared" si="5"/>
        <v>56</v>
      </c>
      <c r="M1465" s="64">
        <f t="shared" si="6"/>
        <v>1234</v>
      </c>
      <c r="N1465" s="66">
        <f>IFERROR(__xludf.DUMMYFUNCTION("IFERROR(GOOGLEFINANCE(A1465,""TRADETIME""),)"),46086.64583333333)</f>
        <v>46086.64583</v>
      </c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</row>
    <row r="1466">
      <c r="A1466" s="67" t="s">
        <v>1512</v>
      </c>
      <c r="B1466" s="60" t="str">
        <f>IFERROR(__xludf.DUMMYFUNCTION("IFERROR(GOOGLEFINANCE(A1466,""NAME""),)"),"TTK Prestige Ltd")</f>
        <v>TTK Prestige Ltd</v>
      </c>
      <c r="C1466" s="60">
        <f>IFERROR(__xludf.DUMMYFUNCTION("IFERROR(GOOGLEFINANCE(A1466,""CHANGE""),)"),-8.55)</f>
        <v>-8.55</v>
      </c>
      <c r="D1466" s="60">
        <f>IFERROR(__xludf.DUMMYFUNCTION("IFERROR(GOOGLEFINANCE(A1466,""CHANGEPCT""),)"),-1.56)</f>
        <v>-1.56</v>
      </c>
      <c r="E1466" s="60" t="str">
        <f t="shared" si="1"/>
        <v>-1.56%</v>
      </c>
      <c r="F1466" s="60" t="str">
        <f t="shared" si="2"/>
        <v/>
      </c>
      <c r="G1466" s="60">
        <f t="shared" si="3"/>
        <v>-1.56</v>
      </c>
      <c r="H1466" s="60">
        <f>IFERROR(__xludf.DUMMYFUNCTION("IFERROR(GOOGLEFINANCE(A1466,""PRICE""),)"),481.05)</f>
        <v>481.05</v>
      </c>
      <c r="I1466" s="61">
        <f>IFERROR(__xludf.DUMMYFUNCTION("IFERROR(GOOGLEFINANCE(A1466,""VOLUME""),)"),25007.0)</f>
        <v>25007</v>
      </c>
      <c r="J1466" s="60" t="str">
        <f>IFERROR(__xludf.DUMMYFUNCTION("IFERROR(INDEX(SPLIT(A1466,"":""),1,2),)"),"TTKPRESTIG")</f>
        <v>TTKPRESTIG</v>
      </c>
      <c r="K1466" s="60" t="str">
        <f t="shared" si="4"/>
        <v/>
      </c>
      <c r="L1466" s="60">
        <f t="shared" si="5"/>
        <v>296</v>
      </c>
      <c r="M1466" s="60">
        <f t="shared" si="6"/>
        <v>1095</v>
      </c>
      <c r="N1466" s="62">
        <f>IFERROR(__xludf.DUMMYFUNCTION("IFERROR(GOOGLEFINANCE(A1466,""TRADETIME""),)"),46086.64583333333)</f>
        <v>46086.64583</v>
      </c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</row>
    <row r="1467">
      <c r="A1467" s="68" t="s">
        <v>1513</v>
      </c>
      <c r="B1467" s="64" t="str">
        <f>IFERROR(__xludf.DUMMYFUNCTION("IFERROR(GOOGLEFINANCE(A1467,""NAME""),)"),"T T Ltd")</f>
        <v>T T Ltd</v>
      </c>
      <c r="C1467" s="64">
        <f>IFERROR(__xludf.DUMMYFUNCTION("IFERROR(GOOGLEFINANCE(A1467,""CHANGE""),)"),0.36)</f>
        <v>0.36</v>
      </c>
      <c r="D1467" s="64">
        <f>IFERROR(__xludf.DUMMYFUNCTION("IFERROR(GOOGLEFINANCE(A1467,""CHANGEPCT""),)"),3.84)</f>
        <v>3.84</v>
      </c>
      <c r="E1467" s="64" t="str">
        <f t="shared" si="1"/>
        <v>3.84%</v>
      </c>
      <c r="F1467" s="64">
        <f t="shared" si="2"/>
        <v>3.84</v>
      </c>
      <c r="G1467" s="64" t="str">
        <f t="shared" si="3"/>
        <v/>
      </c>
      <c r="H1467" s="64">
        <f>IFERROR(__xludf.DUMMYFUNCTION("IFERROR(GOOGLEFINANCE(A1467,""PRICE""),)"),9.21)</f>
        <v>9.21</v>
      </c>
      <c r="I1467" s="65">
        <f>IFERROR(__xludf.DUMMYFUNCTION("IFERROR(GOOGLEFINANCE(A1467,""VOLUME""),)"),135054.0)</f>
        <v>135054</v>
      </c>
      <c r="J1467" s="64" t="str">
        <f>IFERROR(__xludf.DUMMYFUNCTION("IFERROR(INDEX(SPLIT(A1467,"":""),1,2),)"),"TTL")</f>
        <v>TTL</v>
      </c>
      <c r="K1467" s="64">
        <f t="shared" si="4"/>
        <v>154</v>
      </c>
      <c r="L1467" s="64" t="str">
        <f t="shared" si="5"/>
        <v/>
      </c>
      <c r="M1467" s="64">
        <f t="shared" si="6"/>
        <v>693</v>
      </c>
      <c r="N1467" s="66">
        <f>IFERROR(__xludf.DUMMYFUNCTION("IFERROR(GOOGLEFINANCE(A1467,""TRADETIME""),)"),46086.64583333333)</f>
        <v>46086.64583</v>
      </c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</row>
    <row r="1468">
      <c r="A1468" s="59" t="s">
        <v>1514</v>
      </c>
      <c r="B1468" s="60" t="str">
        <f>IFERROR(__xludf.DUMMYFUNCTION("IFERROR(GOOGLEFINANCE(A1468,""NAME""),)"),"Tata Teleservices (Maharashtra) Ltd")</f>
        <v>Tata Teleservices (Maharashtra) Ltd</v>
      </c>
      <c r="C1468" s="60">
        <f>IFERROR(__xludf.DUMMYFUNCTION("IFERROR(GOOGLEFINANCE(A1468,""CHANGE""),)"),0.68)</f>
        <v>0.68</v>
      </c>
      <c r="D1468" s="60">
        <f>IFERROR(__xludf.DUMMYFUNCTION("IFERROR(GOOGLEFINANCE(A1468,""CHANGEPCT""),)"),1.76)</f>
        <v>1.76</v>
      </c>
      <c r="E1468" s="60" t="str">
        <f t="shared" si="1"/>
        <v>1.76%</v>
      </c>
      <c r="F1468" s="60">
        <f t="shared" si="2"/>
        <v>1.76</v>
      </c>
      <c r="G1468" s="60" t="str">
        <f t="shared" si="3"/>
        <v/>
      </c>
      <c r="H1468" s="60">
        <f>IFERROR(__xludf.DUMMYFUNCTION("IFERROR(GOOGLEFINANCE(A1468,""PRICE""),)"),39.38)</f>
        <v>39.38</v>
      </c>
      <c r="I1468" s="61">
        <f>IFERROR(__xludf.DUMMYFUNCTION("IFERROR(GOOGLEFINANCE(A1468,""VOLUME""),)"),1167150.0)</f>
        <v>1167150</v>
      </c>
      <c r="J1468" s="60" t="str">
        <f>IFERROR(__xludf.DUMMYFUNCTION("IFERROR(INDEX(SPLIT(A1468,"":""),1,2),)"),"TTML")</f>
        <v>TTML</v>
      </c>
      <c r="K1468" s="60">
        <f t="shared" si="4"/>
        <v>506</v>
      </c>
      <c r="L1468" s="60" t="str">
        <f t="shared" si="5"/>
        <v/>
      </c>
      <c r="M1468" s="60">
        <f t="shared" si="6"/>
        <v>267</v>
      </c>
      <c r="N1468" s="62">
        <f>IFERROR(__xludf.DUMMYFUNCTION("IFERROR(GOOGLEFINANCE(A1468,""TRADETIME""),)"),46086.64583333333)</f>
        <v>46086.64583</v>
      </c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</row>
    <row r="1469">
      <c r="A1469" s="68" t="s">
        <v>1515</v>
      </c>
      <c r="B1469" s="64" t="str">
        <f>IFERROR(__xludf.DUMMYFUNCTION("IFERROR(GOOGLEFINANCE(A1469,""NAME""),)"),"")</f>
        <v/>
      </c>
      <c r="C1469" s="64" t="str">
        <f>IFERROR(__xludf.DUMMYFUNCTION("IFERROR(GOOGLEFINANCE(A1469,""CHANGE""),)"),"")</f>
        <v/>
      </c>
      <c r="D1469" s="64" t="str">
        <f>IFERROR(__xludf.DUMMYFUNCTION("IFERROR(GOOGLEFINANCE(A1469,""CHANGEPCT""),)"),"")</f>
        <v/>
      </c>
      <c r="E1469" s="64" t="str">
        <f t="shared" si="1"/>
        <v>%</v>
      </c>
      <c r="F1469" s="64" t="str">
        <f t="shared" si="2"/>
        <v/>
      </c>
      <c r="G1469" s="64" t="str">
        <f t="shared" si="3"/>
        <v/>
      </c>
      <c r="H1469" s="64" t="str">
        <f>IFERROR(__xludf.DUMMYFUNCTION("IFERROR(GOOGLEFINANCE(A1469,""PRICE""),)"),"")</f>
        <v/>
      </c>
      <c r="I1469" s="65" t="str">
        <f>IFERROR(__xludf.DUMMYFUNCTION("IFERROR(GOOGLEFINANCE(A1469,""VOLUME""),)"),"")</f>
        <v/>
      </c>
      <c r="J1469" s="64" t="str">
        <f>IFERROR(__xludf.DUMMYFUNCTION("IFERROR(INDEX(SPLIT(A1469,"":""),1,2),)"),"TV18BRDCST")</f>
        <v>TV18BRDCST</v>
      </c>
      <c r="K1469" s="64" t="str">
        <f t="shared" si="4"/>
        <v/>
      </c>
      <c r="L1469" s="64" t="str">
        <f t="shared" si="5"/>
        <v/>
      </c>
      <c r="M1469" s="64" t="str">
        <f t="shared" si="6"/>
        <v/>
      </c>
      <c r="N1469" s="66" t="str">
        <f>IFERROR(__xludf.DUMMYFUNCTION("IFERROR(GOOGLEFINANCE(A1469,""TRADETIME""),)"),"")</f>
        <v/>
      </c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</row>
    <row r="1470">
      <c r="A1470" s="67" t="s">
        <v>1516</v>
      </c>
      <c r="B1470" s="60" t="str">
        <f>IFERROR(__xludf.DUMMYFUNCTION("IFERROR(GOOGLEFINANCE(A1470,""NAME""),)"),"TVS Electronics Ltd")</f>
        <v>TVS Electronics Ltd</v>
      </c>
      <c r="C1470" s="60">
        <f>IFERROR(__xludf.DUMMYFUNCTION("IFERROR(GOOGLEFINANCE(A1470,""CHANGE""),)"),-3.65)</f>
        <v>-3.65</v>
      </c>
      <c r="D1470" s="60">
        <f>IFERROR(__xludf.DUMMYFUNCTION("IFERROR(GOOGLEFINANCE(A1470,""CHANGEPCT""),)"),-1.04)</f>
        <v>-1.04</v>
      </c>
      <c r="E1470" s="60" t="str">
        <f t="shared" si="1"/>
        <v>-1.04%</v>
      </c>
      <c r="F1470" s="60" t="str">
        <f t="shared" si="2"/>
        <v/>
      </c>
      <c r="G1470" s="60">
        <f t="shared" si="3"/>
        <v>-1.04</v>
      </c>
      <c r="H1470" s="60">
        <f>IFERROR(__xludf.DUMMYFUNCTION("IFERROR(GOOGLEFINANCE(A1470,""PRICE""),)"),347.05)</f>
        <v>347.05</v>
      </c>
      <c r="I1470" s="61">
        <f>IFERROR(__xludf.DUMMYFUNCTION("IFERROR(GOOGLEFINANCE(A1470,""VOLUME""),)"),12617.0)</f>
        <v>12617</v>
      </c>
      <c r="J1470" s="60" t="str">
        <f>IFERROR(__xludf.DUMMYFUNCTION("IFERROR(INDEX(SPLIT(A1470,"":""),1,2),)"),"TVSELECT")</f>
        <v>TVSELECT</v>
      </c>
      <c r="K1470" s="60" t="str">
        <f t="shared" si="4"/>
        <v/>
      </c>
      <c r="L1470" s="60">
        <f t="shared" si="5"/>
        <v>221</v>
      </c>
      <c r="M1470" s="60">
        <f t="shared" si="6"/>
        <v>1219</v>
      </c>
      <c r="N1470" s="62">
        <f>IFERROR(__xludf.DUMMYFUNCTION("IFERROR(GOOGLEFINANCE(A1470,""TRADETIME""),)"),46086.63836805556)</f>
        <v>46086.63837</v>
      </c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</row>
    <row r="1471">
      <c r="A1471" s="68" t="s">
        <v>1517</v>
      </c>
      <c r="B1471" s="64" t="str">
        <f>IFERROR(__xludf.DUMMYFUNCTION("IFERROR(GOOGLEFINANCE(A1471,""NAME""),)"),"TVS Motor Company Ltd")</f>
        <v>TVS Motor Company Ltd</v>
      </c>
      <c r="C1471" s="64">
        <f>IFERROR(__xludf.DUMMYFUNCTION("IFERROR(GOOGLEFINANCE(A1471,""CHANGE""),)"),69.2)</f>
        <v>69.2</v>
      </c>
      <c r="D1471" s="64">
        <f>IFERROR(__xludf.DUMMYFUNCTION("IFERROR(GOOGLEFINANCE(A1471,""CHANGEPCT""),)"),1.86)</f>
        <v>1.86</v>
      </c>
      <c r="E1471" s="64" t="str">
        <f t="shared" si="1"/>
        <v>1.86%</v>
      </c>
      <c r="F1471" s="64">
        <f t="shared" si="2"/>
        <v>1.86</v>
      </c>
      <c r="G1471" s="64" t="str">
        <f t="shared" si="3"/>
        <v/>
      </c>
      <c r="H1471" s="64">
        <f>IFERROR(__xludf.DUMMYFUNCTION("IFERROR(GOOGLEFINANCE(A1471,""PRICE""),)"),3816.7)</f>
        <v>3816.7</v>
      </c>
      <c r="I1471" s="65">
        <f>IFERROR(__xludf.DUMMYFUNCTION("IFERROR(GOOGLEFINANCE(A1471,""VOLUME""),)"),711054.0)</f>
        <v>711054</v>
      </c>
      <c r="J1471" s="64" t="str">
        <f>IFERROR(__xludf.DUMMYFUNCTION("IFERROR(INDEX(SPLIT(A1471,"":""),1,2),)"),"TVSMOTOR")</f>
        <v>TVSMOTOR</v>
      </c>
      <c r="K1471" s="64">
        <f t="shared" si="4"/>
        <v>479</v>
      </c>
      <c r="L1471" s="64" t="str">
        <f t="shared" si="5"/>
        <v/>
      </c>
      <c r="M1471" s="64">
        <f t="shared" si="6"/>
        <v>336</v>
      </c>
      <c r="N1471" s="66">
        <f>IFERROR(__xludf.DUMMYFUNCTION("IFERROR(GOOGLEFINANCE(A1471,""TRADETIME""),)"),46086.64584490741)</f>
        <v>46086.64584</v>
      </c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</row>
    <row r="1472">
      <c r="A1472" s="67" t="s">
        <v>1518</v>
      </c>
      <c r="B1472" s="60" t="str">
        <f>IFERROR(__xludf.DUMMYFUNCTION("IFERROR(GOOGLEFINANCE(A1472,""NAME""),)"),"TVS Srichakra Ltd")</f>
        <v>TVS Srichakra Ltd</v>
      </c>
      <c r="C1472" s="60">
        <f>IFERROR(__xludf.DUMMYFUNCTION("IFERROR(GOOGLEFINANCE(A1472,""CHANGE""),)"),11.6)</f>
        <v>11.6</v>
      </c>
      <c r="D1472" s="60">
        <f>IFERROR(__xludf.DUMMYFUNCTION("IFERROR(GOOGLEFINANCE(A1472,""CHANGEPCT""),)"),0.31)</f>
        <v>0.31</v>
      </c>
      <c r="E1472" s="60" t="str">
        <f t="shared" si="1"/>
        <v>0.31%</v>
      </c>
      <c r="F1472" s="60">
        <f t="shared" si="2"/>
        <v>0.31</v>
      </c>
      <c r="G1472" s="60" t="str">
        <f t="shared" si="3"/>
        <v/>
      </c>
      <c r="H1472" s="60">
        <f>IFERROR(__xludf.DUMMYFUNCTION("IFERROR(GOOGLEFINANCE(A1472,""PRICE""),)"),3732.0)</f>
        <v>3732</v>
      </c>
      <c r="I1472" s="61">
        <f>IFERROR(__xludf.DUMMYFUNCTION("IFERROR(GOOGLEFINANCE(A1472,""VOLUME""),)"),10744.0)</f>
        <v>10744</v>
      </c>
      <c r="J1472" s="60" t="str">
        <f>IFERROR(__xludf.DUMMYFUNCTION("IFERROR(INDEX(SPLIT(A1472,"":""),1,2),)"),"TVSSRICHAK")</f>
        <v>TVSSRICHAK</v>
      </c>
      <c r="K1472" s="60">
        <f t="shared" si="4"/>
        <v>928</v>
      </c>
      <c r="L1472" s="60" t="str">
        <f t="shared" si="5"/>
        <v/>
      </c>
      <c r="M1472" s="60">
        <f t="shared" si="6"/>
        <v>1253</v>
      </c>
      <c r="N1472" s="62">
        <f>IFERROR(__xludf.DUMMYFUNCTION("IFERROR(GOOGLEFINANCE(A1472,""TRADETIME""),)"),46086.64583333333)</f>
        <v>46086.64583</v>
      </c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</row>
    <row r="1473">
      <c r="A1473" s="68" t="s">
        <v>1519</v>
      </c>
      <c r="B1473" s="64" t="str">
        <f>IFERROR(__xludf.DUMMYFUNCTION("IFERROR(GOOGLEFINANCE(A1473,""NAME""),)"),"TV Today Network Limited")</f>
        <v>TV Today Network Limited</v>
      </c>
      <c r="C1473" s="64">
        <f>IFERROR(__xludf.DUMMYFUNCTION("IFERROR(GOOGLEFINANCE(A1473,""CHANGE""),)"),-0.11)</f>
        <v>-0.11</v>
      </c>
      <c r="D1473" s="64">
        <f>IFERROR(__xludf.DUMMYFUNCTION("IFERROR(GOOGLEFINANCE(A1473,""CHANGEPCT""),)"),-0.09)</f>
        <v>-0.09</v>
      </c>
      <c r="E1473" s="64" t="str">
        <f t="shared" si="1"/>
        <v>-0.09%</v>
      </c>
      <c r="F1473" s="64" t="str">
        <f t="shared" si="2"/>
        <v/>
      </c>
      <c r="G1473" s="64">
        <f t="shared" si="3"/>
        <v>-0.09</v>
      </c>
      <c r="H1473" s="64">
        <f>IFERROR(__xludf.DUMMYFUNCTION("IFERROR(GOOGLEFINANCE(A1473,""PRICE""),)"),117.65)</f>
        <v>117.65</v>
      </c>
      <c r="I1473" s="65">
        <f>IFERROR(__xludf.DUMMYFUNCTION("IFERROR(GOOGLEFINANCE(A1473,""VOLUME""),)"),34990.0)</f>
        <v>34990</v>
      </c>
      <c r="J1473" s="64" t="str">
        <f>IFERROR(__xludf.DUMMYFUNCTION("IFERROR(INDEX(SPLIT(A1473,"":""),1,2),)"),"TVTODAY")</f>
        <v>TVTODAY</v>
      </c>
      <c r="K1473" s="64" t="str">
        <f t="shared" si="4"/>
        <v/>
      </c>
      <c r="L1473" s="64">
        <f t="shared" si="5"/>
        <v>26</v>
      </c>
      <c r="M1473" s="64">
        <f t="shared" si="6"/>
        <v>1020</v>
      </c>
      <c r="N1473" s="66">
        <f>IFERROR(__xludf.DUMMYFUNCTION("IFERROR(GOOGLEFINANCE(A1473,""TRADETIME""),)"),46086.64586805555)</f>
        <v>46086.64587</v>
      </c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</row>
    <row r="1474">
      <c r="A1474" s="67" t="s">
        <v>1520</v>
      </c>
      <c r="B1474" s="60" t="str">
        <f>IFERROR(__xludf.DUMMYFUNCTION("IFERROR(GOOGLEFINANCE(A1474,""NAME""),)"),"TV Vision Ltd")</f>
        <v>TV Vision Ltd</v>
      </c>
      <c r="C1474" s="60">
        <f>IFERROR(__xludf.DUMMYFUNCTION("IFERROR(GOOGLEFINANCE(A1474,""CHANGE""),)"),-0.2)</f>
        <v>-0.2</v>
      </c>
      <c r="D1474" s="60">
        <f>IFERROR(__xludf.DUMMYFUNCTION("IFERROR(GOOGLEFINANCE(A1474,""CHANGEPCT""),)"),-0.7)</f>
        <v>-0.7</v>
      </c>
      <c r="E1474" s="60" t="str">
        <f t="shared" si="1"/>
        <v>-0.7%</v>
      </c>
      <c r="F1474" s="60" t="str">
        <f t="shared" si="2"/>
        <v/>
      </c>
      <c r="G1474" s="60">
        <f t="shared" si="3"/>
        <v>-0.7</v>
      </c>
      <c r="H1474" s="60">
        <f>IFERROR(__xludf.DUMMYFUNCTION("IFERROR(GOOGLEFINANCE(A1474,""PRICE""),)"),5.53)</f>
        <v>5.53</v>
      </c>
      <c r="I1474" s="61">
        <f>IFERROR(__xludf.DUMMYFUNCTION("IFERROR(GOOGLEFINANCE(A1474,""VOLUME""),)"),47250.0)</f>
        <v>47250</v>
      </c>
      <c r="J1474" s="60" t="str">
        <f>IFERROR(__xludf.DUMMYFUNCTION("IFERROR(INDEX(SPLIT(A1474,"":""),1,2),)"),"TVVISION")</f>
        <v>TVVISION</v>
      </c>
      <c r="K1474" s="60" t="str">
        <f t="shared" si="4"/>
        <v/>
      </c>
      <c r="L1474" s="60">
        <f t="shared" si="5"/>
        <v>170</v>
      </c>
      <c r="M1474" s="60">
        <f t="shared" si="6"/>
        <v>953</v>
      </c>
      <c r="N1474" s="62">
        <f>IFERROR(__xludf.DUMMYFUNCTION("IFERROR(GOOGLEFINANCE(A1474,""TRADETIME""),)"),46086.64583333333)</f>
        <v>46086.64583</v>
      </c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</row>
    <row r="1475">
      <c r="A1475" s="68" t="s">
        <v>1521</v>
      </c>
      <c r="B1475" s="64" t="str">
        <f>IFERROR(__xludf.DUMMYFUNCTION("IFERROR(GOOGLEFINANCE(A1475,""NAME""),)"),"")</f>
        <v/>
      </c>
      <c r="C1475" s="64" t="str">
        <f>IFERROR(__xludf.DUMMYFUNCTION("IFERROR(GOOGLEFINANCE(A1475,""CHANGE""),)"),"")</f>
        <v/>
      </c>
      <c r="D1475" s="64" t="str">
        <f>IFERROR(__xludf.DUMMYFUNCTION("IFERROR(GOOGLEFINANCE(A1475,""CHANGEPCT""),)"),"")</f>
        <v/>
      </c>
      <c r="E1475" s="64" t="str">
        <f t="shared" si="1"/>
        <v>%</v>
      </c>
      <c r="F1475" s="64" t="str">
        <f t="shared" si="2"/>
        <v/>
      </c>
      <c r="G1475" s="64" t="str">
        <f t="shared" si="3"/>
        <v/>
      </c>
      <c r="H1475" s="64" t="str">
        <f>IFERROR(__xludf.DUMMYFUNCTION("IFERROR(GOOGLEFINANCE(A1475,""PRICE""),)"),"")</f>
        <v/>
      </c>
      <c r="I1475" s="65" t="str">
        <f>IFERROR(__xludf.DUMMYFUNCTION("IFERROR(GOOGLEFINANCE(A1475,""VOLUME""),)"),"")</f>
        <v/>
      </c>
      <c r="J1475" s="64" t="str">
        <f>IFERROR(__xludf.DUMMYFUNCTION("IFERROR(INDEX(SPLIT(A1475,"":""),1,2),)"),"TWL")</f>
        <v>TWL</v>
      </c>
      <c r="K1475" s="64" t="str">
        <f t="shared" si="4"/>
        <v/>
      </c>
      <c r="L1475" s="64" t="str">
        <f t="shared" si="5"/>
        <v/>
      </c>
      <c r="M1475" s="64" t="str">
        <f t="shared" si="6"/>
        <v/>
      </c>
      <c r="N1475" s="66" t="str">
        <f>IFERROR(__xludf.DUMMYFUNCTION("IFERROR(GOOGLEFINANCE(A1475,""TRADETIME""),)"),"")</f>
        <v/>
      </c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</row>
    <row r="1476">
      <c r="A1476" s="67" t="s">
        <v>1522</v>
      </c>
      <c r="B1476" s="60" t="str">
        <f>IFERROR(__xludf.DUMMYFUNCTION("IFERROR(GOOGLEFINANCE(A1476,""NAME""),)"),"United Breweries Ltd")</f>
        <v>United Breweries Ltd</v>
      </c>
      <c r="C1476" s="60">
        <f>IFERROR(__xludf.DUMMYFUNCTION("IFERROR(GOOGLEFINANCE(A1476,""CHANGE""),)"),1.2)</f>
        <v>1.2</v>
      </c>
      <c r="D1476" s="60">
        <f>IFERROR(__xludf.DUMMYFUNCTION("IFERROR(GOOGLEFINANCE(A1476,""CHANGEPCT""),)"),0.07)</f>
        <v>0.07</v>
      </c>
      <c r="E1476" s="60" t="str">
        <f t="shared" si="1"/>
        <v>0.07%</v>
      </c>
      <c r="F1476" s="60">
        <f t="shared" si="2"/>
        <v>0.07</v>
      </c>
      <c r="G1476" s="60" t="str">
        <f t="shared" si="3"/>
        <v/>
      </c>
      <c r="H1476" s="60">
        <f>IFERROR(__xludf.DUMMYFUNCTION("IFERROR(GOOGLEFINANCE(A1476,""PRICE""),)"),1631.0)</f>
        <v>1631</v>
      </c>
      <c r="I1476" s="61">
        <f>IFERROR(__xludf.DUMMYFUNCTION("IFERROR(GOOGLEFINANCE(A1476,""VOLUME""),)"),91223.0)</f>
        <v>91223</v>
      </c>
      <c r="J1476" s="60" t="str">
        <f>IFERROR(__xludf.DUMMYFUNCTION("IFERROR(INDEX(SPLIT(A1476,"":""),1,2),)"),"UBL")</f>
        <v>UBL</v>
      </c>
      <c r="K1476" s="60">
        <f t="shared" si="4"/>
        <v>985</v>
      </c>
      <c r="L1476" s="60" t="str">
        <f t="shared" si="5"/>
        <v/>
      </c>
      <c r="M1476" s="60">
        <f t="shared" si="6"/>
        <v>777</v>
      </c>
      <c r="N1476" s="62">
        <f>IFERROR(__xludf.DUMMYFUNCTION("IFERROR(GOOGLEFINANCE(A1476,""TRADETIME""),)"),46086.64584490741)</f>
        <v>46086.64584</v>
      </c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</row>
    <row r="1477">
      <c r="A1477" s="68" t="s">
        <v>1523</v>
      </c>
      <c r="B1477" s="64" t="str">
        <f>IFERROR(__xludf.DUMMYFUNCTION("IFERROR(GOOGLEFINANCE(A1477,""NAME""),)"),"")</f>
        <v/>
      </c>
      <c r="C1477" s="64" t="str">
        <f>IFERROR(__xludf.DUMMYFUNCTION("IFERROR(GOOGLEFINANCE(A1477,""CHANGE""),)"),"")</f>
        <v/>
      </c>
      <c r="D1477" s="64" t="str">
        <f>IFERROR(__xludf.DUMMYFUNCTION("IFERROR(GOOGLEFINANCE(A1477,""CHANGEPCT""),)"),"")</f>
        <v/>
      </c>
      <c r="E1477" s="64" t="str">
        <f t="shared" si="1"/>
        <v>%</v>
      </c>
      <c r="F1477" s="64" t="str">
        <f t="shared" si="2"/>
        <v/>
      </c>
      <c r="G1477" s="64" t="str">
        <f t="shared" si="3"/>
        <v/>
      </c>
      <c r="H1477" s="64" t="str">
        <f>IFERROR(__xludf.DUMMYFUNCTION("IFERROR(GOOGLEFINANCE(A1477,""PRICE""),)"),"")</f>
        <v/>
      </c>
      <c r="I1477" s="65" t="str">
        <f>IFERROR(__xludf.DUMMYFUNCTION("IFERROR(GOOGLEFINANCE(A1477,""VOLUME""),)"),"")</f>
        <v/>
      </c>
      <c r="J1477" s="64" t="str">
        <f>IFERROR(__xludf.DUMMYFUNCTION("IFERROR(INDEX(SPLIT(A1477,"":""),1,2),)"),"UCALFUEL")</f>
        <v>UCALFUEL</v>
      </c>
      <c r="K1477" s="64" t="str">
        <f t="shared" si="4"/>
        <v/>
      </c>
      <c r="L1477" s="64" t="str">
        <f t="shared" si="5"/>
        <v/>
      </c>
      <c r="M1477" s="64" t="str">
        <f t="shared" si="6"/>
        <v/>
      </c>
      <c r="N1477" s="66" t="str">
        <f>IFERROR(__xludf.DUMMYFUNCTION("IFERROR(GOOGLEFINANCE(A1477,""TRADETIME""),)"),"")</f>
        <v/>
      </c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</row>
    <row r="1478">
      <c r="A1478" s="67" t="s">
        <v>1524</v>
      </c>
      <c r="B1478" s="60" t="str">
        <f>IFERROR(__xludf.DUMMYFUNCTION("IFERROR(GOOGLEFINANCE(A1478,""NAME""),)"),"UCO Bank")</f>
        <v>UCO Bank</v>
      </c>
      <c r="C1478" s="60">
        <f>IFERROR(__xludf.DUMMYFUNCTION("IFERROR(GOOGLEFINANCE(A1478,""CHANGE""),)"),0.26)</f>
        <v>0.26</v>
      </c>
      <c r="D1478" s="60">
        <f>IFERROR(__xludf.DUMMYFUNCTION("IFERROR(GOOGLEFINANCE(A1478,""CHANGEPCT""),)"),0.84)</f>
        <v>0.84</v>
      </c>
      <c r="E1478" s="60" t="str">
        <f t="shared" si="1"/>
        <v>0.84%</v>
      </c>
      <c r="F1478" s="60">
        <f t="shared" si="2"/>
        <v>0.84</v>
      </c>
      <c r="G1478" s="60" t="str">
        <f t="shared" si="3"/>
        <v/>
      </c>
      <c r="H1478" s="60">
        <f>IFERROR(__xludf.DUMMYFUNCTION("IFERROR(GOOGLEFINANCE(A1478,""PRICE""),)"),27.51)</f>
        <v>27.51</v>
      </c>
      <c r="I1478" s="61">
        <f>IFERROR(__xludf.DUMMYFUNCTION("IFERROR(GOOGLEFINANCE(A1478,""VOLUME""),)"),6983280.0)</f>
        <v>6983280</v>
      </c>
      <c r="J1478" s="60" t="str">
        <f>IFERROR(__xludf.DUMMYFUNCTION("IFERROR(INDEX(SPLIT(A1478,"":""),1,2),)"),"UCOBANK")</f>
        <v>UCOBANK</v>
      </c>
      <c r="K1478" s="60">
        <f t="shared" si="4"/>
        <v>770</v>
      </c>
      <c r="L1478" s="60" t="str">
        <f t="shared" si="5"/>
        <v/>
      </c>
      <c r="M1478" s="60">
        <f t="shared" si="6"/>
        <v>84</v>
      </c>
      <c r="N1478" s="62">
        <f>IFERROR(__xludf.DUMMYFUNCTION("IFERROR(GOOGLEFINANCE(A1478,""TRADETIME""),)"),46086.64584490741)</f>
        <v>46086.64584</v>
      </c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</row>
    <row r="1479">
      <c r="A1479" s="68" t="s">
        <v>1525</v>
      </c>
      <c r="B1479" s="64" t="str">
        <f>IFERROR(__xludf.DUMMYFUNCTION("IFERROR(GOOGLEFINANCE(A1479,""NAME""),)"),"Uflex Ltd")</f>
        <v>Uflex Ltd</v>
      </c>
      <c r="C1479" s="64">
        <f>IFERROR(__xludf.DUMMYFUNCTION("IFERROR(GOOGLEFINANCE(A1479,""CHANGE""),)"),4.35)</f>
        <v>4.35</v>
      </c>
      <c r="D1479" s="64">
        <f>IFERROR(__xludf.DUMMYFUNCTION("IFERROR(GOOGLEFINANCE(A1479,""CHANGEPCT""),)"),1.93)</f>
        <v>1.93</v>
      </c>
      <c r="E1479" s="64" t="str">
        <f t="shared" si="1"/>
        <v>1.93%</v>
      </c>
      <c r="F1479" s="64">
        <f t="shared" si="2"/>
        <v>1.93</v>
      </c>
      <c r="G1479" s="64" t="str">
        <f t="shared" si="3"/>
        <v/>
      </c>
      <c r="H1479" s="64">
        <f>IFERROR(__xludf.DUMMYFUNCTION("IFERROR(GOOGLEFINANCE(A1479,""PRICE""),)"),458.55)</f>
        <v>458.55</v>
      </c>
      <c r="I1479" s="65">
        <f>IFERROR(__xludf.DUMMYFUNCTION("IFERROR(GOOGLEFINANCE(A1479,""VOLUME""),)"),30326.0)</f>
        <v>30326</v>
      </c>
      <c r="J1479" s="64" t="str">
        <f>IFERROR(__xludf.DUMMYFUNCTION("IFERROR(INDEX(SPLIT(A1479,"":""),1,2),)"),"UFLEX")</f>
        <v>UFLEX</v>
      </c>
      <c r="K1479" s="64">
        <f t="shared" si="4"/>
        <v>457</v>
      </c>
      <c r="L1479" s="64" t="str">
        <f t="shared" si="5"/>
        <v/>
      </c>
      <c r="M1479" s="64">
        <f t="shared" si="6"/>
        <v>1055</v>
      </c>
      <c r="N1479" s="66">
        <f>IFERROR(__xludf.DUMMYFUNCTION("IFERROR(GOOGLEFINANCE(A1479,""TRADETIME""),)"),46086.64583333333)</f>
        <v>46086.64583</v>
      </c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</row>
    <row r="1480">
      <c r="A1480" s="67" t="s">
        <v>1526</v>
      </c>
      <c r="B1480" s="60" t="str">
        <f>IFERROR(__xludf.DUMMYFUNCTION("IFERROR(GOOGLEFINANCE(A1480,""NAME""),)"),"UFO Moviez India Ltd")</f>
        <v>UFO Moviez India Ltd</v>
      </c>
      <c r="C1480" s="60">
        <f>IFERROR(__xludf.DUMMYFUNCTION("IFERROR(GOOGLEFINANCE(A1480,""CHANGE""),)"),0.57)</f>
        <v>0.57</v>
      </c>
      <c r="D1480" s="60">
        <f>IFERROR(__xludf.DUMMYFUNCTION("IFERROR(GOOGLEFINANCE(A1480,""CHANGEPCT""),)"),0.83)</f>
        <v>0.83</v>
      </c>
      <c r="E1480" s="60" t="str">
        <f t="shared" si="1"/>
        <v>0.83%</v>
      </c>
      <c r="F1480" s="60">
        <f t="shared" si="2"/>
        <v>0.83</v>
      </c>
      <c r="G1480" s="60" t="str">
        <f t="shared" si="3"/>
        <v/>
      </c>
      <c r="H1480" s="60">
        <f>IFERROR(__xludf.DUMMYFUNCTION("IFERROR(GOOGLEFINANCE(A1480,""PRICE""),)"),68.99)</f>
        <v>68.99</v>
      </c>
      <c r="I1480" s="61">
        <f>IFERROR(__xludf.DUMMYFUNCTION("IFERROR(GOOGLEFINANCE(A1480,""VOLUME""),)"),69697.0)</f>
        <v>69697</v>
      </c>
      <c r="J1480" s="60" t="str">
        <f>IFERROR(__xludf.DUMMYFUNCTION("IFERROR(INDEX(SPLIT(A1480,"":""),1,2),)"),"UFO")</f>
        <v>UFO</v>
      </c>
      <c r="K1480" s="60">
        <f t="shared" si="4"/>
        <v>775</v>
      </c>
      <c r="L1480" s="60" t="str">
        <f t="shared" si="5"/>
        <v/>
      </c>
      <c r="M1480" s="60">
        <f t="shared" si="6"/>
        <v>849</v>
      </c>
      <c r="N1480" s="62">
        <f>IFERROR(__xludf.DUMMYFUNCTION("IFERROR(GOOGLEFINANCE(A1480,""TRADETIME""),)"),46086.64097222222)</f>
        <v>46086.64097</v>
      </c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</row>
    <row r="1481">
      <c r="A1481" s="68" t="s">
        <v>1527</v>
      </c>
      <c r="B1481" s="64" t="str">
        <f>IFERROR(__xludf.DUMMYFUNCTION("IFERROR(GOOGLEFINANCE(A1481,""NAME""),)"),"Ugar Sugar Works Ltd")</f>
        <v>Ugar Sugar Works Ltd</v>
      </c>
      <c r="C1481" s="64">
        <f>IFERROR(__xludf.DUMMYFUNCTION("IFERROR(GOOGLEFINANCE(A1481,""CHANGE""),)"),-1.37)</f>
        <v>-1.37</v>
      </c>
      <c r="D1481" s="64">
        <f>IFERROR(__xludf.DUMMYFUNCTION("IFERROR(GOOGLEFINANCE(A1481,""CHANGEPCT""),)"),-3.31)</f>
        <v>-3.31</v>
      </c>
      <c r="E1481" s="64" t="str">
        <f t="shared" si="1"/>
        <v>-3.31%</v>
      </c>
      <c r="F1481" s="64" t="str">
        <f t="shared" si="2"/>
        <v/>
      </c>
      <c r="G1481" s="64">
        <f t="shared" si="3"/>
        <v>-3.31</v>
      </c>
      <c r="H1481" s="64">
        <f>IFERROR(__xludf.DUMMYFUNCTION("IFERROR(GOOGLEFINANCE(A1481,""PRICE""),)"),37.1)</f>
        <v>37.1</v>
      </c>
      <c r="I1481" s="65">
        <f>IFERROR(__xludf.DUMMYFUNCTION("IFERROR(GOOGLEFINANCE(A1481,""VOLUME""),)"),280807.0)</f>
        <v>280807</v>
      </c>
      <c r="J1481" s="64" t="str">
        <f>IFERROR(__xludf.DUMMYFUNCTION("IFERROR(INDEX(SPLIT(A1481,"":""),1,2),)"),"UGARSUGAR")</f>
        <v>UGARSUGAR</v>
      </c>
      <c r="K1481" s="64" t="str">
        <f t="shared" si="4"/>
        <v/>
      </c>
      <c r="L1481" s="64">
        <f t="shared" si="5"/>
        <v>414</v>
      </c>
      <c r="M1481" s="64">
        <f t="shared" si="6"/>
        <v>526</v>
      </c>
      <c r="N1481" s="66">
        <f>IFERROR(__xludf.DUMMYFUNCTION("IFERROR(GOOGLEFINANCE(A1481,""TRADETIME""),)"),46086.64583333333)</f>
        <v>46086.64583</v>
      </c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</row>
    <row r="1482">
      <c r="A1482" s="67" t="s">
        <v>1528</v>
      </c>
      <c r="B1482" s="60" t="str">
        <f>IFERROR(__xludf.DUMMYFUNCTION("IFERROR(GOOGLEFINANCE(A1482,""NAME""),)"),"")</f>
        <v/>
      </c>
      <c r="C1482" s="60" t="str">
        <f>IFERROR(__xludf.DUMMYFUNCTION("IFERROR(GOOGLEFINANCE(A1482,""CHANGE""),)"),"")</f>
        <v/>
      </c>
      <c r="D1482" s="60" t="str">
        <f>IFERROR(__xludf.DUMMYFUNCTION("IFERROR(GOOGLEFINANCE(A1482,""CHANGEPCT""),)"),"")</f>
        <v/>
      </c>
      <c r="E1482" s="60" t="str">
        <f t="shared" si="1"/>
        <v>%</v>
      </c>
      <c r="F1482" s="60" t="str">
        <f t="shared" si="2"/>
        <v/>
      </c>
      <c r="G1482" s="60" t="str">
        <f t="shared" si="3"/>
        <v/>
      </c>
      <c r="H1482" s="60" t="str">
        <f>IFERROR(__xludf.DUMMYFUNCTION("IFERROR(GOOGLEFINANCE(A1482,""PRICE""),)"),"")</f>
        <v/>
      </c>
      <c r="I1482" s="61" t="str">
        <f>IFERROR(__xludf.DUMMYFUNCTION("IFERROR(GOOGLEFINANCE(A1482,""VOLUME""),)"),"")</f>
        <v/>
      </c>
      <c r="J1482" s="60" t="str">
        <f>IFERROR(__xludf.DUMMYFUNCTION("IFERROR(INDEX(SPLIT(A1482,"":""),1,2),)"),"UJAAS")</f>
        <v>UJAAS</v>
      </c>
      <c r="K1482" s="60" t="str">
        <f t="shared" si="4"/>
        <v/>
      </c>
      <c r="L1482" s="60" t="str">
        <f t="shared" si="5"/>
        <v/>
      </c>
      <c r="M1482" s="60" t="str">
        <f t="shared" si="6"/>
        <v/>
      </c>
      <c r="N1482" s="62" t="str">
        <f>IFERROR(__xludf.DUMMYFUNCTION("IFERROR(GOOGLEFINANCE(A1482,""TRADETIME""),)"),"")</f>
        <v/>
      </c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</row>
    <row r="1483">
      <c r="A1483" s="68" t="s">
        <v>1529</v>
      </c>
      <c r="B1483" s="64" t="str">
        <f>IFERROR(__xludf.DUMMYFUNCTION("IFERROR(GOOGLEFINANCE(A1483,""NAME""),)"),"")</f>
        <v/>
      </c>
      <c r="C1483" s="64" t="str">
        <f>IFERROR(__xludf.DUMMYFUNCTION("IFERROR(GOOGLEFINANCE(A1483,""CHANGE""),)"),"")</f>
        <v/>
      </c>
      <c r="D1483" s="64" t="str">
        <f>IFERROR(__xludf.DUMMYFUNCTION("IFERROR(GOOGLEFINANCE(A1483,""CHANGEPCT""),)"),"")</f>
        <v/>
      </c>
      <c r="E1483" s="64" t="str">
        <f t="shared" si="1"/>
        <v>%</v>
      </c>
      <c r="F1483" s="64" t="str">
        <f t="shared" si="2"/>
        <v/>
      </c>
      <c r="G1483" s="64" t="str">
        <f t="shared" si="3"/>
        <v/>
      </c>
      <c r="H1483" s="64" t="str">
        <f>IFERROR(__xludf.DUMMYFUNCTION("IFERROR(GOOGLEFINANCE(A1483,""PRICE""),)"),"")</f>
        <v/>
      </c>
      <c r="I1483" s="65" t="str">
        <f>IFERROR(__xludf.DUMMYFUNCTION("IFERROR(GOOGLEFINANCE(A1483,""VOLUME""),)"),"")</f>
        <v/>
      </c>
      <c r="J1483" s="64" t="str">
        <f>IFERROR(__xludf.DUMMYFUNCTION("IFERROR(INDEX(SPLIT(A1483,"":""),1,2),)"),"UJJIVAN")</f>
        <v>UJJIVAN</v>
      </c>
      <c r="K1483" s="64" t="str">
        <f t="shared" si="4"/>
        <v/>
      </c>
      <c r="L1483" s="64" t="str">
        <f t="shared" si="5"/>
        <v/>
      </c>
      <c r="M1483" s="64" t="str">
        <f t="shared" si="6"/>
        <v/>
      </c>
      <c r="N1483" s="66" t="str">
        <f>IFERROR(__xludf.DUMMYFUNCTION("IFERROR(GOOGLEFINANCE(A1483,""TRADETIME""),)"),"")</f>
        <v/>
      </c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</row>
    <row r="1484">
      <c r="A1484" s="67" t="s">
        <v>1530</v>
      </c>
      <c r="B1484" s="60" t="str">
        <f>IFERROR(__xludf.DUMMYFUNCTION("IFERROR(GOOGLEFINANCE(A1484,""NAME""),)"),"Ujjivan Small Finance Bank Ltd")</f>
        <v>Ujjivan Small Finance Bank Ltd</v>
      </c>
      <c r="C1484" s="60">
        <f>IFERROR(__xludf.DUMMYFUNCTION("IFERROR(GOOGLEFINANCE(A1484,""CHANGE""),)"),1.74)</f>
        <v>1.74</v>
      </c>
      <c r="D1484" s="60">
        <f>IFERROR(__xludf.DUMMYFUNCTION("IFERROR(GOOGLEFINANCE(A1484,""CHANGEPCT""),)"),3.21)</f>
        <v>3.21</v>
      </c>
      <c r="E1484" s="60" t="str">
        <f t="shared" si="1"/>
        <v>3.21%</v>
      </c>
      <c r="F1484" s="60">
        <f t="shared" si="2"/>
        <v>3.21</v>
      </c>
      <c r="G1484" s="60" t="str">
        <f t="shared" si="3"/>
        <v/>
      </c>
      <c r="H1484" s="60">
        <f>IFERROR(__xludf.DUMMYFUNCTION("IFERROR(GOOGLEFINANCE(A1484,""PRICE""),)"),56.0)</f>
        <v>56</v>
      </c>
      <c r="I1484" s="61">
        <f>IFERROR(__xludf.DUMMYFUNCTION("IFERROR(GOOGLEFINANCE(A1484,""VOLUME""),)"),8171273.0)</f>
        <v>8171273</v>
      </c>
      <c r="J1484" s="60" t="str">
        <f>IFERROR(__xludf.DUMMYFUNCTION("IFERROR(INDEX(SPLIT(A1484,"":""),1,2),)"),"UJJIVANSFB")</f>
        <v>UJJIVANSFB</v>
      </c>
      <c r="K1484" s="60">
        <f t="shared" si="4"/>
        <v>223</v>
      </c>
      <c r="L1484" s="60" t="str">
        <f t="shared" si="5"/>
        <v/>
      </c>
      <c r="M1484" s="60">
        <f t="shared" si="6"/>
        <v>74</v>
      </c>
      <c r="N1484" s="62">
        <f>IFERROR(__xludf.DUMMYFUNCTION("IFERROR(GOOGLEFINANCE(A1484,""TRADETIME""),)"),46086.64405092593)</f>
        <v>46086.64405</v>
      </c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</row>
    <row r="1485">
      <c r="A1485" s="68" t="s">
        <v>1531</v>
      </c>
      <c r="B1485" s="64" t="str">
        <f>IFERROR(__xludf.DUMMYFUNCTION("IFERROR(GOOGLEFINANCE(A1485,""NAME""),)"),"UltraTech Cement Ltd")</f>
        <v>UltraTech Cement Ltd</v>
      </c>
      <c r="C1485" s="64">
        <f>IFERROR(__xludf.DUMMYFUNCTION("IFERROR(GOOGLEFINANCE(A1485,""CHANGE""),)"),203.0)</f>
        <v>203</v>
      </c>
      <c r="D1485" s="64">
        <f>IFERROR(__xludf.DUMMYFUNCTION("IFERROR(GOOGLEFINANCE(A1485,""CHANGEPCT""),)"),1.26)</f>
        <v>1.26</v>
      </c>
      <c r="E1485" s="64" t="str">
        <f t="shared" si="1"/>
        <v>1.26%</v>
      </c>
      <c r="F1485" s="64">
        <f t="shared" si="2"/>
        <v>1.26</v>
      </c>
      <c r="G1485" s="64" t="str">
        <f t="shared" si="3"/>
        <v/>
      </c>
      <c r="H1485" s="64">
        <f>IFERROR(__xludf.DUMMYFUNCTION("IFERROR(GOOGLEFINANCE(A1485,""PRICE""),)"),12260.0)</f>
        <v>12260</v>
      </c>
      <c r="I1485" s="65">
        <f>IFERROR(__xludf.DUMMYFUNCTION("IFERROR(GOOGLEFINANCE(A1485,""VOLUME""),)"),284980.0)</f>
        <v>284980</v>
      </c>
      <c r="J1485" s="64" t="str">
        <f>IFERROR(__xludf.DUMMYFUNCTION("IFERROR(INDEX(SPLIT(A1485,"":""),1,2),)"),"ULTRACEMCO")</f>
        <v>ULTRACEMCO</v>
      </c>
      <c r="K1485" s="64">
        <f t="shared" si="4"/>
        <v>653</v>
      </c>
      <c r="L1485" s="64" t="str">
        <f t="shared" si="5"/>
        <v/>
      </c>
      <c r="M1485" s="64">
        <f t="shared" si="6"/>
        <v>522</v>
      </c>
      <c r="N1485" s="66">
        <f>IFERROR(__xludf.DUMMYFUNCTION("IFERROR(GOOGLEFINANCE(A1485,""TRADETIME""),)"),46086.64583333333)</f>
        <v>46086.64583</v>
      </c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</row>
    <row r="1486">
      <c r="A1486" s="67" t="s">
        <v>1532</v>
      </c>
      <c r="B1486" s="60" t="str">
        <f>IFERROR(__xludf.DUMMYFUNCTION("IFERROR(GOOGLEFINANCE(A1486,""NAME""),)"),"")</f>
        <v/>
      </c>
      <c r="C1486" s="60" t="str">
        <f>IFERROR(__xludf.DUMMYFUNCTION("IFERROR(GOOGLEFINANCE(A1486,""CHANGE""),)"),"")</f>
        <v/>
      </c>
      <c r="D1486" s="60" t="str">
        <f>IFERROR(__xludf.DUMMYFUNCTION("IFERROR(GOOGLEFINANCE(A1486,""CHANGEPCT""),)"),"")</f>
        <v/>
      </c>
      <c r="E1486" s="60" t="str">
        <f t="shared" si="1"/>
        <v>%</v>
      </c>
      <c r="F1486" s="60" t="str">
        <f t="shared" si="2"/>
        <v/>
      </c>
      <c r="G1486" s="60" t="str">
        <f t="shared" si="3"/>
        <v/>
      </c>
      <c r="H1486" s="60" t="str">
        <f>IFERROR(__xludf.DUMMYFUNCTION("IFERROR(GOOGLEFINANCE(A1486,""PRICE""),)"),"")</f>
        <v/>
      </c>
      <c r="I1486" s="61" t="str">
        <f>IFERROR(__xludf.DUMMYFUNCTION("IFERROR(GOOGLEFINANCE(A1486,""VOLUME""),)"),"")</f>
        <v/>
      </c>
      <c r="J1486" s="60" t="str">
        <f>IFERROR(__xludf.DUMMYFUNCTION("IFERROR(INDEX(SPLIT(A1486,"":""),1,2),)"),"UMANGDAIRY")</f>
        <v>UMANGDAIRY</v>
      </c>
      <c r="K1486" s="60" t="str">
        <f t="shared" si="4"/>
        <v/>
      </c>
      <c r="L1486" s="60" t="str">
        <f t="shared" si="5"/>
        <v/>
      </c>
      <c r="M1486" s="60" t="str">
        <f t="shared" si="6"/>
        <v/>
      </c>
      <c r="N1486" s="62" t="str">
        <f>IFERROR(__xludf.DUMMYFUNCTION("IFERROR(GOOGLEFINANCE(A1486,""TRADETIME""),)"),"")</f>
        <v/>
      </c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</row>
    <row r="1487">
      <c r="A1487" s="68" t="s">
        <v>1533</v>
      </c>
      <c r="B1487" s="64" t="str">
        <f>IFERROR(__xludf.DUMMYFUNCTION("IFERROR(GOOGLEFINANCE(A1487,""NAME""),)"),"Usha Martin Education And Solutions Ltd")</f>
        <v>Usha Martin Education And Solutions Ltd</v>
      </c>
      <c r="C1487" s="64">
        <f>IFERROR(__xludf.DUMMYFUNCTION("IFERROR(GOOGLEFINANCE(A1487,""CHANGE""),)"),0.27)</f>
        <v>0.27</v>
      </c>
      <c r="D1487" s="64">
        <f>IFERROR(__xludf.DUMMYFUNCTION("IFERROR(GOOGLEFINANCE(A1487,""CHANGEPCT""),)"),6.85)</f>
        <v>6.85</v>
      </c>
      <c r="E1487" s="64" t="str">
        <f t="shared" si="1"/>
        <v>6.85%</v>
      </c>
      <c r="F1487" s="64">
        <f t="shared" si="2"/>
        <v>6.85</v>
      </c>
      <c r="G1487" s="64" t="str">
        <f t="shared" si="3"/>
        <v/>
      </c>
      <c r="H1487" s="64">
        <f>IFERROR(__xludf.DUMMYFUNCTION("IFERROR(GOOGLEFINANCE(A1487,""PRICE""),)"),4.21)</f>
        <v>4.21</v>
      </c>
      <c r="I1487" s="65">
        <f>IFERROR(__xludf.DUMMYFUNCTION("IFERROR(GOOGLEFINANCE(A1487,""VOLUME""),)"),18863.0)</f>
        <v>18863</v>
      </c>
      <c r="J1487" s="64" t="str">
        <f>IFERROR(__xludf.DUMMYFUNCTION("IFERROR(INDEX(SPLIT(A1487,"":""),1,2),)"),"UMESLTD")</f>
        <v>UMESLTD</v>
      </c>
      <c r="K1487" s="64">
        <f t="shared" si="4"/>
        <v>30</v>
      </c>
      <c r="L1487" s="64" t="str">
        <f t="shared" si="5"/>
        <v/>
      </c>
      <c r="M1487" s="64">
        <f t="shared" si="6"/>
        <v>1152</v>
      </c>
      <c r="N1487" s="66">
        <f>IFERROR(__xludf.DUMMYFUNCTION("IFERROR(GOOGLEFINANCE(A1487,""TRADETIME""),)"),46086.64583333333)</f>
        <v>46086.64583</v>
      </c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</row>
    <row r="1488">
      <c r="A1488" s="67" t="s">
        <v>1534</v>
      </c>
      <c r="B1488" s="60" t="str">
        <f>IFERROR(__xludf.DUMMYFUNCTION("IFERROR(GOOGLEFINANCE(A1488,""NAME""),)"),"Unichem Laboratories Ltd")</f>
        <v>Unichem Laboratories Ltd</v>
      </c>
      <c r="C1488" s="60">
        <f>IFERROR(__xludf.DUMMYFUNCTION("IFERROR(GOOGLEFINANCE(A1488,""CHANGE""),)"),5.35)</f>
        <v>5.35</v>
      </c>
      <c r="D1488" s="60">
        <f>IFERROR(__xludf.DUMMYFUNCTION("IFERROR(GOOGLEFINANCE(A1488,""CHANGEPCT""),)"),2.75)</f>
        <v>2.75</v>
      </c>
      <c r="E1488" s="60" t="str">
        <f t="shared" si="1"/>
        <v>2.75%</v>
      </c>
      <c r="F1488" s="60">
        <f t="shared" si="2"/>
        <v>2.75</v>
      </c>
      <c r="G1488" s="60" t="str">
        <f t="shared" si="3"/>
        <v/>
      </c>
      <c r="H1488" s="60">
        <f>IFERROR(__xludf.DUMMYFUNCTION("IFERROR(GOOGLEFINANCE(A1488,""PRICE""),)"),326.0)</f>
        <v>326</v>
      </c>
      <c r="I1488" s="61">
        <f>IFERROR(__xludf.DUMMYFUNCTION("IFERROR(GOOGLEFINANCE(A1488,""VOLUME""),)"),22569.0)</f>
        <v>22569</v>
      </c>
      <c r="J1488" s="60" t="str">
        <f>IFERROR(__xludf.DUMMYFUNCTION("IFERROR(INDEX(SPLIT(A1488,"":""),1,2),)"),"UNICHEMLAB")</f>
        <v>UNICHEMLAB</v>
      </c>
      <c r="K1488" s="60">
        <f t="shared" si="4"/>
        <v>302</v>
      </c>
      <c r="L1488" s="60" t="str">
        <f t="shared" si="5"/>
        <v/>
      </c>
      <c r="M1488" s="60">
        <f t="shared" si="6"/>
        <v>1120</v>
      </c>
      <c r="N1488" s="62">
        <f>IFERROR(__xludf.DUMMYFUNCTION("IFERROR(GOOGLEFINANCE(A1488,""TRADETIME""),)"),46086.64583333333)</f>
        <v>46086.64583</v>
      </c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</row>
    <row r="1489">
      <c r="A1489" s="68" t="s">
        <v>1535</v>
      </c>
      <c r="B1489" s="64" t="str">
        <f>IFERROR(__xludf.DUMMYFUNCTION("IFERROR(GOOGLEFINANCE(A1489,""NAME""),)"),"United Drilling Tools Ltd")</f>
        <v>United Drilling Tools Ltd</v>
      </c>
      <c r="C1489" s="64">
        <f>IFERROR(__xludf.DUMMYFUNCTION("IFERROR(GOOGLEFINANCE(A1489,""CHANGE""),)"),8.81)</f>
        <v>8.81</v>
      </c>
      <c r="D1489" s="64">
        <f>IFERROR(__xludf.DUMMYFUNCTION("IFERROR(GOOGLEFINANCE(A1489,""CHANGEPCT""),)"),6.36)</f>
        <v>6.36</v>
      </c>
      <c r="E1489" s="64" t="str">
        <f t="shared" si="1"/>
        <v>6.36%</v>
      </c>
      <c r="F1489" s="64">
        <f t="shared" si="2"/>
        <v>6.36</v>
      </c>
      <c r="G1489" s="64" t="str">
        <f t="shared" si="3"/>
        <v/>
      </c>
      <c r="H1489" s="64">
        <f>IFERROR(__xludf.DUMMYFUNCTION("IFERROR(GOOGLEFINANCE(A1489,""PRICE""),)"),175.7)</f>
        <v>175.7</v>
      </c>
      <c r="I1489" s="65">
        <f>IFERROR(__xludf.DUMMYFUNCTION("IFERROR(GOOGLEFINANCE(A1489,""VOLUME""),)"),47863.0)</f>
        <v>47863</v>
      </c>
      <c r="J1489" s="64" t="str">
        <f>IFERROR(__xludf.DUMMYFUNCTION("IFERROR(INDEX(SPLIT(A1489,"":""),1,2),)"),"UNIDT")</f>
        <v>UNIDT</v>
      </c>
      <c r="K1489" s="64">
        <f t="shared" si="4"/>
        <v>38</v>
      </c>
      <c r="L1489" s="64" t="str">
        <f t="shared" si="5"/>
        <v/>
      </c>
      <c r="M1489" s="64">
        <f t="shared" si="6"/>
        <v>948</v>
      </c>
      <c r="N1489" s="66">
        <f>IFERROR(__xludf.DUMMYFUNCTION("IFERROR(GOOGLEFINANCE(A1489,""TRADETIME""),)"),46086.635972222226)</f>
        <v>46086.63597</v>
      </c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</row>
    <row r="1490">
      <c r="A1490" s="67" t="s">
        <v>1536</v>
      </c>
      <c r="B1490" s="60" t="str">
        <f>IFERROR(__xludf.DUMMYFUNCTION("IFERROR(GOOGLEFINANCE(A1490,""NAME""),)"),"Uniphos Enterprises Ltd")</f>
        <v>Uniphos Enterprises Ltd</v>
      </c>
      <c r="C1490" s="60">
        <f>IFERROR(__xludf.DUMMYFUNCTION("IFERROR(GOOGLEFINANCE(A1490,""CHANGE""),)"),4.77)</f>
        <v>4.77</v>
      </c>
      <c r="D1490" s="60">
        <f>IFERROR(__xludf.DUMMYFUNCTION("IFERROR(GOOGLEFINANCE(A1490,""CHANGEPCT""),)"),4.71)</f>
        <v>4.71</v>
      </c>
      <c r="E1490" s="60" t="str">
        <f t="shared" si="1"/>
        <v>4.71%</v>
      </c>
      <c r="F1490" s="60">
        <f t="shared" si="2"/>
        <v>4.71</v>
      </c>
      <c r="G1490" s="60" t="str">
        <f t="shared" si="3"/>
        <v/>
      </c>
      <c r="H1490" s="60">
        <f>IFERROR(__xludf.DUMMYFUNCTION("IFERROR(GOOGLEFINANCE(A1490,""PRICE""),)"),105.94)</f>
        <v>105.94</v>
      </c>
      <c r="I1490" s="61">
        <f>IFERROR(__xludf.DUMMYFUNCTION("IFERROR(GOOGLEFINANCE(A1490,""VOLUME""),)"),11637.0)</f>
        <v>11637</v>
      </c>
      <c r="J1490" s="60" t="str">
        <f>IFERROR(__xludf.DUMMYFUNCTION("IFERROR(INDEX(SPLIT(A1490,"":""),1,2),)"),"UNIENTER")</f>
        <v>UNIENTER</v>
      </c>
      <c r="K1490" s="60">
        <f t="shared" si="4"/>
        <v>94</v>
      </c>
      <c r="L1490" s="60" t="str">
        <f t="shared" si="5"/>
        <v/>
      </c>
      <c r="M1490" s="60">
        <f t="shared" si="6"/>
        <v>1236</v>
      </c>
      <c r="N1490" s="62">
        <f>IFERROR(__xludf.DUMMYFUNCTION("IFERROR(GOOGLEFINANCE(A1490,""TRADETIME""),)"),46086.64583333333)</f>
        <v>46086.64583</v>
      </c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</row>
    <row r="1491">
      <c r="A1491" s="68" t="s">
        <v>1537</v>
      </c>
      <c r="B1491" s="64" t="str">
        <f>IFERROR(__xludf.DUMMYFUNCTION("IFERROR(GOOGLEFINANCE(A1491,""NAME""),)"),"Union Bank of India Ltd")</f>
        <v>Union Bank of India Ltd</v>
      </c>
      <c r="C1491" s="64">
        <f>IFERROR(__xludf.DUMMYFUNCTION("IFERROR(GOOGLEFINANCE(A1491,""CHANGE""),)"),0.11)</f>
        <v>0.11</v>
      </c>
      <c r="D1491" s="64">
        <f>IFERROR(__xludf.DUMMYFUNCTION("IFERROR(GOOGLEFINANCE(A1491,""CHANGEPCT""),)"),0.06)</f>
        <v>0.06</v>
      </c>
      <c r="E1491" s="64" t="str">
        <f t="shared" si="1"/>
        <v>0.06%</v>
      </c>
      <c r="F1491" s="64">
        <f t="shared" si="2"/>
        <v>0.06</v>
      </c>
      <c r="G1491" s="64" t="str">
        <f t="shared" si="3"/>
        <v/>
      </c>
      <c r="H1491" s="64">
        <f>IFERROR(__xludf.DUMMYFUNCTION("IFERROR(GOOGLEFINANCE(A1491,""PRICE""),)"),191.24)</f>
        <v>191.24</v>
      </c>
      <c r="I1491" s="65">
        <f>IFERROR(__xludf.DUMMYFUNCTION("IFERROR(GOOGLEFINANCE(A1491,""VOLUME""),)"),1.7726817E7)</f>
        <v>17726817</v>
      </c>
      <c r="J1491" s="64" t="str">
        <f>IFERROR(__xludf.DUMMYFUNCTION("IFERROR(INDEX(SPLIT(A1491,"":""),1,2),)"),"UNIONBANK")</f>
        <v>UNIONBANK</v>
      </c>
      <c r="K1491" s="64">
        <f t="shared" si="4"/>
        <v>987</v>
      </c>
      <c r="L1491" s="64" t="str">
        <f t="shared" si="5"/>
        <v/>
      </c>
      <c r="M1491" s="64">
        <f t="shared" si="6"/>
        <v>36</v>
      </c>
      <c r="N1491" s="66">
        <f>IFERROR(__xludf.DUMMYFUNCTION("IFERROR(GOOGLEFINANCE(A1491,""TRADETIME""),)"),46086.64120370371)</f>
        <v>46086.6412</v>
      </c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</row>
    <row r="1492">
      <c r="A1492" s="67" t="s">
        <v>1538</v>
      </c>
      <c r="B1492" s="60" t="str">
        <f>IFERROR(__xludf.DUMMYFUNCTION("IFERROR(GOOGLEFINANCE(A1492,""NAME""),)"),"Unitech Ltd")</f>
        <v>Unitech Ltd</v>
      </c>
      <c r="C1492" s="60">
        <f>IFERROR(__xludf.DUMMYFUNCTION("IFERROR(GOOGLEFINANCE(A1492,""CHANGE""),)"),-0.01)</f>
        <v>-0.01</v>
      </c>
      <c r="D1492" s="60">
        <f>IFERROR(__xludf.DUMMYFUNCTION("IFERROR(GOOGLEFINANCE(A1492,""CHANGEPCT""),)"),-0.21)</f>
        <v>-0.21</v>
      </c>
      <c r="E1492" s="60" t="str">
        <f t="shared" si="1"/>
        <v>-0.21%</v>
      </c>
      <c r="F1492" s="60" t="str">
        <f t="shared" si="2"/>
        <v/>
      </c>
      <c r="G1492" s="60">
        <f t="shared" si="3"/>
        <v>-0.21</v>
      </c>
      <c r="H1492" s="60">
        <f>IFERROR(__xludf.DUMMYFUNCTION("IFERROR(GOOGLEFINANCE(A1492,""PRICE""),)"),4.83)</f>
        <v>4.83</v>
      </c>
      <c r="I1492" s="61">
        <f>IFERROR(__xludf.DUMMYFUNCTION("IFERROR(GOOGLEFINANCE(A1492,""VOLUME""),)"),6142037.0)</f>
        <v>6142037</v>
      </c>
      <c r="J1492" s="60" t="str">
        <f>IFERROR(__xludf.DUMMYFUNCTION("IFERROR(INDEX(SPLIT(A1492,"":""),1,2),)"),"UNITECH")</f>
        <v>UNITECH</v>
      </c>
      <c r="K1492" s="60" t="str">
        <f t="shared" si="4"/>
        <v/>
      </c>
      <c r="L1492" s="60">
        <f t="shared" si="5"/>
        <v>57</v>
      </c>
      <c r="M1492" s="60">
        <f t="shared" si="6"/>
        <v>91</v>
      </c>
      <c r="N1492" s="62">
        <f>IFERROR(__xludf.DUMMYFUNCTION("IFERROR(GOOGLEFINANCE(A1492,""TRADETIME""),)"),46086.64584490741)</f>
        <v>46086.64584</v>
      </c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</row>
    <row r="1493">
      <c r="A1493" s="68" t="s">
        <v>1539</v>
      </c>
      <c r="B1493" s="64" t="str">
        <f>IFERROR(__xludf.DUMMYFUNCTION("IFERROR(GOOGLEFINANCE(A1493,""NAME""),)"),"United Nilgiri Tea Estates Company Ltd")</f>
        <v>United Nilgiri Tea Estates Company Ltd</v>
      </c>
      <c r="C1493" s="64">
        <f>IFERROR(__xludf.DUMMYFUNCTION("IFERROR(GOOGLEFINANCE(A1493,""CHANGE""),)"),7.0)</f>
        <v>7</v>
      </c>
      <c r="D1493" s="64">
        <f>IFERROR(__xludf.DUMMYFUNCTION("IFERROR(GOOGLEFINANCE(A1493,""CHANGEPCT""),)"),1.44)</f>
        <v>1.44</v>
      </c>
      <c r="E1493" s="64" t="str">
        <f t="shared" si="1"/>
        <v>1.44%</v>
      </c>
      <c r="F1493" s="64">
        <f t="shared" si="2"/>
        <v>1.44</v>
      </c>
      <c r="G1493" s="64" t="str">
        <f t="shared" si="3"/>
        <v/>
      </c>
      <c r="H1493" s="64">
        <f>IFERROR(__xludf.DUMMYFUNCTION("IFERROR(GOOGLEFINANCE(A1493,""PRICE""),)"),492.3)</f>
        <v>492.3</v>
      </c>
      <c r="I1493" s="65">
        <f>IFERROR(__xludf.DUMMYFUNCTION("IFERROR(GOOGLEFINANCE(A1493,""VOLUME""),)"),4506.0)</f>
        <v>4506</v>
      </c>
      <c r="J1493" s="64" t="str">
        <f>IFERROR(__xludf.DUMMYFUNCTION("IFERROR(INDEX(SPLIT(A1493,"":""),1,2),)"),"UNITEDTEA")</f>
        <v>UNITEDTEA</v>
      </c>
      <c r="K1493" s="64">
        <f t="shared" si="4"/>
        <v>594</v>
      </c>
      <c r="L1493" s="64" t="str">
        <f t="shared" si="5"/>
        <v/>
      </c>
      <c r="M1493" s="64">
        <f t="shared" si="6"/>
        <v>1358</v>
      </c>
      <c r="N1493" s="66">
        <f>IFERROR(__xludf.DUMMYFUNCTION("IFERROR(GOOGLEFINANCE(A1493,""TRADETIME""),)"),46086.64005787037)</f>
        <v>46086.64006</v>
      </c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</row>
    <row r="1494">
      <c r="A1494" s="67" t="s">
        <v>1540</v>
      </c>
      <c r="B1494" s="60" t="str">
        <f>IFERROR(__xludf.DUMMYFUNCTION("IFERROR(GOOGLEFINANCE(A1494,""NAME""),)"),"Univastu India Ltd")</f>
        <v>Univastu India Ltd</v>
      </c>
      <c r="C1494" s="60">
        <f>IFERROR(__xludf.DUMMYFUNCTION("IFERROR(GOOGLEFINANCE(A1494,""CHANGE""),)"),-0.48)</f>
        <v>-0.48</v>
      </c>
      <c r="D1494" s="60">
        <f>IFERROR(__xludf.DUMMYFUNCTION("IFERROR(GOOGLEFINANCE(A1494,""CHANGEPCT""),)"),-0.74)</f>
        <v>-0.74</v>
      </c>
      <c r="E1494" s="60" t="str">
        <f t="shared" si="1"/>
        <v>-0.74%</v>
      </c>
      <c r="F1494" s="60" t="str">
        <f t="shared" si="2"/>
        <v/>
      </c>
      <c r="G1494" s="60">
        <f t="shared" si="3"/>
        <v>-0.74</v>
      </c>
      <c r="H1494" s="60">
        <f>IFERROR(__xludf.DUMMYFUNCTION("IFERROR(GOOGLEFINANCE(A1494,""PRICE""),)"),63.99)</f>
        <v>63.99</v>
      </c>
      <c r="I1494" s="61">
        <f>IFERROR(__xludf.DUMMYFUNCTION("IFERROR(GOOGLEFINANCE(A1494,""VOLUME""),)"),40089.0)</f>
        <v>40089</v>
      </c>
      <c r="J1494" s="60" t="str">
        <f>IFERROR(__xludf.DUMMYFUNCTION("IFERROR(INDEX(SPLIT(A1494,"":""),1,2),)"),"UNIVASTU")</f>
        <v>UNIVASTU</v>
      </c>
      <c r="K1494" s="60" t="str">
        <f t="shared" si="4"/>
        <v/>
      </c>
      <c r="L1494" s="60">
        <f t="shared" si="5"/>
        <v>175</v>
      </c>
      <c r="M1494" s="60">
        <f t="shared" si="6"/>
        <v>994</v>
      </c>
      <c r="N1494" s="62">
        <f>IFERROR(__xludf.DUMMYFUNCTION("IFERROR(GOOGLEFINANCE(A1494,""TRADETIME""),)"),46086.64583333333)</f>
        <v>46086.64583</v>
      </c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</row>
    <row r="1495">
      <c r="A1495" s="68" t="s">
        <v>1541</v>
      </c>
      <c r="B1495" s="64" t="str">
        <f>IFERROR(__xludf.DUMMYFUNCTION("IFERROR(GOOGLEFINANCE(A1495,""NAME""),)"),"Universal Cables Ltd")</f>
        <v>Universal Cables Ltd</v>
      </c>
      <c r="C1495" s="64">
        <f>IFERROR(__xludf.DUMMYFUNCTION("IFERROR(GOOGLEFINANCE(A1495,""CHANGE""),)"),10.6)</f>
        <v>10.6</v>
      </c>
      <c r="D1495" s="64">
        <f>IFERROR(__xludf.DUMMYFUNCTION("IFERROR(GOOGLEFINANCE(A1495,""CHANGEPCT""),)"),1.59)</f>
        <v>1.59</v>
      </c>
      <c r="E1495" s="64" t="str">
        <f t="shared" si="1"/>
        <v>1.59%</v>
      </c>
      <c r="F1495" s="64">
        <f t="shared" si="2"/>
        <v>1.59</v>
      </c>
      <c r="G1495" s="64" t="str">
        <f t="shared" si="3"/>
        <v/>
      </c>
      <c r="H1495" s="64">
        <f>IFERROR(__xludf.DUMMYFUNCTION("IFERROR(GOOGLEFINANCE(A1495,""PRICE""),)"),679.0)</f>
        <v>679</v>
      </c>
      <c r="I1495" s="65">
        <f>IFERROR(__xludf.DUMMYFUNCTION("IFERROR(GOOGLEFINANCE(A1495,""VOLUME""),)"),35198.0)</f>
        <v>35198</v>
      </c>
      <c r="J1495" s="64" t="str">
        <f>IFERROR(__xludf.DUMMYFUNCTION("IFERROR(INDEX(SPLIT(A1495,"":""),1,2),)"),"UNIVCABLES")</f>
        <v>UNIVCABLES</v>
      </c>
      <c r="K1495" s="64">
        <f t="shared" si="4"/>
        <v>541</v>
      </c>
      <c r="L1495" s="64" t="str">
        <f t="shared" si="5"/>
        <v/>
      </c>
      <c r="M1495" s="64">
        <f t="shared" si="6"/>
        <v>1019</v>
      </c>
      <c r="N1495" s="66">
        <f>IFERROR(__xludf.DUMMYFUNCTION("IFERROR(GOOGLEFINANCE(A1495,""TRADETIME""),)"),46086.64583333333)</f>
        <v>46086.64583</v>
      </c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</row>
    <row r="1496">
      <c r="A1496" s="67" t="s">
        <v>1542</v>
      </c>
      <c r="B1496" s="60" t="str">
        <f>IFERROR(__xludf.DUMMYFUNCTION("IFERROR(GOOGLEFINANCE(A1496,""NAME""),)"),"Universus Photo Imagings Ltd")</f>
        <v>Universus Photo Imagings Ltd</v>
      </c>
      <c r="C1496" s="60">
        <f>IFERROR(__xludf.DUMMYFUNCTION("IFERROR(GOOGLEFINANCE(A1496,""CHANGE""),)"),9.3)</f>
        <v>9.3</v>
      </c>
      <c r="D1496" s="60">
        <f>IFERROR(__xludf.DUMMYFUNCTION("IFERROR(GOOGLEFINANCE(A1496,""CHANGEPCT""),)"),1.99)</f>
        <v>1.99</v>
      </c>
      <c r="E1496" s="60" t="str">
        <f t="shared" si="1"/>
        <v>1.99%</v>
      </c>
      <c r="F1496" s="60">
        <f t="shared" si="2"/>
        <v>1.99</v>
      </c>
      <c r="G1496" s="60" t="str">
        <f t="shared" si="3"/>
        <v/>
      </c>
      <c r="H1496" s="60">
        <f>IFERROR(__xludf.DUMMYFUNCTION("IFERROR(GOOGLEFINANCE(A1496,""PRICE""),)"),476.6)</f>
        <v>476.6</v>
      </c>
      <c r="I1496" s="61">
        <f>IFERROR(__xludf.DUMMYFUNCTION("IFERROR(GOOGLEFINANCE(A1496,""VOLUME""),)"),27352.0)</f>
        <v>27352</v>
      </c>
      <c r="J1496" s="60" t="str">
        <f>IFERROR(__xludf.DUMMYFUNCTION("IFERROR(INDEX(SPLIT(A1496,"":""),1,2),)"),"UNIVPHOTO")</f>
        <v>UNIVPHOTO</v>
      </c>
      <c r="K1496" s="60">
        <f t="shared" si="4"/>
        <v>444</v>
      </c>
      <c r="L1496" s="60" t="str">
        <f t="shared" si="5"/>
        <v/>
      </c>
      <c r="M1496" s="60">
        <f t="shared" si="6"/>
        <v>1076</v>
      </c>
      <c r="N1496" s="62">
        <f>IFERROR(__xludf.DUMMYFUNCTION("IFERROR(GOOGLEFINANCE(A1496,""TRADETIME""),)"),46086.63517361111)</f>
        <v>46086.63517</v>
      </c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</row>
    <row r="1497">
      <c r="A1497" s="68" t="s">
        <v>1543</v>
      </c>
      <c r="B1497" s="64" t="str">
        <f>IFERROR(__xludf.DUMMYFUNCTION("IFERROR(GOOGLEFINANCE(A1497,""NAME""),)"),"UPL Ltd")</f>
        <v>UPL Ltd</v>
      </c>
      <c r="C1497" s="64">
        <f>IFERROR(__xludf.DUMMYFUNCTION("IFERROR(GOOGLEFINANCE(A1497,""CHANGE""),)"),17.5)</f>
        <v>17.5</v>
      </c>
      <c r="D1497" s="64">
        <f>IFERROR(__xludf.DUMMYFUNCTION("IFERROR(GOOGLEFINANCE(A1497,""CHANGEPCT""),)"),2.85)</f>
        <v>2.85</v>
      </c>
      <c r="E1497" s="64" t="str">
        <f t="shared" si="1"/>
        <v>2.85%</v>
      </c>
      <c r="F1497" s="64">
        <f t="shared" si="2"/>
        <v>2.85</v>
      </c>
      <c r="G1497" s="64" t="str">
        <f t="shared" si="3"/>
        <v/>
      </c>
      <c r="H1497" s="64">
        <f>IFERROR(__xludf.DUMMYFUNCTION("IFERROR(GOOGLEFINANCE(A1497,""PRICE""),)"),631.6)</f>
        <v>631.6</v>
      </c>
      <c r="I1497" s="65">
        <f>IFERROR(__xludf.DUMMYFUNCTION("IFERROR(GOOGLEFINANCE(A1497,""VOLUME""),)"),2530169.0)</f>
        <v>2530169</v>
      </c>
      <c r="J1497" s="64" t="str">
        <f>IFERROR(__xludf.DUMMYFUNCTION("IFERROR(INDEX(SPLIT(A1497,"":""),1,2),)"),"UPL")</f>
        <v>UPL</v>
      </c>
      <c r="K1497" s="64">
        <f t="shared" si="4"/>
        <v>281</v>
      </c>
      <c r="L1497" s="64" t="str">
        <f t="shared" si="5"/>
        <v/>
      </c>
      <c r="M1497" s="64">
        <f t="shared" si="6"/>
        <v>172</v>
      </c>
      <c r="N1497" s="66">
        <f>IFERROR(__xludf.DUMMYFUNCTION("IFERROR(GOOGLEFINANCE(A1497,""TRADETIME""),)"),46086.64583333333)</f>
        <v>46086.64583</v>
      </c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</row>
    <row r="1498">
      <c r="A1498" s="67" t="s">
        <v>1544</v>
      </c>
      <c r="B1498" s="60" t="str">
        <f>IFERROR(__xludf.DUMMYFUNCTION("IFERROR(GOOGLEFINANCE(A1498,""NAME""),)"),"Urja Global Ltd")</f>
        <v>Urja Global Ltd</v>
      </c>
      <c r="C1498" s="60">
        <f>IFERROR(__xludf.DUMMYFUNCTION("IFERROR(GOOGLEFINANCE(A1498,""CHANGE""),)"),0.25)</f>
        <v>0.25</v>
      </c>
      <c r="D1498" s="60">
        <f>IFERROR(__xludf.DUMMYFUNCTION("IFERROR(GOOGLEFINANCE(A1498,""CHANGEPCT""),)"),2.88)</f>
        <v>2.88</v>
      </c>
      <c r="E1498" s="60" t="str">
        <f t="shared" si="1"/>
        <v>2.88%</v>
      </c>
      <c r="F1498" s="60">
        <f t="shared" si="2"/>
        <v>2.88</v>
      </c>
      <c r="G1498" s="60" t="str">
        <f t="shared" si="3"/>
        <v/>
      </c>
      <c r="H1498" s="60">
        <f>IFERROR(__xludf.DUMMYFUNCTION("IFERROR(GOOGLEFINANCE(A1498,""PRICE""),)"),8.94)</f>
        <v>8.94</v>
      </c>
      <c r="I1498" s="61">
        <f>IFERROR(__xludf.DUMMYFUNCTION("IFERROR(GOOGLEFINANCE(A1498,""VOLUME""),)"),1171813.0)</f>
        <v>1171813</v>
      </c>
      <c r="J1498" s="60" t="str">
        <f>IFERROR(__xludf.DUMMYFUNCTION("IFERROR(INDEX(SPLIT(A1498,"":""),1,2),)"),"URJA")</f>
        <v>URJA</v>
      </c>
      <c r="K1498" s="60">
        <f t="shared" si="4"/>
        <v>279</v>
      </c>
      <c r="L1498" s="60" t="str">
        <f t="shared" si="5"/>
        <v/>
      </c>
      <c r="M1498" s="60">
        <f t="shared" si="6"/>
        <v>266</v>
      </c>
      <c r="N1498" s="62">
        <f>IFERROR(__xludf.DUMMYFUNCTION("IFERROR(GOOGLEFINANCE(A1498,""TRADETIME""),)"),46086.64583333333)</f>
        <v>46086.64583</v>
      </c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</row>
    <row r="1499">
      <c r="A1499" s="68" t="s">
        <v>1545</v>
      </c>
      <c r="B1499" s="64" t="str">
        <f>IFERROR(__xludf.DUMMYFUNCTION("IFERROR(GOOGLEFINANCE(A1499,""NAME""),)"),"Usha Martin Ltd")</f>
        <v>Usha Martin Ltd</v>
      </c>
      <c r="C1499" s="64">
        <f>IFERROR(__xludf.DUMMYFUNCTION("IFERROR(GOOGLEFINANCE(A1499,""CHANGE""),)"),8.6)</f>
        <v>8.6</v>
      </c>
      <c r="D1499" s="64">
        <f>IFERROR(__xludf.DUMMYFUNCTION("IFERROR(GOOGLEFINANCE(A1499,""CHANGEPCT""),)"),2.08)</f>
        <v>2.08</v>
      </c>
      <c r="E1499" s="64" t="str">
        <f t="shared" si="1"/>
        <v>2.08%</v>
      </c>
      <c r="F1499" s="64">
        <f t="shared" si="2"/>
        <v>2.08</v>
      </c>
      <c r="G1499" s="64" t="str">
        <f t="shared" si="3"/>
        <v/>
      </c>
      <c r="H1499" s="64">
        <f>IFERROR(__xludf.DUMMYFUNCTION("IFERROR(GOOGLEFINANCE(A1499,""PRICE""),)"),422.5)</f>
        <v>422.5</v>
      </c>
      <c r="I1499" s="65">
        <f>IFERROR(__xludf.DUMMYFUNCTION("IFERROR(GOOGLEFINANCE(A1499,""VOLUME""),)"),575478.0)</f>
        <v>575478</v>
      </c>
      <c r="J1499" s="64" t="str">
        <f>IFERROR(__xludf.DUMMYFUNCTION("IFERROR(INDEX(SPLIT(A1499,"":""),1,2),)"),"USHAMART")</f>
        <v>USHAMART</v>
      </c>
      <c r="K1499" s="64">
        <f t="shared" si="4"/>
        <v>425</v>
      </c>
      <c r="L1499" s="64" t="str">
        <f t="shared" si="5"/>
        <v/>
      </c>
      <c r="M1499" s="64">
        <f t="shared" si="6"/>
        <v>378</v>
      </c>
      <c r="N1499" s="66">
        <f>IFERROR(__xludf.DUMMYFUNCTION("IFERROR(GOOGLEFINANCE(A1499,""TRADETIME""),)"),46086.64583333333)</f>
        <v>46086.64583</v>
      </c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</row>
    <row r="1500">
      <c r="A1500" s="67" t="s">
        <v>1546</v>
      </c>
      <c r="B1500" s="60" t="str">
        <f>IFERROR(__xludf.DUMMYFUNCTION("IFERROR(GOOGLEFINANCE(A1500,""NAME""),)"),"UTI Asset Management Company Ltd")</f>
        <v>UTI Asset Management Company Ltd</v>
      </c>
      <c r="C1500" s="60">
        <f>IFERROR(__xludf.DUMMYFUNCTION("IFERROR(GOOGLEFINANCE(A1500,""CHANGE""),)"),33.3)</f>
        <v>33.3</v>
      </c>
      <c r="D1500" s="60">
        <f>IFERROR(__xludf.DUMMYFUNCTION("IFERROR(GOOGLEFINANCE(A1500,""CHANGEPCT""),)"),3.48)</f>
        <v>3.48</v>
      </c>
      <c r="E1500" s="60" t="str">
        <f t="shared" si="1"/>
        <v>3.48%</v>
      </c>
      <c r="F1500" s="60">
        <f t="shared" si="2"/>
        <v>3.48</v>
      </c>
      <c r="G1500" s="60" t="str">
        <f t="shared" si="3"/>
        <v/>
      </c>
      <c r="H1500" s="60">
        <f>IFERROR(__xludf.DUMMYFUNCTION("IFERROR(GOOGLEFINANCE(A1500,""PRICE""),)"),992.0)</f>
        <v>992</v>
      </c>
      <c r="I1500" s="61">
        <f>IFERROR(__xludf.DUMMYFUNCTION("IFERROR(GOOGLEFINANCE(A1500,""VOLUME""),)"),55897.0)</f>
        <v>55897</v>
      </c>
      <c r="J1500" s="60" t="str">
        <f>IFERROR(__xludf.DUMMYFUNCTION("IFERROR(INDEX(SPLIT(A1500,"":""),1,2),)"),"UTIAMC")</f>
        <v>UTIAMC</v>
      </c>
      <c r="K1500" s="60">
        <f t="shared" si="4"/>
        <v>193</v>
      </c>
      <c r="L1500" s="60" t="str">
        <f t="shared" si="5"/>
        <v/>
      </c>
      <c r="M1500" s="60">
        <f t="shared" si="6"/>
        <v>898</v>
      </c>
      <c r="N1500" s="62">
        <f>IFERROR(__xludf.DUMMYFUNCTION("IFERROR(GOOGLEFINANCE(A1500,""TRADETIME""),)"),46086.6396875)</f>
        <v>46086.63969</v>
      </c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</row>
    <row r="1501">
      <c r="A1501" s="68" t="s">
        <v>1547</v>
      </c>
      <c r="B1501" s="64" t="str">
        <f>IFERROR(__xludf.DUMMYFUNCTION("IFERROR(GOOGLEFINANCE(A1501,""NAME""),)"),"Uttam Sugar Mills Limited")</f>
        <v>Uttam Sugar Mills Limited</v>
      </c>
      <c r="C1501" s="64">
        <f>IFERROR(__xludf.DUMMYFUNCTION("IFERROR(GOOGLEFINANCE(A1501,""CHANGE""),)"),0.45)</f>
        <v>0.45</v>
      </c>
      <c r="D1501" s="64">
        <f>IFERROR(__xludf.DUMMYFUNCTION("IFERROR(GOOGLEFINANCE(A1501,""CHANGEPCT""),)"),0.22)</f>
        <v>0.22</v>
      </c>
      <c r="E1501" s="64" t="str">
        <f t="shared" si="1"/>
        <v>0.22%</v>
      </c>
      <c r="F1501" s="64">
        <f t="shared" si="2"/>
        <v>0.22</v>
      </c>
      <c r="G1501" s="64" t="str">
        <f t="shared" si="3"/>
        <v/>
      </c>
      <c r="H1501" s="64">
        <f>IFERROR(__xludf.DUMMYFUNCTION("IFERROR(GOOGLEFINANCE(A1501,""PRICE""),)"),203.85)</f>
        <v>203.85</v>
      </c>
      <c r="I1501" s="65">
        <f>IFERROR(__xludf.DUMMYFUNCTION("IFERROR(GOOGLEFINANCE(A1501,""VOLUME""),)"),144622.0)</f>
        <v>144622</v>
      </c>
      <c r="J1501" s="64" t="str">
        <f>IFERROR(__xludf.DUMMYFUNCTION("IFERROR(INDEX(SPLIT(A1501,"":""),1,2),)"),"UTTAMSUGAR")</f>
        <v>UTTAMSUGAR</v>
      </c>
      <c r="K1501" s="64">
        <f t="shared" si="4"/>
        <v>947</v>
      </c>
      <c r="L1501" s="64" t="str">
        <f t="shared" si="5"/>
        <v/>
      </c>
      <c r="M1501" s="64">
        <f t="shared" si="6"/>
        <v>680</v>
      </c>
      <c r="N1501" s="66">
        <f>IFERROR(__xludf.DUMMYFUNCTION("IFERROR(GOOGLEFINANCE(A1501,""TRADETIME""),)"),46086.64583333333)</f>
        <v>46086.64583</v>
      </c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</row>
    <row r="1502">
      <c r="A1502" s="67" t="s">
        <v>1548</v>
      </c>
      <c r="B1502" s="60" t="str">
        <f>IFERROR(__xludf.DUMMYFUNCTION("IFERROR(GOOGLEFINANCE(A1502,""NAME""),)"),"V2 Retail Ltd")</f>
        <v>V2 Retail Ltd</v>
      </c>
      <c r="C1502" s="60">
        <f>IFERROR(__xludf.DUMMYFUNCTION("IFERROR(GOOGLEFINANCE(A1502,""CHANGE""),)"),31.3)</f>
        <v>31.3</v>
      </c>
      <c r="D1502" s="60">
        <f>IFERROR(__xludf.DUMMYFUNCTION("IFERROR(GOOGLEFINANCE(A1502,""CHANGEPCT""),)"),1.16)</f>
        <v>1.16</v>
      </c>
      <c r="E1502" s="60" t="str">
        <f t="shared" si="1"/>
        <v>1.16%</v>
      </c>
      <c r="F1502" s="60">
        <f t="shared" si="2"/>
        <v>1.16</v>
      </c>
      <c r="G1502" s="60" t="str">
        <f t="shared" si="3"/>
        <v/>
      </c>
      <c r="H1502" s="60">
        <f>IFERROR(__xludf.DUMMYFUNCTION("IFERROR(GOOGLEFINANCE(A1502,""PRICE""),)"),1955.0)</f>
        <v>1955</v>
      </c>
      <c r="I1502" s="61">
        <f>IFERROR(__xludf.DUMMYFUNCTION("IFERROR(GOOGLEFINANCE(A1502,""VOLUME""),)"),49308.0)</f>
        <v>49308</v>
      </c>
      <c r="J1502" s="60" t="str">
        <f>IFERROR(__xludf.DUMMYFUNCTION("IFERROR(INDEX(SPLIT(A1502,"":""),1,2),)"),"V2RETAIL")</f>
        <v>V2RETAIL</v>
      </c>
      <c r="K1502" s="60">
        <f t="shared" si="4"/>
        <v>676</v>
      </c>
      <c r="L1502" s="60" t="str">
        <f t="shared" si="5"/>
        <v/>
      </c>
      <c r="M1502" s="60">
        <f t="shared" si="6"/>
        <v>938</v>
      </c>
      <c r="N1502" s="62">
        <f>IFERROR(__xludf.DUMMYFUNCTION("IFERROR(GOOGLEFINANCE(A1502,""TRADETIME""),)"),46086.64585648148)</f>
        <v>46086.64586</v>
      </c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</row>
    <row r="1503">
      <c r="A1503" s="68" t="s">
        <v>1549</v>
      </c>
      <c r="B1503" s="64" t="str">
        <f>IFERROR(__xludf.DUMMYFUNCTION("IFERROR(GOOGLEFINANCE(A1503,""NAME""),)"),"Vadilal Industries Ltd")</f>
        <v>Vadilal Industries Ltd</v>
      </c>
      <c r="C1503" s="64">
        <f>IFERROR(__xludf.DUMMYFUNCTION("IFERROR(GOOGLEFINANCE(A1503,""CHANGE""),)"),100.5)</f>
        <v>100.5</v>
      </c>
      <c r="D1503" s="64">
        <f>IFERROR(__xludf.DUMMYFUNCTION("IFERROR(GOOGLEFINANCE(A1503,""CHANGEPCT""),)"),2.0)</f>
        <v>2</v>
      </c>
      <c r="E1503" s="64" t="str">
        <f t="shared" si="1"/>
        <v>2%</v>
      </c>
      <c r="F1503" s="64">
        <f t="shared" si="2"/>
        <v>2</v>
      </c>
      <c r="G1503" s="64" t="str">
        <f t="shared" si="3"/>
        <v/>
      </c>
      <c r="H1503" s="64">
        <f>IFERROR(__xludf.DUMMYFUNCTION("IFERROR(GOOGLEFINANCE(A1503,""PRICE""),)"),5130.7)</f>
        <v>5130.7</v>
      </c>
      <c r="I1503" s="65">
        <f>IFERROR(__xludf.DUMMYFUNCTION("IFERROR(GOOGLEFINANCE(A1503,""VOLUME""),)"),17913.0)</f>
        <v>17913</v>
      </c>
      <c r="J1503" s="64" t="str">
        <f>IFERROR(__xludf.DUMMYFUNCTION("IFERROR(INDEX(SPLIT(A1503,"":""),1,2),)"),"VADILALIND")</f>
        <v>VADILALIND</v>
      </c>
      <c r="K1503" s="64">
        <f t="shared" si="4"/>
        <v>442</v>
      </c>
      <c r="L1503" s="64" t="str">
        <f t="shared" si="5"/>
        <v/>
      </c>
      <c r="M1503" s="64">
        <f t="shared" si="6"/>
        <v>1169</v>
      </c>
      <c r="N1503" s="66">
        <f>IFERROR(__xludf.DUMMYFUNCTION("IFERROR(GOOGLEFINANCE(A1503,""TRADETIME""),)"),46086.64583333333)</f>
        <v>46086.64583</v>
      </c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</row>
    <row r="1504">
      <c r="A1504" s="67" t="s">
        <v>1550</v>
      </c>
      <c r="B1504" s="60" t="str">
        <f>IFERROR(__xludf.DUMMYFUNCTION("IFERROR(GOOGLEFINANCE(A1504,""NAME""),)"),"Vaibhav Global Ltd")</f>
        <v>Vaibhav Global Ltd</v>
      </c>
      <c r="C1504" s="60">
        <f>IFERROR(__xludf.DUMMYFUNCTION("IFERROR(GOOGLEFINANCE(A1504,""CHANGE""),)"),5.01)</f>
        <v>5.01</v>
      </c>
      <c r="D1504" s="60">
        <f>IFERROR(__xludf.DUMMYFUNCTION("IFERROR(GOOGLEFINANCE(A1504,""CHANGEPCT""),)"),1.85)</f>
        <v>1.85</v>
      </c>
      <c r="E1504" s="60" t="str">
        <f t="shared" si="1"/>
        <v>1.85%</v>
      </c>
      <c r="F1504" s="60">
        <f t="shared" si="2"/>
        <v>1.85</v>
      </c>
      <c r="G1504" s="60" t="str">
        <f t="shared" si="3"/>
        <v/>
      </c>
      <c r="H1504" s="60">
        <f>IFERROR(__xludf.DUMMYFUNCTION("IFERROR(GOOGLEFINANCE(A1504,""PRICE""),)"),220.5)</f>
        <v>220.5</v>
      </c>
      <c r="I1504" s="61">
        <f>IFERROR(__xludf.DUMMYFUNCTION("IFERROR(GOOGLEFINANCE(A1504,""VOLUME""),)"),288687.0)</f>
        <v>288687</v>
      </c>
      <c r="J1504" s="60" t="str">
        <f>IFERROR(__xludf.DUMMYFUNCTION("IFERROR(INDEX(SPLIT(A1504,"":""),1,2),)"),"VAIBHAVGBL")</f>
        <v>VAIBHAVGBL</v>
      </c>
      <c r="K1504" s="60">
        <f t="shared" si="4"/>
        <v>484</v>
      </c>
      <c r="L1504" s="60" t="str">
        <f t="shared" si="5"/>
        <v/>
      </c>
      <c r="M1504" s="60">
        <f t="shared" si="6"/>
        <v>515</v>
      </c>
      <c r="N1504" s="62">
        <f>IFERROR(__xludf.DUMMYFUNCTION("IFERROR(GOOGLEFINANCE(A1504,""TRADETIME""),)"),46086.64583333333)</f>
        <v>46086.64583</v>
      </c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</row>
    <row r="1505">
      <c r="A1505" s="68" t="s">
        <v>1551</v>
      </c>
      <c r="B1505" s="64" t="str">
        <f>IFERROR(__xludf.DUMMYFUNCTION("IFERROR(GOOGLEFINANCE(A1505,""NAME""),)"),"Vaishali Pharma Ltd")</f>
        <v>Vaishali Pharma Ltd</v>
      </c>
      <c r="C1505" s="64">
        <f>IFERROR(__xludf.DUMMYFUNCTION("IFERROR(GOOGLEFINANCE(A1505,""CHANGE""),)"),0.12)</f>
        <v>0.12</v>
      </c>
      <c r="D1505" s="64">
        <f>IFERROR(__xludf.DUMMYFUNCTION("IFERROR(GOOGLEFINANCE(A1505,""CHANGEPCT""),)"),1.81)</f>
        <v>1.81</v>
      </c>
      <c r="E1505" s="64" t="str">
        <f t="shared" si="1"/>
        <v>1.81%</v>
      </c>
      <c r="F1505" s="64">
        <f t="shared" si="2"/>
        <v>1.81</v>
      </c>
      <c r="G1505" s="64" t="str">
        <f t="shared" si="3"/>
        <v/>
      </c>
      <c r="H1505" s="64">
        <f>IFERROR(__xludf.DUMMYFUNCTION("IFERROR(GOOGLEFINANCE(A1505,""PRICE""),)"),6.74)</f>
        <v>6.74</v>
      </c>
      <c r="I1505" s="65">
        <f>IFERROR(__xludf.DUMMYFUNCTION("IFERROR(GOOGLEFINANCE(A1505,""VOLUME""),)"),75004.0)</f>
        <v>75004</v>
      </c>
      <c r="J1505" s="64" t="str">
        <f>IFERROR(__xludf.DUMMYFUNCTION("IFERROR(INDEX(SPLIT(A1505,"":""),1,2),)"),"VAISHALI")</f>
        <v>VAISHALI</v>
      </c>
      <c r="K1505" s="64">
        <f t="shared" si="4"/>
        <v>498</v>
      </c>
      <c r="L1505" s="64" t="str">
        <f t="shared" si="5"/>
        <v/>
      </c>
      <c r="M1505" s="64">
        <f t="shared" si="6"/>
        <v>829</v>
      </c>
      <c r="N1505" s="66">
        <f>IFERROR(__xludf.DUMMYFUNCTION("IFERROR(GOOGLEFINANCE(A1505,""TRADETIME""),)"),46086.64583333333)</f>
        <v>46086.64583</v>
      </c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</row>
    <row r="1506">
      <c r="A1506" s="67" t="s">
        <v>1552</v>
      </c>
      <c r="B1506" s="60" t="str">
        <f>IFERROR(__xludf.DUMMYFUNCTION("IFERROR(GOOGLEFINANCE(A1506,""NAME""),)"),"Vakrangee Limited")</f>
        <v>Vakrangee Limited</v>
      </c>
      <c r="C1506" s="60">
        <f>IFERROR(__xludf.DUMMYFUNCTION("IFERROR(GOOGLEFINANCE(A1506,""CHANGE""),)"),0.02)</f>
        <v>0.02</v>
      </c>
      <c r="D1506" s="60">
        <f>IFERROR(__xludf.DUMMYFUNCTION("IFERROR(GOOGLEFINANCE(A1506,""CHANGEPCT""),)"),0.33)</f>
        <v>0.33</v>
      </c>
      <c r="E1506" s="60" t="str">
        <f t="shared" si="1"/>
        <v>0.33%</v>
      </c>
      <c r="F1506" s="60">
        <f t="shared" si="2"/>
        <v>0.33</v>
      </c>
      <c r="G1506" s="60" t="str">
        <f t="shared" si="3"/>
        <v/>
      </c>
      <c r="H1506" s="60">
        <f>IFERROR(__xludf.DUMMYFUNCTION("IFERROR(GOOGLEFINANCE(A1506,""PRICE""),)"),6.1)</f>
        <v>6.1</v>
      </c>
      <c r="I1506" s="61">
        <f>IFERROR(__xludf.DUMMYFUNCTION("IFERROR(GOOGLEFINANCE(A1506,""VOLUME""),)"),2530477.0)</f>
        <v>2530477</v>
      </c>
      <c r="J1506" s="60" t="str">
        <f>IFERROR(__xludf.DUMMYFUNCTION("IFERROR(INDEX(SPLIT(A1506,"":""),1,2),)"),"VAKRANGEE")</f>
        <v>VAKRANGEE</v>
      </c>
      <c r="K1506" s="60">
        <f t="shared" si="4"/>
        <v>923</v>
      </c>
      <c r="L1506" s="60" t="str">
        <f t="shared" si="5"/>
        <v/>
      </c>
      <c r="M1506" s="60">
        <f t="shared" si="6"/>
        <v>171</v>
      </c>
      <c r="N1506" s="62">
        <f>IFERROR(__xludf.DUMMYFUNCTION("IFERROR(GOOGLEFINANCE(A1506,""TRADETIME""),)"),46086.64584490741)</f>
        <v>46086.64584</v>
      </c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</row>
    <row r="1507">
      <c r="A1507" s="68" t="s">
        <v>1553</v>
      </c>
      <c r="B1507" s="64" t="str">
        <f>IFERROR(__xludf.DUMMYFUNCTION("IFERROR(GOOGLEFINANCE(A1507,""NAME""),)"),"Valiant Organics Ltd")</f>
        <v>Valiant Organics Ltd</v>
      </c>
      <c r="C1507" s="64">
        <f>IFERROR(__xludf.DUMMYFUNCTION("IFERROR(GOOGLEFINANCE(A1507,""CHANGE""),)"),-6.71)</f>
        <v>-6.71</v>
      </c>
      <c r="D1507" s="64">
        <f>IFERROR(__xludf.DUMMYFUNCTION("IFERROR(GOOGLEFINANCE(A1507,""CHANGEPCT""),)"),-3.03)</f>
        <v>-3.03</v>
      </c>
      <c r="E1507" s="64" t="str">
        <f t="shared" si="1"/>
        <v>-3.03%</v>
      </c>
      <c r="F1507" s="64" t="str">
        <f t="shared" si="2"/>
        <v/>
      </c>
      <c r="G1507" s="64">
        <f t="shared" si="3"/>
        <v>-3.03</v>
      </c>
      <c r="H1507" s="64">
        <f>IFERROR(__xludf.DUMMYFUNCTION("IFERROR(GOOGLEFINANCE(A1507,""PRICE""),)"),215.0)</f>
        <v>215</v>
      </c>
      <c r="I1507" s="65">
        <f>IFERROR(__xludf.DUMMYFUNCTION("IFERROR(GOOGLEFINANCE(A1507,""VOLUME""),)"),65568.0)</f>
        <v>65568</v>
      </c>
      <c r="J1507" s="64" t="str">
        <f>IFERROR(__xludf.DUMMYFUNCTION("IFERROR(INDEX(SPLIT(A1507,"":""),1,2),)"),"VALIANTORG")</f>
        <v>VALIANTORG</v>
      </c>
      <c r="K1507" s="64" t="str">
        <f t="shared" si="4"/>
        <v/>
      </c>
      <c r="L1507" s="64">
        <f t="shared" si="5"/>
        <v>408</v>
      </c>
      <c r="M1507" s="64">
        <f t="shared" si="6"/>
        <v>858</v>
      </c>
      <c r="N1507" s="66">
        <f>IFERROR(__xludf.DUMMYFUNCTION("IFERROR(GOOGLEFINANCE(A1507,""TRADETIME""),)"),46086.64583333333)</f>
        <v>46086.64583</v>
      </c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</row>
    <row r="1508">
      <c r="A1508" s="67" t="s">
        <v>1554</v>
      </c>
      <c r="B1508" s="60" t="str">
        <f>IFERROR(__xludf.DUMMYFUNCTION("IFERROR(GOOGLEFINANCE(A1508,""NAME""),)"),"Vardhman Acrylics Limited")</f>
        <v>Vardhman Acrylics Limited</v>
      </c>
      <c r="C1508" s="60">
        <f>IFERROR(__xludf.DUMMYFUNCTION("IFERROR(GOOGLEFINANCE(A1508,""CHANGE""),)"),1.04)</f>
        <v>1.04</v>
      </c>
      <c r="D1508" s="60">
        <f>IFERROR(__xludf.DUMMYFUNCTION("IFERROR(GOOGLEFINANCE(A1508,""CHANGEPCT""),)"),3.11)</f>
        <v>3.11</v>
      </c>
      <c r="E1508" s="60" t="str">
        <f t="shared" si="1"/>
        <v>3.11%</v>
      </c>
      <c r="F1508" s="60">
        <f t="shared" si="2"/>
        <v>3.11</v>
      </c>
      <c r="G1508" s="60" t="str">
        <f t="shared" si="3"/>
        <v/>
      </c>
      <c r="H1508" s="60">
        <f>IFERROR(__xludf.DUMMYFUNCTION("IFERROR(GOOGLEFINANCE(A1508,""PRICE""),)"),34.43)</f>
        <v>34.43</v>
      </c>
      <c r="I1508" s="61">
        <f>IFERROR(__xludf.DUMMYFUNCTION("IFERROR(GOOGLEFINANCE(A1508,""VOLUME""),)"),25927.0)</f>
        <v>25927</v>
      </c>
      <c r="J1508" s="60" t="str">
        <f>IFERROR(__xludf.DUMMYFUNCTION("IFERROR(INDEX(SPLIT(A1508,"":""),1,2),)"),"VARDHACRLC")</f>
        <v>VARDHACRLC</v>
      </c>
      <c r="K1508" s="60">
        <f t="shared" si="4"/>
        <v>238</v>
      </c>
      <c r="L1508" s="60" t="str">
        <f t="shared" si="5"/>
        <v/>
      </c>
      <c r="M1508" s="60">
        <f t="shared" si="6"/>
        <v>1087</v>
      </c>
      <c r="N1508" s="62">
        <f>IFERROR(__xludf.DUMMYFUNCTION("IFERROR(GOOGLEFINANCE(A1508,""TRADETIME""),)"),46086.64583333333)</f>
        <v>46086.64583</v>
      </c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</row>
    <row r="1509">
      <c r="A1509" s="68" t="s">
        <v>1555</v>
      </c>
      <c r="B1509" s="64" t="str">
        <f>IFERROR(__xludf.DUMMYFUNCTION("IFERROR(GOOGLEFINANCE(A1509,""NAME""),)"),"Vardhman Polytex Ltd")</f>
        <v>Vardhman Polytex Ltd</v>
      </c>
      <c r="C1509" s="64">
        <f>IFERROR(__xludf.DUMMYFUNCTION("IFERROR(GOOGLEFINANCE(A1509,""CHANGE""),)"),0.38)</f>
        <v>0.38</v>
      </c>
      <c r="D1509" s="64">
        <f>IFERROR(__xludf.DUMMYFUNCTION("IFERROR(GOOGLEFINANCE(A1509,""CHANGEPCT""),)"),4.86)</f>
        <v>4.86</v>
      </c>
      <c r="E1509" s="64" t="str">
        <f t="shared" si="1"/>
        <v>4.86%</v>
      </c>
      <c r="F1509" s="64">
        <f t="shared" si="2"/>
        <v>4.86</v>
      </c>
      <c r="G1509" s="64" t="str">
        <f t="shared" si="3"/>
        <v/>
      </c>
      <c r="H1509" s="64">
        <f>IFERROR(__xludf.DUMMYFUNCTION("IFERROR(GOOGLEFINANCE(A1509,""PRICE""),)"),8.2)</f>
        <v>8.2</v>
      </c>
      <c r="I1509" s="65">
        <f>IFERROR(__xludf.DUMMYFUNCTION("IFERROR(GOOGLEFINANCE(A1509,""VOLUME""),)"),727716.0)</f>
        <v>727716</v>
      </c>
      <c r="J1509" s="64" t="str">
        <f>IFERROR(__xludf.DUMMYFUNCTION("IFERROR(INDEX(SPLIT(A1509,"":""),1,2),)"),"VARDMNPOLY")</f>
        <v>VARDMNPOLY</v>
      </c>
      <c r="K1509" s="64">
        <f t="shared" si="4"/>
        <v>87</v>
      </c>
      <c r="L1509" s="64" t="str">
        <f t="shared" si="5"/>
        <v/>
      </c>
      <c r="M1509" s="64">
        <f t="shared" si="6"/>
        <v>331</v>
      </c>
      <c r="N1509" s="66">
        <f>IFERROR(__xludf.DUMMYFUNCTION("IFERROR(GOOGLEFINANCE(A1509,""TRADETIME""),)"),46086.64583333333)</f>
        <v>46086.64583</v>
      </c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</row>
    <row r="1510">
      <c r="A1510" s="67" t="s">
        <v>1556</v>
      </c>
      <c r="B1510" s="60" t="str">
        <f>IFERROR(__xludf.DUMMYFUNCTION("IFERROR(GOOGLEFINANCE(A1510,""NAME""),)"),"Varroc Engineering Ltd")</f>
        <v>Varroc Engineering Ltd</v>
      </c>
      <c r="C1510" s="60">
        <f>IFERROR(__xludf.DUMMYFUNCTION("IFERROR(GOOGLEFINANCE(A1510,""CHANGE""),)"),-6.2)</f>
        <v>-6.2</v>
      </c>
      <c r="D1510" s="60">
        <f>IFERROR(__xludf.DUMMYFUNCTION("IFERROR(GOOGLEFINANCE(A1510,""CHANGEPCT""),)"),-1.2)</f>
        <v>-1.2</v>
      </c>
      <c r="E1510" s="60" t="str">
        <f t="shared" si="1"/>
        <v>-1.2%</v>
      </c>
      <c r="F1510" s="60" t="str">
        <f t="shared" si="2"/>
        <v/>
      </c>
      <c r="G1510" s="60">
        <f t="shared" si="3"/>
        <v>-1.2</v>
      </c>
      <c r="H1510" s="60">
        <f>IFERROR(__xludf.DUMMYFUNCTION("IFERROR(GOOGLEFINANCE(A1510,""PRICE""),)"),508.5)</f>
        <v>508.5</v>
      </c>
      <c r="I1510" s="61">
        <f>IFERROR(__xludf.DUMMYFUNCTION("IFERROR(GOOGLEFINANCE(A1510,""VOLUME""),)"),173613.0)</f>
        <v>173613</v>
      </c>
      <c r="J1510" s="60" t="str">
        <f>IFERROR(__xludf.DUMMYFUNCTION("IFERROR(INDEX(SPLIT(A1510,"":""),1,2),)"),"VARROC")</f>
        <v>VARROC</v>
      </c>
      <c r="K1510" s="60" t="str">
        <f t="shared" si="4"/>
        <v/>
      </c>
      <c r="L1510" s="60">
        <f t="shared" si="5"/>
        <v>251</v>
      </c>
      <c r="M1510" s="60">
        <f t="shared" si="6"/>
        <v>635</v>
      </c>
      <c r="N1510" s="62">
        <f>IFERROR(__xludf.DUMMYFUNCTION("IFERROR(GOOGLEFINANCE(A1510,""TRADETIME""),)"),46086.63978009259)</f>
        <v>46086.63978</v>
      </c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</row>
    <row r="1511">
      <c r="A1511" s="68" t="s">
        <v>1557</v>
      </c>
      <c r="B1511" s="64" t="str">
        <f>IFERROR(__xludf.DUMMYFUNCTION("IFERROR(GOOGLEFINANCE(A1511,""NAME""),)"),"VASCON ENGINEERS LIMITED")</f>
        <v>VASCON ENGINEERS LIMITED</v>
      </c>
      <c r="C1511" s="64">
        <f>IFERROR(__xludf.DUMMYFUNCTION("IFERROR(GOOGLEFINANCE(A1511,""CHANGE""),)"),0.5)</f>
        <v>0.5</v>
      </c>
      <c r="D1511" s="64">
        <f>IFERROR(__xludf.DUMMYFUNCTION("IFERROR(GOOGLEFINANCE(A1511,""CHANGEPCT""),)"),1.44)</f>
        <v>1.44</v>
      </c>
      <c r="E1511" s="64" t="str">
        <f t="shared" si="1"/>
        <v>1.44%</v>
      </c>
      <c r="F1511" s="64">
        <f t="shared" si="2"/>
        <v>1.44</v>
      </c>
      <c r="G1511" s="64" t="str">
        <f t="shared" si="3"/>
        <v/>
      </c>
      <c r="H1511" s="64">
        <f>IFERROR(__xludf.DUMMYFUNCTION("IFERROR(GOOGLEFINANCE(A1511,""PRICE""),)"),35.3)</f>
        <v>35.3</v>
      </c>
      <c r="I1511" s="65">
        <f>IFERROR(__xludf.DUMMYFUNCTION("IFERROR(GOOGLEFINANCE(A1511,""VOLUME""),)"),643463.0)</f>
        <v>643463</v>
      </c>
      <c r="J1511" s="64" t="str">
        <f>IFERROR(__xludf.DUMMYFUNCTION("IFERROR(INDEX(SPLIT(A1511,"":""),1,2),)"),"VASCONEQ")</f>
        <v>VASCONEQ</v>
      </c>
      <c r="K1511" s="64">
        <f t="shared" si="4"/>
        <v>595</v>
      </c>
      <c r="L1511" s="64" t="str">
        <f t="shared" si="5"/>
        <v/>
      </c>
      <c r="M1511" s="64">
        <f t="shared" si="6"/>
        <v>349</v>
      </c>
      <c r="N1511" s="66">
        <f>IFERROR(__xludf.DUMMYFUNCTION("IFERROR(GOOGLEFINANCE(A1511,""TRADETIME""),)"),46086.641863425924)</f>
        <v>46086.64186</v>
      </c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</row>
    <row r="1512">
      <c r="A1512" s="67" t="s">
        <v>1558</v>
      </c>
      <c r="B1512" s="60" t="str">
        <f>IFERROR(__xludf.DUMMYFUNCTION("IFERROR(GOOGLEFINANCE(A1512,""NAME""),)"),"Vaswani Industries Ltd")</f>
        <v>Vaswani Industries Ltd</v>
      </c>
      <c r="C1512" s="60">
        <f>IFERROR(__xludf.DUMMYFUNCTION("IFERROR(GOOGLEFINANCE(A1512,""CHANGE""),)"),1.22)</f>
        <v>1.22</v>
      </c>
      <c r="D1512" s="60">
        <f>IFERROR(__xludf.DUMMYFUNCTION("IFERROR(GOOGLEFINANCE(A1512,""CHANGEPCT""),)"),2.29)</f>
        <v>2.29</v>
      </c>
      <c r="E1512" s="60" t="str">
        <f t="shared" si="1"/>
        <v>2.29%</v>
      </c>
      <c r="F1512" s="60">
        <f t="shared" si="2"/>
        <v>2.29</v>
      </c>
      <c r="G1512" s="60" t="str">
        <f t="shared" si="3"/>
        <v/>
      </c>
      <c r="H1512" s="60">
        <f>IFERROR(__xludf.DUMMYFUNCTION("IFERROR(GOOGLEFINANCE(A1512,""PRICE""),)"),54.55)</f>
        <v>54.55</v>
      </c>
      <c r="I1512" s="61">
        <f>IFERROR(__xludf.DUMMYFUNCTION("IFERROR(GOOGLEFINANCE(A1512,""VOLUME""),)"),27645.0)</f>
        <v>27645</v>
      </c>
      <c r="J1512" s="60" t="str">
        <f>IFERROR(__xludf.DUMMYFUNCTION("IFERROR(INDEX(SPLIT(A1512,"":""),1,2),)"),"VASWANI")</f>
        <v>VASWANI</v>
      </c>
      <c r="K1512" s="60">
        <f t="shared" si="4"/>
        <v>378</v>
      </c>
      <c r="L1512" s="60" t="str">
        <f t="shared" si="5"/>
        <v/>
      </c>
      <c r="M1512" s="60">
        <f t="shared" si="6"/>
        <v>1075</v>
      </c>
      <c r="N1512" s="62">
        <f>IFERROR(__xludf.DUMMYFUNCTION("IFERROR(GOOGLEFINANCE(A1512,""TRADETIME""),)"),46086.64583333333)</f>
        <v>46086.64583</v>
      </c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</row>
    <row r="1513">
      <c r="A1513" s="68" t="s">
        <v>1559</v>
      </c>
      <c r="B1513" s="64" t="str">
        <f>IFERROR(__xludf.DUMMYFUNCTION("IFERROR(GOOGLEFINANCE(A1513,""NAME""),)"),"Varun Beverages Ltd")</f>
        <v>Varun Beverages Ltd</v>
      </c>
      <c r="C1513" s="64">
        <f>IFERROR(__xludf.DUMMYFUNCTION("IFERROR(GOOGLEFINANCE(A1513,""CHANGE""),)"),16.25)</f>
        <v>16.25</v>
      </c>
      <c r="D1513" s="64">
        <f>IFERROR(__xludf.DUMMYFUNCTION("IFERROR(GOOGLEFINANCE(A1513,""CHANGEPCT""),)"),3.78)</f>
        <v>3.78</v>
      </c>
      <c r="E1513" s="64" t="str">
        <f t="shared" si="1"/>
        <v>3.78%</v>
      </c>
      <c r="F1513" s="64">
        <f t="shared" si="2"/>
        <v>3.78</v>
      </c>
      <c r="G1513" s="64" t="str">
        <f t="shared" si="3"/>
        <v/>
      </c>
      <c r="H1513" s="64">
        <f>IFERROR(__xludf.DUMMYFUNCTION("IFERROR(GOOGLEFINANCE(A1513,""PRICE""),)"),446.0)</f>
        <v>446</v>
      </c>
      <c r="I1513" s="65">
        <f>IFERROR(__xludf.DUMMYFUNCTION("IFERROR(GOOGLEFINANCE(A1513,""VOLUME""),)"),6467922.0)</f>
        <v>6467922</v>
      </c>
      <c r="J1513" s="64" t="str">
        <f>IFERROR(__xludf.DUMMYFUNCTION("IFERROR(INDEX(SPLIT(A1513,"":""),1,2),)"),"VBL")</f>
        <v>VBL</v>
      </c>
      <c r="K1513" s="64">
        <f t="shared" si="4"/>
        <v>165</v>
      </c>
      <c r="L1513" s="64" t="str">
        <f t="shared" si="5"/>
        <v/>
      </c>
      <c r="M1513" s="64">
        <f t="shared" si="6"/>
        <v>86</v>
      </c>
      <c r="N1513" s="66">
        <f>IFERROR(__xludf.DUMMYFUNCTION("IFERROR(GOOGLEFINANCE(A1513,""TRADETIME""),)"),46086.64583333333)</f>
        <v>46086.64583</v>
      </c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</row>
    <row r="1514">
      <c r="A1514" s="67" t="s">
        <v>1560</v>
      </c>
      <c r="B1514" s="60" t="str">
        <f>IFERROR(__xludf.DUMMYFUNCTION("IFERROR(GOOGLEFINANCE(A1514,""NAME""),)"),"Vedanta Ltd")</f>
        <v>Vedanta Ltd</v>
      </c>
      <c r="C1514" s="60">
        <f>IFERROR(__xludf.DUMMYFUNCTION("IFERROR(GOOGLEFINANCE(A1514,""CHANGE""),)"),12.15)</f>
        <v>12.15</v>
      </c>
      <c r="D1514" s="60">
        <f>IFERROR(__xludf.DUMMYFUNCTION("IFERROR(GOOGLEFINANCE(A1514,""CHANGEPCT""),)"),1.71)</f>
        <v>1.71</v>
      </c>
      <c r="E1514" s="60" t="str">
        <f t="shared" si="1"/>
        <v>1.71%</v>
      </c>
      <c r="F1514" s="60">
        <f t="shared" si="2"/>
        <v>1.71</v>
      </c>
      <c r="G1514" s="60" t="str">
        <f t="shared" si="3"/>
        <v/>
      </c>
      <c r="H1514" s="60">
        <f>IFERROR(__xludf.DUMMYFUNCTION("IFERROR(GOOGLEFINANCE(A1514,""PRICE""),)"),713.0)</f>
        <v>713</v>
      </c>
      <c r="I1514" s="61">
        <f>IFERROR(__xludf.DUMMYFUNCTION("IFERROR(GOOGLEFINANCE(A1514,""VOLUME""),)"),2.2090799E7)</f>
        <v>22090799</v>
      </c>
      <c r="J1514" s="60" t="str">
        <f>IFERROR(__xludf.DUMMYFUNCTION("IFERROR(INDEX(SPLIT(A1514,"":""),1,2),)"),"VEDL")</f>
        <v>VEDL</v>
      </c>
      <c r="K1514" s="60">
        <f t="shared" si="4"/>
        <v>514</v>
      </c>
      <c r="L1514" s="60" t="str">
        <f t="shared" si="5"/>
        <v/>
      </c>
      <c r="M1514" s="60">
        <f t="shared" si="6"/>
        <v>24</v>
      </c>
      <c r="N1514" s="62">
        <f>IFERROR(__xludf.DUMMYFUNCTION("IFERROR(GOOGLEFINANCE(A1514,""TRADETIME""),)"),46086.64583333333)</f>
        <v>46086.64583</v>
      </c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</row>
    <row r="1515">
      <c r="A1515" s="63" t="s">
        <v>1561</v>
      </c>
      <c r="B1515" s="64" t="str">
        <f>IFERROR(__xludf.DUMMYFUNCTION("IFERROR(GOOGLEFINANCE(A1515,""NAME""),)"),"W S Industries (India) Ltd")</f>
        <v>W S Industries (India) Ltd</v>
      </c>
      <c r="C1515" s="64">
        <f>IFERROR(__xludf.DUMMYFUNCTION("IFERROR(GOOGLEFINANCE(A1515,""CHANGE""),)"),-0.66)</f>
        <v>-0.66</v>
      </c>
      <c r="D1515" s="64">
        <f>IFERROR(__xludf.DUMMYFUNCTION("IFERROR(GOOGLEFINANCE(A1515,""CHANGEPCT""),)"),-0.96)</f>
        <v>-0.96</v>
      </c>
      <c r="E1515" s="64" t="str">
        <f t="shared" si="1"/>
        <v>-0.96%</v>
      </c>
      <c r="F1515" s="64" t="str">
        <f t="shared" si="2"/>
        <v/>
      </c>
      <c r="G1515" s="64">
        <f t="shared" si="3"/>
        <v>-0.96</v>
      </c>
      <c r="H1515" s="64">
        <f>IFERROR(__xludf.DUMMYFUNCTION("IFERROR(GOOGLEFINANCE(A1515,""PRICE""),)"),68.25)</f>
        <v>68.25</v>
      </c>
      <c r="I1515" s="65">
        <f>IFERROR(__xludf.DUMMYFUNCTION("IFERROR(GOOGLEFINANCE(A1515,""VOLUME""),)"),261798.0)</f>
        <v>261798</v>
      </c>
      <c r="J1515" s="64" t="str">
        <f>IFERROR(__xludf.DUMMYFUNCTION("IFERROR(INDEX(SPLIT(A1515,"":""),1,2),)"),"WSI")</f>
        <v>WSI</v>
      </c>
      <c r="K1515" s="64" t="str">
        <f t="shared" si="4"/>
        <v/>
      </c>
      <c r="L1515" s="64">
        <f t="shared" si="5"/>
        <v>212</v>
      </c>
      <c r="M1515" s="64">
        <f t="shared" si="6"/>
        <v>540</v>
      </c>
      <c r="N1515" s="66">
        <f>IFERROR(__xludf.DUMMYFUNCTION("IFERROR(GOOGLEFINANCE(A1515,""TRADETIME""),)"),46086.64583333333)</f>
        <v>46086.64583</v>
      </c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</row>
    <row r="1516">
      <c r="A1516" s="67" t="s">
        <v>1562</v>
      </c>
      <c r="B1516" s="60" t="str">
        <f>IFERROR(__xludf.DUMMYFUNCTION("IFERROR(GOOGLEFINANCE(A1516,""NAME""),)"),"Venus Remedies Ltd")</f>
        <v>Venus Remedies Ltd</v>
      </c>
      <c r="C1516" s="60">
        <f>IFERROR(__xludf.DUMMYFUNCTION("IFERROR(GOOGLEFINANCE(A1516,""CHANGE""),)"),25.7)</f>
        <v>25.7</v>
      </c>
      <c r="D1516" s="60">
        <f>IFERROR(__xludf.DUMMYFUNCTION("IFERROR(GOOGLEFINANCE(A1516,""CHANGEPCT""),)"),3.81)</f>
        <v>3.81</v>
      </c>
      <c r="E1516" s="60" t="str">
        <f t="shared" si="1"/>
        <v>3.81%</v>
      </c>
      <c r="F1516" s="60">
        <f t="shared" si="2"/>
        <v>3.81</v>
      </c>
      <c r="G1516" s="60" t="str">
        <f t="shared" si="3"/>
        <v/>
      </c>
      <c r="H1516" s="60">
        <f>IFERROR(__xludf.DUMMYFUNCTION("IFERROR(GOOGLEFINANCE(A1516,""PRICE""),)"),701.0)</f>
        <v>701</v>
      </c>
      <c r="I1516" s="61">
        <f>IFERROR(__xludf.DUMMYFUNCTION("IFERROR(GOOGLEFINANCE(A1516,""VOLUME""),)"),11282.0)</f>
        <v>11282</v>
      </c>
      <c r="J1516" s="60" t="str">
        <f>IFERROR(__xludf.DUMMYFUNCTION("IFERROR(INDEX(SPLIT(A1516,"":""),1,2),)"),"VENUSREM")</f>
        <v>VENUSREM</v>
      </c>
      <c r="K1516" s="60">
        <f t="shared" si="4"/>
        <v>162</v>
      </c>
      <c r="L1516" s="60" t="str">
        <f t="shared" si="5"/>
        <v/>
      </c>
      <c r="M1516" s="60">
        <f t="shared" si="6"/>
        <v>1244</v>
      </c>
      <c r="N1516" s="62">
        <f>IFERROR(__xludf.DUMMYFUNCTION("IFERROR(GOOGLEFINANCE(A1516,""TRADETIME""),)"),46086.64585648148)</f>
        <v>46086.64586</v>
      </c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</row>
    <row r="1517">
      <c r="A1517" s="68" t="s">
        <v>1563</v>
      </c>
      <c r="B1517" s="64" t="str">
        <f>IFERROR(__xludf.DUMMYFUNCTION("IFERROR(GOOGLEFINANCE(A1517,""NAME""),)"),"Vertoz Ltd")</f>
        <v>Vertoz Ltd</v>
      </c>
      <c r="C1517" s="64">
        <f>IFERROR(__xludf.DUMMYFUNCTION("IFERROR(GOOGLEFINANCE(A1517,""CHANGE""),)"),-0.88)</f>
        <v>-0.88</v>
      </c>
      <c r="D1517" s="64">
        <f>IFERROR(__xludf.DUMMYFUNCTION("IFERROR(GOOGLEFINANCE(A1517,""CHANGEPCT""),)"),-2.05)</f>
        <v>-2.05</v>
      </c>
      <c r="E1517" s="64" t="str">
        <f t="shared" si="1"/>
        <v>-2.05%</v>
      </c>
      <c r="F1517" s="64" t="str">
        <f t="shared" si="2"/>
        <v/>
      </c>
      <c r="G1517" s="64">
        <f t="shared" si="3"/>
        <v>-2.05</v>
      </c>
      <c r="H1517" s="64">
        <f>IFERROR(__xludf.DUMMYFUNCTION("IFERROR(GOOGLEFINANCE(A1517,""PRICE""),)"),41.99)</f>
        <v>41.99</v>
      </c>
      <c r="I1517" s="65">
        <f>IFERROR(__xludf.DUMMYFUNCTION("IFERROR(GOOGLEFINANCE(A1517,""VOLUME""),)"),205233.0)</f>
        <v>205233</v>
      </c>
      <c r="J1517" s="64" t="str">
        <f>IFERROR(__xludf.DUMMYFUNCTION("IFERROR(INDEX(SPLIT(A1517,"":""),1,2),)"),"VERTOZ")</f>
        <v>VERTOZ</v>
      </c>
      <c r="K1517" s="64" t="str">
        <f t="shared" si="4"/>
        <v/>
      </c>
      <c r="L1517" s="64">
        <f t="shared" si="5"/>
        <v>360</v>
      </c>
      <c r="M1517" s="64">
        <f t="shared" si="6"/>
        <v>598</v>
      </c>
      <c r="N1517" s="66">
        <f>IFERROR(__xludf.DUMMYFUNCTION("IFERROR(GOOGLEFINANCE(A1517,""TRADETIME""),)"),46086.64584490741)</f>
        <v>46086.64584</v>
      </c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</row>
    <row r="1518">
      <c r="A1518" s="67" t="s">
        <v>1564</v>
      </c>
      <c r="B1518" s="60" t="str">
        <f>IFERROR(__xludf.DUMMYFUNCTION("IFERROR(GOOGLEFINANCE(A1518,""NAME""),)"),"Vesuvius India Ltd")</f>
        <v>Vesuvius India Ltd</v>
      </c>
      <c r="C1518" s="60">
        <f>IFERROR(__xludf.DUMMYFUNCTION("IFERROR(GOOGLEFINANCE(A1518,""CHANGE""),)"),4.0)</f>
        <v>4</v>
      </c>
      <c r="D1518" s="60">
        <f>IFERROR(__xludf.DUMMYFUNCTION("IFERROR(GOOGLEFINANCE(A1518,""CHANGEPCT""),)"),0.8)</f>
        <v>0.8</v>
      </c>
      <c r="E1518" s="60" t="str">
        <f t="shared" si="1"/>
        <v>0.8%</v>
      </c>
      <c r="F1518" s="60">
        <f t="shared" si="2"/>
        <v>0.8</v>
      </c>
      <c r="G1518" s="60" t="str">
        <f t="shared" si="3"/>
        <v/>
      </c>
      <c r="H1518" s="60">
        <f>IFERROR(__xludf.DUMMYFUNCTION("IFERROR(GOOGLEFINANCE(A1518,""PRICE""),)"),500.1)</f>
        <v>500.1</v>
      </c>
      <c r="I1518" s="61">
        <f>IFERROR(__xludf.DUMMYFUNCTION("IFERROR(GOOGLEFINANCE(A1518,""VOLUME""),)"),127306.0)</f>
        <v>127306</v>
      </c>
      <c r="J1518" s="60" t="str">
        <f>IFERROR(__xludf.DUMMYFUNCTION("IFERROR(INDEX(SPLIT(A1518,"":""),1,2),)"),"VESUVIUS")</f>
        <v>VESUVIUS</v>
      </c>
      <c r="K1518" s="60">
        <f t="shared" si="4"/>
        <v>784</v>
      </c>
      <c r="L1518" s="60" t="str">
        <f t="shared" si="5"/>
        <v/>
      </c>
      <c r="M1518" s="60">
        <f t="shared" si="6"/>
        <v>707</v>
      </c>
      <c r="N1518" s="62">
        <f>IFERROR(__xludf.DUMMYFUNCTION("IFERROR(GOOGLEFINANCE(A1518,""TRADETIME""),)"),46086.64583333333)</f>
        <v>46086.64583</v>
      </c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</row>
    <row r="1519">
      <c r="A1519" s="68" t="s">
        <v>1565</v>
      </c>
      <c r="B1519" s="64" t="str">
        <f>IFERROR(__xludf.DUMMYFUNCTION("IFERROR(GOOGLEFINANCE(A1519,""NAME""),)"),"VETO Switch Gears And Cables Ltd")</f>
        <v>VETO Switch Gears And Cables Ltd</v>
      </c>
      <c r="C1519" s="64">
        <f>IFERROR(__xludf.DUMMYFUNCTION("IFERROR(GOOGLEFINANCE(A1519,""CHANGE""),)"),1.49)</f>
        <v>1.49</v>
      </c>
      <c r="D1519" s="64">
        <f>IFERROR(__xludf.DUMMYFUNCTION("IFERROR(GOOGLEFINANCE(A1519,""CHANGEPCT""),)"),1.48)</f>
        <v>1.48</v>
      </c>
      <c r="E1519" s="64" t="str">
        <f t="shared" si="1"/>
        <v>1.48%</v>
      </c>
      <c r="F1519" s="64">
        <f t="shared" si="2"/>
        <v>1.48</v>
      </c>
      <c r="G1519" s="64" t="str">
        <f t="shared" si="3"/>
        <v/>
      </c>
      <c r="H1519" s="64">
        <f>IFERROR(__xludf.DUMMYFUNCTION("IFERROR(GOOGLEFINANCE(A1519,""PRICE""),)"),101.99)</f>
        <v>101.99</v>
      </c>
      <c r="I1519" s="65">
        <f>IFERROR(__xludf.DUMMYFUNCTION("IFERROR(GOOGLEFINANCE(A1519,""VOLUME""),)"),15696.0)</f>
        <v>15696</v>
      </c>
      <c r="J1519" s="64" t="str">
        <f>IFERROR(__xludf.DUMMYFUNCTION("IFERROR(INDEX(SPLIT(A1519,"":""),1,2),)"),"VETO")</f>
        <v>VETO</v>
      </c>
      <c r="K1519" s="64">
        <f t="shared" si="4"/>
        <v>578</v>
      </c>
      <c r="L1519" s="64" t="str">
        <f t="shared" si="5"/>
        <v/>
      </c>
      <c r="M1519" s="64">
        <f t="shared" si="6"/>
        <v>1190</v>
      </c>
      <c r="N1519" s="66">
        <f>IFERROR(__xludf.DUMMYFUNCTION("IFERROR(GOOGLEFINANCE(A1519,""TRADETIME""),)"),46086.64583333333)</f>
        <v>46086.64583</v>
      </c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</row>
    <row r="1520">
      <c r="A1520" s="67" t="s">
        <v>1566</v>
      </c>
      <c r="B1520" s="60" t="str">
        <f>IFERROR(__xludf.DUMMYFUNCTION("IFERROR(GOOGLEFINANCE(A1520,""NAME""),)"),"V Guard Industries Ltd")</f>
        <v>V Guard Industries Ltd</v>
      </c>
      <c r="C1520" s="60">
        <f>IFERROR(__xludf.DUMMYFUNCTION("IFERROR(GOOGLEFINANCE(A1520,""CHANGE""),)"),5.1)</f>
        <v>5.1</v>
      </c>
      <c r="D1520" s="60">
        <f>IFERROR(__xludf.DUMMYFUNCTION("IFERROR(GOOGLEFINANCE(A1520,""CHANGEPCT""),)"),1.8)</f>
        <v>1.8</v>
      </c>
      <c r="E1520" s="60" t="str">
        <f t="shared" si="1"/>
        <v>1.8%</v>
      </c>
      <c r="F1520" s="60">
        <f t="shared" si="2"/>
        <v>1.8</v>
      </c>
      <c r="G1520" s="60" t="str">
        <f t="shared" si="3"/>
        <v/>
      </c>
      <c r="H1520" s="60">
        <f>IFERROR(__xludf.DUMMYFUNCTION("IFERROR(GOOGLEFINANCE(A1520,""PRICE""),)"),305.45)</f>
        <v>305.45</v>
      </c>
      <c r="I1520" s="61">
        <f>IFERROR(__xludf.DUMMYFUNCTION("IFERROR(GOOGLEFINANCE(A1520,""VOLUME""),)"),82331.0)</f>
        <v>82331</v>
      </c>
      <c r="J1520" s="60" t="str">
        <f>IFERROR(__xludf.DUMMYFUNCTION("IFERROR(INDEX(SPLIT(A1520,"":""),1,2),)"),"VGUARD")</f>
        <v>VGUARD</v>
      </c>
      <c r="K1520" s="60">
        <f t="shared" si="4"/>
        <v>501</v>
      </c>
      <c r="L1520" s="60" t="str">
        <f t="shared" si="5"/>
        <v/>
      </c>
      <c r="M1520" s="60">
        <f t="shared" si="6"/>
        <v>806</v>
      </c>
      <c r="N1520" s="62">
        <f>IFERROR(__xludf.DUMMYFUNCTION("IFERROR(GOOGLEFINANCE(A1520,""TRADETIME""),)"),46086.64583333333)</f>
        <v>46086.64583</v>
      </c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</row>
    <row r="1521">
      <c r="A1521" s="68" t="s">
        <v>1567</v>
      </c>
      <c r="B1521" s="64" t="str">
        <f>IFERROR(__xludf.DUMMYFUNCTION("IFERROR(GOOGLEFINANCE(A1521,""NAME""),)"),"Vardhman Holdings Ltd")</f>
        <v>Vardhman Holdings Ltd</v>
      </c>
      <c r="C1521" s="64">
        <f>IFERROR(__xludf.DUMMYFUNCTION("IFERROR(GOOGLEFINANCE(A1521,""CHANGE""),)"),3.7)</f>
        <v>3.7</v>
      </c>
      <c r="D1521" s="64">
        <f>IFERROR(__xludf.DUMMYFUNCTION("IFERROR(GOOGLEFINANCE(A1521,""CHANGEPCT""),)"),1.29)</f>
        <v>1.29</v>
      </c>
      <c r="E1521" s="64" t="str">
        <f t="shared" si="1"/>
        <v>1.29%</v>
      </c>
      <c r="F1521" s="64">
        <f t="shared" si="2"/>
        <v>1.29</v>
      </c>
      <c r="G1521" s="64" t="str">
        <f t="shared" si="3"/>
        <v/>
      </c>
      <c r="H1521" s="64">
        <f>IFERROR(__xludf.DUMMYFUNCTION("IFERROR(GOOGLEFINANCE(A1521,""PRICE""),)"),3151.8)</f>
        <v>3151.8</v>
      </c>
      <c r="I1521" s="65">
        <f>IFERROR(__xludf.DUMMYFUNCTION("IFERROR(GOOGLEFINANCE(A1521,""VOLUME""),)"),408.0)</f>
        <v>408</v>
      </c>
      <c r="J1521" s="64" t="str">
        <f>IFERROR(__xludf.DUMMYFUNCTION("IFERROR(INDEX(SPLIT(A1521,"":""),1,2),)"),"VHL")</f>
        <v>VHL</v>
      </c>
      <c r="K1521" s="64">
        <f t="shared" si="4"/>
        <v>644</v>
      </c>
      <c r="L1521" s="64" t="str">
        <f t="shared" si="5"/>
        <v/>
      </c>
      <c r="M1521" s="64">
        <f t="shared" si="6"/>
        <v>1447</v>
      </c>
      <c r="N1521" s="66">
        <f>IFERROR(__xludf.DUMMYFUNCTION("IFERROR(GOOGLEFINANCE(A1521,""TRADETIME""),)"),46086.64583333333)</f>
        <v>46086.64583</v>
      </c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</row>
    <row r="1522">
      <c r="A1522" s="67" t="s">
        <v>1568</v>
      </c>
      <c r="B1522" s="60" t="str">
        <f>IFERROR(__xludf.DUMMYFUNCTION("IFERROR(GOOGLEFINANCE(A1522,""NAME""),)"),"")</f>
        <v/>
      </c>
      <c r="C1522" s="60" t="str">
        <f>IFERROR(__xludf.DUMMYFUNCTION("IFERROR(GOOGLEFINANCE(A1522,""CHANGE""),)"),"")</f>
        <v/>
      </c>
      <c r="D1522" s="60" t="str">
        <f>IFERROR(__xludf.DUMMYFUNCTION("IFERROR(GOOGLEFINANCE(A1522,""CHANGEPCT""),)"),"")</f>
        <v/>
      </c>
      <c r="E1522" s="60" t="str">
        <f t="shared" si="1"/>
        <v>%</v>
      </c>
      <c r="F1522" s="60" t="str">
        <f t="shared" si="2"/>
        <v/>
      </c>
      <c r="G1522" s="60" t="str">
        <f t="shared" si="3"/>
        <v/>
      </c>
      <c r="H1522" s="60" t="str">
        <f>IFERROR(__xludf.DUMMYFUNCTION("IFERROR(GOOGLEFINANCE(A1522,""PRICE""),)"),"")</f>
        <v/>
      </c>
      <c r="I1522" s="61" t="str">
        <f>IFERROR(__xludf.DUMMYFUNCTION("IFERROR(GOOGLEFINANCE(A1522,""VOLUME""),)"),"")</f>
        <v/>
      </c>
      <c r="J1522" s="60" t="str">
        <f>IFERROR(__xludf.DUMMYFUNCTION("IFERROR(INDEX(SPLIT(A1522,"":""),1,2),)"),"VICEROY")</f>
        <v>VICEROY</v>
      </c>
      <c r="K1522" s="60" t="str">
        <f t="shared" si="4"/>
        <v/>
      </c>
      <c r="L1522" s="60" t="str">
        <f t="shared" si="5"/>
        <v/>
      </c>
      <c r="M1522" s="60" t="str">
        <f t="shared" si="6"/>
        <v/>
      </c>
      <c r="N1522" s="62" t="str">
        <f>IFERROR(__xludf.DUMMYFUNCTION("IFERROR(GOOGLEFINANCE(A1522,""TRADETIME""),)"),"")</f>
        <v/>
      </c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</row>
    <row r="1523">
      <c r="A1523" s="68" t="s">
        <v>1569</v>
      </c>
      <c r="B1523" s="64" t="str">
        <f>IFERROR(__xludf.DUMMYFUNCTION("IFERROR(GOOGLEFINANCE(A1523,""NAME""),)"),"Vidhi Specialty Food Ingredients Ltd")</f>
        <v>Vidhi Specialty Food Ingredients Ltd</v>
      </c>
      <c r="C1523" s="64">
        <f>IFERROR(__xludf.DUMMYFUNCTION("IFERROR(GOOGLEFINANCE(A1523,""CHANGE""),)"),-1.3)</f>
        <v>-1.3</v>
      </c>
      <c r="D1523" s="64">
        <f>IFERROR(__xludf.DUMMYFUNCTION("IFERROR(GOOGLEFINANCE(A1523,""CHANGEPCT""),)"),-0.43)</f>
        <v>-0.43</v>
      </c>
      <c r="E1523" s="64" t="str">
        <f t="shared" si="1"/>
        <v>-0.43%</v>
      </c>
      <c r="F1523" s="64" t="str">
        <f t="shared" si="2"/>
        <v/>
      </c>
      <c r="G1523" s="64">
        <f t="shared" si="3"/>
        <v>-0.43</v>
      </c>
      <c r="H1523" s="64">
        <f>IFERROR(__xludf.DUMMYFUNCTION("IFERROR(GOOGLEFINANCE(A1523,""PRICE""),)"),298.0)</f>
        <v>298</v>
      </c>
      <c r="I1523" s="65">
        <f>IFERROR(__xludf.DUMMYFUNCTION("IFERROR(GOOGLEFINANCE(A1523,""VOLUME""),)"),18931.0)</f>
        <v>18931</v>
      </c>
      <c r="J1523" s="64" t="str">
        <f>IFERROR(__xludf.DUMMYFUNCTION("IFERROR(INDEX(SPLIT(A1523,"":""),1,2),)"),"VIDHIING")</f>
        <v>VIDHIING</v>
      </c>
      <c r="K1523" s="64" t="str">
        <f t="shared" si="4"/>
        <v/>
      </c>
      <c r="L1523" s="64">
        <f t="shared" si="5"/>
        <v>107</v>
      </c>
      <c r="M1523" s="64">
        <f t="shared" si="6"/>
        <v>1151</v>
      </c>
      <c r="N1523" s="66">
        <f>IFERROR(__xludf.DUMMYFUNCTION("IFERROR(GOOGLEFINANCE(A1523,""TRADETIME""),)"),46086.638287037036)</f>
        <v>46086.63829</v>
      </c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</row>
    <row r="1524">
      <c r="A1524" s="67" t="s">
        <v>1570</v>
      </c>
      <c r="B1524" s="60" t="str">
        <f>IFERROR(__xludf.DUMMYFUNCTION("IFERROR(GOOGLEFINANCE(A1524,""NAME""),)"),"Viji Finance Ltd")</f>
        <v>Viji Finance Ltd</v>
      </c>
      <c r="C1524" s="60">
        <f>IFERROR(__xludf.DUMMYFUNCTION("IFERROR(GOOGLEFINANCE(A1524,""CHANGE""),)"),0.05)</f>
        <v>0.05</v>
      </c>
      <c r="D1524" s="60">
        <f>IFERROR(__xludf.DUMMYFUNCTION("IFERROR(GOOGLEFINANCE(A1524,""CHANGEPCT""),)"),2.44)</f>
        <v>2.44</v>
      </c>
      <c r="E1524" s="60" t="str">
        <f t="shared" si="1"/>
        <v>2.44%</v>
      </c>
      <c r="F1524" s="60">
        <f t="shared" si="2"/>
        <v>2.44</v>
      </c>
      <c r="G1524" s="60" t="str">
        <f t="shared" si="3"/>
        <v/>
      </c>
      <c r="H1524" s="60">
        <f>IFERROR(__xludf.DUMMYFUNCTION("IFERROR(GOOGLEFINANCE(A1524,""PRICE""),)"),2.1)</f>
        <v>2.1</v>
      </c>
      <c r="I1524" s="61">
        <f>IFERROR(__xludf.DUMMYFUNCTION("IFERROR(GOOGLEFINANCE(A1524,""VOLUME""),)"),79514.0)</f>
        <v>79514</v>
      </c>
      <c r="J1524" s="60" t="str">
        <f>IFERROR(__xludf.DUMMYFUNCTION("IFERROR(INDEX(SPLIT(A1524,"":""),1,2),)"),"VIJIFIN")</f>
        <v>VIJIFIN</v>
      </c>
      <c r="K1524" s="60">
        <f t="shared" si="4"/>
        <v>349</v>
      </c>
      <c r="L1524" s="60" t="str">
        <f t="shared" si="5"/>
        <v/>
      </c>
      <c r="M1524" s="60">
        <f t="shared" si="6"/>
        <v>816</v>
      </c>
      <c r="N1524" s="62">
        <f>IFERROR(__xludf.DUMMYFUNCTION("IFERROR(GOOGLEFINANCE(A1524,""TRADETIME""),)"),46086.64583333333)</f>
        <v>46086.64583</v>
      </c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</row>
    <row r="1525">
      <c r="A1525" s="68" t="s">
        <v>1571</v>
      </c>
      <c r="B1525" s="64" t="str">
        <f>IFERROR(__xludf.DUMMYFUNCTION("IFERROR(GOOGLEFINANCE(A1525,""NAME""),)"),"Vikas Ecotech Ltd")</f>
        <v>Vikas Ecotech Ltd</v>
      </c>
      <c r="C1525" s="64">
        <f>IFERROR(__xludf.DUMMYFUNCTION("IFERROR(GOOGLEFINANCE(A1525,""CHANGE""),)"),0.02)</f>
        <v>0.02</v>
      </c>
      <c r="D1525" s="64">
        <f>IFERROR(__xludf.DUMMYFUNCTION("IFERROR(GOOGLEFINANCE(A1525,""CHANGEPCT""),)"),1.53)</f>
        <v>1.53</v>
      </c>
      <c r="E1525" s="64" t="str">
        <f t="shared" si="1"/>
        <v>1.53%</v>
      </c>
      <c r="F1525" s="64">
        <f t="shared" si="2"/>
        <v>1.53</v>
      </c>
      <c r="G1525" s="64" t="str">
        <f t="shared" si="3"/>
        <v/>
      </c>
      <c r="H1525" s="64">
        <f>IFERROR(__xludf.DUMMYFUNCTION("IFERROR(GOOGLEFINANCE(A1525,""PRICE""),)"),1.33)</f>
        <v>1.33</v>
      </c>
      <c r="I1525" s="65">
        <f>IFERROR(__xludf.DUMMYFUNCTION("IFERROR(GOOGLEFINANCE(A1525,""VOLUME""),)"),1054746.0)</f>
        <v>1054746</v>
      </c>
      <c r="J1525" s="64" t="str">
        <f>IFERROR(__xludf.DUMMYFUNCTION("IFERROR(INDEX(SPLIT(A1525,"":""),1,2),)"),"VIKASECO")</f>
        <v>VIKASECO</v>
      </c>
      <c r="K1525" s="64">
        <f t="shared" si="4"/>
        <v>564</v>
      </c>
      <c r="L1525" s="64" t="str">
        <f t="shared" si="5"/>
        <v/>
      </c>
      <c r="M1525" s="64">
        <f t="shared" si="6"/>
        <v>279</v>
      </c>
      <c r="N1525" s="66">
        <f>IFERROR(__xludf.DUMMYFUNCTION("IFERROR(GOOGLEFINANCE(A1525,""TRADETIME""),)"),46086.64585648148)</f>
        <v>46086.64586</v>
      </c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</row>
    <row r="1526">
      <c r="A1526" s="67" t="s">
        <v>1572</v>
      </c>
      <c r="B1526" s="60" t="str">
        <f>IFERROR(__xludf.DUMMYFUNCTION("IFERROR(GOOGLEFINANCE(A1526,""NAME""),)"),"Vikas Lifecare Ltd")</f>
        <v>Vikas Lifecare Ltd</v>
      </c>
      <c r="C1526" s="60">
        <f>IFERROR(__xludf.DUMMYFUNCTION("IFERROR(GOOGLEFINANCE(A1526,""CHANGE""),)"),0.0)</f>
        <v>0</v>
      </c>
      <c r="D1526" s="60">
        <f>IFERROR(__xludf.DUMMYFUNCTION("IFERROR(GOOGLEFINANCE(A1526,""CHANGEPCT""),)"),0.0)</f>
        <v>0</v>
      </c>
      <c r="E1526" s="60" t="str">
        <f t="shared" si="1"/>
        <v>0%</v>
      </c>
      <c r="F1526" s="60" t="str">
        <f t="shared" si="2"/>
        <v/>
      </c>
      <c r="G1526" s="60" t="str">
        <f t="shared" si="3"/>
        <v/>
      </c>
      <c r="H1526" s="60">
        <f>IFERROR(__xludf.DUMMYFUNCTION("IFERROR(GOOGLEFINANCE(A1526,""PRICE""),)"),1.36)</f>
        <v>1.36</v>
      </c>
      <c r="I1526" s="61">
        <f>IFERROR(__xludf.DUMMYFUNCTION("IFERROR(GOOGLEFINANCE(A1526,""VOLUME""),)"),2539803.0)</f>
        <v>2539803</v>
      </c>
      <c r="J1526" s="60" t="str">
        <f>IFERROR(__xludf.DUMMYFUNCTION("IFERROR(INDEX(SPLIT(A1526,"":""),1,2),)"),"VIKASLIFE")</f>
        <v>VIKASLIFE</v>
      </c>
      <c r="K1526" s="60" t="str">
        <f t="shared" si="4"/>
        <v/>
      </c>
      <c r="L1526" s="60" t="str">
        <f t="shared" si="5"/>
        <v/>
      </c>
      <c r="M1526" s="60">
        <f t="shared" si="6"/>
        <v>169</v>
      </c>
      <c r="N1526" s="62">
        <f>IFERROR(__xludf.DUMMYFUNCTION("IFERROR(GOOGLEFINANCE(A1526,""TRADETIME""),)"),46086.64583333333)</f>
        <v>46086.64583</v>
      </c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</row>
    <row r="1527">
      <c r="A1527" s="68" t="s">
        <v>1573</v>
      </c>
      <c r="B1527" s="64" t="str">
        <f>IFERROR(__xludf.DUMMYFUNCTION("IFERROR(GOOGLEFINANCE(A1527,""NAME""),)"),"")</f>
        <v/>
      </c>
      <c r="C1527" s="64" t="str">
        <f>IFERROR(__xludf.DUMMYFUNCTION("IFERROR(GOOGLEFINANCE(A1527,""CHANGE""),)"),"")</f>
        <v/>
      </c>
      <c r="D1527" s="64" t="str">
        <f>IFERROR(__xludf.DUMMYFUNCTION("IFERROR(GOOGLEFINANCE(A1527,""CHANGEPCT""),)"),"")</f>
        <v/>
      </c>
      <c r="E1527" s="64" t="str">
        <f t="shared" si="1"/>
        <v>%</v>
      </c>
      <c r="F1527" s="64" t="str">
        <f t="shared" si="2"/>
        <v/>
      </c>
      <c r="G1527" s="64" t="str">
        <f t="shared" si="3"/>
        <v/>
      </c>
      <c r="H1527" s="64" t="str">
        <f>IFERROR(__xludf.DUMMYFUNCTION("IFERROR(GOOGLEFINANCE(A1527,""PRICE""),)"),"")</f>
        <v/>
      </c>
      <c r="I1527" s="65" t="str">
        <f>IFERROR(__xludf.DUMMYFUNCTION("IFERROR(GOOGLEFINANCE(A1527,""VOLUME""),)"),"")</f>
        <v/>
      </c>
      <c r="J1527" s="64" t="str">
        <f>IFERROR(__xludf.DUMMYFUNCTION("IFERROR(INDEX(SPLIT(A1527,"":""),1,2),)"),"VIKASPROP")</f>
        <v>VIKASPROP</v>
      </c>
      <c r="K1527" s="64" t="str">
        <f t="shared" si="4"/>
        <v/>
      </c>
      <c r="L1527" s="64" t="str">
        <f t="shared" si="5"/>
        <v/>
      </c>
      <c r="M1527" s="64" t="str">
        <f t="shared" si="6"/>
        <v/>
      </c>
      <c r="N1527" s="66" t="str">
        <f>IFERROR(__xludf.DUMMYFUNCTION("IFERROR(GOOGLEFINANCE(A1527,""TRADETIME""),)"),"")</f>
        <v/>
      </c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</row>
    <row r="1528">
      <c r="A1528" s="67" t="s">
        <v>1574</v>
      </c>
      <c r="B1528" s="60" t="str">
        <f>IFERROR(__xludf.DUMMYFUNCTION("IFERROR(GOOGLEFINANCE(A1528,""NAME""),)"),"")</f>
        <v/>
      </c>
      <c r="C1528" s="60" t="str">
        <f>IFERROR(__xludf.DUMMYFUNCTION("IFERROR(GOOGLEFINANCE(A1528,""CHANGE""),)"),"")</f>
        <v/>
      </c>
      <c r="D1528" s="60" t="str">
        <f>IFERROR(__xludf.DUMMYFUNCTION("IFERROR(GOOGLEFINANCE(A1528,""CHANGEPCT""),)"),"")</f>
        <v/>
      </c>
      <c r="E1528" s="60" t="str">
        <f t="shared" si="1"/>
        <v>%</v>
      </c>
      <c r="F1528" s="60" t="str">
        <f t="shared" si="2"/>
        <v/>
      </c>
      <c r="G1528" s="60" t="str">
        <f t="shared" si="3"/>
        <v/>
      </c>
      <c r="H1528" s="60" t="str">
        <f>IFERROR(__xludf.DUMMYFUNCTION("IFERROR(GOOGLEFINANCE(A1528,""PRICE""),)"),"")</f>
        <v/>
      </c>
      <c r="I1528" s="61" t="str">
        <f>IFERROR(__xludf.DUMMYFUNCTION("IFERROR(GOOGLEFINANCE(A1528,""VOLUME""),)"),"")</f>
        <v/>
      </c>
      <c r="J1528" s="60" t="str">
        <f>IFERROR(__xludf.DUMMYFUNCTION("IFERROR(INDEX(SPLIT(A1528,"":""),1,2),)"),"VIKASWSP")</f>
        <v>VIKASWSP</v>
      </c>
      <c r="K1528" s="60" t="str">
        <f t="shared" si="4"/>
        <v/>
      </c>
      <c r="L1528" s="60" t="str">
        <f t="shared" si="5"/>
        <v/>
      </c>
      <c r="M1528" s="60" t="str">
        <f t="shared" si="6"/>
        <v/>
      </c>
      <c r="N1528" s="62" t="str">
        <f>IFERROR(__xludf.DUMMYFUNCTION("IFERROR(GOOGLEFINANCE(A1528,""TRADETIME""),)"),"")</f>
        <v/>
      </c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</row>
    <row r="1529">
      <c r="A1529" s="68" t="s">
        <v>1575</v>
      </c>
      <c r="B1529" s="64" t="str">
        <f>IFERROR(__xludf.DUMMYFUNCTION("IFERROR(GOOGLEFINANCE(A1529,""NAME""),)"),"Vimta Labs Ltd")</f>
        <v>Vimta Labs Ltd</v>
      </c>
      <c r="C1529" s="64">
        <f>IFERROR(__xludf.DUMMYFUNCTION("IFERROR(GOOGLEFINANCE(A1529,""CHANGE""),)"),5.6)</f>
        <v>5.6</v>
      </c>
      <c r="D1529" s="64">
        <f>IFERROR(__xludf.DUMMYFUNCTION("IFERROR(GOOGLEFINANCE(A1529,""CHANGEPCT""),)"),1.94)</f>
        <v>1.94</v>
      </c>
      <c r="E1529" s="64" t="str">
        <f t="shared" si="1"/>
        <v>1.94%</v>
      </c>
      <c r="F1529" s="64">
        <f t="shared" si="2"/>
        <v>1.94</v>
      </c>
      <c r="G1529" s="64" t="str">
        <f t="shared" si="3"/>
        <v/>
      </c>
      <c r="H1529" s="64">
        <f>IFERROR(__xludf.DUMMYFUNCTION("IFERROR(GOOGLEFINANCE(A1529,""PRICE""),)"),436.0)</f>
        <v>436</v>
      </c>
      <c r="I1529" s="65">
        <f>IFERROR(__xludf.DUMMYFUNCTION("IFERROR(GOOGLEFINANCE(A1529,""VOLUME""),)"),118628.0)</f>
        <v>118628</v>
      </c>
      <c r="J1529" s="64" t="str">
        <f>IFERROR(__xludf.DUMMYFUNCTION("IFERROR(INDEX(SPLIT(A1529,"":""),1,2),)"),"VIMTALABS")</f>
        <v>VIMTALABS</v>
      </c>
      <c r="K1529" s="64">
        <f t="shared" si="4"/>
        <v>455</v>
      </c>
      <c r="L1529" s="64" t="str">
        <f t="shared" si="5"/>
        <v/>
      </c>
      <c r="M1529" s="64">
        <f t="shared" si="6"/>
        <v>726</v>
      </c>
      <c r="N1529" s="66">
        <f>IFERROR(__xludf.DUMMYFUNCTION("IFERROR(GOOGLEFINANCE(A1529,""TRADETIME""),)"),46086.64584490741)</f>
        <v>46086.64584</v>
      </c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</row>
    <row r="1530">
      <c r="A1530" s="67" t="s">
        <v>1576</v>
      </c>
      <c r="B1530" s="60" t="str">
        <f>IFERROR(__xludf.DUMMYFUNCTION("IFERROR(GOOGLEFINANCE(A1530,""NAME""),)"),"Vinati Organics Ltd")</f>
        <v>Vinati Organics Ltd</v>
      </c>
      <c r="C1530" s="60">
        <f>IFERROR(__xludf.DUMMYFUNCTION("IFERROR(GOOGLEFINANCE(A1530,""CHANGE""),)"),-3.9)</f>
        <v>-3.9</v>
      </c>
      <c r="D1530" s="60">
        <f>IFERROR(__xludf.DUMMYFUNCTION("IFERROR(GOOGLEFINANCE(A1530,""CHANGEPCT""),)"),1.46)</f>
        <v>1.46</v>
      </c>
      <c r="E1530" s="60" t="str">
        <f t="shared" si="1"/>
        <v>1.46%</v>
      </c>
      <c r="F1530" s="60">
        <f t="shared" si="2"/>
        <v>1.46</v>
      </c>
      <c r="G1530" s="60" t="str">
        <f t="shared" si="3"/>
        <v/>
      </c>
      <c r="H1530" s="60">
        <f>IFERROR(__xludf.DUMMYFUNCTION("IFERROR(GOOGLEFINANCE(A1530,""PRICE""),)"),1394.8)</f>
        <v>1394.8</v>
      </c>
      <c r="I1530" s="61">
        <f>IFERROR(__xludf.DUMMYFUNCTION("IFERROR(GOOGLEFINANCE(A1530,""VOLUME""),)"),31130.0)</f>
        <v>31130</v>
      </c>
      <c r="J1530" s="60" t="str">
        <f>IFERROR(__xludf.DUMMYFUNCTION("IFERROR(INDEX(SPLIT(A1530,"":""),1,2),)"),"VINATIORGA")</f>
        <v>VINATIORGA</v>
      </c>
      <c r="K1530" s="60">
        <f t="shared" si="4"/>
        <v>587</v>
      </c>
      <c r="L1530" s="60" t="str">
        <f t="shared" si="5"/>
        <v/>
      </c>
      <c r="M1530" s="60">
        <f t="shared" si="6"/>
        <v>1050</v>
      </c>
      <c r="N1530" s="62">
        <f>IFERROR(__xludf.DUMMYFUNCTION("IFERROR(GOOGLEFINANCE(A1530,""TRADETIME""),)"),46086.64583333333)</f>
        <v>46086.64583</v>
      </c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</row>
    <row r="1531">
      <c r="A1531" s="68" t="s">
        <v>1577</v>
      </c>
      <c r="B1531" s="64" t="str">
        <f>IFERROR(__xludf.DUMMYFUNCTION("IFERROR(GOOGLEFINANCE(A1531,""NAME""),)"),"Vindhya Telelinks Ltd")</f>
        <v>Vindhya Telelinks Ltd</v>
      </c>
      <c r="C1531" s="64">
        <f>IFERROR(__xludf.DUMMYFUNCTION("IFERROR(GOOGLEFINANCE(A1531,""CHANGE""),)"),1.0)</f>
        <v>1</v>
      </c>
      <c r="D1531" s="64">
        <f>IFERROR(__xludf.DUMMYFUNCTION("IFERROR(GOOGLEFINANCE(A1531,""CHANGEPCT""),)"),-0.41)</f>
        <v>-0.41</v>
      </c>
      <c r="E1531" s="64" t="str">
        <f t="shared" si="1"/>
        <v>-0.41%</v>
      </c>
      <c r="F1531" s="64" t="str">
        <f t="shared" si="2"/>
        <v/>
      </c>
      <c r="G1531" s="64">
        <f t="shared" si="3"/>
        <v>-0.41</v>
      </c>
      <c r="H1531" s="64">
        <f>IFERROR(__xludf.DUMMYFUNCTION("IFERROR(GOOGLEFINANCE(A1531,""PRICE""),)"),1008.2)</f>
        <v>1008.2</v>
      </c>
      <c r="I1531" s="65">
        <f>IFERROR(__xludf.DUMMYFUNCTION("IFERROR(GOOGLEFINANCE(A1531,""VOLUME""),)"),17018.0)</f>
        <v>17018</v>
      </c>
      <c r="J1531" s="64" t="str">
        <f>IFERROR(__xludf.DUMMYFUNCTION("IFERROR(INDEX(SPLIT(A1531,"":""),1,2),)"),"VINDHYATEL")</f>
        <v>VINDHYATEL</v>
      </c>
      <c r="K1531" s="64" t="str">
        <f t="shared" si="4"/>
        <v/>
      </c>
      <c r="L1531" s="64">
        <f t="shared" si="5"/>
        <v>98</v>
      </c>
      <c r="M1531" s="64">
        <f t="shared" si="6"/>
        <v>1177</v>
      </c>
      <c r="N1531" s="66">
        <f>IFERROR(__xludf.DUMMYFUNCTION("IFERROR(GOOGLEFINANCE(A1531,""TRADETIME""),)"),46086.64583333333)</f>
        <v>46086.64583</v>
      </c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</row>
    <row r="1532">
      <c r="A1532" s="59" t="s">
        <v>91</v>
      </c>
      <c r="B1532" s="60" t="str">
        <f>IFERROR(__xludf.DUMMYFUNCTION("IFERROR(GOOGLEFINANCE(A1532,""NAME""),)"),"Affle 3i Ltd")</f>
        <v>Affle 3i Ltd</v>
      </c>
      <c r="C1532" s="60">
        <f>IFERROR(__xludf.DUMMYFUNCTION("IFERROR(GOOGLEFINANCE(A1532,""CHANGE""),)"),-41.8)</f>
        <v>-41.8</v>
      </c>
      <c r="D1532" s="60">
        <f>IFERROR(__xludf.DUMMYFUNCTION("IFERROR(GOOGLEFINANCE(A1532,""CHANGEPCT""),)"),-2.98)</f>
        <v>-2.98</v>
      </c>
      <c r="E1532" s="60" t="str">
        <f t="shared" si="1"/>
        <v>-2.98%</v>
      </c>
      <c r="F1532" s="60" t="str">
        <f t="shared" si="2"/>
        <v/>
      </c>
      <c r="G1532" s="60">
        <f t="shared" si="3"/>
        <v>-2.98</v>
      </c>
      <c r="H1532" s="60">
        <f>IFERROR(__xludf.DUMMYFUNCTION("IFERROR(GOOGLEFINANCE(A1532,""PRICE""),)"),1360.1)</f>
        <v>1360.1</v>
      </c>
      <c r="I1532" s="61">
        <f>IFERROR(__xludf.DUMMYFUNCTION("IFERROR(GOOGLEFINANCE(A1532,""VOLUME""),)"),246123.0)</f>
        <v>246123</v>
      </c>
      <c r="J1532" s="60" t="str">
        <f>IFERROR(__xludf.DUMMYFUNCTION("IFERROR(INDEX(SPLIT(A1532,"":""),1,2),)"),"AFFLE")</f>
        <v>AFFLE</v>
      </c>
      <c r="K1532" s="60" t="str">
        <f t="shared" si="4"/>
        <v/>
      </c>
      <c r="L1532" s="60">
        <f t="shared" si="5"/>
        <v>407</v>
      </c>
      <c r="M1532" s="60">
        <f t="shared" si="6"/>
        <v>560</v>
      </c>
      <c r="N1532" s="62">
        <f>IFERROR(__xludf.DUMMYFUNCTION("IFERROR(GOOGLEFINANCE(A1532,""TRADETIME""),)"),46086.64583333333)</f>
        <v>46086.64583</v>
      </c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</row>
    <row r="1533">
      <c r="A1533" s="68" t="s">
        <v>1578</v>
      </c>
      <c r="B1533" s="64" t="str">
        <f>IFERROR(__xludf.DUMMYFUNCTION("IFERROR(GOOGLEFINANCE(A1533,""NAME""),)"),"VIP Clothing Ltd")</f>
        <v>VIP Clothing Ltd</v>
      </c>
      <c r="C1533" s="64">
        <f>IFERROR(__xludf.DUMMYFUNCTION("IFERROR(GOOGLEFINANCE(A1533,""CHANGE""),)"),-0.99)</f>
        <v>-0.99</v>
      </c>
      <c r="D1533" s="64">
        <f>IFERROR(__xludf.DUMMYFUNCTION("IFERROR(GOOGLEFINANCE(A1533,""CHANGEPCT""),)"),-5.13)</f>
        <v>-5.13</v>
      </c>
      <c r="E1533" s="64" t="str">
        <f t="shared" si="1"/>
        <v>-5.13%</v>
      </c>
      <c r="F1533" s="64" t="str">
        <f t="shared" si="2"/>
        <v/>
      </c>
      <c r="G1533" s="64">
        <f t="shared" si="3"/>
        <v>-5.13</v>
      </c>
      <c r="H1533" s="64">
        <f>IFERROR(__xludf.DUMMYFUNCTION("IFERROR(GOOGLEFINANCE(A1533,""PRICE""),)"),18.3)</f>
        <v>18.3</v>
      </c>
      <c r="I1533" s="65">
        <f>IFERROR(__xludf.DUMMYFUNCTION("IFERROR(GOOGLEFINANCE(A1533,""VOLUME""),)"),340271.0)</f>
        <v>340271</v>
      </c>
      <c r="J1533" s="64" t="str">
        <f>IFERROR(__xludf.DUMMYFUNCTION("IFERROR(INDEX(SPLIT(A1533,"":""),1,2),)"),"VIPCLOTHNG")</f>
        <v>VIPCLOTHNG</v>
      </c>
      <c r="K1533" s="64" t="str">
        <f t="shared" si="4"/>
        <v/>
      </c>
      <c r="L1533" s="64">
        <f t="shared" si="5"/>
        <v>443</v>
      </c>
      <c r="M1533" s="64">
        <f t="shared" si="6"/>
        <v>485</v>
      </c>
      <c r="N1533" s="66">
        <f>IFERROR(__xludf.DUMMYFUNCTION("IFERROR(GOOGLEFINANCE(A1533,""TRADETIME""),)"),46086.64583333333)</f>
        <v>46086.64583</v>
      </c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</row>
    <row r="1534">
      <c r="A1534" s="67" t="s">
        <v>1579</v>
      </c>
      <c r="B1534" s="60" t="str">
        <f>IFERROR(__xludf.DUMMYFUNCTION("IFERROR(GOOGLEFINANCE(A1534,""NAME""),)"),"V I P Industries Ltd")</f>
        <v>V I P Industries Ltd</v>
      </c>
      <c r="C1534" s="60">
        <f>IFERROR(__xludf.DUMMYFUNCTION("IFERROR(GOOGLEFINANCE(A1534,""CHANGE""),)"),6.9)</f>
        <v>6.9</v>
      </c>
      <c r="D1534" s="60">
        <f>IFERROR(__xludf.DUMMYFUNCTION("IFERROR(GOOGLEFINANCE(A1534,""CHANGEPCT""),)"),1.86)</f>
        <v>1.86</v>
      </c>
      <c r="E1534" s="60" t="str">
        <f t="shared" si="1"/>
        <v>1.86%</v>
      </c>
      <c r="F1534" s="60">
        <f t="shared" si="2"/>
        <v>1.86</v>
      </c>
      <c r="G1534" s="60" t="str">
        <f t="shared" si="3"/>
        <v/>
      </c>
      <c r="H1534" s="60">
        <f>IFERROR(__xludf.DUMMYFUNCTION("IFERROR(GOOGLEFINANCE(A1534,""PRICE""),)"),361.55)</f>
        <v>361.55</v>
      </c>
      <c r="I1534" s="61">
        <f>IFERROR(__xludf.DUMMYFUNCTION("IFERROR(GOOGLEFINANCE(A1534,""VOLUME""),)"),143744.0)</f>
        <v>143744</v>
      </c>
      <c r="J1534" s="60" t="str">
        <f>IFERROR(__xludf.DUMMYFUNCTION("IFERROR(INDEX(SPLIT(A1534,"":""),1,2),)"),"VIPIND")</f>
        <v>VIPIND</v>
      </c>
      <c r="K1534" s="60">
        <f t="shared" si="4"/>
        <v>480</v>
      </c>
      <c r="L1534" s="60" t="str">
        <f t="shared" si="5"/>
        <v/>
      </c>
      <c r="M1534" s="60">
        <f t="shared" si="6"/>
        <v>682</v>
      </c>
      <c r="N1534" s="62">
        <f>IFERROR(__xludf.DUMMYFUNCTION("IFERROR(GOOGLEFINANCE(A1534,""TRADETIME""),)"),46086.64583333333)</f>
        <v>46086.64583</v>
      </c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</row>
    <row r="1535">
      <c r="A1535" s="68" t="s">
        <v>1580</v>
      </c>
      <c r="B1535" s="64" t="str">
        <f>IFERROR(__xludf.DUMMYFUNCTION("IFERROR(GOOGLEFINANCE(A1535,""NAME""),)"),"Vipul Ltd")</f>
        <v>Vipul Ltd</v>
      </c>
      <c r="C1535" s="64">
        <f>IFERROR(__xludf.DUMMYFUNCTION("IFERROR(GOOGLEFINANCE(A1535,""CHANGE""),)"),-0.26)</f>
        <v>-0.26</v>
      </c>
      <c r="D1535" s="64">
        <f>IFERROR(__xludf.DUMMYFUNCTION("IFERROR(GOOGLEFINANCE(A1535,""CHANGEPCT""),)"),-1.95)</f>
        <v>-1.95</v>
      </c>
      <c r="E1535" s="64" t="str">
        <f t="shared" si="1"/>
        <v>-1.95%</v>
      </c>
      <c r="F1535" s="64" t="str">
        <f t="shared" si="2"/>
        <v/>
      </c>
      <c r="G1535" s="64">
        <f t="shared" si="3"/>
        <v>-1.95</v>
      </c>
      <c r="H1535" s="64">
        <f>IFERROR(__xludf.DUMMYFUNCTION("IFERROR(GOOGLEFINANCE(A1535,""PRICE""),)"),13.04)</f>
        <v>13.04</v>
      </c>
      <c r="I1535" s="65">
        <f>IFERROR(__xludf.DUMMYFUNCTION("IFERROR(GOOGLEFINANCE(A1535,""VOLUME""),)"),237121.0)</f>
        <v>237121</v>
      </c>
      <c r="J1535" s="64" t="str">
        <f>IFERROR(__xludf.DUMMYFUNCTION("IFERROR(INDEX(SPLIT(A1535,"":""),1,2),)"),"VIPULLTD")</f>
        <v>VIPULLTD</v>
      </c>
      <c r="K1535" s="64" t="str">
        <f t="shared" si="4"/>
        <v/>
      </c>
      <c r="L1535" s="64">
        <f t="shared" si="5"/>
        <v>344</v>
      </c>
      <c r="M1535" s="64">
        <f t="shared" si="6"/>
        <v>568</v>
      </c>
      <c r="N1535" s="66">
        <f>IFERROR(__xludf.DUMMYFUNCTION("IFERROR(GOOGLEFINANCE(A1535,""TRADETIME""),)"),46086.63517361111)</f>
        <v>46086.63517</v>
      </c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</row>
    <row r="1536">
      <c r="A1536" s="67" t="s">
        <v>1581</v>
      </c>
      <c r="B1536" s="60" t="str">
        <f>IFERROR(__xludf.DUMMYFUNCTION("IFERROR(GOOGLEFINANCE(A1536,""NAME""),)"),"Visaka Industries Ltd")</f>
        <v>Visaka Industries Ltd</v>
      </c>
      <c r="C1536" s="60">
        <f>IFERROR(__xludf.DUMMYFUNCTION("IFERROR(GOOGLEFINANCE(A1536,""CHANGE""),)"),0.07)</f>
        <v>0.07</v>
      </c>
      <c r="D1536" s="60">
        <f>IFERROR(__xludf.DUMMYFUNCTION("IFERROR(GOOGLEFINANCE(A1536,""CHANGEPCT""),)"),0.12)</f>
        <v>0.12</v>
      </c>
      <c r="E1536" s="60" t="str">
        <f t="shared" si="1"/>
        <v>0.12%</v>
      </c>
      <c r="F1536" s="60">
        <f t="shared" si="2"/>
        <v>0.12</v>
      </c>
      <c r="G1536" s="60" t="str">
        <f t="shared" si="3"/>
        <v/>
      </c>
      <c r="H1536" s="60">
        <f>IFERROR(__xludf.DUMMYFUNCTION("IFERROR(GOOGLEFINANCE(A1536,""PRICE""),)"),59.5)</f>
        <v>59.5</v>
      </c>
      <c r="I1536" s="61">
        <f>IFERROR(__xludf.DUMMYFUNCTION("IFERROR(GOOGLEFINANCE(A1536,""VOLUME""),)"),55264.0)</f>
        <v>55264</v>
      </c>
      <c r="J1536" s="60" t="str">
        <f>IFERROR(__xludf.DUMMYFUNCTION("IFERROR(INDEX(SPLIT(A1536,"":""),1,2),)"),"VISAKAIND")</f>
        <v>VISAKAIND</v>
      </c>
      <c r="K1536" s="60">
        <f t="shared" si="4"/>
        <v>971</v>
      </c>
      <c r="L1536" s="60" t="str">
        <f t="shared" si="5"/>
        <v/>
      </c>
      <c r="M1536" s="60">
        <f t="shared" si="6"/>
        <v>903</v>
      </c>
      <c r="N1536" s="62">
        <f>IFERROR(__xludf.DUMMYFUNCTION("IFERROR(GOOGLEFINANCE(A1536,""TRADETIME""),)"),46086.64583333333)</f>
        <v>46086.64583</v>
      </c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</row>
    <row r="1537">
      <c r="A1537" s="68" t="s">
        <v>1582</v>
      </c>
      <c r="B1537" s="64" t="str">
        <f>IFERROR(__xludf.DUMMYFUNCTION("IFERROR(GOOGLEFINANCE(A1537,""NAME""),)"),"Visa Steel Ltd")</f>
        <v>Visa Steel Ltd</v>
      </c>
      <c r="C1537" s="64">
        <f>IFERROR(__xludf.DUMMYFUNCTION("IFERROR(GOOGLEFINANCE(A1537,""CHANGE""),)"),-0.15)</f>
        <v>-0.15</v>
      </c>
      <c r="D1537" s="64">
        <f>IFERROR(__xludf.DUMMYFUNCTION("IFERROR(GOOGLEFINANCE(A1537,""CHANGEPCT""),)"),-0.42)</f>
        <v>-0.42</v>
      </c>
      <c r="E1537" s="64" t="str">
        <f t="shared" si="1"/>
        <v>-0.42%</v>
      </c>
      <c r="F1537" s="64" t="str">
        <f t="shared" si="2"/>
        <v/>
      </c>
      <c r="G1537" s="64">
        <f t="shared" si="3"/>
        <v>-0.42</v>
      </c>
      <c r="H1537" s="64">
        <f>IFERROR(__xludf.DUMMYFUNCTION("IFERROR(GOOGLEFINANCE(A1537,""PRICE""),)"),35.84)</f>
        <v>35.84</v>
      </c>
      <c r="I1537" s="65">
        <f>IFERROR(__xludf.DUMMYFUNCTION("IFERROR(GOOGLEFINANCE(A1537,""VOLUME""),)"),10368.0)</f>
        <v>10368</v>
      </c>
      <c r="J1537" s="64" t="str">
        <f>IFERROR(__xludf.DUMMYFUNCTION("IFERROR(INDEX(SPLIT(A1537,"":""),1,2),)"),"VISASTEEL")</f>
        <v>VISASTEEL</v>
      </c>
      <c r="K1537" s="64" t="str">
        <f t="shared" si="4"/>
        <v/>
      </c>
      <c r="L1537" s="64">
        <f t="shared" si="5"/>
        <v>103</v>
      </c>
      <c r="M1537" s="64">
        <f t="shared" si="6"/>
        <v>1257</v>
      </c>
      <c r="N1537" s="66">
        <f>IFERROR(__xludf.DUMMYFUNCTION("IFERROR(GOOGLEFINANCE(A1537,""TRADETIME""),)"),46086.64583333333)</f>
        <v>46086.64583</v>
      </c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</row>
    <row r="1538">
      <c r="A1538" s="67" t="s">
        <v>1583</v>
      </c>
      <c r="B1538" s="60" t="str">
        <f>IFERROR(__xludf.DUMMYFUNCTION("IFERROR(GOOGLEFINANCE(A1538,""NAME""),)"),"")</f>
        <v/>
      </c>
      <c r="C1538" s="60" t="str">
        <f>IFERROR(__xludf.DUMMYFUNCTION("IFERROR(GOOGLEFINANCE(A1538,""CHANGE""),)"),"")</f>
        <v/>
      </c>
      <c r="D1538" s="60" t="str">
        <f>IFERROR(__xludf.DUMMYFUNCTION("IFERROR(GOOGLEFINANCE(A1538,""CHANGEPCT""),)"),"")</f>
        <v/>
      </c>
      <c r="E1538" s="60" t="str">
        <f t="shared" si="1"/>
        <v>%</v>
      </c>
      <c r="F1538" s="60" t="str">
        <f t="shared" si="2"/>
        <v/>
      </c>
      <c r="G1538" s="60" t="str">
        <f t="shared" si="3"/>
        <v/>
      </c>
      <c r="H1538" s="60" t="str">
        <f>IFERROR(__xludf.DUMMYFUNCTION("IFERROR(GOOGLEFINANCE(A1538,""PRICE""),)"),"")</f>
        <v/>
      </c>
      <c r="I1538" s="61" t="str">
        <f>IFERROR(__xludf.DUMMYFUNCTION("IFERROR(GOOGLEFINANCE(A1538,""VOLUME""),)"),"")</f>
        <v/>
      </c>
      <c r="J1538" s="60" t="str">
        <f>IFERROR(__xludf.DUMMYFUNCTION("IFERROR(INDEX(SPLIT(A1538,"":""),1,2),)"),"VISHAL")</f>
        <v>VISHAL</v>
      </c>
      <c r="K1538" s="60" t="str">
        <f t="shared" si="4"/>
        <v/>
      </c>
      <c r="L1538" s="60" t="str">
        <f t="shared" si="5"/>
        <v/>
      </c>
      <c r="M1538" s="60" t="str">
        <f t="shared" si="6"/>
        <v/>
      </c>
      <c r="N1538" s="62" t="str">
        <f>IFERROR(__xludf.DUMMYFUNCTION("IFERROR(GOOGLEFINANCE(A1538,""TRADETIME""),)"),"")</f>
        <v/>
      </c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</row>
    <row r="1539">
      <c r="A1539" s="68" t="s">
        <v>1584</v>
      </c>
      <c r="B1539" s="64" t="str">
        <f>IFERROR(__xludf.DUMMYFUNCTION("IFERROR(GOOGLEFINANCE(A1539,""NAME""),)"),"Vishnu Chemicals Ltd")</f>
        <v>Vishnu Chemicals Ltd</v>
      </c>
      <c r="C1539" s="64">
        <f>IFERROR(__xludf.DUMMYFUNCTION("IFERROR(GOOGLEFINANCE(A1539,""CHANGE""),)"),6.25)</f>
        <v>6.25</v>
      </c>
      <c r="D1539" s="64">
        <f>IFERROR(__xludf.DUMMYFUNCTION("IFERROR(GOOGLEFINANCE(A1539,""CHANGEPCT""),)"),1.3)</f>
        <v>1.3</v>
      </c>
      <c r="E1539" s="64" t="str">
        <f t="shared" si="1"/>
        <v>1.3%</v>
      </c>
      <c r="F1539" s="64">
        <f t="shared" si="2"/>
        <v>1.3</v>
      </c>
      <c r="G1539" s="64" t="str">
        <f t="shared" si="3"/>
        <v/>
      </c>
      <c r="H1539" s="64">
        <f>IFERROR(__xludf.DUMMYFUNCTION("IFERROR(GOOGLEFINANCE(A1539,""PRICE""),)"),486.25)</f>
        <v>486.25</v>
      </c>
      <c r="I1539" s="65">
        <f>IFERROR(__xludf.DUMMYFUNCTION("IFERROR(GOOGLEFINANCE(A1539,""VOLUME""),)"),61520.0)</f>
        <v>61520</v>
      </c>
      <c r="J1539" s="64" t="str">
        <f>IFERROR(__xludf.DUMMYFUNCTION("IFERROR(INDEX(SPLIT(A1539,"":""),1,2),)"),"VISHNU")</f>
        <v>VISHNU</v>
      </c>
      <c r="K1539" s="64">
        <f t="shared" si="4"/>
        <v>642</v>
      </c>
      <c r="L1539" s="64" t="str">
        <f t="shared" si="5"/>
        <v/>
      </c>
      <c r="M1539" s="64">
        <f t="shared" si="6"/>
        <v>873</v>
      </c>
      <c r="N1539" s="66">
        <f>IFERROR(__xludf.DUMMYFUNCTION("IFERROR(GOOGLEFINANCE(A1539,""TRADETIME""),)"),46086.64583333333)</f>
        <v>46086.64583</v>
      </c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</row>
    <row r="1540">
      <c r="A1540" s="67" t="s">
        <v>1585</v>
      </c>
      <c r="B1540" s="60" t="str">
        <f>IFERROR(__xludf.DUMMYFUNCTION("IFERROR(GOOGLEFINANCE(A1540,""NAME""),)"),"Vishwaraj Sugar Industries Ltd")</f>
        <v>Vishwaraj Sugar Industries Ltd</v>
      </c>
      <c r="C1540" s="60">
        <f>IFERROR(__xludf.DUMMYFUNCTION("IFERROR(GOOGLEFINANCE(A1540,""CHANGE""),)"),0.03)</f>
        <v>0.03</v>
      </c>
      <c r="D1540" s="60">
        <f>IFERROR(__xludf.DUMMYFUNCTION("IFERROR(GOOGLEFINANCE(A1540,""CHANGEPCT""),)"),0.52)</f>
        <v>0.52</v>
      </c>
      <c r="E1540" s="60" t="str">
        <f t="shared" si="1"/>
        <v>0.52%</v>
      </c>
      <c r="F1540" s="60">
        <f t="shared" si="2"/>
        <v>0.52</v>
      </c>
      <c r="G1540" s="60" t="str">
        <f t="shared" si="3"/>
        <v/>
      </c>
      <c r="H1540" s="60">
        <f>IFERROR(__xludf.DUMMYFUNCTION("IFERROR(GOOGLEFINANCE(A1540,""PRICE""),)"),5.85)</f>
        <v>5.85</v>
      </c>
      <c r="I1540" s="61">
        <f>IFERROR(__xludf.DUMMYFUNCTION("IFERROR(GOOGLEFINANCE(A1540,""VOLUME""),)"),288325.0)</f>
        <v>288325</v>
      </c>
      <c r="J1540" s="60" t="str">
        <f>IFERROR(__xludf.DUMMYFUNCTION("IFERROR(INDEX(SPLIT(A1540,"":""),1,2),)"),"VISHWARAJ")</f>
        <v>VISHWARAJ</v>
      </c>
      <c r="K1540" s="60">
        <f t="shared" si="4"/>
        <v>876</v>
      </c>
      <c r="L1540" s="60" t="str">
        <f t="shared" si="5"/>
        <v/>
      </c>
      <c r="M1540" s="60">
        <f t="shared" si="6"/>
        <v>516</v>
      </c>
      <c r="N1540" s="62">
        <f>IFERROR(__xludf.DUMMYFUNCTION("IFERROR(GOOGLEFINANCE(A1540,""TRADETIME""),)"),46086.64583333333)</f>
        <v>46086.64583</v>
      </c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</row>
    <row r="1541">
      <c r="A1541" s="68" t="s">
        <v>1586</v>
      </c>
      <c r="B1541" s="64" t="str">
        <f>IFERROR(__xludf.DUMMYFUNCTION("IFERROR(GOOGLEFINANCE(A1541,""NAME""),)"),"Visagar Polytex Ltd")</f>
        <v>Visagar Polytex Ltd</v>
      </c>
      <c r="C1541" s="64">
        <f>IFERROR(__xludf.DUMMYFUNCTION("IFERROR(GOOGLEFINANCE(A1541,""CHANGE""),)"),0.02)</f>
        <v>0.02</v>
      </c>
      <c r="D1541" s="64">
        <f>IFERROR(__xludf.DUMMYFUNCTION("IFERROR(GOOGLEFINANCE(A1541,""CHANGEPCT""),)"),6.12)</f>
        <v>6.12</v>
      </c>
      <c r="E1541" s="64" t="str">
        <f t="shared" si="1"/>
        <v>6.12%</v>
      </c>
      <c r="F1541" s="64">
        <f t="shared" si="2"/>
        <v>6.12</v>
      </c>
      <c r="G1541" s="64" t="str">
        <f t="shared" si="3"/>
        <v/>
      </c>
      <c r="H1541" s="64">
        <f>IFERROR(__xludf.DUMMYFUNCTION("IFERROR(GOOGLEFINANCE(A1541,""PRICE""),)"),0.52)</f>
        <v>0.52</v>
      </c>
      <c r="I1541" s="65">
        <f>IFERROR(__xludf.DUMMYFUNCTION("IFERROR(GOOGLEFINANCE(A1541,""VOLUME""),)"),724821.0)</f>
        <v>724821</v>
      </c>
      <c r="J1541" s="64" t="str">
        <f>IFERROR(__xludf.DUMMYFUNCTION("IFERROR(INDEX(SPLIT(A1541,"":""),1,2),)"),"VIVIDHA")</f>
        <v>VIVIDHA</v>
      </c>
      <c r="K1541" s="64">
        <f t="shared" si="4"/>
        <v>41</v>
      </c>
      <c r="L1541" s="64" t="str">
        <f t="shared" si="5"/>
        <v/>
      </c>
      <c r="M1541" s="64">
        <f t="shared" si="6"/>
        <v>332</v>
      </c>
      <c r="N1541" s="66">
        <f>IFERROR(__xludf.DUMMYFUNCTION("IFERROR(GOOGLEFINANCE(A1541,""TRADETIME""),)"),46086.64583333333)</f>
        <v>46086.64583</v>
      </c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</row>
    <row r="1542">
      <c r="A1542" s="67" t="s">
        <v>1587</v>
      </c>
      <c r="B1542" s="60" t="str">
        <f>IFERROR(__xludf.DUMMYFUNCTION("IFERROR(GOOGLEFINANCE(A1542,""NAME""),)"),"Vivimed Labs Ltd")</f>
        <v>Vivimed Labs Ltd</v>
      </c>
      <c r="C1542" s="60">
        <f>IFERROR(__xludf.DUMMYFUNCTION("IFERROR(GOOGLEFINANCE(A1542,""CHANGE""),)"),0.15)</f>
        <v>0.15</v>
      </c>
      <c r="D1542" s="60">
        <f>IFERROR(__xludf.DUMMYFUNCTION("IFERROR(GOOGLEFINANCE(A1542,""CHANGEPCT""),)"),2.16)</f>
        <v>2.16</v>
      </c>
      <c r="E1542" s="60" t="str">
        <f t="shared" si="1"/>
        <v>2.16%</v>
      </c>
      <c r="F1542" s="60">
        <f t="shared" si="2"/>
        <v>2.16</v>
      </c>
      <c r="G1542" s="60" t="str">
        <f t="shared" si="3"/>
        <v/>
      </c>
      <c r="H1542" s="60">
        <f>IFERROR(__xludf.DUMMYFUNCTION("IFERROR(GOOGLEFINANCE(A1542,""PRICE""),)"),7.08)</f>
        <v>7.08</v>
      </c>
      <c r="I1542" s="61">
        <f>IFERROR(__xludf.DUMMYFUNCTION("IFERROR(GOOGLEFINANCE(A1542,""VOLUME""),)"),46507.0)</f>
        <v>46507</v>
      </c>
      <c r="J1542" s="60" t="str">
        <f>IFERROR(__xludf.DUMMYFUNCTION("IFERROR(INDEX(SPLIT(A1542,"":""),1,2),)"),"VIVIMEDLAB")</f>
        <v>VIVIMEDLAB</v>
      </c>
      <c r="K1542" s="60">
        <f t="shared" si="4"/>
        <v>407</v>
      </c>
      <c r="L1542" s="60" t="str">
        <f t="shared" si="5"/>
        <v/>
      </c>
      <c r="M1542" s="60">
        <f t="shared" si="6"/>
        <v>959</v>
      </c>
      <c r="N1542" s="62">
        <f>IFERROR(__xludf.DUMMYFUNCTION("IFERROR(GOOGLEFINANCE(A1542,""TRADETIME""),)"),46086.64583333333)</f>
        <v>46086.64583</v>
      </c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</row>
    <row r="1543">
      <c r="A1543" s="68" t="s">
        <v>1588</v>
      </c>
      <c r="B1543" s="64" t="str">
        <f>IFERROR(__xludf.DUMMYFUNCTION("IFERROR(GOOGLEFINANCE(A1543,""NAME""),)"),"VLS Finance Ltd")</f>
        <v>VLS Finance Ltd</v>
      </c>
      <c r="C1543" s="64">
        <f>IFERROR(__xludf.DUMMYFUNCTION("IFERROR(GOOGLEFINANCE(A1543,""CHANGE""),)"),1.3)</f>
        <v>1.3</v>
      </c>
      <c r="D1543" s="64">
        <f>IFERROR(__xludf.DUMMYFUNCTION("IFERROR(GOOGLEFINANCE(A1543,""CHANGEPCT""),)"),0.55)</f>
        <v>0.55</v>
      </c>
      <c r="E1543" s="64" t="str">
        <f t="shared" si="1"/>
        <v>0.55%</v>
      </c>
      <c r="F1543" s="64">
        <f t="shared" si="2"/>
        <v>0.55</v>
      </c>
      <c r="G1543" s="64" t="str">
        <f t="shared" si="3"/>
        <v/>
      </c>
      <c r="H1543" s="64">
        <f>IFERROR(__xludf.DUMMYFUNCTION("IFERROR(GOOGLEFINANCE(A1543,""PRICE""),)"),239.5)</f>
        <v>239.5</v>
      </c>
      <c r="I1543" s="65">
        <f>IFERROR(__xludf.DUMMYFUNCTION("IFERROR(GOOGLEFINANCE(A1543,""VOLUME""),)"),9773.0)</f>
        <v>9773</v>
      </c>
      <c r="J1543" s="64" t="str">
        <f>IFERROR(__xludf.DUMMYFUNCTION("IFERROR(INDEX(SPLIT(A1543,"":""),1,2),)"),"VLSFINANCE")</f>
        <v>VLSFINANCE</v>
      </c>
      <c r="K1543" s="64">
        <f t="shared" si="4"/>
        <v>863</v>
      </c>
      <c r="L1543" s="64" t="str">
        <f t="shared" si="5"/>
        <v/>
      </c>
      <c r="M1543" s="64">
        <f t="shared" si="6"/>
        <v>1265</v>
      </c>
      <c r="N1543" s="66">
        <f>IFERROR(__xludf.DUMMYFUNCTION("IFERROR(GOOGLEFINANCE(A1543,""TRADETIME""),)"),46086.64583333333)</f>
        <v>46086.64583</v>
      </c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</row>
    <row r="1544">
      <c r="A1544" s="67" t="s">
        <v>1589</v>
      </c>
      <c r="B1544" s="60" t="str">
        <f>IFERROR(__xludf.DUMMYFUNCTION("IFERROR(GOOGLEFINANCE(A1544,""NAME""),)"),"V-Mart Retail Ltd")</f>
        <v>V-Mart Retail Ltd</v>
      </c>
      <c r="C1544" s="60">
        <f>IFERROR(__xludf.DUMMYFUNCTION("IFERROR(GOOGLEFINANCE(A1544,""CHANGE""),)"),-11.8)</f>
        <v>-11.8</v>
      </c>
      <c r="D1544" s="60">
        <f>IFERROR(__xludf.DUMMYFUNCTION("IFERROR(GOOGLEFINANCE(A1544,""CHANGEPCT""),)"),-2.04)</f>
        <v>-2.04</v>
      </c>
      <c r="E1544" s="60" t="str">
        <f t="shared" si="1"/>
        <v>-2.04%</v>
      </c>
      <c r="F1544" s="60" t="str">
        <f t="shared" si="2"/>
        <v/>
      </c>
      <c r="G1544" s="60">
        <f t="shared" si="3"/>
        <v>-2.04</v>
      </c>
      <c r="H1544" s="60">
        <f>IFERROR(__xludf.DUMMYFUNCTION("IFERROR(GOOGLEFINANCE(A1544,""PRICE""),)"),526.0)</f>
        <v>526</v>
      </c>
      <c r="I1544" s="61">
        <f>IFERROR(__xludf.DUMMYFUNCTION("IFERROR(GOOGLEFINANCE(A1544,""VOLUME""),)"),219011.0)</f>
        <v>219011</v>
      </c>
      <c r="J1544" s="60" t="str">
        <f>IFERROR(__xludf.DUMMYFUNCTION("IFERROR(INDEX(SPLIT(A1544,"":""),1,2),)"),"VMART")</f>
        <v>VMART</v>
      </c>
      <c r="K1544" s="60" t="str">
        <f t="shared" si="4"/>
        <v/>
      </c>
      <c r="L1544" s="60">
        <f t="shared" si="5"/>
        <v>359</v>
      </c>
      <c r="M1544" s="60">
        <f t="shared" si="6"/>
        <v>583</v>
      </c>
      <c r="N1544" s="62">
        <f>IFERROR(__xludf.DUMMYFUNCTION("IFERROR(GOOGLEFINANCE(A1544,""TRADETIME""),)"),46086.64583333333)</f>
        <v>46086.64583</v>
      </c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</row>
    <row r="1545">
      <c r="A1545" s="68" t="s">
        <v>1590</v>
      </c>
      <c r="B1545" s="64" t="str">
        <f>IFERROR(__xludf.DUMMYFUNCTION("IFERROR(GOOGLEFINANCE(A1545,""NAME""),)"),"Voltamp Transformers Limited")</f>
        <v>Voltamp Transformers Limited</v>
      </c>
      <c r="C1545" s="64">
        <f>IFERROR(__xludf.DUMMYFUNCTION("IFERROR(GOOGLEFINANCE(A1545,""CHANGE""),)"),172.0)</f>
        <v>172</v>
      </c>
      <c r="D1545" s="64">
        <f>IFERROR(__xludf.DUMMYFUNCTION("IFERROR(GOOGLEFINANCE(A1545,""CHANGEPCT""),)"),2.0)</f>
        <v>2</v>
      </c>
      <c r="E1545" s="64" t="str">
        <f t="shared" si="1"/>
        <v>2%</v>
      </c>
      <c r="F1545" s="64">
        <f t="shared" si="2"/>
        <v>2</v>
      </c>
      <c r="G1545" s="64" t="str">
        <f t="shared" si="3"/>
        <v/>
      </c>
      <c r="H1545" s="64">
        <f>IFERROR(__xludf.DUMMYFUNCTION("IFERROR(GOOGLEFINANCE(A1545,""PRICE""),)"),8764.5)</f>
        <v>8764.5</v>
      </c>
      <c r="I1545" s="65">
        <f>IFERROR(__xludf.DUMMYFUNCTION("IFERROR(GOOGLEFINANCE(A1545,""VOLUME""),)"),56723.0)</f>
        <v>56723</v>
      </c>
      <c r="J1545" s="64" t="str">
        <f>IFERROR(__xludf.DUMMYFUNCTION("IFERROR(INDEX(SPLIT(A1545,"":""),1,2),)"),"VOLTAMP")</f>
        <v>VOLTAMP</v>
      </c>
      <c r="K1545" s="64">
        <f t="shared" si="4"/>
        <v>443</v>
      </c>
      <c r="L1545" s="64" t="str">
        <f t="shared" si="5"/>
        <v/>
      </c>
      <c r="M1545" s="64">
        <f t="shared" si="6"/>
        <v>893</v>
      </c>
      <c r="N1545" s="66">
        <f>IFERROR(__xludf.DUMMYFUNCTION("IFERROR(GOOGLEFINANCE(A1545,""TRADETIME""),)"),46086.64583333333)</f>
        <v>46086.64583</v>
      </c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</row>
    <row r="1546">
      <c r="A1546" s="67" t="s">
        <v>1591</v>
      </c>
      <c r="B1546" s="60" t="str">
        <f>IFERROR(__xludf.DUMMYFUNCTION("IFERROR(GOOGLEFINANCE(A1546,""NAME""),)"),"Voltas Ltd")</f>
        <v>Voltas Ltd</v>
      </c>
      <c r="C1546" s="60">
        <f>IFERROR(__xludf.DUMMYFUNCTION("IFERROR(GOOGLEFINANCE(A1546,""CHANGE""),)"),45.8)</f>
        <v>45.8</v>
      </c>
      <c r="D1546" s="60">
        <f>IFERROR(__xludf.DUMMYFUNCTION("IFERROR(GOOGLEFINANCE(A1546,""CHANGEPCT""),)"),3.18)</f>
        <v>3.18</v>
      </c>
      <c r="E1546" s="60" t="str">
        <f t="shared" si="1"/>
        <v>3.18%</v>
      </c>
      <c r="F1546" s="60">
        <f t="shared" si="2"/>
        <v>3.18</v>
      </c>
      <c r="G1546" s="60" t="str">
        <f t="shared" si="3"/>
        <v/>
      </c>
      <c r="H1546" s="60">
        <f>IFERROR(__xludf.DUMMYFUNCTION("IFERROR(GOOGLEFINANCE(A1546,""PRICE""),)"),1480.2)</f>
        <v>1480.2</v>
      </c>
      <c r="I1546" s="61">
        <f>IFERROR(__xludf.DUMMYFUNCTION("IFERROR(GOOGLEFINANCE(A1546,""VOLUME""),)"),820964.0)</f>
        <v>820964</v>
      </c>
      <c r="J1546" s="60" t="str">
        <f>IFERROR(__xludf.DUMMYFUNCTION("IFERROR(INDEX(SPLIT(A1546,"":""),1,2),)"),"VOLTAS")</f>
        <v>VOLTAS</v>
      </c>
      <c r="K1546" s="60">
        <f t="shared" si="4"/>
        <v>230</v>
      </c>
      <c r="L1546" s="60" t="str">
        <f t="shared" si="5"/>
        <v/>
      </c>
      <c r="M1546" s="60">
        <f t="shared" si="6"/>
        <v>313</v>
      </c>
      <c r="N1546" s="62">
        <f>IFERROR(__xludf.DUMMYFUNCTION("IFERROR(GOOGLEFINANCE(A1546,""TRADETIME""),)"),46086.64585648148)</f>
        <v>46086.64586</v>
      </c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</row>
    <row r="1547">
      <c r="A1547" s="68" t="s">
        <v>1592</v>
      </c>
      <c r="B1547" s="64" t="str">
        <f>IFERROR(__xludf.DUMMYFUNCTION("IFERROR(GOOGLEFINANCE(A1547,""NAME""),)"),"VRL Logistics Ltd")</f>
        <v>VRL Logistics Ltd</v>
      </c>
      <c r="C1547" s="64">
        <f>IFERROR(__xludf.DUMMYFUNCTION("IFERROR(GOOGLEFINANCE(A1547,""CHANGE""),)"),1.35)</f>
        <v>1.35</v>
      </c>
      <c r="D1547" s="64">
        <f>IFERROR(__xludf.DUMMYFUNCTION("IFERROR(GOOGLEFINANCE(A1547,""CHANGEPCT""),)"),0.5)</f>
        <v>0.5</v>
      </c>
      <c r="E1547" s="64" t="str">
        <f t="shared" si="1"/>
        <v>0.5%</v>
      </c>
      <c r="F1547" s="64">
        <f t="shared" si="2"/>
        <v>0.5</v>
      </c>
      <c r="G1547" s="64" t="str">
        <f t="shared" si="3"/>
        <v/>
      </c>
      <c r="H1547" s="64">
        <f>IFERROR(__xludf.DUMMYFUNCTION("IFERROR(GOOGLEFINANCE(A1547,""PRICE""),)"),273.6)</f>
        <v>273.6</v>
      </c>
      <c r="I1547" s="65">
        <f>IFERROR(__xludf.DUMMYFUNCTION("IFERROR(GOOGLEFINANCE(A1547,""VOLUME""),)"),137041.0)</f>
        <v>137041</v>
      </c>
      <c r="J1547" s="64" t="str">
        <f>IFERROR(__xludf.DUMMYFUNCTION("IFERROR(INDEX(SPLIT(A1547,"":""),1,2),)"),"VRLLOG")</f>
        <v>VRLLOG</v>
      </c>
      <c r="K1547" s="64">
        <f t="shared" si="4"/>
        <v>881</v>
      </c>
      <c r="L1547" s="64" t="str">
        <f t="shared" si="5"/>
        <v/>
      </c>
      <c r="M1547" s="64">
        <f t="shared" si="6"/>
        <v>689</v>
      </c>
      <c r="N1547" s="66">
        <f>IFERROR(__xludf.DUMMYFUNCTION("IFERROR(GOOGLEFINANCE(A1547,""TRADETIME""),)"),46086.64123842593)</f>
        <v>46086.64124</v>
      </c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</row>
    <row r="1548">
      <c r="A1548" s="67" t="s">
        <v>1593</v>
      </c>
      <c r="B1548" s="60" t="str">
        <f>IFERROR(__xludf.DUMMYFUNCTION("IFERROR(GOOGLEFINANCE(A1548,""NAME""),)"),"Vardhman Special Steels Ltd")</f>
        <v>Vardhman Special Steels Ltd</v>
      </c>
      <c r="C1548" s="60">
        <f>IFERROR(__xludf.DUMMYFUNCTION("IFERROR(GOOGLEFINANCE(A1548,""CHANGE""),)"),-0.2)</f>
        <v>-0.2</v>
      </c>
      <c r="D1548" s="60">
        <f>IFERROR(__xludf.DUMMYFUNCTION("IFERROR(GOOGLEFINANCE(A1548,""CHANGEPCT""),)"),-0.08)</f>
        <v>-0.08</v>
      </c>
      <c r="E1548" s="60" t="str">
        <f t="shared" si="1"/>
        <v>-0.08%</v>
      </c>
      <c r="F1548" s="60" t="str">
        <f t="shared" si="2"/>
        <v/>
      </c>
      <c r="G1548" s="60">
        <f t="shared" si="3"/>
        <v>-0.08</v>
      </c>
      <c r="H1548" s="60">
        <f>IFERROR(__xludf.DUMMYFUNCTION("IFERROR(GOOGLEFINANCE(A1548,""PRICE""),)"),245.0)</f>
        <v>245</v>
      </c>
      <c r="I1548" s="61">
        <f>IFERROR(__xludf.DUMMYFUNCTION("IFERROR(GOOGLEFINANCE(A1548,""VOLUME""),)"),30861.0)</f>
        <v>30861</v>
      </c>
      <c r="J1548" s="60" t="str">
        <f>IFERROR(__xludf.DUMMYFUNCTION("IFERROR(INDEX(SPLIT(A1548,"":""),1,2),)"),"VSSL")</f>
        <v>VSSL</v>
      </c>
      <c r="K1548" s="60" t="str">
        <f t="shared" si="4"/>
        <v/>
      </c>
      <c r="L1548" s="60">
        <f t="shared" si="5"/>
        <v>24</v>
      </c>
      <c r="M1548" s="60">
        <f t="shared" si="6"/>
        <v>1052</v>
      </c>
      <c r="N1548" s="62">
        <f>IFERROR(__xludf.DUMMYFUNCTION("IFERROR(GOOGLEFINANCE(A1548,""TRADETIME""),)"),46086.64583333333)</f>
        <v>46086.64583</v>
      </c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</row>
    <row r="1549">
      <c r="A1549" s="68" t="s">
        <v>1594</v>
      </c>
      <c r="B1549" s="64" t="str">
        <f>IFERROR(__xludf.DUMMYFUNCTION("IFERROR(GOOGLEFINANCE(A1549,""NAME""),)"),"VST Industries Ltd")</f>
        <v>VST Industries Ltd</v>
      </c>
      <c r="C1549" s="64">
        <f>IFERROR(__xludf.DUMMYFUNCTION("IFERROR(GOOGLEFINANCE(A1549,""CHANGE""),)"),1.22)</f>
        <v>1.22</v>
      </c>
      <c r="D1549" s="64">
        <f>IFERROR(__xludf.DUMMYFUNCTION("IFERROR(GOOGLEFINANCE(A1549,""CHANGEPCT""),)"),0.55)</f>
        <v>0.55</v>
      </c>
      <c r="E1549" s="64" t="str">
        <f t="shared" si="1"/>
        <v>0.55%</v>
      </c>
      <c r="F1549" s="64">
        <f t="shared" si="2"/>
        <v>0.55</v>
      </c>
      <c r="G1549" s="64" t="str">
        <f t="shared" si="3"/>
        <v/>
      </c>
      <c r="H1549" s="64">
        <f>IFERROR(__xludf.DUMMYFUNCTION("IFERROR(GOOGLEFINANCE(A1549,""PRICE""),)"),224.68)</f>
        <v>224.68</v>
      </c>
      <c r="I1549" s="65">
        <f>IFERROR(__xludf.DUMMYFUNCTION("IFERROR(GOOGLEFINANCE(A1549,""VOLUME""),)"),114050.0)</f>
        <v>114050</v>
      </c>
      <c r="J1549" s="64" t="str">
        <f>IFERROR(__xludf.DUMMYFUNCTION("IFERROR(INDEX(SPLIT(A1549,"":""),1,2),)"),"VSTIND")</f>
        <v>VSTIND</v>
      </c>
      <c r="K1549" s="64">
        <f t="shared" si="4"/>
        <v>864</v>
      </c>
      <c r="L1549" s="64" t="str">
        <f t="shared" si="5"/>
        <v/>
      </c>
      <c r="M1549" s="64">
        <f t="shared" si="6"/>
        <v>733</v>
      </c>
      <c r="N1549" s="66">
        <f>IFERROR(__xludf.DUMMYFUNCTION("IFERROR(GOOGLEFINANCE(A1549,""TRADETIME""),)"),46086.64583333333)</f>
        <v>46086.64583</v>
      </c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</row>
    <row r="1550">
      <c r="A1550" s="67" t="s">
        <v>1595</v>
      </c>
      <c r="B1550" s="60" t="str">
        <f>IFERROR(__xludf.DUMMYFUNCTION("IFERROR(GOOGLEFINANCE(A1550,""NAME""),)"),"VST Tillers Tractors Limited")</f>
        <v>VST Tillers Tractors Limited</v>
      </c>
      <c r="C1550" s="60">
        <f>IFERROR(__xludf.DUMMYFUNCTION("IFERROR(GOOGLEFINANCE(A1550,""CHANGE""),)"),-74.0)</f>
        <v>-74</v>
      </c>
      <c r="D1550" s="60">
        <f>IFERROR(__xludf.DUMMYFUNCTION("IFERROR(GOOGLEFINANCE(A1550,""CHANGEPCT""),)"),-1.34)</f>
        <v>-1.34</v>
      </c>
      <c r="E1550" s="60" t="str">
        <f t="shared" si="1"/>
        <v>-1.34%</v>
      </c>
      <c r="F1550" s="60" t="str">
        <f t="shared" si="2"/>
        <v/>
      </c>
      <c r="G1550" s="60">
        <f t="shared" si="3"/>
        <v>-1.34</v>
      </c>
      <c r="H1550" s="60">
        <f>IFERROR(__xludf.DUMMYFUNCTION("IFERROR(GOOGLEFINANCE(A1550,""PRICE""),)"),5440.5)</f>
        <v>5440.5</v>
      </c>
      <c r="I1550" s="61">
        <f>IFERROR(__xludf.DUMMYFUNCTION("IFERROR(GOOGLEFINANCE(A1550,""VOLUME""),)"),25145.0)</f>
        <v>25145</v>
      </c>
      <c r="J1550" s="60" t="str">
        <f>IFERROR(__xludf.DUMMYFUNCTION("IFERROR(INDEX(SPLIT(A1550,"":""),1,2),)"),"VSTTILLERS")</f>
        <v>VSTTILLERS</v>
      </c>
      <c r="K1550" s="60" t="str">
        <f t="shared" si="4"/>
        <v/>
      </c>
      <c r="L1550" s="60">
        <f t="shared" si="5"/>
        <v>272</v>
      </c>
      <c r="M1550" s="60">
        <f t="shared" si="6"/>
        <v>1093</v>
      </c>
      <c r="N1550" s="62">
        <f>IFERROR(__xludf.DUMMYFUNCTION("IFERROR(GOOGLEFINANCE(A1550,""TRADETIME""),)"),46086.64583333333)</f>
        <v>46086.64583</v>
      </c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</row>
    <row r="1551">
      <c r="A1551" s="68" t="s">
        <v>1596</v>
      </c>
      <c r="B1551" s="64" t="str">
        <f>IFERROR(__xludf.DUMMYFUNCTION("IFERROR(GOOGLEFINANCE(A1551,""NAME""),)"),"Vardhman Textiles Ltd")</f>
        <v>Vardhman Textiles Ltd</v>
      </c>
      <c r="C1551" s="64">
        <f>IFERROR(__xludf.DUMMYFUNCTION("IFERROR(GOOGLEFINANCE(A1551,""CHANGE""),)"),5.8)</f>
        <v>5.8</v>
      </c>
      <c r="D1551" s="64">
        <f>IFERROR(__xludf.DUMMYFUNCTION("IFERROR(GOOGLEFINANCE(A1551,""CHANGEPCT""),)"),1.08)</f>
        <v>1.08</v>
      </c>
      <c r="E1551" s="64" t="str">
        <f t="shared" si="1"/>
        <v>1.08%</v>
      </c>
      <c r="F1551" s="64">
        <f t="shared" si="2"/>
        <v>1.08</v>
      </c>
      <c r="G1551" s="64" t="str">
        <f t="shared" si="3"/>
        <v/>
      </c>
      <c r="H1551" s="64">
        <f>IFERROR(__xludf.DUMMYFUNCTION("IFERROR(GOOGLEFINANCE(A1551,""PRICE""),)"),546.95)</f>
        <v>546.95</v>
      </c>
      <c r="I1551" s="65">
        <f>IFERROR(__xludf.DUMMYFUNCTION("IFERROR(GOOGLEFINANCE(A1551,""VOLUME""),)"),439875.0)</f>
        <v>439875</v>
      </c>
      <c r="J1551" s="64" t="str">
        <f>IFERROR(__xludf.DUMMYFUNCTION("IFERROR(INDEX(SPLIT(A1551,"":""),1,2),)"),"VTL")</f>
        <v>VTL</v>
      </c>
      <c r="K1551" s="64">
        <f t="shared" si="4"/>
        <v>698</v>
      </c>
      <c r="L1551" s="64" t="str">
        <f t="shared" si="5"/>
        <v/>
      </c>
      <c r="M1551" s="64">
        <f t="shared" si="6"/>
        <v>423</v>
      </c>
      <c r="N1551" s="66">
        <f>IFERROR(__xludf.DUMMYFUNCTION("IFERROR(GOOGLEFINANCE(A1551,""TRADETIME""),)"),46086.64583333333)</f>
        <v>46086.64583</v>
      </c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</row>
    <row r="1552">
      <c r="A1552" s="67" t="s">
        <v>1597</v>
      </c>
      <c r="B1552" s="60" t="str">
        <f>IFERROR(__xludf.DUMMYFUNCTION("IFERROR(GOOGLEFINANCE(A1552,""NAME""),)"),"VA Tech Wabag Ltd")</f>
        <v>VA Tech Wabag Ltd</v>
      </c>
      <c r="C1552" s="60">
        <f>IFERROR(__xludf.DUMMYFUNCTION("IFERROR(GOOGLEFINANCE(A1552,""CHANGE""),)"),41.0)</f>
        <v>41</v>
      </c>
      <c r="D1552" s="60">
        <f>IFERROR(__xludf.DUMMYFUNCTION("IFERROR(GOOGLEFINANCE(A1552,""CHANGEPCT""),)"),3.82)</f>
        <v>3.82</v>
      </c>
      <c r="E1552" s="60" t="str">
        <f t="shared" si="1"/>
        <v>3.82%</v>
      </c>
      <c r="F1552" s="60">
        <f t="shared" si="2"/>
        <v>3.82</v>
      </c>
      <c r="G1552" s="60" t="str">
        <f t="shared" si="3"/>
        <v/>
      </c>
      <c r="H1552" s="60">
        <f>IFERROR(__xludf.DUMMYFUNCTION("IFERROR(GOOGLEFINANCE(A1552,""PRICE""),)"),1221.7)</f>
        <v>1221.7</v>
      </c>
      <c r="I1552" s="61">
        <f>IFERROR(__xludf.DUMMYFUNCTION("IFERROR(GOOGLEFINANCE(A1552,""VOLUME""),)"),196018.0)</f>
        <v>196018</v>
      </c>
      <c r="J1552" s="60" t="str">
        <f>IFERROR(__xludf.DUMMYFUNCTION("IFERROR(INDEX(SPLIT(A1552,"":""),1,2),)"),"WABAG")</f>
        <v>WABAG</v>
      </c>
      <c r="K1552" s="60">
        <f t="shared" si="4"/>
        <v>159</v>
      </c>
      <c r="L1552" s="60" t="str">
        <f t="shared" si="5"/>
        <v/>
      </c>
      <c r="M1552" s="60">
        <f t="shared" si="6"/>
        <v>611</v>
      </c>
      <c r="N1552" s="62">
        <f>IFERROR(__xludf.DUMMYFUNCTION("IFERROR(GOOGLEFINANCE(A1552,""TRADETIME""),)"),46086.64586805555)</f>
        <v>46086.64587</v>
      </c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</row>
    <row r="1553">
      <c r="A1553" s="68" t="s">
        <v>1598</v>
      </c>
      <c r="B1553" s="64" t="str">
        <f>IFERROR(__xludf.DUMMYFUNCTION("IFERROR(GOOGLEFINANCE(A1553,""NAME""),)"),"ZF Commercial Vehl Cntrl Sytm India Ltd")</f>
        <v>ZF Commercial Vehl Cntrl Sytm India Ltd</v>
      </c>
      <c r="C1553" s="64">
        <f>IFERROR(__xludf.DUMMYFUNCTION("IFERROR(GOOGLEFINANCE(A1553,""CHANGE""),)"),150.0)</f>
        <v>150</v>
      </c>
      <c r="D1553" s="64">
        <f>IFERROR(__xludf.DUMMYFUNCTION("IFERROR(GOOGLEFINANCE(A1553,""CHANGEPCT""),)"),1.06)</f>
        <v>1.06</v>
      </c>
      <c r="E1553" s="64" t="str">
        <f t="shared" si="1"/>
        <v>1.06%</v>
      </c>
      <c r="F1553" s="64">
        <f t="shared" si="2"/>
        <v>1.06</v>
      </c>
      <c r="G1553" s="64" t="str">
        <f t="shared" si="3"/>
        <v/>
      </c>
      <c r="H1553" s="64">
        <f>IFERROR(__xludf.DUMMYFUNCTION("IFERROR(GOOGLEFINANCE(A1553,""PRICE""),)"),14366.0)</f>
        <v>14366</v>
      </c>
      <c r="I1553" s="65">
        <f>IFERROR(__xludf.DUMMYFUNCTION("IFERROR(GOOGLEFINANCE(A1553,""VOLUME""),)"),8631.0)</f>
        <v>8631</v>
      </c>
      <c r="J1553" s="64" t="str">
        <f>IFERROR(__xludf.DUMMYFUNCTION("IFERROR(INDEX(SPLIT(A1553,"":""),1,2),)"),"ZFCVINDIA")</f>
        <v>ZFCVINDIA</v>
      </c>
      <c r="K1553" s="64">
        <f t="shared" si="4"/>
        <v>707</v>
      </c>
      <c r="L1553" s="64" t="str">
        <f t="shared" si="5"/>
        <v/>
      </c>
      <c r="M1553" s="64">
        <f t="shared" si="6"/>
        <v>1285</v>
      </c>
      <c r="N1553" s="66">
        <f>IFERROR(__xludf.DUMMYFUNCTION("IFERROR(GOOGLEFINANCE(A1553,""TRADETIME""),)"),46086.64583333333)</f>
        <v>46086.64583</v>
      </c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</row>
    <row r="1554">
      <c r="A1554" s="67" t="s">
        <v>1599</v>
      </c>
      <c r="B1554" s="60" t="str">
        <f>IFERROR(__xludf.DUMMYFUNCTION("IFERROR(GOOGLEFINANCE(A1554,""NAME""),)"),"Walchandnagar Industries Ltd")</f>
        <v>Walchandnagar Industries Ltd</v>
      </c>
      <c r="C1554" s="60">
        <f>IFERROR(__xludf.DUMMYFUNCTION("IFERROR(GOOGLEFINANCE(A1554,""CHANGE""),)"),4.24)</f>
        <v>4.24</v>
      </c>
      <c r="D1554" s="60">
        <f>IFERROR(__xludf.DUMMYFUNCTION("IFERROR(GOOGLEFINANCE(A1554,""CHANGEPCT""),)"),2.64)</f>
        <v>2.64</v>
      </c>
      <c r="E1554" s="60" t="str">
        <f t="shared" si="1"/>
        <v>2.64%</v>
      </c>
      <c r="F1554" s="60">
        <f t="shared" si="2"/>
        <v>2.64</v>
      </c>
      <c r="G1554" s="60" t="str">
        <f t="shared" si="3"/>
        <v/>
      </c>
      <c r="H1554" s="60">
        <f>IFERROR(__xludf.DUMMYFUNCTION("IFERROR(GOOGLEFINANCE(A1554,""PRICE""),)"),165.0)</f>
        <v>165</v>
      </c>
      <c r="I1554" s="61">
        <f>IFERROR(__xludf.DUMMYFUNCTION("IFERROR(GOOGLEFINANCE(A1554,""VOLUME""),)"),723347.0)</f>
        <v>723347</v>
      </c>
      <c r="J1554" s="60" t="str">
        <f>IFERROR(__xludf.DUMMYFUNCTION("IFERROR(INDEX(SPLIT(A1554,"":""),1,2),)"),"WALCHANNAG")</f>
        <v>WALCHANNAG</v>
      </c>
      <c r="K1554" s="60">
        <f t="shared" si="4"/>
        <v>318</v>
      </c>
      <c r="L1554" s="60" t="str">
        <f t="shared" si="5"/>
        <v/>
      </c>
      <c r="M1554" s="60">
        <f t="shared" si="6"/>
        <v>333</v>
      </c>
      <c r="N1554" s="62">
        <f>IFERROR(__xludf.DUMMYFUNCTION("IFERROR(GOOGLEFINANCE(A1554,""TRADETIME""),)"),46086.64583333333)</f>
        <v>46086.64583</v>
      </c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</row>
    <row r="1555">
      <c r="A1555" s="68" t="s">
        <v>1600</v>
      </c>
      <c r="B1555" s="64" t="str">
        <f>IFERROR(__xludf.DUMMYFUNCTION("IFERROR(GOOGLEFINANCE(A1555,""NAME""),)"),"Wanbury Ltd")</f>
        <v>Wanbury Ltd</v>
      </c>
      <c r="C1555" s="64">
        <f>IFERROR(__xludf.DUMMYFUNCTION("IFERROR(GOOGLEFINANCE(A1555,""CHANGE""),)"),5.1)</f>
        <v>5.1</v>
      </c>
      <c r="D1555" s="64">
        <f>IFERROR(__xludf.DUMMYFUNCTION("IFERROR(GOOGLEFINANCE(A1555,""CHANGEPCT""),)"),2.08)</f>
        <v>2.08</v>
      </c>
      <c r="E1555" s="64" t="str">
        <f t="shared" si="1"/>
        <v>2.08%</v>
      </c>
      <c r="F1555" s="64">
        <f t="shared" si="2"/>
        <v>2.08</v>
      </c>
      <c r="G1555" s="64" t="str">
        <f t="shared" si="3"/>
        <v/>
      </c>
      <c r="H1555" s="64">
        <f>IFERROR(__xludf.DUMMYFUNCTION("IFERROR(GOOGLEFINANCE(A1555,""PRICE""),)"),250.0)</f>
        <v>250</v>
      </c>
      <c r="I1555" s="65">
        <f>IFERROR(__xludf.DUMMYFUNCTION("IFERROR(GOOGLEFINANCE(A1555,""VOLUME""),)"),22327.0)</f>
        <v>22327</v>
      </c>
      <c r="J1555" s="64" t="str">
        <f>IFERROR(__xludf.DUMMYFUNCTION("IFERROR(INDEX(SPLIT(A1555,"":""),1,2),)"),"WANBURY")</f>
        <v>WANBURY</v>
      </c>
      <c r="K1555" s="64">
        <f t="shared" si="4"/>
        <v>426</v>
      </c>
      <c r="L1555" s="64" t="str">
        <f t="shared" si="5"/>
        <v/>
      </c>
      <c r="M1555" s="64">
        <f t="shared" si="6"/>
        <v>1122</v>
      </c>
      <c r="N1555" s="66">
        <f>IFERROR(__xludf.DUMMYFUNCTION("IFERROR(GOOGLEFINANCE(A1555,""TRADETIME""),)"),46086.64583333333)</f>
        <v>46086.64583</v>
      </c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</row>
    <row r="1556">
      <c r="A1556" s="67" t="s">
        <v>1601</v>
      </c>
      <c r="B1556" s="60" t="str">
        <f>IFERROR(__xludf.DUMMYFUNCTION("IFERROR(GOOGLEFINANCE(A1556,""NAME""),)"),"")</f>
        <v/>
      </c>
      <c r="C1556" s="60" t="str">
        <f>IFERROR(__xludf.DUMMYFUNCTION("IFERROR(GOOGLEFINANCE(A1556,""CHANGE""),)"),"")</f>
        <v/>
      </c>
      <c r="D1556" s="60" t="str">
        <f>IFERROR(__xludf.DUMMYFUNCTION("IFERROR(GOOGLEFINANCE(A1556,""CHANGEPCT""),)"),"")</f>
        <v/>
      </c>
      <c r="E1556" s="60" t="str">
        <f t="shared" si="1"/>
        <v>%</v>
      </c>
      <c r="F1556" s="60" t="str">
        <f t="shared" si="2"/>
        <v/>
      </c>
      <c r="G1556" s="60" t="str">
        <f t="shared" si="3"/>
        <v/>
      </c>
      <c r="H1556" s="60" t="str">
        <f>IFERROR(__xludf.DUMMYFUNCTION("IFERROR(GOOGLEFINANCE(A1556,""PRICE""),)"),"")</f>
        <v/>
      </c>
      <c r="I1556" s="61" t="str">
        <f>IFERROR(__xludf.DUMMYFUNCTION("IFERROR(GOOGLEFINANCE(A1556,""VOLUME""),)"),"")</f>
        <v/>
      </c>
      <c r="J1556" s="60" t="str">
        <f>IFERROR(__xludf.DUMMYFUNCTION("IFERROR(INDEX(SPLIT(A1556,"":""),1,2),)"),"WATERBASE")</f>
        <v>WATERBASE</v>
      </c>
      <c r="K1556" s="60" t="str">
        <f t="shared" si="4"/>
        <v/>
      </c>
      <c r="L1556" s="60" t="str">
        <f t="shared" si="5"/>
        <v/>
      </c>
      <c r="M1556" s="60" t="str">
        <f t="shared" si="6"/>
        <v/>
      </c>
      <c r="N1556" s="62" t="str">
        <f>IFERROR(__xludf.DUMMYFUNCTION("IFERROR(GOOGLEFINANCE(A1556,""TRADETIME""),)"),"")</f>
        <v/>
      </c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</row>
    <row r="1557">
      <c r="A1557" s="68" t="s">
        <v>1602</v>
      </c>
      <c r="B1557" s="64" t="str">
        <f>IFERROR(__xludf.DUMMYFUNCTION("IFERROR(GOOGLEFINANCE(A1557,""NAME""),)"),"Wealth First Portfolio Managers Ltd")</f>
        <v>Wealth First Portfolio Managers Ltd</v>
      </c>
      <c r="C1557" s="64">
        <f>IFERROR(__xludf.DUMMYFUNCTION("IFERROR(GOOGLEFINANCE(A1557,""CHANGE""),)"),54.55)</f>
        <v>54.55</v>
      </c>
      <c r="D1557" s="64">
        <f>IFERROR(__xludf.DUMMYFUNCTION("IFERROR(GOOGLEFINANCE(A1557,""CHANGEPCT""),)"),5.77)</f>
        <v>5.77</v>
      </c>
      <c r="E1557" s="64" t="str">
        <f t="shared" si="1"/>
        <v>5.77%</v>
      </c>
      <c r="F1557" s="64">
        <f t="shared" si="2"/>
        <v>5.77</v>
      </c>
      <c r="G1557" s="64" t="str">
        <f t="shared" si="3"/>
        <v/>
      </c>
      <c r="H1557" s="64">
        <f>IFERROR(__xludf.DUMMYFUNCTION("IFERROR(GOOGLEFINANCE(A1557,""PRICE""),)"),999.95)</f>
        <v>999.95</v>
      </c>
      <c r="I1557" s="65">
        <f>IFERROR(__xludf.DUMMYFUNCTION("IFERROR(GOOGLEFINANCE(A1557,""VOLUME""),)"),1982.0)</f>
        <v>1982</v>
      </c>
      <c r="J1557" s="64" t="str">
        <f>IFERROR(__xludf.DUMMYFUNCTION("IFERROR(INDEX(SPLIT(A1557,"":""),1,2),)"),"WEALTH")</f>
        <v>WEALTH</v>
      </c>
      <c r="K1557" s="64">
        <f t="shared" si="4"/>
        <v>46</v>
      </c>
      <c r="L1557" s="64" t="str">
        <f t="shared" si="5"/>
        <v/>
      </c>
      <c r="M1557" s="64">
        <f t="shared" si="6"/>
        <v>1406</v>
      </c>
      <c r="N1557" s="66">
        <f>IFERROR(__xludf.DUMMYFUNCTION("IFERROR(GOOGLEFINANCE(A1557,""TRADETIME""),)"),46086.64583333333)</f>
        <v>46086.64583</v>
      </c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</row>
    <row r="1558">
      <c r="A1558" s="67" t="s">
        <v>1603</v>
      </c>
      <c r="B1558" s="60" t="str">
        <f>IFERROR(__xludf.DUMMYFUNCTION("IFERROR(GOOGLEFINANCE(A1558,""NAME""),)"),"Websol Energy System Ltd")</f>
        <v>Websol Energy System Ltd</v>
      </c>
      <c r="C1558" s="60">
        <f>IFERROR(__xludf.DUMMYFUNCTION("IFERROR(GOOGLEFINANCE(A1558,""CHANGE""),)"),0.43)</f>
        <v>0.43</v>
      </c>
      <c r="D1558" s="60">
        <f>IFERROR(__xludf.DUMMYFUNCTION("IFERROR(GOOGLEFINANCE(A1558,""CHANGEPCT""),)"),0.81)</f>
        <v>0.81</v>
      </c>
      <c r="E1558" s="60" t="str">
        <f t="shared" si="1"/>
        <v>0.81%</v>
      </c>
      <c r="F1558" s="60">
        <f t="shared" si="2"/>
        <v>0.81</v>
      </c>
      <c r="G1558" s="60" t="str">
        <f t="shared" si="3"/>
        <v/>
      </c>
      <c r="H1558" s="60">
        <f>IFERROR(__xludf.DUMMYFUNCTION("IFERROR(GOOGLEFINANCE(A1558,""PRICE""),)"),53.96)</f>
        <v>53.96</v>
      </c>
      <c r="I1558" s="61">
        <f>IFERROR(__xludf.DUMMYFUNCTION("IFERROR(GOOGLEFINANCE(A1558,""VOLUME""),)"),4906784.0)</f>
        <v>4906784</v>
      </c>
      <c r="J1558" s="60" t="str">
        <f>IFERROR(__xludf.DUMMYFUNCTION("IFERROR(INDEX(SPLIT(A1558,"":""),1,2),)"),"WEBELSOLAR")</f>
        <v>WEBELSOLAR</v>
      </c>
      <c r="K1558" s="60">
        <f t="shared" si="4"/>
        <v>780</v>
      </c>
      <c r="L1558" s="60" t="str">
        <f t="shared" si="5"/>
        <v/>
      </c>
      <c r="M1558" s="60">
        <f t="shared" si="6"/>
        <v>111</v>
      </c>
      <c r="N1558" s="62">
        <f>IFERROR(__xludf.DUMMYFUNCTION("IFERROR(GOOGLEFINANCE(A1558,""TRADETIME""),)"),46086.64584490741)</f>
        <v>46086.64584</v>
      </c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</row>
    <row r="1559">
      <c r="A1559" s="68" t="s">
        <v>1604</v>
      </c>
      <c r="B1559" s="64" t="str">
        <f>IFERROR(__xludf.DUMMYFUNCTION("IFERROR(GOOGLEFINANCE(A1559,""NAME""),)"),"Weizmann Limited")</f>
        <v>Weizmann Limited</v>
      </c>
      <c r="C1559" s="64">
        <f>IFERROR(__xludf.DUMMYFUNCTION("IFERROR(GOOGLEFINANCE(A1559,""CHANGE""),)"),5.86)</f>
        <v>5.86</v>
      </c>
      <c r="D1559" s="64">
        <f>IFERROR(__xludf.DUMMYFUNCTION("IFERROR(GOOGLEFINANCE(A1559,""CHANGEPCT""),)"),7.03)</f>
        <v>7.03</v>
      </c>
      <c r="E1559" s="64" t="str">
        <f t="shared" si="1"/>
        <v>7.03%</v>
      </c>
      <c r="F1559" s="64">
        <f t="shared" si="2"/>
        <v>7.03</v>
      </c>
      <c r="G1559" s="64" t="str">
        <f t="shared" si="3"/>
        <v/>
      </c>
      <c r="H1559" s="64">
        <f>IFERROR(__xludf.DUMMYFUNCTION("IFERROR(GOOGLEFINANCE(A1559,""PRICE""),)"),83.0)</f>
        <v>83</v>
      </c>
      <c r="I1559" s="65">
        <f>IFERROR(__xludf.DUMMYFUNCTION("IFERROR(GOOGLEFINANCE(A1559,""VOLUME""),)"),8448.0)</f>
        <v>8448</v>
      </c>
      <c r="J1559" s="64" t="str">
        <f>IFERROR(__xludf.DUMMYFUNCTION("IFERROR(INDEX(SPLIT(A1559,"":""),1,2),)"),"WEIZMANIND")</f>
        <v>WEIZMANIND</v>
      </c>
      <c r="K1559" s="64">
        <f t="shared" si="4"/>
        <v>29</v>
      </c>
      <c r="L1559" s="64" t="str">
        <f t="shared" si="5"/>
        <v/>
      </c>
      <c r="M1559" s="64">
        <f t="shared" si="6"/>
        <v>1290</v>
      </c>
      <c r="N1559" s="66">
        <f>IFERROR(__xludf.DUMMYFUNCTION("IFERROR(GOOGLEFINANCE(A1559,""TRADETIME""),)"),46086.63997685185)</f>
        <v>46086.63998</v>
      </c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</row>
    <row r="1560">
      <c r="A1560" s="67" t="s">
        <v>1605</v>
      </c>
      <c r="B1560" s="60" t="str">
        <f>IFERROR(__xludf.DUMMYFUNCTION("IFERROR(GOOGLEFINANCE(A1560,""NAME""),)"),"Welspun Corp Ltd")</f>
        <v>Welspun Corp Ltd</v>
      </c>
      <c r="C1560" s="60">
        <f>IFERROR(__xludf.DUMMYFUNCTION("IFERROR(GOOGLEFINANCE(A1560,""CHANGE""),)"),27.45)</f>
        <v>27.45</v>
      </c>
      <c r="D1560" s="60">
        <f>IFERROR(__xludf.DUMMYFUNCTION("IFERROR(GOOGLEFINANCE(A1560,""CHANGEPCT""),)"),3.46)</f>
        <v>3.46</v>
      </c>
      <c r="E1560" s="60" t="str">
        <f t="shared" si="1"/>
        <v>3.46%</v>
      </c>
      <c r="F1560" s="60">
        <f t="shared" si="2"/>
        <v>3.46</v>
      </c>
      <c r="G1560" s="60" t="str">
        <f t="shared" si="3"/>
        <v/>
      </c>
      <c r="H1560" s="60">
        <f>IFERROR(__xludf.DUMMYFUNCTION("IFERROR(GOOGLEFINANCE(A1560,""PRICE""),)"),822.9)</f>
        <v>822.9</v>
      </c>
      <c r="I1560" s="61">
        <f>IFERROR(__xludf.DUMMYFUNCTION("IFERROR(GOOGLEFINANCE(A1560,""VOLUME""),)"),617065.0)</f>
        <v>617065</v>
      </c>
      <c r="J1560" s="60" t="str">
        <f>IFERROR(__xludf.DUMMYFUNCTION("IFERROR(INDEX(SPLIT(A1560,"":""),1,2),)"),"WELCORP")</f>
        <v>WELCORP</v>
      </c>
      <c r="K1560" s="60">
        <f t="shared" si="4"/>
        <v>198</v>
      </c>
      <c r="L1560" s="60" t="str">
        <f t="shared" si="5"/>
        <v/>
      </c>
      <c r="M1560" s="60">
        <f t="shared" si="6"/>
        <v>355</v>
      </c>
      <c r="N1560" s="62">
        <f>IFERROR(__xludf.DUMMYFUNCTION("IFERROR(GOOGLEFINANCE(A1560,""TRADETIME""),)"),46086.64586805555)</f>
        <v>46086.64587</v>
      </c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</row>
    <row r="1561">
      <c r="A1561" s="68" t="s">
        <v>1606</v>
      </c>
      <c r="B1561" s="64" t="str">
        <f>IFERROR(__xludf.DUMMYFUNCTION("IFERROR(GOOGLEFINANCE(A1561,""NAME""),)"),"Welspun Enterprises Ltd")</f>
        <v>Welspun Enterprises Ltd</v>
      </c>
      <c r="C1561" s="64">
        <f>IFERROR(__xludf.DUMMYFUNCTION("IFERROR(GOOGLEFINANCE(A1561,""CHANGE""),)"),8.4)</f>
        <v>8.4</v>
      </c>
      <c r="D1561" s="64">
        <f>IFERROR(__xludf.DUMMYFUNCTION("IFERROR(GOOGLEFINANCE(A1561,""CHANGEPCT""),)"),1.85)</f>
        <v>1.85</v>
      </c>
      <c r="E1561" s="64" t="str">
        <f t="shared" si="1"/>
        <v>1.85%</v>
      </c>
      <c r="F1561" s="64">
        <f t="shared" si="2"/>
        <v>1.85</v>
      </c>
      <c r="G1561" s="64" t="str">
        <f t="shared" si="3"/>
        <v/>
      </c>
      <c r="H1561" s="64">
        <f>IFERROR(__xludf.DUMMYFUNCTION("IFERROR(GOOGLEFINANCE(A1561,""PRICE""),)"),462.3)</f>
        <v>462.3</v>
      </c>
      <c r="I1561" s="65">
        <f>IFERROR(__xludf.DUMMYFUNCTION("IFERROR(GOOGLEFINANCE(A1561,""VOLUME""),)"),84090.0)</f>
        <v>84090</v>
      </c>
      <c r="J1561" s="64" t="str">
        <f>IFERROR(__xludf.DUMMYFUNCTION("IFERROR(INDEX(SPLIT(A1561,"":""),1,2),)"),"WELENT")</f>
        <v>WELENT</v>
      </c>
      <c r="K1561" s="64">
        <f t="shared" si="4"/>
        <v>485</v>
      </c>
      <c r="L1561" s="64" t="str">
        <f t="shared" si="5"/>
        <v/>
      </c>
      <c r="M1561" s="64">
        <f t="shared" si="6"/>
        <v>802</v>
      </c>
      <c r="N1561" s="66">
        <f>IFERROR(__xludf.DUMMYFUNCTION("IFERROR(GOOGLEFINANCE(A1561,""TRADETIME""),)"),46086.64583333333)</f>
        <v>46086.64583</v>
      </c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</row>
    <row r="1562">
      <c r="A1562" s="67" t="s">
        <v>1607</v>
      </c>
      <c r="B1562" s="60" t="str">
        <f>IFERROR(__xludf.DUMMYFUNCTION("IFERROR(GOOGLEFINANCE(A1562,""NAME""),)"),"Welspun Investments and Commercials Ltd")</f>
        <v>Welspun Investments and Commercials Ltd</v>
      </c>
      <c r="C1562" s="60">
        <f>IFERROR(__xludf.DUMMYFUNCTION("IFERROR(GOOGLEFINANCE(A1562,""CHANGE""),)"),66.4)</f>
        <v>66.4</v>
      </c>
      <c r="D1562" s="60">
        <f>IFERROR(__xludf.DUMMYFUNCTION("IFERROR(GOOGLEFINANCE(A1562,""CHANGEPCT""),)"),5.36)</f>
        <v>5.36</v>
      </c>
      <c r="E1562" s="60" t="str">
        <f t="shared" si="1"/>
        <v>5.36%</v>
      </c>
      <c r="F1562" s="60">
        <f t="shared" si="2"/>
        <v>5.36</v>
      </c>
      <c r="G1562" s="60" t="str">
        <f t="shared" si="3"/>
        <v/>
      </c>
      <c r="H1562" s="60">
        <f>IFERROR(__xludf.DUMMYFUNCTION("IFERROR(GOOGLEFINANCE(A1562,""PRICE""),)"),1305.0)</f>
        <v>1305</v>
      </c>
      <c r="I1562" s="61">
        <f>IFERROR(__xludf.DUMMYFUNCTION("IFERROR(GOOGLEFINANCE(A1562,""VOLUME""),)"),199.0)</f>
        <v>199</v>
      </c>
      <c r="J1562" s="60" t="str">
        <f>IFERROR(__xludf.DUMMYFUNCTION("IFERROR(INDEX(SPLIT(A1562,"":""),1,2),)"),"WELINV")</f>
        <v>WELINV</v>
      </c>
      <c r="K1562" s="60">
        <f t="shared" si="4"/>
        <v>57</v>
      </c>
      <c r="L1562" s="60" t="str">
        <f t="shared" si="5"/>
        <v/>
      </c>
      <c r="M1562" s="60">
        <f t="shared" si="6"/>
        <v>1454</v>
      </c>
      <c r="N1562" s="62">
        <f>IFERROR(__xludf.DUMMYFUNCTION("IFERROR(GOOGLEFINANCE(A1562,""TRADETIME""),)"),46086.64583333333)</f>
        <v>46086.64583</v>
      </c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</row>
    <row r="1563">
      <c r="A1563" s="68" t="s">
        <v>1608</v>
      </c>
      <c r="B1563" s="64" t="str">
        <f>IFERROR(__xludf.DUMMYFUNCTION("IFERROR(GOOGLEFINANCE(A1563,""NAME""),)"),"")</f>
        <v/>
      </c>
      <c r="C1563" s="64" t="str">
        <f>IFERROR(__xludf.DUMMYFUNCTION("IFERROR(GOOGLEFINANCE(A1563,""CHANGE""),)"),"")</f>
        <v/>
      </c>
      <c r="D1563" s="64" t="str">
        <f>IFERROR(__xludf.DUMMYFUNCTION("IFERROR(GOOGLEFINANCE(A1563,""CHANGEPCT""),)"),"")</f>
        <v/>
      </c>
      <c r="E1563" s="64" t="str">
        <f t="shared" si="1"/>
        <v>%</v>
      </c>
      <c r="F1563" s="64" t="str">
        <f t="shared" si="2"/>
        <v/>
      </c>
      <c r="G1563" s="64" t="str">
        <f t="shared" si="3"/>
        <v/>
      </c>
      <c r="H1563" s="64" t="str">
        <f>IFERROR(__xludf.DUMMYFUNCTION("IFERROR(GOOGLEFINANCE(A1563,""PRICE""),)"),"")</f>
        <v/>
      </c>
      <c r="I1563" s="65" t="str">
        <f>IFERROR(__xludf.DUMMYFUNCTION("IFERROR(GOOGLEFINANCE(A1563,""VOLUME""),)"),"")</f>
        <v/>
      </c>
      <c r="J1563" s="64" t="str">
        <f>IFERROR(__xludf.DUMMYFUNCTION("IFERROR(INDEX(SPLIT(A1563,"":""),1,2),)"),"WELSPUNIND")</f>
        <v>WELSPUNIND</v>
      </c>
      <c r="K1563" s="64" t="str">
        <f t="shared" si="4"/>
        <v/>
      </c>
      <c r="L1563" s="64" t="str">
        <f t="shared" si="5"/>
        <v/>
      </c>
      <c r="M1563" s="64" t="str">
        <f t="shared" si="6"/>
        <v/>
      </c>
      <c r="N1563" s="66" t="str">
        <f>IFERROR(__xludf.DUMMYFUNCTION("IFERROR(GOOGLEFINANCE(A1563,""TRADETIME""),)"),"")</f>
        <v/>
      </c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</row>
    <row r="1564">
      <c r="A1564" s="67" t="s">
        <v>1609</v>
      </c>
      <c r="B1564" s="60" t="str">
        <f>IFERROR(__xludf.DUMMYFUNCTION("IFERROR(GOOGLEFINANCE(A1564,""NAME""),)"),"Wendt (India) Limited")</f>
        <v>Wendt (India) Limited</v>
      </c>
      <c r="C1564" s="60">
        <f>IFERROR(__xludf.DUMMYFUNCTION("IFERROR(GOOGLEFINANCE(A1564,""CHANGE""),)"),-3.5)</f>
        <v>-3.5</v>
      </c>
      <c r="D1564" s="60">
        <f>IFERROR(__xludf.DUMMYFUNCTION("IFERROR(GOOGLEFINANCE(A1564,""CHANGEPCT""),)"),-0.05)</f>
        <v>-0.05</v>
      </c>
      <c r="E1564" s="60" t="str">
        <f t="shared" si="1"/>
        <v>-0.05%</v>
      </c>
      <c r="F1564" s="60" t="str">
        <f t="shared" si="2"/>
        <v/>
      </c>
      <c r="G1564" s="60">
        <f t="shared" si="3"/>
        <v>-0.05</v>
      </c>
      <c r="H1564" s="60">
        <f>IFERROR(__xludf.DUMMYFUNCTION("IFERROR(GOOGLEFINANCE(A1564,""PRICE""),)"),6622.0)</f>
        <v>6622</v>
      </c>
      <c r="I1564" s="61">
        <f>IFERROR(__xludf.DUMMYFUNCTION("IFERROR(GOOGLEFINANCE(A1564,""VOLUME""),)"),8294.0)</f>
        <v>8294</v>
      </c>
      <c r="J1564" s="60" t="str">
        <f>IFERROR(__xludf.DUMMYFUNCTION("IFERROR(INDEX(SPLIT(A1564,"":""),1,2),)"),"WENDT")</f>
        <v>WENDT</v>
      </c>
      <c r="K1564" s="60" t="str">
        <f t="shared" si="4"/>
        <v/>
      </c>
      <c r="L1564" s="60">
        <f t="shared" si="5"/>
        <v>13</v>
      </c>
      <c r="M1564" s="60">
        <f t="shared" si="6"/>
        <v>1293</v>
      </c>
      <c r="N1564" s="62">
        <f>IFERROR(__xludf.DUMMYFUNCTION("IFERROR(GOOGLEFINANCE(A1564,""TRADETIME""),)"),46086.64010416667)</f>
        <v>46086.6401</v>
      </c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</row>
    <row r="1565">
      <c r="A1565" s="68" t="s">
        <v>1610</v>
      </c>
      <c r="B1565" s="64" t="str">
        <f>IFERROR(__xludf.DUMMYFUNCTION("IFERROR(GOOGLEFINANCE(A1565,""NAME""),)"),"Westlife Foodworld Ltd")</f>
        <v>Westlife Foodworld Ltd</v>
      </c>
      <c r="C1565" s="64">
        <f>IFERROR(__xludf.DUMMYFUNCTION("IFERROR(GOOGLEFINANCE(A1565,""CHANGE""),)"),1.3)</f>
        <v>1.3</v>
      </c>
      <c r="D1565" s="64">
        <f>IFERROR(__xludf.DUMMYFUNCTION("IFERROR(GOOGLEFINANCE(A1565,""CHANGEPCT""),)"),0.27)</f>
        <v>0.27</v>
      </c>
      <c r="E1565" s="64" t="str">
        <f t="shared" si="1"/>
        <v>0.27%</v>
      </c>
      <c r="F1565" s="64">
        <f t="shared" si="2"/>
        <v>0.27</v>
      </c>
      <c r="G1565" s="64" t="str">
        <f t="shared" si="3"/>
        <v/>
      </c>
      <c r="H1565" s="64">
        <f>IFERROR(__xludf.DUMMYFUNCTION("IFERROR(GOOGLEFINANCE(A1565,""PRICE""),)"),477.0)</f>
        <v>477</v>
      </c>
      <c r="I1565" s="65">
        <f>IFERROR(__xludf.DUMMYFUNCTION("IFERROR(GOOGLEFINANCE(A1565,""VOLUME""),)"),52544.0)</f>
        <v>52544</v>
      </c>
      <c r="J1565" s="64" t="str">
        <f>IFERROR(__xludf.DUMMYFUNCTION("IFERROR(INDEX(SPLIT(A1565,"":""),1,2),)"),"WESTLIFE")</f>
        <v>WESTLIFE</v>
      </c>
      <c r="K1565" s="64">
        <f t="shared" si="4"/>
        <v>937</v>
      </c>
      <c r="L1565" s="64" t="str">
        <f t="shared" si="5"/>
        <v/>
      </c>
      <c r="M1565" s="64">
        <f t="shared" si="6"/>
        <v>918</v>
      </c>
      <c r="N1565" s="66">
        <f>IFERROR(__xludf.DUMMYFUNCTION("IFERROR(GOOGLEFINANCE(A1565,""TRADETIME""),)"),46086.641817129625)</f>
        <v>46086.64182</v>
      </c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</row>
    <row r="1566">
      <c r="A1566" s="67" t="s">
        <v>1611</v>
      </c>
      <c r="B1566" s="60" t="str">
        <f>IFERROR(__xludf.DUMMYFUNCTION("IFERROR(GOOGLEFINANCE(A1566,""NAME""),)"),"Wheels India Ltd")</f>
        <v>Wheels India Ltd</v>
      </c>
      <c r="C1566" s="60">
        <f>IFERROR(__xludf.DUMMYFUNCTION("IFERROR(GOOGLEFINANCE(A1566,""CHANGE""),)"),14.25)</f>
        <v>14.25</v>
      </c>
      <c r="D1566" s="60">
        <f>IFERROR(__xludf.DUMMYFUNCTION("IFERROR(GOOGLEFINANCE(A1566,""CHANGEPCT""),)"),1.34)</f>
        <v>1.34</v>
      </c>
      <c r="E1566" s="60" t="str">
        <f t="shared" si="1"/>
        <v>1.34%</v>
      </c>
      <c r="F1566" s="60">
        <f t="shared" si="2"/>
        <v>1.34</v>
      </c>
      <c r="G1566" s="60" t="str">
        <f t="shared" si="3"/>
        <v/>
      </c>
      <c r="H1566" s="60">
        <f>IFERROR(__xludf.DUMMYFUNCTION("IFERROR(GOOGLEFINANCE(A1566,""PRICE""),)"),883.5)</f>
        <v>883.5</v>
      </c>
      <c r="I1566" s="61">
        <f>IFERROR(__xludf.DUMMYFUNCTION("IFERROR(GOOGLEFINANCE(A1566,""VOLUME""),)"),26151.0)</f>
        <v>26151</v>
      </c>
      <c r="J1566" s="60" t="str">
        <f>IFERROR(__xludf.DUMMYFUNCTION("IFERROR(INDEX(SPLIT(A1566,"":""),1,2),)"),"WHEELS")</f>
        <v>WHEELS</v>
      </c>
      <c r="K1566" s="60">
        <f t="shared" si="4"/>
        <v>625</v>
      </c>
      <c r="L1566" s="60" t="str">
        <f t="shared" si="5"/>
        <v/>
      </c>
      <c r="M1566" s="60">
        <f t="shared" si="6"/>
        <v>1086</v>
      </c>
      <c r="N1566" s="62">
        <f>IFERROR(__xludf.DUMMYFUNCTION("IFERROR(GOOGLEFINANCE(A1566,""TRADETIME""),)"),46086.64583333333)</f>
        <v>46086.64583</v>
      </c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</row>
    <row r="1567">
      <c r="A1567" s="68" t="s">
        <v>1612</v>
      </c>
      <c r="B1567" s="64" t="str">
        <f>IFERROR(__xludf.DUMMYFUNCTION("IFERROR(GOOGLEFINANCE(A1567,""NAME""),)"),"Whirlpool Of India Ltd")</f>
        <v>Whirlpool Of India Ltd</v>
      </c>
      <c r="C1567" s="64">
        <f>IFERROR(__xludf.DUMMYFUNCTION("IFERROR(GOOGLEFINANCE(A1567,""CHANGE""),)"),10.05)</f>
        <v>10.05</v>
      </c>
      <c r="D1567" s="64">
        <f>IFERROR(__xludf.DUMMYFUNCTION("IFERROR(GOOGLEFINANCE(A1567,""CHANGEPCT""),)"),1.12)</f>
        <v>1.12</v>
      </c>
      <c r="E1567" s="64" t="str">
        <f t="shared" si="1"/>
        <v>1.12%</v>
      </c>
      <c r="F1567" s="64">
        <f t="shared" si="2"/>
        <v>1.12</v>
      </c>
      <c r="G1567" s="64" t="str">
        <f t="shared" si="3"/>
        <v/>
      </c>
      <c r="H1567" s="64">
        <f>IFERROR(__xludf.DUMMYFUNCTION("IFERROR(GOOGLEFINANCE(A1567,""PRICE""),)"),910.0)</f>
        <v>910</v>
      </c>
      <c r="I1567" s="65">
        <f>IFERROR(__xludf.DUMMYFUNCTION("IFERROR(GOOGLEFINANCE(A1567,""VOLUME""),)"),187863.0)</f>
        <v>187863</v>
      </c>
      <c r="J1567" s="64" t="str">
        <f>IFERROR(__xludf.DUMMYFUNCTION("IFERROR(INDEX(SPLIT(A1567,"":""),1,2),)"),"WHIRLPOOL")</f>
        <v>WHIRLPOOL</v>
      </c>
      <c r="K1567" s="64">
        <f t="shared" si="4"/>
        <v>684</v>
      </c>
      <c r="L1567" s="64" t="str">
        <f t="shared" si="5"/>
        <v/>
      </c>
      <c r="M1567" s="64">
        <f t="shared" si="6"/>
        <v>622</v>
      </c>
      <c r="N1567" s="66">
        <f>IFERROR(__xludf.DUMMYFUNCTION("IFERROR(GOOGLEFINANCE(A1567,""TRADETIME""),)"),46086.64583333333)</f>
        <v>46086.64583</v>
      </c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</row>
    <row r="1568">
      <c r="A1568" s="67" t="s">
        <v>1613</v>
      </c>
      <c r="B1568" s="60" t="str">
        <f>IFERROR(__xludf.DUMMYFUNCTION("IFERROR(GOOGLEFINANCE(A1568,""NAME""),)"),"Williamson Magor and Co Ltd")</f>
        <v>Williamson Magor and Co Ltd</v>
      </c>
      <c r="C1568" s="60">
        <f>IFERROR(__xludf.DUMMYFUNCTION("IFERROR(GOOGLEFINANCE(A1568,""CHANGE""),)"),0.26)</f>
        <v>0.26</v>
      </c>
      <c r="D1568" s="60">
        <f>IFERROR(__xludf.DUMMYFUNCTION("IFERROR(GOOGLEFINANCE(A1568,""CHANGEPCT""),)"),1.01)</f>
        <v>1.01</v>
      </c>
      <c r="E1568" s="60" t="str">
        <f t="shared" si="1"/>
        <v>1.01%</v>
      </c>
      <c r="F1568" s="60">
        <f t="shared" si="2"/>
        <v>1.01</v>
      </c>
      <c r="G1568" s="60" t="str">
        <f t="shared" si="3"/>
        <v/>
      </c>
      <c r="H1568" s="60">
        <f>IFERROR(__xludf.DUMMYFUNCTION("IFERROR(GOOGLEFINANCE(A1568,""PRICE""),)"),26.0)</f>
        <v>26</v>
      </c>
      <c r="I1568" s="61">
        <f>IFERROR(__xludf.DUMMYFUNCTION("IFERROR(GOOGLEFINANCE(A1568,""VOLUME""),)"),3298.0)</f>
        <v>3298</v>
      </c>
      <c r="J1568" s="60" t="str">
        <f>IFERROR(__xludf.DUMMYFUNCTION("IFERROR(INDEX(SPLIT(A1568,"":""),1,2),)"),"WILLAMAGOR")</f>
        <v>WILLAMAGOR</v>
      </c>
      <c r="K1568" s="60">
        <f t="shared" si="4"/>
        <v>722</v>
      </c>
      <c r="L1568" s="60" t="str">
        <f t="shared" si="5"/>
        <v/>
      </c>
      <c r="M1568" s="60">
        <f t="shared" si="6"/>
        <v>1378</v>
      </c>
      <c r="N1568" s="62">
        <f>IFERROR(__xludf.DUMMYFUNCTION("IFERROR(GOOGLEFINANCE(A1568,""TRADETIME""),)"),46086.64583333333)</f>
        <v>46086.64583</v>
      </c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</row>
    <row r="1569">
      <c r="A1569" s="68" t="s">
        <v>1614</v>
      </c>
      <c r="B1569" s="64" t="str">
        <f>IFERROR(__xludf.DUMMYFUNCTION("IFERROR(GOOGLEFINANCE(A1569,""NAME""),)"),"Windsor Machines Ltd")</f>
        <v>Windsor Machines Ltd</v>
      </c>
      <c r="C1569" s="64">
        <f>IFERROR(__xludf.DUMMYFUNCTION("IFERROR(GOOGLEFINANCE(A1569,""CHANGE""),)"),3.45)</f>
        <v>3.45</v>
      </c>
      <c r="D1569" s="64">
        <f>IFERROR(__xludf.DUMMYFUNCTION("IFERROR(GOOGLEFINANCE(A1569,""CHANGEPCT""),)"),1.43)</f>
        <v>1.43</v>
      </c>
      <c r="E1569" s="64" t="str">
        <f t="shared" si="1"/>
        <v>1.43%</v>
      </c>
      <c r="F1569" s="64">
        <f t="shared" si="2"/>
        <v>1.43</v>
      </c>
      <c r="G1569" s="64" t="str">
        <f t="shared" si="3"/>
        <v/>
      </c>
      <c r="H1569" s="64">
        <f>IFERROR(__xludf.DUMMYFUNCTION("IFERROR(GOOGLEFINANCE(A1569,""PRICE""),)"),245.25)</f>
        <v>245.25</v>
      </c>
      <c r="I1569" s="65">
        <f>IFERROR(__xludf.DUMMYFUNCTION("IFERROR(GOOGLEFINANCE(A1569,""VOLUME""),)"),19449.0)</f>
        <v>19449</v>
      </c>
      <c r="J1569" s="64" t="str">
        <f>IFERROR(__xludf.DUMMYFUNCTION("IFERROR(INDEX(SPLIT(A1569,"":""),1,2),)"),"WINDMACHIN")</f>
        <v>WINDMACHIN</v>
      </c>
      <c r="K1569" s="64">
        <f t="shared" si="4"/>
        <v>602</v>
      </c>
      <c r="L1569" s="64" t="str">
        <f t="shared" si="5"/>
        <v/>
      </c>
      <c r="M1569" s="64">
        <f t="shared" si="6"/>
        <v>1147</v>
      </c>
      <c r="N1569" s="66">
        <f>IFERROR(__xludf.DUMMYFUNCTION("IFERROR(GOOGLEFINANCE(A1569,""TRADETIME""),)"),46086.64583333333)</f>
        <v>46086.64583</v>
      </c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</row>
    <row r="1570">
      <c r="A1570" s="67" t="s">
        <v>1615</v>
      </c>
      <c r="B1570" s="60" t="str">
        <f>IFERROR(__xludf.DUMMYFUNCTION("IFERROR(GOOGLEFINANCE(A1570,""NAME""),)"),"Western India Plywoods Ltd")</f>
        <v>Western India Plywoods Ltd</v>
      </c>
      <c r="C1570" s="60">
        <f>IFERROR(__xludf.DUMMYFUNCTION("IFERROR(GOOGLEFINANCE(A1570,""CHANGE""),)"),2.76)</f>
        <v>2.76</v>
      </c>
      <c r="D1570" s="60">
        <f>IFERROR(__xludf.DUMMYFUNCTION("IFERROR(GOOGLEFINANCE(A1570,""CHANGEPCT""),)"),1.85)</f>
        <v>1.85</v>
      </c>
      <c r="E1570" s="60" t="str">
        <f t="shared" si="1"/>
        <v>1.85%</v>
      </c>
      <c r="F1570" s="60">
        <f t="shared" si="2"/>
        <v>1.85</v>
      </c>
      <c r="G1570" s="60" t="str">
        <f t="shared" si="3"/>
        <v/>
      </c>
      <c r="H1570" s="60">
        <f>IFERROR(__xludf.DUMMYFUNCTION("IFERROR(GOOGLEFINANCE(A1570,""PRICE""),)"),152.0)</f>
        <v>152</v>
      </c>
      <c r="I1570" s="61">
        <f>IFERROR(__xludf.DUMMYFUNCTION("IFERROR(GOOGLEFINANCE(A1570,""VOLUME""),)"),29.0)</f>
        <v>29</v>
      </c>
      <c r="J1570" s="60" t="str">
        <f>IFERROR(__xludf.DUMMYFUNCTION("IFERROR(INDEX(SPLIT(A1570,"":""),1,2),)"),"WIPL")</f>
        <v>WIPL</v>
      </c>
      <c r="K1570" s="60">
        <f t="shared" si="4"/>
        <v>486</v>
      </c>
      <c r="L1570" s="60" t="str">
        <f t="shared" si="5"/>
        <v/>
      </c>
      <c r="M1570" s="60">
        <f t="shared" si="6"/>
        <v>1464</v>
      </c>
      <c r="N1570" s="62">
        <f>IFERROR(__xludf.DUMMYFUNCTION("IFERROR(GOOGLEFINANCE(A1570,""TRADETIME""),)"),46086.64583333333)</f>
        <v>46086.64583</v>
      </c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</row>
    <row r="1571">
      <c r="A1571" s="68" t="s">
        <v>1616</v>
      </c>
      <c r="B1571" s="64" t="str">
        <f>IFERROR(__xludf.DUMMYFUNCTION("IFERROR(GOOGLEFINANCE(A1571,""NAME""),)"),"Wipro Ltd")</f>
        <v>Wipro Ltd</v>
      </c>
      <c r="C1571" s="64">
        <f>IFERROR(__xludf.DUMMYFUNCTION("IFERROR(GOOGLEFINANCE(A1571,""CHANGE""),)"),0.25)</f>
        <v>0.25</v>
      </c>
      <c r="D1571" s="64">
        <f>IFERROR(__xludf.DUMMYFUNCTION("IFERROR(GOOGLEFINANCE(A1571,""CHANGEPCT""),)"),0.13)</f>
        <v>0.13</v>
      </c>
      <c r="E1571" s="64" t="str">
        <f t="shared" si="1"/>
        <v>0.13%</v>
      </c>
      <c r="F1571" s="64">
        <f t="shared" si="2"/>
        <v>0.13</v>
      </c>
      <c r="G1571" s="64" t="str">
        <f t="shared" si="3"/>
        <v/>
      </c>
      <c r="H1571" s="64">
        <f>IFERROR(__xludf.DUMMYFUNCTION("IFERROR(GOOGLEFINANCE(A1571,""PRICE""),)"),195.8)</f>
        <v>195.8</v>
      </c>
      <c r="I1571" s="65">
        <f>IFERROR(__xludf.DUMMYFUNCTION("IFERROR(GOOGLEFINANCE(A1571,""VOLUME""),)"),1.3146379E7)</f>
        <v>13146379</v>
      </c>
      <c r="J1571" s="64" t="str">
        <f>IFERROR(__xludf.DUMMYFUNCTION("IFERROR(INDEX(SPLIT(A1571,"":""),1,2),)"),"WIPRO")</f>
        <v>WIPRO</v>
      </c>
      <c r="K1571" s="64">
        <f t="shared" si="4"/>
        <v>968</v>
      </c>
      <c r="L1571" s="64" t="str">
        <f t="shared" si="5"/>
        <v/>
      </c>
      <c r="M1571" s="64">
        <f t="shared" si="6"/>
        <v>48</v>
      </c>
      <c r="N1571" s="66">
        <f>IFERROR(__xludf.DUMMYFUNCTION("IFERROR(GOOGLEFINANCE(A1571,""TRADETIME""),)"),46086.64583333333)</f>
        <v>46086.64583</v>
      </c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</row>
    <row r="1572">
      <c r="A1572" s="67" t="s">
        <v>1617</v>
      </c>
      <c r="B1572" s="60" t="str">
        <f>IFERROR(__xludf.DUMMYFUNCTION("IFERROR(GOOGLEFINANCE(A1572,""NAME""),)"),"Wockhardt Ltd")</f>
        <v>Wockhardt Ltd</v>
      </c>
      <c r="C1572" s="60">
        <f>IFERROR(__xludf.DUMMYFUNCTION("IFERROR(GOOGLEFINANCE(A1572,""CHANGE""),)"),16.7)</f>
        <v>16.7</v>
      </c>
      <c r="D1572" s="60">
        <f>IFERROR(__xludf.DUMMYFUNCTION("IFERROR(GOOGLEFINANCE(A1572,""CHANGEPCT""),)"),1.29)</f>
        <v>1.29</v>
      </c>
      <c r="E1572" s="60" t="str">
        <f t="shared" si="1"/>
        <v>1.29%</v>
      </c>
      <c r="F1572" s="60">
        <f t="shared" si="2"/>
        <v>1.29</v>
      </c>
      <c r="G1572" s="60" t="str">
        <f t="shared" si="3"/>
        <v/>
      </c>
      <c r="H1572" s="60">
        <f>IFERROR(__xludf.DUMMYFUNCTION("IFERROR(GOOGLEFINANCE(A1572,""PRICE""),)"),1307.0)</f>
        <v>1307</v>
      </c>
      <c r="I1572" s="61">
        <f>IFERROR(__xludf.DUMMYFUNCTION("IFERROR(GOOGLEFINANCE(A1572,""VOLUME""),)"),410896.0)</f>
        <v>410896</v>
      </c>
      <c r="J1572" s="60" t="str">
        <f>IFERROR(__xludf.DUMMYFUNCTION("IFERROR(INDEX(SPLIT(A1572,"":""),1,2),)"),"WOCKPHARMA")</f>
        <v>WOCKPHARMA</v>
      </c>
      <c r="K1572" s="60">
        <f t="shared" si="4"/>
        <v>645</v>
      </c>
      <c r="L1572" s="60" t="str">
        <f t="shared" si="5"/>
        <v/>
      </c>
      <c r="M1572" s="60">
        <f t="shared" si="6"/>
        <v>438</v>
      </c>
      <c r="N1572" s="62">
        <f>IFERROR(__xludf.DUMMYFUNCTION("IFERROR(GOOGLEFINANCE(A1572,""TRADETIME""),)"),46086.64584490741)</f>
        <v>46086.64584</v>
      </c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</row>
    <row r="1573">
      <c r="A1573" s="68" t="s">
        <v>1618</v>
      </c>
      <c r="B1573" s="64" t="str">
        <f>IFERROR(__xludf.DUMMYFUNCTION("IFERROR(GOOGLEFINANCE(A1573,""NAME""),)"),"Wonderla Holidays Ltd")</f>
        <v>Wonderla Holidays Ltd</v>
      </c>
      <c r="C1573" s="64">
        <f>IFERROR(__xludf.DUMMYFUNCTION("IFERROR(GOOGLEFINANCE(A1573,""CHANGE""),)"),5.1)</f>
        <v>5.1</v>
      </c>
      <c r="D1573" s="64">
        <f>IFERROR(__xludf.DUMMYFUNCTION("IFERROR(GOOGLEFINANCE(A1573,""CHANGEPCT""),)"),1.05)</f>
        <v>1.05</v>
      </c>
      <c r="E1573" s="64" t="str">
        <f t="shared" si="1"/>
        <v>1.05%</v>
      </c>
      <c r="F1573" s="64">
        <f t="shared" si="2"/>
        <v>1.05</v>
      </c>
      <c r="G1573" s="64" t="str">
        <f t="shared" si="3"/>
        <v/>
      </c>
      <c r="H1573" s="64">
        <f>IFERROR(__xludf.DUMMYFUNCTION("IFERROR(GOOGLEFINANCE(A1573,""PRICE""),)"),490.0)</f>
        <v>490</v>
      </c>
      <c r="I1573" s="65">
        <f>IFERROR(__xludf.DUMMYFUNCTION("IFERROR(GOOGLEFINANCE(A1573,""VOLUME""),)"),35257.0)</f>
        <v>35257</v>
      </c>
      <c r="J1573" s="64" t="str">
        <f>IFERROR(__xludf.DUMMYFUNCTION("IFERROR(INDEX(SPLIT(A1573,"":""),1,2),)"),"WONDERLA")</f>
        <v>WONDERLA</v>
      </c>
      <c r="K1573" s="64">
        <f t="shared" si="4"/>
        <v>710</v>
      </c>
      <c r="L1573" s="64" t="str">
        <f t="shared" si="5"/>
        <v/>
      </c>
      <c r="M1573" s="64">
        <f t="shared" si="6"/>
        <v>1017</v>
      </c>
      <c r="N1573" s="66">
        <f>IFERROR(__xludf.DUMMYFUNCTION("IFERROR(GOOGLEFINANCE(A1573,""TRADETIME""),)"),46086.64543981482)</f>
        <v>46086.64544</v>
      </c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</row>
    <row r="1574">
      <c r="A1574" s="67" t="s">
        <v>1619</v>
      </c>
      <c r="B1574" s="60" t="str">
        <f>IFERROR(__xludf.DUMMYFUNCTION("IFERROR(GOOGLEFINANCE(A1574,""NAME""),)"),"")</f>
        <v/>
      </c>
      <c r="C1574" s="60" t="str">
        <f>IFERROR(__xludf.DUMMYFUNCTION("IFERROR(GOOGLEFINANCE(A1574,""CHANGE""),)"),"")</f>
        <v/>
      </c>
      <c r="D1574" s="60" t="str">
        <f>IFERROR(__xludf.DUMMYFUNCTION("IFERROR(GOOGLEFINANCE(A1574,""CHANGEPCT""),)"),"")</f>
        <v/>
      </c>
      <c r="E1574" s="60" t="str">
        <f t="shared" si="1"/>
        <v>%</v>
      </c>
      <c r="F1574" s="60" t="str">
        <f t="shared" si="2"/>
        <v/>
      </c>
      <c r="G1574" s="60" t="str">
        <f t="shared" si="3"/>
        <v/>
      </c>
      <c r="H1574" s="60" t="str">
        <f>IFERROR(__xludf.DUMMYFUNCTION("IFERROR(GOOGLEFINANCE(A1574,""PRICE""),)"),"")</f>
        <v/>
      </c>
      <c r="I1574" s="61" t="str">
        <f>IFERROR(__xludf.DUMMYFUNCTION("IFERROR(GOOGLEFINANCE(A1574,""VOLUME""),)"),"")</f>
        <v/>
      </c>
      <c r="J1574" s="60" t="str">
        <f>IFERROR(__xludf.DUMMYFUNCTION("IFERROR(INDEX(SPLIT(A1574,"":""),1,2),)"),"WORTH")</f>
        <v>WORTH</v>
      </c>
      <c r="K1574" s="60" t="str">
        <f t="shared" si="4"/>
        <v/>
      </c>
      <c r="L1574" s="60" t="str">
        <f t="shared" si="5"/>
        <v/>
      </c>
      <c r="M1574" s="60" t="str">
        <f t="shared" si="6"/>
        <v/>
      </c>
      <c r="N1574" s="62" t="str">
        <f>IFERROR(__xludf.DUMMYFUNCTION("IFERROR(GOOGLEFINANCE(A1574,""TRADETIME""),)"),"")</f>
        <v/>
      </c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</row>
    <row r="1575">
      <c r="A1575" s="63" t="s">
        <v>1620</v>
      </c>
      <c r="B1575" s="64" t="str">
        <f>IFERROR(__xludf.DUMMYFUNCTION("IFERROR(GOOGLEFINANCE(A1575,""NAME""),)"),"Aksharchem (India) Ltd")</f>
        <v>Aksharchem (India) Ltd</v>
      </c>
      <c r="C1575" s="64">
        <f>IFERROR(__xludf.DUMMYFUNCTION("IFERROR(GOOGLEFINANCE(A1575,""CHANGE""),)"),3.79)</f>
        <v>3.79</v>
      </c>
      <c r="D1575" s="64">
        <f>IFERROR(__xludf.DUMMYFUNCTION("IFERROR(GOOGLEFINANCE(A1575,""CHANGEPCT""),)"),0.42)</f>
        <v>0.42</v>
      </c>
      <c r="E1575" s="64" t="str">
        <f t="shared" si="1"/>
        <v>0.42%</v>
      </c>
      <c r="F1575" s="64">
        <f t="shared" si="2"/>
        <v>0.42</v>
      </c>
      <c r="G1575" s="64" t="str">
        <f t="shared" si="3"/>
        <v/>
      </c>
      <c r="H1575" s="64">
        <f>IFERROR(__xludf.DUMMYFUNCTION("IFERROR(GOOGLEFINANCE(A1575,""PRICE""),)"),205.05)</f>
        <v>205.05</v>
      </c>
      <c r="I1575" s="65">
        <f>IFERROR(__xludf.DUMMYFUNCTION("IFERROR(GOOGLEFINANCE(A1575,""VOLUME""),)"),1888.0)</f>
        <v>1888</v>
      </c>
      <c r="J1575" s="64" t="str">
        <f>IFERROR(__xludf.DUMMYFUNCTION("IFERROR(INDEX(SPLIT(A1575,"":""),1,2),)"),"AKSHARCHEM")</f>
        <v>AKSHARCHEM</v>
      </c>
      <c r="K1575" s="64">
        <f t="shared" si="4"/>
        <v>898</v>
      </c>
      <c r="L1575" s="64" t="str">
        <f t="shared" si="5"/>
        <v/>
      </c>
      <c r="M1575" s="64">
        <f t="shared" si="6"/>
        <v>1409</v>
      </c>
      <c r="N1575" s="66">
        <f>IFERROR(__xludf.DUMMYFUNCTION("IFERROR(GOOGLEFINANCE(A1575,""TRADETIME""),)"),46086.64583333333)</f>
        <v>46086.64583</v>
      </c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</row>
    <row r="1576">
      <c r="A1576" s="67" t="s">
        <v>1621</v>
      </c>
      <c r="B1576" s="60" t="str">
        <f>IFERROR(__xludf.DUMMYFUNCTION("IFERROR(GOOGLEFINANCE(A1576,""NAME""),)"),"West Coast Paper Mills Ltd")</f>
        <v>West Coast Paper Mills Ltd</v>
      </c>
      <c r="C1576" s="60">
        <f>IFERROR(__xludf.DUMMYFUNCTION("IFERROR(GOOGLEFINANCE(A1576,""CHANGE""),)"),1.1)</f>
        <v>1.1</v>
      </c>
      <c r="D1576" s="60">
        <f>IFERROR(__xludf.DUMMYFUNCTION("IFERROR(GOOGLEFINANCE(A1576,""CHANGEPCT""),)"),0.28)</f>
        <v>0.28</v>
      </c>
      <c r="E1576" s="60" t="str">
        <f t="shared" si="1"/>
        <v>0.28%</v>
      </c>
      <c r="F1576" s="60">
        <f t="shared" si="2"/>
        <v>0.28</v>
      </c>
      <c r="G1576" s="60" t="str">
        <f t="shared" si="3"/>
        <v/>
      </c>
      <c r="H1576" s="60">
        <f>IFERROR(__xludf.DUMMYFUNCTION("IFERROR(GOOGLEFINANCE(A1576,""PRICE""),)"),394.0)</f>
        <v>394</v>
      </c>
      <c r="I1576" s="61">
        <f>IFERROR(__xludf.DUMMYFUNCTION("IFERROR(GOOGLEFINANCE(A1576,""VOLUME""),)"),55819.0)</f>
        <v>55819</v>
      </c>
      <c r="J1576" s="60" t="str">
        <f>IFERROR(__xludf.DUMMYFUNCTION("IFERROR(INDEX(SPLIT(A1576,"":""),1,2),)"),"WSTCSTPAPR")</f>
        <v>WSTCSTPAPR</v>
      </c>
      <c r="K1576" s="60">
        <f t="shared" si="4"/>
        <v>935</v>
      </c>
      <c r="L1576" s="60" t="str">
        <f t="shared" si="5"/>
        <v/>
      </c>
      <c r="M1576" s="60">
        <f t="shared" si="6"/>
        <v>899</v>
      </c>
      <c r="N1576" s="62">
        <f>IFERROR(__xludf.DUMMYFUNCTION("IFERROR(GOOGLEFINANCE(A1576,""TRADETIME""),)"),46086.64583333333)</f>
        <v>46086.64583</v>
      </c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</row>
    <row r="1577">
      <c r="A1577" s="68" t="s">
        <v>1622</v>
      </c>
      <c r="B1577" s="64" t="str">
        <f>IFERROR(__xludf.DUMMYFUNCTION("IFERROR(GOOGLEFINANCE(A1577,""NAME""),)"),"Xchanging Solutions Ltd")</f>
        <v>Xchanging Solutions Ltd</v>
      </c>
      <c r="C1577" s="64">
        <f>IFERROR(__xludf.DUMMYFUNCTION("IFERROR(GOOGLEFINANCE(A1577,""CHANGE""),)"),0.15)</f>
        <v>0.15</v>
      </c>
      <c r="D1577" s="64">
        <f>IFERROR(__xludf.DUMMYFUNCTION("IFERROR(GOOGLEFINANCE(A1577,""CHANGEPCT""),)"),0.24)</f>
        <v>0.24</v>
      </c>
      <c r="E1577" s="64" t="str">
        <f t="shared" si="1"/>
        <v>0.24%</v>
      </c>
      <c r="F1577" s="64">
        <f t="shared" si="2"/>
        <v>0.24</v>
      </c>
      <c r="G1577" s="64" t="str">
        <f t="shared" si="3"/>
        <v/>
      </c>
      <c r="H1577" s="64">
        <f>IFERROR(__xludf.DUMMYFUNCTION("IFERROR(GOOGLEFINANCE(A1577,""PRICE""),)"),62.93)</f>
        <v>62.93</v>
      </c>
      <c r="I1577" s="65">
        <f>IFERROR(__xludf.DUMMYFUNCTION("IFERROR(GOOGLEFINANCE(A1577,""VOLUME""),)"),76753.0)</f>
        <v>76753</v>
      </c>
      <c r="J1577" s="64" t="str">
        <f>IFERROR(__xludf.DUMMYFUNCTION("IFERROR(INDEX(SPLIT(A1577,"":""),1,2),)"),"XCHANGING")</f>
        <v>XCHANGING</v>
      </c>
      <c r="K1577" s="64">
        <f t="shared" si="4"/>
        <v>941</v>
      </c>
      <c r="L1577" s="64" t="str">
        <f t="shared" si="5"/>
        <v/>
      </c>
      <c r="M1577" s="64">
        <f t="shared" si="6"/>
        <v>823</v>
      </c>
      <c r="N1577" s="66">
        <f>IFERROR(__xludf.DUMMYFUNCTION("IFERROR(GOOGLEFINANCE(A1577,""TRADETIME""),)"),46086.64034722222)</f>
        <v>46086.64035</v>
      </c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</row>
    <row r="1578">
      <c r="A1578" s="67" t="s">
        <v>1623</v>
      </c>
      <c r="B1578" s="60" t="str">
        <f>IFERROR(__xludf.DUMMYFUNCTION("IFERROR(GOOGLEFINANCE(A1578,""NAME""),)"),"Xelpmoc Design and Tech Ltd")</f>
        <v>Xelpmoc Design and Tech Ltd</v>
      </c>
      <c r="C1578" s="60">
        <f>IFERROR(__xludf.DUMMYFUNCTION("IFERROR(GOOGLEFINANCE(A1578,""CHANGE""),)"),0.23)</f>
        <v>0.23</v>
      </c>
      <c r="D1578" s="60">
        <f>IFERROR(__xludf.DUMMYFUNCTION("IFERROR(GOOGLEFINANCE(A1578,""CHANGEPCT""),)"),0.19)</f>
        <v>0.19</v>
      </c>
      <c r="E1578" s="60" t="str">
        <f t="shared" si="1"/>
        <v>0.19%</v>
      </c>
      <c r="F1578" s="60">
        <f t="shared" si="2"/>
        <v>0.19</v>
      </c>
      <c r="G1578" s="60" t="str">
        <f t="shared" si="3"/>
        <v/>
      </c>
      <c r="H1578" s="60">
        <f>IFERROR(__xludf.DUMMYFUNCTION("IFERROR(GOOGLEFINANCE(A1578,""PRICE""),)"),122.91)</f>
        <v>122.91</v>
      </c>
      <c r="I1578" s="61">
        <f>IFERROR(__xludf.DUMMYFUNCTION("IFERROR(GOOGLEFINANCE(A1578,""VOLUME""),)"),8529.0)</f>
        <v>8529</v>
      </c>
      <c r="J1578" s="60" t="str">
        <f>IFERROR(__xludf.DUMMYFUNCTION("IFERROR(INDEX(SPLIT(A1578,"":""),1,2),)"),"XELPMOC")</f>
        <v>XELPMOC</v>
      </c>
      <c r="K1578" s="60">
        <f t="shared" si="4"/>
        <v>955</v>
      </c>
      <c r="L1578" s="60" t="str">
        <f t="shared" si="5"/>
        <v/>
      </c>
      <c r="M1578" s="60">
        <f t="shared" si="6"/>
        <v>1289</v>
      </c>
      <c r="N1578" s="62">
        <f>IFERROR(__xludf.DUMMYFUNCTION("IFERROR(GOOGLEFINANCE(A1578,""TRADETIME""),)"),46086.64583333333)</f>
        <v>46086.64583</v>
      </c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</row>
    <row r="1579">
      <c r="A1579" s="68" t="s">
        <v>1624</v>
      </c>
      <c r="B1579" s="64" t="str">
        <f>IFERROR(__xludf.DUMMYFUNCTION("IFERROR(GOOGLEFINANCE(A1579,""NAME""),)"),"Xpro India Limited")</f>
        <v>Xpro India Limited</v>
      </c>
      <c r="C1579" s="64">
        <f>IFERROR(__xludf.DUMMYFUNCTION("IFERROR(GOOGLEFINANCE(A1579,""CHANGE""),)"),-12.95)</f>
        <v>-12.95</v>
      </c>
      <c r="D1579" s="64">
        <f>IFERROR(__xludf.DUMMYFUNCTION("IFERROR(GOOGLEFINANCE(A1579,""CHANGEPCT""),)"),-1.46)</f>
        <v>-1.46</v>
      </c>
      <c r="E1579" s="64" t="str">
        <f t="shared" si="1"/>
        <v>-1.46%</v>
      </c>
      <c r="F1579" s="64" t="str">
        <f t="shared" si="2"/>
        <v/>
      </c>
      <c r="G1579" s="64">
        <f t="shared" si="3"/>
        <v>-1.46</v>
      </c>
      <c r="H1579" s="64">
        <f>IFERROR(__xludf.DUMMYFUNCTION("IFERROR(GOOGLEFINANCE(A1579,""PRICE""),)"),872.7)</f>
        <v>872.7</v>
      </c>
      <c r="I1579" s="65">
        <f>IFERROR(__xludf.DUMMYFUNCTION("IFERROR(GOOGLEFINANCE(A1579,""VOLUME""),)"),106577.0)</f>
        <v>106577</v>
      </c>
      <c r="J1579" s="64" t="str">
        <f>IFERROR(__xludf.DUMMYFUNCTION("IFERROR(INDEX(SPLIT(A1579,"":""),1,2),)"),"XPROINDIA")</f>
        <v>XPROINDIA</v>
      </c>
      <c r="K1579" s="64" t="str">
        <f t="shared" si="4"/>
        <v/>
      </c>
      <c r="L1579" s="64">
        <f t="shared" si="5"/>
        <v>285</v>
      </c>
      <c r="M1579" s="64">
        <f t="shared" si="6"/>
        <v>748</v>
      </c>
      <c r="N1579" s="66">
        <f>IFERROR(__xludf.DUMMYFUNCTION("IFERROR(GOOGLEFINANCE(A1579,""TRADETIME""),)"),46086.64583333333)</f>
        <v>46086.64583</v>
      </c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</row>
    <row r="1580">
      <c r="A1580" s="67" t="s">
        <v>1625</v>
      </c>
      <c r="B1580" s="60" t="str">
        <f>IFERROR(__xludf.DUMMYFUNCTION("IFERROR(GOOGLEFINANCE(A1580,""NAME""),)"),"")</f>
        <v/>
      </c>
      <c r="C1580" s="60" t="str">
        <f>IFERROR(__xludf.DUMMYFUNCTION("IFERROR(GOOGLEFINANCE(A1580,""CHANGE""),)"),"")</f>
        <v/>
      </c>
      <c r="D1580" s="60" t="str">
        <f>IFERROR(__xludf.DUMMYFUNCTION("IFERROR(GOOGLEFINANCE(A1580,""CHANGEPCT""),)"),"")</f>
        <v/>
      </c>
      <c r="E1580" s="60" t="str">
        <f t="shared" si="1"/>
        <v>%</v>
      </c>
      <c r="F1580" s="60" t="str">
        <f t="shared" si="2"/>
        <v/>
      </c>
      <c r="G1580" s="60" t="str">
        <f t="shared" si="3"/>
        <v/>
      </c>
      <c r="H1580" s="60" t="str">
        <f>IFERROR(__xludf.DUMMYFUNCTION("IFERROR(GOOGLEFINANCE(A1580,""PRICE""),)"),"")</f>
        <v/>
      </c>
      <c r="I1580" s="61" t="str">
        <f>IFERROR(__xludf.DUMMYFUNCTION("IFERROR(GOOGLEFINANCE(A1580,""VOLUME""),)"),"")</f>
        <v/>
      </c>
      <c r="J1580" s="60" t="str">
        <f>IFERROR(__xludf.DUMMYFUNCTION("IFERROR(INDEX(SPLIT(A1580,"":""),1,2),)"),"YAARI")</f>
        <v>YAARI</v>
      </c>
      <c r="K1580" s="60" t="str">
        <f t="shared" si="4"/>
        <v/>
      </c>
      <c r="L1580" s="60" t="str">
        <f t="shared" si="5"/>
        <v/>
      </c>
      <c r="M1580" s="60" t="str">
        <f t="shared" si="6"/>
        <v/>
      </c>
      <c r="N1580" s="62" t="str">
        <f>IFERROR(__xludf.DUMMYFUNCTION("IFERROR(GOOGLEFINANCE(A1580,""TRADETIME""),)"),"")</f>
        <v/>
      </c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</row>
    <row r="1581">
      <c r="A1581" s="68" t="s">
        <v>1626</v>
      </c>
      <c r="B1581" s="64" t="str">
        <f>IFERROR(__xludf.DUMMYFUNCTION("IFERROR(GOOGLEFINANCE(A1581,""NAME""),)"),"Yes Bank Ltd")</f>
        <v>Yes Bank Ltd</v>
      </c>
      <c r="C1581" s="64">
        <f>IFERROR(__xludf.DUMMYFUNCTION("IFERROR(GOOGLEFINANCE(A1581,""CHANGE""),)"),0.24)</f>
        <v>0.24</v>
      </c>
      <c r="D1581" s="64">
        <f>IFERROR(__xludf.DUMMYFUNCTION("IFERROR(GOOGLEFINANCE(A1581,""CHANGEPCT""),)"),1.05)</f>
        <v>1.05</v>
      </c>
      <c r="E1581" s="64" t="str">
        <f t="shared" si="1"/>
        <v>1.05%</v>
      </c>
      <c r="F1581" s="64">
        <f t="shared" si="2"/>
        <v>1.05</v>
      </c>
      <c r="G1581" s="64" t="str">
        <f t="shared" si="3"/>
        <v/>
      </c>
      <c r="H1581" s="64">
        <f>IFERROR(__xludf.DUMMYFUNCTION("IFERROR(GOOGLEFINANCE(A1581,""PRICE""),)"),20.25)</f>
        <v>20.25</v>
      </c>
      <c r="I1581" s="65">
        <f>IFERROR(__xludf.DUMMYFUNCTION("IFERROR(GOOGLEFINANCE(A1581,""VOLUME""),)"),7.0831696E7)</f>
        <v>70831696</v>
      </c>
      <c r="J1581" s="64" t="str">
        <f>IFERROR(__xludf.DUMMYFUNCTION("IFERROR(INDEX(SPLIT(A1581,"":""),1,2),)"),"YESBANK")</f>
        <v>YESBANK</v>
      </c>
      <c r="K1581" s="64">
        <f t="shared" si="4"/>
        <v>711</v>
      </c>
      <c r="L1581" s="64" t="str">
        <f t="shared" si="5"/>
        <v/>
      </c>
      <c r="M1581" s="64">
        <f t="shared" si="6"/>
        <v>3</v>
      </c>
      <c r="N1581" s="66">
        <f>IFERROR(__xludf.DUMMYFUNCTION("IFERROR(GOOGLEFINANCE(A1581,""TRADETIME""),)"),46086.64584490741)</f>
        <v>46086.64584</v>
      </c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</row>
    <row r="1582">
      <c r="A1582" s="67" t="s">
        <v>1627</v>
      </c>
      <c r="B1582" s="60" t="str">
        <f>IFERROR(__xludf.DUMMYFUNCTION("IFERROR(GOOGLEFINANCE(A1582,""NAME""),)"),"Zee Entertainment Enterprises Ltd")</f>
        <v>Zee Entertainment Enterprises Ltd</v>
      </c>
      <c r="C1582" s="60">
        <f>IFERROR(__xludf.DUMMYFUNCTION("IFERROR(GOOGLEFINANCE(A1582,""CHANGE""),)"),0.63)</f>
        <v>0.63</v>
      </c>
      <c r="D1582" s="60">
        <f>IFERROR(__xludf.DUMMYFUNCTION("IFERROR(GOOGLEFINANCE(A1582,""CHANGEPCT""),)"),0.77)</f>
        <v>0.77</v>
      </c>
      <c r="E1582" s="60" t="str">
        <f t="shared" si="1"/>
        <v>0.77%</v>
      </c>
      <c r="F1582" s="60">
        <f t="shared" si="2"/>
        <v>0.77</v>
      </c>
      <c r="G1582" s="60" t="str">
        <f t="shared" si="3"/>
        <v/>
      </c>
      <c r="H1582" s="60">
        <f>IFERROR(__xludf.DUMMYFUNCTION("IFERROR(GOOGLEFINANCE(A1582,""PRICE""),)"),82.51)</f>
        <v>82.51</v>
      </c>
      <c r="I1582" s="61">
        <f>IFERROR(__xludf.DUMMYFUNCTION("IFERROR(GOOGLEFINANCE(A1582,""VOLUME""),)"),6451590.0)</f>
        <v>6451590</v>
      </c>
      <c r="J1582" s="60" t="str">
        <f>IFERROR(__xludf.DUMMYFUNCTION("IFERROR(INDEX(SPLIT(A1582,"":""),1,2),)"),"ZEEL")</f>
        <v>ZEEL</v>
      </c>
      <c r="K1582" s="60">
        <f t="shared" si="4"/>
        <v>799</v>
      </c>
      <c r="L1582" s="60" t="str">
        <f t="shared" si="5"/>
        <v/>
      </c>
      <c r="M1582" s="60">
        <f t="shared" si="6"/>
        <v>87</v>
      </c>
      <c r="N1582" s="62">
        <f>IFERROR(__xludf.DUMMYFUNCTION("IFERROR(GOOGLEFINANCE(A1582,""TRADETIME""),)"),46086.64584490741)</f>
        <v>46086.64584</v>
      </c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</row>
    <row r="1583">
      <c r="A1583" s="68" t="s">
        <v>1628</v>
      </c>
      <c r="B1583" s="64" t="str">
        <f>IFERROR(__xludf.DUMMYFUNCTION("IFERROR(GOOGLEFINANCE(A1583,""NAME""),)"),"Zee Learn Ltd")</f>
        <v>Zee Learn Ltd</v>
      </c>
      <c r="C1583" s="64">
        <f>IFERROR(__xludf.DUMMYFUNCTION("IFERROR(GOOGLEFINANCE(A1583,""CHANGE""),)"),0.04)</f>
        <v>0.04</v>
      </c>
      <c r="D1583" s="64">
        <f>IFERROR(__xludf.DUMMYFUNCTION("IFERROR(GOOGLEFINANCE(A1583,""CHANGEPCT""),)"),0.72)</f>
        <v>0.72</v>
      </c>
      <c r="E1583" s="64" t="str">
        <f t="shared" si="1"/>
        <v>0.72%</v>
      </c>
      <c r="F1583" s="64">
        <f t="shared" si="2"/>
        <v>0.72</v>
      </c>
      <c r="G1583" s="64" t="str">
        <f t="shared" si="3"/>
        <v/>
      </c>
      <c r="H1583" s="64">
        <f>IFERROR(__xludf.DUMMYFUNCTION("IFERROR(GOOGLEFINANCE(A1583,""PRICE""),)"),5.63)</f>
        <v>5.63</v>
      </c>
      <c r="I1583" s="65">
        <f>IFERROR(__xludf.DUMMYFUNCTION("IFERROR(GOOGLEFINANCE(A1583,""VOLUME""),)"),978775.0)</f>
        <v>978775</v>
      </c>
      <c r="J1583" s="64" t="str">
        <f>IFERROR(__xludf.DUMMYFUNCTION("IFERROR(INDEX(SPLIT(A1583,"":""),1,2),)"),"ZEELEARN")</f>
        <v>ZEELEARN</v>
      </c>
      <c r="K1583" s="64">
        <f t="shared" si="4"/>
        <v>819</v>
      </c>
      <c r="L1583" s="64" t="str">
        <f t="shared" si="5"/>
        <v/>
      </c>
      <c r="M1583" s="64">
        <f t="shared" si="6"/>
        <v>285</v>
      </c>
      <c r="N1583" s="66">
        <f>IFERROR(__xludf.DUMMYFUNCTION("IFERROR(GOOGLEFINANCE(A1583,""TRADETIME""),)"),46086.64583333333)</f>
        <v>46086.64583</v>
      </c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</row>
    <row r="1584">
      <c r="A1584" s="67" t="s">
        <v>1629</v>
      </c>
      <c r="B1584" s="60" t="str">
        <f>IFERROR(__xludf.DUMMYFUNCTION("IFERROR(GOOGLEFINANCE(A1584,""NAME""),)"),"Zee Media Corporation Ltd")</f>
        <v>Zee Media Corporation Ltd</v>
      </c>
      <c r="C1584" s="60">
        <f>IFERROR(__xludf.DUMMYFUNCTION("IFERROR(GOOGLEFINANCE(A1584,""CHANGE""),)"),0.22)</f>
        <v>0.22</v>
      </c>
      <c r="D1584" s="60">
        <f>IFERROR(__xludf.DUMMYFUNCTION("IFERROR(GOOGLEFINANCE(A1584,""CHANGEPCT""),)"),2.77)</f>
        <v>2.77</v>
      </c>
      <c r="E1584" s="60" t="str">
        <f t="shared" si="1"/>
        <v>2.77%</v>
      </c>
      <c r="F1584" s="60">
        <f t="shared" si="2"/>
        <v>2.77</v>
      </c>
      <c r="G1584" s="60" t="str">
        <f t="shared" si="3"/>
        <v/>
      </c>
      <c r="H1584" s="60">
        <f>IFERROR(__xludf.DUMMYFUNCTION("IFERROR(GOOGLEFINANCE(A1584,""PRICE""),)"),8.15)</f>
        <v>8.15</v>
      </c>
      <c r="I1584" s="61">
        <f>IFERROR(__xludf.DUMMYFUNCTION("IFERROR(GOOGLEFINANCE(A1584,""VOLUME""),)"),2285494.0)</f>
        <v>2285494</v>
      </c>
      <c r="J1584" s="60" t="str">
        <f>IFERROR(__xludf.DUMMYFUNCTION("IFERROR(INDEX(SPLIT(A1584,"":""),1,2),)"),"ZEEMEDIA")</f>
        <v>ZEEMEDIA</v>
      </c>
      <c r="K1584" s="60">
        <f t="shared" si="4"/>
        <v>298</v>
      </c>
      <c r="L1584" s="60" t="str">
        <f t="shared" si="5"/>
        <v/>
      </c>
      <c r="M1584" s="60">
        <f t="shared" si="6"/>
        <v>182</v>
      </c>
      <c r="N1584" s="62">
        <f>IFERROR(__xludf.DUMMYFUNCTION("IFERROR(GOOGLEFINANCE(A1584,""TRADETIME""),)"),46086.6403587963)</f>
        <v>46086.64036</v>
      </c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</row>
    <row r="1585">
      <c r="A1585" s="68" t="s">
        <v>1630</v>
      </c>
      <c r="B1585" s="64" t="str">
        <f>IFERROR(__xludf.DUMMYFUNCTION("IFERROR(GOOGLEFINANCE(A1585,""NAME""),)"),"Zenith Exports Ltd")</f>
        <v>Zenith Exports Ltd</v>
      </c>
      <c r="C1585" s="64">
        <f>IFERROR(__xludf.DUMMYFUNCTION("IFERROR(GOOGLEFINANCE(A1585,""CHANGE""),)"),7.91)</f>
        <v>7.91</v>
      </c>
      <c r="D1585" s="64">
        <f>IFERROR(__xludf.DUMMYFUNCTION("IFERROR(GOOGLEFINANCE(A1585,""CHANGEPCT""),)"),4.31)</f>
        <v>4.31</v>
      </c>
      <c r="E1585" s="64" t="str">
        <f t="shared" si="1"/>
        <v>4.31%</v>
      </c>
      <c r="F1585" s="64">
        <f t="shared" si="2"/>
        <v>4.31</v>
      </c>
      <c r="G1585" s="64" t="str">
        <f t="shared" si="3"/>
        <v/>
      </c>
      <c r="H1585" s="64">
        <f>IFERROR(__xludf.DUMMYFUNCTION("IFERROR(GOOGLEFINANCE(A1585,""PRICE""),)"),189.0)</f>
        <v>189</v>
      </c>
      <c r="I1585" s="65">
        <f>IFERROR(__xludf.DUMMYFUNCTION("IFERROR(GOOGLEFINANCE(A1585,""VOLUME""),)"),157.0)</f>
        <v>157</v>
      </c>
      <c r="J1585" s="64" t="str">
        <f>IFERROR(__xludf.DUMMYFUNCTION("IFERROR(INDEX(SPLIT(A1585,"":""),1,2),)"),"ZENITHEXPO")</f>
        <v>ZENITHEXPO</v>
      </c>
      <c r="K1585" s="64">
        <f t="shared" si="4"/>
        <v>121</v>
      </c>
      <c r="L1585" s="64" t="str">
        <f t="shared" si="5"/>
        <v/>
      </c>
      <c r="M1585" s="64">
        <f t="shared" si="6"/>
        <v>1457</v>
      </c>
      <c r="N1585" s="66">
        <f>IFERROR(__xludf.DUMMYFUNCTION("IFERROR(GOOGLEFINANCE(A1585,""TRADETIME""),)"),46086.64583333333)</f>
        <v>46086.64583</v>
      </c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</row>
    <row r="1586">
      <c r="A1586" s="67" t="s">
        <v>1631</v>
      </c>
      <c r="B1586" s="60" t="str">
        <f>IFERROR(__xludf.DUMMYFUNCTION("IFERROR(GOOGLEFINANCE(A1586,""NAME""),)"),"Zensar Technologies Ltd")</f>
        <v>Zensar Technologies Ltd</v>
      </c>
      <c r="C1586" s="60">
        <f>IFERROR(__xludf.DUMMYFUNCTION("IFERROR(GOOGLEFINANCE(A1586,""CHANGE""),)"),-6.55)</f>
        <v>-6.55</v>
      </c>
      <c r="D1586" s="60">
        <f>IFERROR(__xludf.DUMMYFUNCTION("IFERROR(GOOGLEFINANCE(A1586,""CHANGEPCT""),)"),-1.18)</f>
        <v>-1.18</v>
      </c>
      <c r="E1586" s="60" t="str">
        <f t="shared" si="1"/>
        <v>-1.18%</v>
      </c>
      <c r="F1586" s="60" t="str">
        <f t="shared" si="2"/>
        <v/>
      </c>
      <c r="G1586" s="60">
        <f t="shared" si="3"/>
        <v>-1.18</v>
      </c>
      <c r="H1586" s="60">
        <f>IFERROR(__xludf.DUMMYFUNCTION("IFERROR(GOOGLEFINANCE(A1586,""PRICE""),)"),547.9)</f>
        <v>547.9</v>
      </c>
      <c r="I1586" s="61">
        <f>IFERROR(__xludf.DUMMYFUNCTION("IFERROR(GOOGLEFINANCE(A1586,""VOLUME""),)"),525206.0)</f>
        <v>525206</v>
      </c>
      <c r="J1586" s="60" t="str">
        <f>IFERROR(__xludf.DUMMYFUNCTION("IFERROR(INDEX(SPLIT(A1586,"":""),1,2),)"),"ZENSARTECH")</f>
        <v>ZENSARTECH</v>
      </c>
      <c r="K1586" s="60" t="str">
        <f t="shared" si="4"/>
        <v/>
      </c>
      <c r="L1586" s="60">
        <f t="shared" si="5"/>
        <v>245</v>
      </c>
      <c r="M1586" s="60">
        <f t="shared" si="6"/>
        <v>390</v>
      </c>
      <c r="N1586" s="62">
        <f>IFERROR(__xludf.DUMMYFUNCTION("IFERROR(GOOGLEFINANCE(A1586,""TRADETIME""),)"),46086.64584490741)</f>
        <v>46086.64584</v>
      </c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</row>
    <row r="1587">
      <c r="A1587" s="68" t="s">
        <v>1632</v>
      </c>
      <c r="B1587" s="64" t="str">
        <f>IFERROR(__xludf.DUMMYFUNCTION("IFERROR(GOOGLEFINANCE(A1587,""NAME""),)"),"Zen Technologies Limited")</f>
        <v>Zen Technologies Limited</v>
      </c>
      <c r="C1587" s="64">
        <f>IFERROR(__xludf.DUMMYFUNCTION("IFERROR(GOOGLEFINANCE(A1587,""CHANGE""),)"),0.3)</f>
        <v>0.3</v>
      </c>
      <c r="D1587" s="64">
        <f>IFERROR(__xludf.DUMMYFUNCTION("IFERROR(GOOGLEFINANCE(A1587,""CHANGEPCT""),)"),0.02)</f>
        <v>0.02</v>
      </c>
      <c r="E1587" s="64" t="str">
        <f t="shared" si="1"/>
        <v>0.02%</v>
      </c>
      <c r="F1587" s="64">
        <f t="shared" si="2"/>
        <v>0.02</v>
      </c>
      <c r="G1587" s="64" t="str">
        <f t="shared" si="3"/>
        <v/>
      </c>
      <c r="H1587" s="64">
        <f>IFERROR(__xludf.DUMMYFUNCTION("IFERROR(GOOGLEFINANCE(A1587,""PRICE""),)"),1406.7)</f>
        <v>1406.7</v>
      </c>
      <c r="I1587" s="65">
        <f>IFERROR(__xludf.DUMMYFUNCTION("IFERROR(GOOGLEFINANCE(A1587,""VOLUME""),)"),1081644.0)</f>
        <v>1081644</v>
      </c>
      <c r="J1587" s="64" t="str">
        <f>IFERROR(__xludf.DUMMYFUNCTION("IFERROR(INDEX(SPLIT(A1587,"":""),1,2),)"),"ZENTEC")</f>
        <v>ZENTEC</v>
      </c>
      <c r="K1587" s="64">
        <f t="shared" si="4"/>
        <v>1000</v>
      </c>
      <c r="L1587" s="64" t="str">
        <f t="shared" si="5"/>
        <v/>
      </c>
      <c r="M1587" s="64">
        <f t="shared" si="6"/>
        <v>274</v>
      </c>
      <c r="N1587" s="66">
        <f>IFERROR(__xludf.DUMMYFUNCTION("IFERROR(GOOGLEFINANCE(A1587,""TRADETIME""),)"),46086.64584490741)</f>
        <v>46086.64584</v>
      </c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</row>
    <row r="1588">
      <c r="A1588" s="67" t="s">
        <v>1633</v>
      </c>
      <c r="B1588" s="60" t="str">
        <f>IFERROR(__xludf.DUMMYFUNCTION("IFERROR(GOOGLEFINANCE(A1588,""NAME""),)"),"Zodiac Clothing Company Ltd")</f>
        <v>Zodiac Clothing Company Ltd</v>
      </c>
      <c r="C1588" s="60">
        <f>IFERROR(__xludf.DUMMYFUNCTION("IFERROR(GOOGLEFINANCE(A1588,""CHANGE""),)"),2.35)</f>
        <v>2.35</v>
      </c>
      <c r="D1588" s="60">
        <f>IFERROR(__xludf.DUMMYFUNCTION("IFERROR(GOOGLEFINANCE(A1588,""CHANGEPCT""),)"),3.15)</f>
        <v>3.15</v>
      </c>
      <c r="E1588" s="60" t="str">
        <f t="shared" si="1"/>
        <v>3.15%</v>
      </c>
      <c r="F1588" s="60">
        <f t="shared" si="2"/>
        <v>3.15</v>
      </c>
      <c r="G1588" s="60" t="str">
        <f t="shared" si="3"/>
        <v/>
      </c>
      <c r="H1588" s="60">
        <f>IFERROR(__xludf.DUMMYFUNCTION("IFERROR(GOOGLEFINANCE(A1588,""PRICE""),)"),76.97)</f>
        <v>76.97</v>
      </c>
      <c r="I1588" s="61">
        <f>IFERROR(__xludf.DUMMYFUNCTION("IFERROR(GOOGLEFINANCE(A1588,""VOLUME""),)"),9560.0)</f>
        <v>9560</v>
      </c>
      <c r="J1588" s="60" t="str">
        <f>IFERROR(__xludf.DUMMYFUNCTION("IFERROR(INDEX(SPLIT(A1588,"":""),1,2),)"),"ZODIACLOTH")</f>
        <v>ZODIACLOTH</v>
      </c>
      <c r="K1588" s="60">
        <f t="shared" si="4"/>
        <v>231</v>
      </c>
      <c r="L1588" s="60" t="str">
        <f t="shared" si="5"/>
        <v/>
      </c>
      <c r="M1588" s="60">
        <f t="shared" si="6"/>
        <v>1269</v>
      </c>
      <c r="N1588" s="62">
        <f>IFERROR(__xludf.DUMMYFUNCTION("IFERROR(GOOGLEFINANCE(A1588,""TRADETIME""),)"),46086.64583333333)</f>
        <v>46086.64583</v>
      </c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</row>
    <row r="1589">
      <c r="A1589" s="68" t="s">
        <v>1634</v>
      </c>
      <c r="B1589" s="64" t="str">
        <f>IFERROR(__xludf.DUMMYFUNCTION("IFERROR(GOOGLEFINANCE(A1589,""NAME""),)"),"Zota Health Care Ltd")</f>
        <v>Zota Health Care Ltd</v>
      </c>
      <c r="C1589" s="64">
        <f>IFERROR(__xludf.DUMMYFUNCTION("IFERROR(GOOGLEFINANCE(A1589,""CHANGE""),)"),10.9)</f>
        <v>10.9</v>
      </c>
      <c r="D1589" s="64">
        <f>IFERROR(__xludf.DUMMYFUNCTION("IFERROR(GOOGLEFINANCE(A1589,""CHANGEPCT""),)"),1.48)</f>
        <v>1.48</v>
      </c>
      <c r="E1589" s="64" t="str">
        <f t="shared" si="1"/>
        <v>1.48%</v>
      </c>
      <c r="F1589" s="64">
        <f t="shared" si="2"/>
        <v>1.48</v>
      </c>
      <c r="G1589" s="64" t="str">
        <f t="shared" si="3"/>
        <v/>
      </c>
      <c r="H1589" s="64">
        <f>IFERROR(__xludf.DUMMYFUNCTION("IFERROR(GOOGLEFINANCE(A1589,""PRICE""),)"),1220.0)</f>
        <v>1220</v>
      </c>
      <c r="I1589" s="65">
        <f>IFERROR(__xludf.DUMMYFUNCTION("IFERROR(GOOGLEFINANCE(A1589,""VOLUME""),)"),19707.0)</f>
        <v>19707</v>
      </c>
      <c r="J1589" s="64" t="str">
        <f>IFERROR(__xludf.DUMMYFUNCTION("IFERROR(INDEX(SPLIT(A1589,"":""),1,2),)"),"ZOTA")</f>
        <v>ZOTA</v>
      </c>
      <c r="K1589" s="64">
        <f t="shared" si="4"/>
        <v>579</v>
      </c>
      <c r="L1589" s="64" t="str">
        <f t="shared" si="5"/>
        <v/>
      </c>
      <c r="M1589" s="64">
        <f t="shared" si="6"/>
        <v>1141</v>
      </c>
      <c r="N1589" s="66">
        <f>IFERROR(__xludf.DUMMYFUNCTION("IFERROR(GOOGLEFINANCE(A1589,""TRADETIME""),)"),46086.64586805555)</f>
        <v>46086.64587</v>
      </c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</row>
    <row r="1590">
      <c r="A1590" s="67" t="s">
        <v>1635</v>
      </c>
      <c r="B1590" s="60" t="str">
        <f>IFERROR(__xludf.DUMMYFUNCTION("IFERROR(GOOGLEFINANCE(A1590,""NAME""),)"),"Zuari Agro Chemicals Ltd")</f>
        <v>Zuari Agro Chemicals Ltd</v>
      </c>
      <c r="C1590" s="60">
        <f>IFERROR(__xludf.DUMMYFUNCTION("IFERROR(GOOGLEFINANCE(A1590,""CHANGE""),)"),-1.33)</f>
        <v>-1.33</v>
      </c>
      <c r="D1590" s="60">
        <f>IFERROR(__xludf.DUMMYFUNCTION("IFERROR(GOOGLEFINANCE(A1590,""CHANGEPCT""),)"),-0.63)</f>
        <v>-0.63</v>
      </c>
      <c r="E1590" s="60" t="str">
        <f t="shared" si="1"/>
        <v>-0.63%</v>
      </c>
      <c r="F1590" s="60" t="str">
        <f t="shared" si="2"/>
        <v/>
      </c>
      <c r="G1590" s="60">
        <f t="shared" si="3"/>
        <v>-0.63</v>
      </c>
      <c r="H1590" s="60">
        <f>IFERROR(__xludf.DUMMYFUNCTION("IFERROR(GOOGLEFINANCE(A1590,""PRICE""),)"),210.9)</f>
        <v>210.9</v>
      </c>
      <c r="I1590" s="61">
        <f>IFERROR(__xludf.DUMMYFUNCTION("IFERROR(GOOGLEFINANCE(A1590,""VOLUME""),)"),180092.0)</f>
        <v>180092</v>
      </c>
      <c r="J1590" s="60" t="str">
        <f>IFERROR(__xludf.DUMMYFUNCTION("IFERROR(INDEX(SPLIT(A1590,"":""),1,2),)"),"ZUARI")</f>
        <v>ZUARI</v>
      </c>
      <c r="K1590" s="60" t="str">
        <f t="shared" si="4"/>
        <v/>
      </c>
      <c r="L1590" s="60">
        <f t="shared" si="5"/>
        <v>154</v>
      </c>
      <c r="M1590" s="60">
        <f t="shared" si="6"/>
        <v>628</v>
      </c>
      <c r="N1590" s="62">
        <f>IFERROR(__xludf.DUMMYFUNCTION("IFERROR(GOOGLEFINANCE(A1590,""TRADETIME""),)"),46086.64583333333)</f>
        <v>46086.64583</v>
      </c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</row>
    <row r="1591">
      <c r="A1591" s="68" t="s">
        <v>1636</v>
      </c>
      <c r="B1591" s="64" t="str">
        <f>IFERROR(__xludf.DUMMYFUNCTION("IFERROR(GOOGLEFINANCE(A1591,""NAME""),)"),"Zuari Industries Ltd")</f>
        <v>Zuari Industries Ltd</v>
      </c>
      <c r="C1591" s="64">
        <f>IFERROR(__xludf.DUMMYFUNCTION("IFERROR(GOOGLEFINANCE(A1591,""CHANGE""),)"),2.1)</f>
        <v>2.1</v>
      </c>
      <c r="D1591" s="64">
        <f>IFERROR(__xludf.DUMMYFUNCTION("IFERROR(GOOGLEFINANCE(A1591,""CHANGEPCT""),)"),0.84)</f>
        <v>0.84</v>
      </c>
      <c r="E1591" s="64" t="str">
        <f t="shared" si="1"/>
        <v>0.84%</v>
      </c>
      <c r="F1591" s="64">
        <f t="shared" si="2"/>
        <v>0.84</v>
      </c>
      <c r="G1591" s="64" t="str">
        <f t="shared" si="3"/>
        <v/>
      </c>
      <c r="H1591" s="64">
        <f>IFERROR(__xludf.DUMMYFUNCTION("IFERROR(GOOGLEFINANCE(A1591,""PRICE""),)"),251.9)</f>
        <v>251.9</v>
      </c>
      <c r="I1591" s="65">
        <f>IFERROR(__xludf.DUMMYFUNCTION("IFERROR(GOOGLEFINANCE(A1591,""VOLUME""),)"),53035.0)</f>
        <v>53035</v>
      </c>
      <c r="J1591" s="64" t="str">
        <f>IFERROR(__xludf.DUMMYFUNCTION("IFERROR(INDEX(SPLIT(A1591,"":""),1,2),)"),"ZUARIIND")</f>
        <v>ZUARIIND</v>
      </c>
      <c r="K1591" s="64">
        <f t="shared" si="4"/>
        <v>771</v>
      </c>
      <c r="L1591" s="64" t="str">
        <f t="shared" si="5"/>
        <v/>
      </c>
      <c r="M1591" s="64">
        <f t="shared" si="6"/>
        <v>915</v>
      </c>
      <c r="N1591" s="66">
        <f>IFERROR(__xludf.DUMMYFUNCTION("IFERROR(GOOGLEFINANCE(A1591,""TRADETIME""),)"),46086.64085648148)</f>
        <v>46086.64086</v>
      </c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</row>
    <row r="1592">
      <c r="A1592" s="67" t="s">
        <v>1637</v>
      </c>
      <c r="B1592" s="60" t="str">
        <f>IFERROR(__xludf.DUMMYFUNCTION("IFERROR(GOOGLEFINANCE(A1592,""NAME""),)"),"Zydus Wellness Ltd")</f>
        <v>Zydus Wellness Ltd</v>
      </c>
      <c r="C1592" s="60">
        <f>IFERROR(__xludf.DUMMYFUNCTION("IFERROR(GOOGLEFINANCE(A1592,""CHANGE""),)"),5.3)</f>
        <v>5.3</v>
      </c>
      <c r="D1592" s="60">
        <f>IFERROR(__xludf.DUMMYFUNCTION("IFERROR(GOOGLEFINANCE(A1592,""CHANGEPCT""),)"),1.56)</f>
        <v>1.56</v>
      </c>
      <c r="E1592" s="60" t="str">
        <f t="shared" si="1"/>
        <v>1.56%</v>
      </c>
      <c r="F1592" s="60">
        <f t="shared" si="2"/>
        <v>1.56</v>
      </c>
      <c r="G1592" s="60" t="str">
        <f t="shared" si="3"/>
        <v/>
      </c>
      <c r="H1592" s="60">
        <f>IFERROR(__xludf.DUMMYFUNCTION("IFERROR(GOOGLEFINANCE(A1592,""PRICE""),)"),383.0)</f>
        <v>383</v>
      </c>
      <c r="I1592" s="61">
        <f>IFERROR(__xludf.DUMMYFUNCTION("IFERROR(GOOGLEFINANCE(A1592,""VOLUME""),)"),73672.0)</f>
        <v>73672</v>
      </c>
      <c r="J1592" s="60" t="str">
        <f>IFERROR(__xludf.DUMMYFUNCTION("IFERROR(INDEX(SPLIT(A1592,"":""),1,2),)"),"ZYDUSWELL")</f>
        <v>ZYDUSWELL</v>
      </c>
      <c r="K1592" s="60">
        <f t="shared" si="4"/>
        <v>552</v>
      </c>
      <c r="L1592" s="60" t="str">
        <f t="shared" si="5"/>
        <v/>
      </c>
      <c r="M1592" s="60">
        <f t="shared" si="6"/>
        <v>833</v>
      </c>
      <c r="N1592" s="62">
        <f>IFERROR(__xludf.DUMMYFUNCTION("IFERROR(GOOGLEFINANCE(A1592,""TRADETIME""),)"),46086.64583333333)</f>
        <v>46086.64583</v>
      </c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</row>
    <row r="1593">
      <c r="A1593" s="68" t="s">
        <v>1638</v>
      </c>
      <c r="B1593" s="64" t="str">
        <f>IFERROR(__xludf.DUMMYFUNCTION("IFERROR(GOOGLEFINANCE(A1593,""NAME""),)"),"Asian Paints Ltd")</f>
        <v>Asian Paints Ltd</v>
      </c>
      <c r="C1593" s="64">
        <f>IFERROR(__xludf.DUMMYFUNCTION("IFERROR(GOOGLEFINANCE(A1593,""CHANGE""),)"),2.05)</f>
        <v>2.05</v>
      </c>
      <c r="D1593" s="64">
        <f>IFERROR(__xludf.DUMMYFUNCTION("IFERROR(GOOGLEFINANCE(A1593,""CHANGEPCT""),)"),0.09)</f>
        <v>0.09</v>
      </c>
      <c r="E1593" s="64" t="str">
        <f t="shared" si="1"/>
        <v>0.09%</v>
      </c>
      <c r="F1593" s="64">
        <f t="shared" si="2"/>
        <v>0.09</v>
      </c>
      <c r="G1593" s="64" t="str">
        <f t="shared" si="3"/>
        <v/>
      </c>
      <c r="H1593" s="64">
        <f>IFERROR(__xludf.DUMMYFUNCTION("IFERROR(GOOGLEFINANCE(A1593,""PRICE""),)"),2287.7)</f>
        <v>2287.7</v>
      </c>
      <c r="I1593" s="65">
        <f>IFERROR(__xludf.DUMMYFUNCTION("IFERROR(GOOGLEFINANCE(A1593,""VOLUME""),)"),59997.0)</f>
        <v>59997</v>
      </c>
      <c r="J1593" s="64">
        <f>IFERROR(__xludf.DUMMYFUNCTION("IFERROR(INDEX(SPLIT(A1593,"":""),1,2),)"),500820.0)</f>
        <v>500820</v>
      </c>
      <c r="K1593" s="64">
        <f t="shared" si="4"/>
        <v>980</v>
      </c>
      <c r="L1593" s="64" t="str">
        <f t="shared" si="5"/>
        <v/>
      </c>
      <c r="M1593" s="64">
        <f t="shared" si="6"/>
        <v>881</v>
      </c>
      <c r="N1593" s="66">
        <f>IFERROR(__xludf.DUMMYFUNCTION("IFERROR(GOOGLEFINANCE(A1593,""TRADETIME""),)"),46086.64583333333)</f>
        <v>46086.64583</v>
      </c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</row>
    <row r="1594">
      <c r="A1594" s="67" t="s">
        <v>1639</v>
      </c>
      <c r="B1594" s="60" t="str">
        <f>IFERROR(__xludf.DUMMYFUNCTION("IFERROR(GOOGLEFINANCE(A1594,""NAME""),)"),"Axis Bank Ltd")</f>
        <v>Axis Bank Ltd</v>
      </c>
      <c r="C1594" s="60">
        <f>IFERROR(__xludf.DUMMYFUNCTION("IFERROR(GOOGLEFINANCE(A1594,""CHANGE""),)"),-1.65)</f>
        <v>-1.65</v>
      </c>
      <c r="D1594" s="60">
        <f>IFERROR(__xludf.DUMMYFUNCTION("IFERROR(GOOGLEFINANCE(A1594,""CHANGEPCT""),)"),-0.34)</f>
        <v>-0.34</v>
      </c>
      <c r="E1594" s="60" t="str">
        <f t="shared" si="1"/>
        <v>-0.34%</v>
      </c>
      <c r="F1594" s="60" t="str">
        <f t="shared" si="2"/>
        <v/>
      </c>
      <c r="G1594" s="60">
        <f t="shared" si="3"/>
        <v>-0.34</v>
      </c>
      <c r="H1594" s="60">
        <f>IFERROR(__xludf.DUMMYFUNCTION("IFERROR(GOOGLEFINANCE(A1594,""PRICE""),)"),1349.4)</f>
        <v>1349.4</v>
      </c>
      <c r="I1594" s="61">
        <f>IFERROR(__xludf.DUMMYFUNCTION("IFERROR(GOOGLEFINANCE(A1594,""VOLUME""),)"),271051.0)</f>
        <v>271051</v>
      </c>
      <c r="J1594" s="60">
        <f>IFERROR(__xludf.DUMMYFUNCTION("IFERROR(INDEX(SPLIT(A1594,"":""),1,2),)"),532215.0)</f>
        <v>532215</v>
      </c>
      <c r="K1594" s="60" t="str">
        <f t="shared" si="4"/>
        <v/>
      </c>
      <c r="L1594" s="60">
        <f t="shared" si="5"/>
        <v>88</v>
      </c>
      <c r="M1594" s="60">
        <f t="shared" si="6"/>
        <v>535</v>
      </c>
      <c r="N1594" s="62">
        <f>IFERROR(__xludf.DUMMYFUNCTION("IFERROR(GOOGLEFINANCE(A1594,""TRADETIME""),)"),46086.64583333333)</f>
        <v>46086.64583</v>
      </c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</row>
    <row r="1595">
      <c r="A1595" s="68" t="s">
        <v>1640</v>
      </c>
      <c r="B1595" s="64" t="str">
        <f>IFERROR(__xludf.DUMMYFUNCTION("IFERROR(GOOGLEFINANCE(A1595,""NAME""),)"),"Bajaj Auto Ltd")</f>
        <v>Bajaj Auto Ltd</v>
      </c>
      <c r="C1595" s="64">
        <f>IFERROR(__xludf.DUMMYFUNCTION("IFERROR(GOOGLEFINANCE(A1595,""CHANGE""),)"),177.3)</f>
        <v>177.3</v>
      </c>
      <c r="D1595" s="64">
        <f>IFERROR(__xludf.DUMMYFUNCTION("IFERROR(GOOGLEFINANCE(A1595,""CHANGEPCT""),)"),1.84)</f>
        <v>1.84</v>
      </c>
      <c r="E1595" s="64" t="str">
        <f t="shared" si="1"/>
        <v>1.84%</v>
      </c>
      <c r="F1595" s="64">
        <f t="shared" si="2"/>
        <v>1.84</v>
      </c>
      <c r="G1595" s="64" t="str">
        <f t="shared" si="3"/>
        <v/>
      </c>
      <c r="H1595" s="64">
        <f>IFERROR(__xludf.DUMMYFUNCTION("IFERROR(GOOGLEFINANCE(A1595,""PRICE""),)"),9818.15)</f>
        <v>9818.15</v>
      </c>
      <c r="I1595" s="65">
        <f>IFERROR(__xludf.DUMMYFUNCTION("IFERROR(GOOGLEFINANCE(A1595,""VOLUME""),)"),4655.0)</f>
        <v>4655</v>
      </c>
      <c r="J1595" s="64">
        <f>IFERROR(__xludf.DUMMYFUNCTION("IFERROR(INDEX(SPLIT(A1595,"":""),1,2),)"),532977.0)</f>
        <v>532977</v>
      </c>
      <c r="K1595" s="64">
        <f t="shared" si="4"/>
        <v>488</v>
      </c>
      <c r="L1595" s="64" t="str">
        <f t="shared" si="5"/>
        <v/>
      </c>
      <c r="M1595" s="64">
        <f t="shared" si="6"/>
        <v>1354</v>
      </c>
      <c r="N1595" s="66">
        <f>IFERROR(__xludf.DUMMYFUNCTION("IFERROR(GOOGLEFINANCE(A1595,""TRADETIME""),)"),46086.63967592592)</f>
        <v>46086.63968</v>
      </c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</row>
    <row r="1596">
      <c r="A1596" s="67" t="s">
        <v>1641</v>
      </c>
      <c r="B1596" s="60" t="str">
        <f>IFERROR(__xludf.DUMMYFUNCTION("IFERROR(GOOGLEFINANCE(A1596,""NAME""),)"),"Bajaj Finance Ltd")</f>
        <v>Bajaj Finance Ltd</v>
      </c>
      <c r="C1596" s="60">
        <f>IFERROR(__xludf.DUMMYFUNCTION("IFERROR(GOOGLEFINANCE(A1596,""CHANGE""),)"),18.4)</f>
        <v>18.4</v>
      </c>
      <c r="D1596" s="60">
        <f>IFERROR(__xludf.DUMMYFUNCTION("IFERROR(GOOGLEFINANCE(A1596,""CHANGEPCT""),)"),1.95)</f>
        <v>1.95</v>
      </c>
      <c r="E1596" s="60" t="str">
        <f t="shared" si="1"/>
        <v>1.95%</v>
      </c>
      <c r="F1596" s="60">
        <f t="shared" si="2"/>
        <v>1.95</v>
      </c>
      <c r="G1596" s="60" t="str">
        <f t="shared" si="3"/>
        <v/>
      </c>
      <c r="H1596" s="60">
        <f>IFERROR(__xludf.DUMMYFUNCTION("IFERROR(GOOGLEFINANCE(A1596,""PRICE""),)"),963.4)</f>
        <v>963.4</v>
      </c>
      <c r="I1596" s="61">
        <f>IFERROR(__xludf.DUMMYFUNCTION("IFERROR(GOOGLEFINANCE(A1596,""VOLUME""),)"),328361.0)</f>
        <v>328361</v>
      </c>
      <c r="J1596" s="60">
        <f>IFERROR(__xludf.DUMMYFUNCTION("IFERROR(INDEX(SPLIT(A1596,"":""),1,2),)"),500034.0)</f>
        <v>500034</v>
      </c>
      <c r="K1596" s="60">
        <f t="shared" si="4"/>
        <v>451</v>
      </c>
      <c r="L1596" s="60" t="str">
        <f t="shared" si="5"/>
        <v/>
      </c>
      <c r="M1596" s="60">
        <f t="shared" si="6"/>
        <v>493</v>
      </c>
      <c r="N1596" s="62">
        <f>IFERROR(__xludf.DUMMYFUNCTION("IFERROR(GOOGLEFINANCE(A1596,""TRADETIME""),)"),46086.64583333333)</f>
        <v>46086.64583</v>
      </c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</row>
    <row r="1597">
      <c r="A1597" s="68" t="s">
        <v>1642</v>
      </c>
      <c r="B1597" s="64" t="str">
        <f>IFERROR(__xludf.DUMMYFUNCTION("IFERROR(GOOGLEFINANCE(A1597,""NAME""),)"),"Bajaj Finserv Ltd")</f>
        <v>Bajaj Finserv Ltd</v>
      </c>
      <c r="C1597" s="64">
        <f>IFERROR(__xludf.DUMMYFUNCTION("IFERROR(GOOGLEFINANCE(A1597,""CHANGE""),)"),24.4)</f>
        <v>24.4</v>
      </c>
      <c r="D1597" s="64">
        <f>IFERROR(__xludf.DUMMYFUNCTION("IFERROR(GOOGLEFINANCE(A1597,""CHANGEPCT""),)"),1.29)</f>
        <v>1.29</v>
      </c>
      <c r="E1597" s="64" t="str">
        <f t="shared" si="1"/>
        <v>1.29%</v>
      </c>
      <c r="F1597" s="64">
        <f t="shared" si="2"/>
        <v>1.29</v>
      </c>
      <c r="G1597" s="64" t="str">
        <f t="shared" si="3"/>
        <v/>
      </c>
      <c r="H1597" s="64">
        <f>IFERROR(__xludf.DUMMYFUNCTION("IFERROR(GOOGLEFINANCE(A1597,""PRICE""),)"),1913.55)</f>
        <v>1913.55</v>
      </c>
      <c r="I1597" s="65">
        <f>IFERROR(__xludf.DUMMYFUNCTION("IFERROR(GOOGLEFINANCE(A1597,""VOLUME""),)"),109030.0)</f>
        <v>109030</v>
      </c>
      <c r="J1597" s="64">
        <f>IFERROR(__xludf.DUMMYFUNCTION("IFERROR(INDEX(SPLIT(A1597,"":""),1,2),)"),532978.0)</f>
        <v>532978</v>
      </c>
      <c r="K1597" s="64">
        <f t="shared" si="4"/>
        <v>646</v>
      </c>
      <c r="L1597" s="64" t="str">
        <f t="shared" si="5"/>
        <v/>
      </c>
      <c r="M1597" s="64">
        <f t="shared" si="6"/>
        <v>742</v>
      </c>
      <c r="N1597" s="66">
        <f>IFERROR(__xludf.DUMMYFUNCTION("IFERROR(GOOGLEFINANCE(A1597,""TRADETIME""),)"),46086.64583333333)</f>
        <v>46086.64583</v>
      </c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</row>
    <row r="1598">
      <c r="A1598" s="67" t="s">
        <v>1643</v>
      </c>
      <c r="B1598" s="60" t="str">
        <f>IFERROR(__xludf.DUMMYFUNCTION("IFERROR(GOOGLEFINANCE(A1598,""NAME""),)"),"Bharti Airtel Ltd")</f>
        <v>Bharti Airtel Ltd</v>
      </c>
      <c r="C1598" s="60">
        <f>IFERROR(__xludf.DUMMYFUNCTION("IFERROR(GOOGLEFINANCE(A1598,""CHANGE""),)"),1.95)</f>
        <v>1.95</v>
      </c>
      <c r="D1598" s="60">
        <f>IFERROR(__xludf.DUMMYFUNCTION("IFERROR(GOOGLEFINANCE(A1598,""CHANGEPCT""),)"),0.1)</f>
        <v>0.1</v>
      </c>
      <c r="E1598" s="60" t="str">
        <f t="shared" si="1"/>
        <v>0.1%</v>
      </c>
      <c r="F1598" s="60">
        <f t="shared" si="2"/>
        <v>0.1</v>
      </c>
      <c r="G1598" s="60" t="str">
        <f t="shared" si="3"/>
        <v/>
      </c>
      <c r="H1598" s="60">
        <f>IFERROR(__xludf.DUMMYFUNCTION("IFERROR(GOOGLEFINANCE(A1598,""PRICE""),)"),1908.7)</f>
        <v>1908.7</v>
      </c>
      <c r="I1598" s="61">
        <f>IFERROR(__xludf.DUMMYFUNCTION("IFERROR(GOOGLEFINANCE(A1598,""VOLUME""),)"),1895638.0)</f>
        <v>1895638</v>
      </c>
      <c r="J1598" s="60">
        <f>IFERROR(__xludf.DUMMYFUNCTION("IFERROR(INDEX(SPLIT(A1598,"":""),1,2),)"),532454.0)</f>
        <v>532454</v>
      </c>
      <c r="K1598" s="60">
        <f t="shared" si="4"/>
        <v>978</v>
      </c>
      <c r="L1598" s="60" t="str">
        <f t="shared" si="5"/>
        <v/>
      </c>
      <c r="M1598" s="60">
        <f t="shared" si="6"/>
        <v>213</v>
      </c>
      <c r="N1598" s="62">
        <f>IFERROR(__xludf.DUMMYFUNCTION("IFERROR(GOOGLEFINANCE(A1598,""TRADETIME""),)"),46086.64583333333)</f>
        <v>46086.64583</v>
      </c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</row>
    <row r="1599">
      <c r="A1599" s="68" t="s">
        <v>1644</v>
      </c>
      <c r="B1599" s="64" t="str">
        <f>IFERROR(__xludf.DUMMYFUNCTION("IFERROR(GOOGLEFINANCE(A1599,""NAME""),)"),"Dr Reddy's Laboratories Ltd")</f>
        <v>Dr Reddy's Laboratories Ltd</v>
      </c>
      <c r="C1599" s="64">
        <f>IFERROR(__xludf.DUMMYFUNCTION("IFERROR(GOOGLEFINANCE(A1599,""CHANGE""),)"),15.85)</f>
        <v>15.85</v>
      </c>
      <c r="D1599" s="64">
        <f>IFERROR(__xludf.DUMMYFUNCTION("IFERROR(GOOGLEFINANCE(A1599,""CHANGEPCT""),)"),1.23)</f>
        <v>1.23</v>
      </c>
      <c r="E1599" s="64" t="str">
        <f t="shared" si="1"/>
        <v>1.23%</v>
      </c>
      <c r="F1599" s="64">
        <f t="shared" si="2"/>
        <v>1.23</v>
      </c>
      <c r="G1599" s="64" t="str">
        <f t="shared" si="3"/>
        <v/>
      </c>
      <c r="H1599" s="64">
        <f>IFERROR(__xludf.DUMMYFUNCTION("IFERROR(GOOGLEFINANCE(A1599,""PRICE""),)"),1307.0)</f>
        <v>1307</v>
      </c>
      <c r="I1599" s="65">
        <f>IFERROR(__xludf.DUMMYFUNCTION("IFERROR(GOOGLEFINANCE(A1599,""VOLUME""),)"),49421.0)</f>
        <v>49421</v>
      </c>
      <c r="J1599" s="64">
        <f>IFERROR(__xludf.DUMMYFUNCTION("IFERROR(INDEX(SPLIT(A1599,"":""),1,2),)"),500124.0)</f>
        <v>500124</v>
      </c>
      <c r="K1599" s="64">
        <f t="shared" si="4"/>
        <v>662</v>
      </c>
      <c r="L1599" s="64" t="str">
        <f t="shared" si="5"/>
        <v/>
      </c>
      <c r="M1599" s="64">
        <f t="shared" si="6"/>
        <v>937</v>
      </c>
      <c r="N1599" s="66">
        <f>IFERROR(__xludf.DUMMYFUNCTION("IFERROR(GOOGLEFINANCE(A1599,""TRADETIME""),)"),46086.64583333333)</f>
        <v>46086.64583</v>
      </c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</row>
    <row r="1600">
      <c r="A1600" s="67" t="s">
        <v>1645</v>
      </c>
      <c r="B1600" s="60" t="str">
        <f>IFERROR(__xludf.DUMMYFUNCTION("IFERROR(GOOGLEFINANCE(A1600,""NAME""),)"),"HCL Technologies Ltd")</f>
        <v>HCL Technologies Ltd</v>
      </c>
      <c r="C1600" s="60">
        <f>IFERROR(__xludf.DUMMYFUNCTION("IFERROR(GOOGLEFINANCE(A1600,""CHANGE""),)"),-7.6)</f>
        <v>-7.6</v>
      </c>
      <c r="D1600" s="60">
        <f>IFERROR(__xludf.DUMMYFUNCTION("IFERROR(GOOGLEFINANCE(A1600,""CHANGEPCT""),)"),-0.56)</f>
        <v>-0.56</v>
      </c>
      <c r="E1600" s="60" t="str">
        <f t="shared" si="1"/>
        <v>-0.56%</v>
      </c>
      <c r="F1600" s="60" t="str">
        <f t="shared" si="2"/>
        <v/>
      </c>
      <c r="G1600" s="60">
        <f t="shared" si="3"/>
        <v>-0.56</v>
      </c>
      <c r="H1600" s="60">
        <f>IFERROR(__xludf.DUMMYFUNCTION("IFERROR(GOOGLEFINANCE(A1600,""PRICE""),)"),1356.4)</f>
        <v>1356.4</v>
      </c>
      <c r="I1600" s="61">
        <f>IFERROR(__xludf.DUMMYFUNCTION("IFERROR(GOOGLEFINANCE(A1600,""VOLUME""),)"),97998.0)</f>
        <v>97998</v>
      </c>
      <c r="J1600" s="60">
        <f>IFERROR(__xludf.DUMMYFUNCTION("IFERROR(INDEX(SPLIT(A1600,"":""),1,2),)"),532281.0)</f>
        <v>532281</v>
      </c>
      <c r="K1600" s="60" t="str">
        <f t="shared" si="4"/>
        <v/>
      </c>
      <c r="L1600" s="60">
        <f t="shared" si="5"/>
        <v>133</v>
      </c>
      <c r="M1600" s="60">
        <f t="shared" si="6"/>
        <v>760</v>
      </c>
      <c r="N1600" s="62">
        <f>IFERROR(__xludf.DUMMYFUNCTION("IFERROR(GOOGLEFINANCE(A1600,""TRADETIME""),)"),46086.64583333333)</f>
        <v>46086.64583</v>
      </c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</row>
    <row r="1601">
      <c r="A1601" s="68" t="s">
        <v>1646</v>
      </c>
      <c r="B1601" s="64" t="str">
        <f>IFERROR(__xludf.DUMMYFUNCTION("IFERROR(GOOGLEFINANCE(A1601,""NAME""),)"),"")</f>
        <v/>
      </c>
      <c r="C1601" s="64" t="str">
        <f>IFERROR(__xludf.DUMMYFUNCTION("IFERROR(GOOGLEFINANCE(A1601,""CHANGE""),)"),"")</f>
        <v/>
      </c>
      <c r="D1601" s="64" t="str">
        <f>IFERROR(__xludf.DUMMYFUNCTION("IFERROR(GOOGLEFINANCE(A1601,""CHANGEPCT""),)"),"")</f>
        <v/>
      </c>
      <c r="E1601" s="64" t="str">
        <f t="shared" si="1"/>
        <v>%</v>
      </c>
      <c r="F1601" s="64" t="str">
        <f t="shared" si="2"/>
        <v/>
      </c>
      <c r="G1601" s="64" t="str">
        <f t="shared" si="3"/>
        <v/>
      </c>
      <c r="H1601" s="64" t="str">
        <f>IFERROR(__xludf.DUMMYFUNCTION("IFERROR(GOOGLEFINANCE(A1601,""PRICE""),)"),"")</f>
        <v/>
      </c>
      <c r="I1601" s="65" t="str">
        <f>IFERROR(__xludf.DUMMYFUNCTION("IFERROR(GOOGLEFINANCE(A1601,""VOLUME""),)"),"")</f>
        <v/>
      </c>
      <c r="J1601" s="64">
        <f>IFERROR(__xludf.DUMMYFUNCTION("IFERROR(INDEX(SPLIT(A1601,"":""),1,2),)"),500010.0)</f>
        <v>500010</v>
      </c>
      <c r="K1601" s="64" t="str">
        <f t="shared" si="4"/>
        <v/>
      </c>
      <c r="L1601" s="64" t="str">
        <f t="shared" si="5"/>
        <v/>
      </c>
      <c r="M1601" s="64" t="str">
        <f t="shared" si="6"/>
        <v/>
      </c>
      <c r="N1601" s="66" t="str">
        <f>IFERROR(__xludf.DUMMYFUNCTION("IFERROR(GOOGLEFINANCE(A1601,""TRADETIME""),)"),"")</f>
        <v/>
      </c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</row>
    <row r="1602">
      <c r="A1602" s="67" t="s">
        <v>1647</v>
      </c>
      <c r="B1602" s="60" t="str">
        <f>IFERROR(__xludf.DUMMYFUNCTION("IFERROR(GOOGLEFINANCE(A1602,""NAME""),)"),"HDFC Bank Ltd")</f>
        <v>HDFC Bank Ltd</v>
      </c>
      <c r="C1602" s="60">
        <f>IFERROR(__xludf.DUMMYFUNCTION("IFERROR(GOOGLEFINANCE(A1602,""CHANGE""),)"),7.4)</f>
        <v>7.4</v>
      </c>
      <c r="D1602" s="60">
        <f>IFERROR(__xludf.DUMMYFUNCTION("IFERROR(GOOGLEFINANCE(A1602,""CHANGEPCT""),)"),0.85)</f>
        <v>0.85</v>
      </c>
      <c r="E1602" s="60" t="str">
        <f t="shared" si="1"/>
        <v>0.85%</v>
      </c>
      <c r="F1602" s="60">
        <f t="shared" si="2"/>
        <v>0.85</v>
      </c>
      <c r="G1602" s="60" t="str">
        <f t="shared" si="3"/>
        <v/>
      </c>
      <c r="H1602" s="60">
        <f>IFERROR(__xludf.DUMMYFUNCTION("IFERROR(GOOGLEFINANCE(A1602,""PRICE""),)"),875.8)</f>
        <v>875.8</v>
      </c>
      <c r="I1602" s="61">
        <f>IFERROR(__xludf.DUMMYFUNCTION("IFERROR(GOOGLEFINANCE(A1602,""VOLUME""),)"),1783470.0)</f>
        <v>1783470</v>
      </c>
      <c r="J1602" s="60">
        <f>IFERROR(__xludf.DUMMYFUNCTION("IFERROR(INDEX(SPLIT(A1602,"":""),1,2),)"),500180.0)</f>
        <v>500180</v>
      </c>
      <c r="K1602" s="60">
        <f t="shared" si="4"/>
        <v>765</v>
      </c>
      <c r="L1602" s="60" t="str">
        <f t="shared" si="5"/>
        <v/>
      </c>
      <c r="M1602" s="60">
        <f t="shared" si="6"/>
        <v>221</v>
      </c>
      <c r="N1602" s="62">
        <f>IFERROR(__xludf.DUMMYFUNCTION("IFERROR(GOOGLEFINANCE(A1602,""TRADETIME""),)"),46086.64583333333)</f>
        <v>46086.64583</v>
      </c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</row>
    <row r="1603">
      <c r="A1603" s="68" t="s">
        <v>1648</v>
      </c>
      <c r="B1603" s="64" t="str">
        <f>IFERROR(__xludf.DUMMYFUNCTION("IFERROR(GOOGLEFINANCE(A1603,""NAME""),)"),"Hindustan Unilever Ltd")</f>
        <v>Hindustan Unilever Ltd</v>
      </c>
      <c r="C1603" s="64">
        <f>IFERROR(__xludf.DUMMYFUNCTION("IFERROR(GOOGLEFINANCE(A1603,""CHANGE""),)"),-8.65)</f>
        <v>-8.65</v>
      </c>
      <c r="D1603" s="64">
        <f>IFERROR(__xludf.DUMMYFUNCTION("IFERROR(GOOGLEFINANCE(A1603,""CHANGEPCT""),)"),-0.38)</f>
        <v>-0.38</v>
      </c>
      <c r="E1603" s="64" t="str">
        <f t="shared" si="1"/>
        <v>-0.38%</v>
      </c>
      <c r="F1603" s="64" t="str">
        <f t="shared" si="2"/>
        <v/>
      </c>
      <c r="G1603" s="64">
        <f t="shared" si="3"/>
        <v>-0.38</v>
      </c>
      <c r="H1603" s="64">
        <f>IFERROR(__xludf.DUMMYFUNCTION("IFERROR(GOOGLEFINANCE(A1603,""PRICE""),)"),2254.0)</f>
        <v>2254</v>
      </c>
      <c r="I1603" s="65">
        <f>IFERROR(__xludf.DUMMYFUNCTION("IFERROR(GOOGLEFINANCE(A1603,""VOLUME""),)"),85544.0)</f>
        <v>85544</v>
      </c>
      <c r="J1603" s="64">
        <f>IFERROR(__xludf.DUMMYFUNCTION("IFERROR(INDEX(SPLIT(A1603,"":""),1,2),)"),500696.0)</f>
        <v>500696</v>
      </c>
      <c r="K1603" s="64" t="str">
        <f t="shared" si="4"/>
        <v/>
      </c>
      <c r="L1603" s="64">
        <f t="shared" si="5"/>
        <v>91</v>
      </c>
      <c r="M1603" s="64">
        <f t="shared" si="6"/>
        <v>798</v>
      </c>
      <c r="N1603" s="66">
        <f>IFERROR(__xludf.DUMMYFUNCTION("IFERROR(GOOGLEFINANCE(A1603,""TRADETIME""),)"),46086.64583333333)</f>
        <v>46086.64583</v>
      </c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</row>
    <row r="1604">
      <c r="A1604" s="67" t="s">
        <v>1649</v>
      </c>
      <c r="B1604" s="60" t="str">
        <f>IFERROR(__xludf.DUMMYFUNCTION("IFERROR(GOOGLEFINANCE(A1604,""NAME""),)"),"ICICI Bank Ltd")</f>
        <v>ICICI Bank Ltd</v>
      </c>
      <c r="C1604" s="60">
        <f>IFERROR(__xludf.DUMMYFUNCTION("IFERROR(GOOGLEFINANCE(A1604,""CHANGE""),)"),-11.2)</f>
        <v>-11.2</v>
      </c>
      <c r="D1604" s="60">
        <f>IFERROR(__xludf.DUMMYFUNCTION("IFERROR(GOOGLEFINANCE(A1604,""CHANGEPCT""),)"),-0.82)</f>
        <v>-0.82</v>
      </c>
      <c r="E1604" s="60" t="str">
        <f t="shared" si="1"/>
        <v>-0.82%</v>
      </c>
      <c r="F1604" s="60" t="str">
        <f t="shared" si="2"/>
        <v/>
      </c>
      <c r="G1604" s="60">
        <f t="shared" si="3"/>
        <v>-0.82</v>
      </c>
      <c r="H1604" s="60">
        <f>IFERROR(__xludf.DUMMYFUNCTION("IFERROR(GOOGLEFINANCE(A1604,""PRICE""),)"),1353.3)</f>
        <v>1353.3</v>
      </c>
      <c r="I1604" s="61">
        <f>IFERROR(__xludf.DUMMYFUNCTION("IFERROR(GOOGLEFINANCE(A1604,""VOLUME""),)"),659306.0)</f>
        <v>659306</v>
      </c>
      <c r="J1604" s="60">
        <f>IFERROR(__xludf.DUMMYFUNCTION("IFERROR(INDEX(SPLIT(A1604,"":""),1,2),)"),532174.0)</f>
        <v>532174</v>
      </c>
      <c r="K1604" s="60" t="str">
        <f t="shared" si="4"/>
        <v/>
      </c>
      <c r="L1604" s="60">
        <f t="shared" si="5"/>
        <v>187</v>
      </c>
      <c r="M1604" s="60">
        <f t="shared" si="6"/>
        <v>346</v>
      </c>
      <c r="N1604" s="62">
        <f>IFERROR(__xludf.DUMMYFUNCTION("IFERROR(GOOGLEFINANCE(A1604,""TRADETIME""),)"),46086.64583333333)</f>
        <v>46086.64583</v>
      </c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</row>
    <row r="1605">
      <c r="A1605" s="68" t="s">
        <v>1650</v>
      </c>
      <c r="B1605" s="64" t="str">
        <f>IFERROR(__xludf.DUMMYFUNCTION("IFERROR(GOOGLEFINANCE(A1605,""NAME""),)"),"Indusind Bank Ltd")</f>
        <v>Indusind Bank Ltd</v>
      </c>
      <c r="C1605" s="64">
        <f>IFERROR(__xludf.DUMMYFUNCTION("IFERROR(GOOGLEFINANCE(A1605,""CHANGE""),)"),8.65)</f>
        <v>8.65</v>
      </c>
      <c r="D1605" s="64">
        <f>IFERROR(__xludf.DUMMYFUNCTION("IFERROR(GOOGLEFINANCE(A1605,""CHANGEPCT""),)"),0.93)</f>
        <v>0.93</v>
      </c>
      <c r="E1605" s="64" t="str">
        <f t="shared" si="1"/>
        <v>0.93%</v>
      </c>
      <c r="F1605" s="64">
        <f t="shared" si="2"/>
        <v>0.93</v>
      </c>
      <c r="G1605" s="64" t="str">
        <f t="shared" si="3"/>
        <v/>
      </c>
      <c r="H1605" s="64">
        <f>IFERROR(__xludf.DUMMYFUNCTION("IFERROR(GOOGLEFINANCE(A1605,""PRICE""),)"),936.0)</f>
        <v>936</v>
      </c>
      <c r="I1605" s="65">
        <f>IFERROR(__xludf.DUMMYFUNCTION("IFERROR(GOOGLEFINANCE(A1605,""VOLUME""),)"),48090.0)</f>
        <v>48090</v>
      </c>
      <c r="J1605" s="64">
        <f>IFERROR(__xludf.DUMMYFUNCTION("IFERROR(INDEX(SPLIT(A1605,"":""),1,2),)"),532187.0)</f>
        <v>532187</v>
      </c>
      <c r="K1605" s="64">
        <f t="shared" si="4"/>
        <v>745</v>
      </c>
      <c r="L1605" s="64" t="str">
        <f t="shared" si="5"/>
        <v/>
      </c>
      <c r="M1605" s="64">
        <f t="shared" si="6"/>
        <v>944</v>
      </c>
      <c r="N1605" s="66">
        <f>IFERROR(__xludf.DUMMYFUNCTION("IFERROR(GOOGLEFINANCE(A1605,""TRADETIME""),)"),46086.64559027778)</f>
        <v>46086.64559</v>
      </c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</row>
    <row r="1606">
      <c r="A1606" s="67" t="s">
        <v>1651</v>
      </c>
      <c r="B1606" s="60" t="str">
        <f>IFERROR(__xludf.DUMMYFUNCTION("IFERROR(GOOGLEFINANCE(A1606,""NAME""),)"),"Infosys Ltd")</f>
        <v>Infosys Ltd</v>
      </c>
      <c r="C1606" s="60">
        <f>IFERROR(__xludf.DUMMYFUNCTION("IFERROR(GOOGLEFINANCE(A1606,""CHANGE""),)"),-1.25)</f>
        <v>-1.25</v>
      </c>
      <c r="D1606" s="60">
        <f>IFERROR(__xludf.DUMMYFUNCTION("IFERROR(GOOGLEFINANCE(A1606,""CHANGEPCT""),)"),-0.1)</f>
        <v>-0.1</v>
      </c>
      <c r="E1606" s="60" t="str">
        <f t="shared" si="1"/>
        <v>-0.1%</v>
      </c>
      <c r="F1606" s="60" t="str">
        <f t="shared" si="2"/>
        <v/>
      </c>
      <c r="G1606" s="60">
        <f t="shared" si="3"/>
        <v>-0.1</v>
      </c>
      <c r="H1606" s="60">
        <f>IFERROR(__xludf.DUMMYFUNCTION("IFERROR(GOOGLEFINANCE(A1606,""PRICE""),)"),1306.25)</f>
        <v>1306.25</v>
      </c>
      <c r="I1606" s="61">
        <f>IFERROR(__xludf.DUMMYFUNCTION("IFERROR(GOOGLEFINANCE(A1606,""VOLUME""),)"),366877.0)</f>
        <v>366877</v>
      </c>
      <c r="J1606" s="60">
        <f>IFERROR(__xludf.DUMMYFUNCTION("IFERROR(INDEX(SPLIT(A1606,"":""),1,2),)"),500209.0)</f>
        <v>500209</v>
      </c>
      <c r="K1606" s="60" t="str">
        <f t="shared" si="4"/>
        <v/>
      </c>
      <c r="L1606" s="60">
        <f t="shared" si="5"/>
        <v>28</v>
      </c>
      <c r="M1606" s="60">
        <f t="shared" si="6"/>
        <v>467</v>
      </c>
      <c r="N1606" s="62">
        <f>IFERROR(__xludf.DUMMYFUNCTION("IFERROR(GOOGLEFINANCE(A1606,""TRADETIME""),)"),46086.64583333333)</f>
        <v>46086.64583</v>
      </c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</row>
    <row r="1607">
      <c r="A1607" s="68" t="s">
        <v>1652</v>
      </c>
      <c r="B1607" s="64" t="str">
        <f>IFERROR(__xludf.DUMMYFUNCTION("IFERROR(GOOGLEFINANCE(A1607,""NAME""),)"),"ITC Ltd")</f>
        <v>ITC Ltd</v>
      </c>
      <c r="C1607" s="64">
        <f>IFERROR(__xludf.DUMMYFUNCTION("IFERROR(GOOGLEFINANCE(A1607,""CHANGE""),)"),-0.6)</f>
        <v>-0.6</v>
      </c>
      <c r="D1607" s="64">
        <f>IFERROR(__xludf.DUMMYFUNCTION("IFERROR(GOOGLEFINANCE(A1607,""CHANGEPCT""),)"),0.0)</f>
        <v>0</v>
      </c>
      <c r="E1607" s="64" t="str">
        <f t="shared" si="1"/>
        <v>0%</v>
      </c>
      <c r="F1607" s="64" t="str">
        <f t="shared" si="2"/>
        <v/>
      </c>
      <c r="G1607" s="64" t="str">
        <f t="shared" si="3"/>
        <v/>
      </c>
      <c r="H1607" s="64">
        <f>IFERROR(__xludf.DUMMYFUNCTION("IFERROR(GOOGLEFINANCE(A1607,""PRICE""),)"),312.0)</f>
        <v>312</v>
      </c>
      <c r="I1607" s="65">
        <f>IFERROR(__xludf.DUMMYFUNCTION("IFERROR(GOOGLEFINANCE(A1607,""VOLUME""),)"),972971.0)</f>
        <v>972971</v>
      </c>
      <c r="J1607" s="64">
        <f>IFERROR(__xludf.DUMMYFUNCTION("IFERROR(INDEX(SPLIT(A1607,"":""),1,2),)"),500875.0)</f>
        <v>500875</v>
      </c>
      <c r="K1607" s="64" t="str">
        <f t="shared" si="4"/>
        <v/>
      </c>
      <c r="L1607" s="64" t="str">
        <f t="shared" si="5"/>
        <v/>
      </c>
      <c r="M1607" s="64">
        <f t="shared" si="6"/>
        <v>286</v>
      </c>
      <c r="N1607" s="66">
        <f>IFERROR(__xludf.DUMMYFUNCTION("IFERROR(GOOGLEFINANCE(A1607,""TRADETIME""),)"),46086.64113425926)</f>
        <v>46086.64113</v>
      </c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</row>
    <row r="1608">
      <c r="A1608" s="67" t="s">
        <v>1653</v>
      </c>
      <c r="B1608" s="60" t="str">
        <f>IFERROR(__xludf.DUMMYFUNCTION("IFERROR(GOOGLEFINANCE(A1608,""NAME""),)"),"Kotak Mahindra Bank Ltd Fully Paid Ord. Shrs")</f>
        <v>Kotak Mahindra Bank Ltd Fully Paid Ord. Shrs</v>
      </c>
      <c r="C1608" s="60">
        <f>IFERROR(__xludf.DUMMYFUNCTION("IFERROR(GOOGLEFINANCE(A1608,""CHANGE""),)"),4.75)</f>
        <v>4.75</v>
      </c>
      <c r="D1608" s="60">
        <f>IFERROR(__xludf.DUMMYFUNCTION("IFERROR(GOOGLEFINANCE(A1608,""CHANGEPCT""),)"),1.18)</f>
        <v>1.18</v>
      </c>
      <c r="E1608" s="60" t="str">
        <f t="shared" si="1"/>
        <v>1.18%</v>
      </c>
      <c r="F1608" s="60">
        <f t="shared" si="2"/>
        <v>1.18</v>
      </c>
      <c r="G1608" s="60" t="str">
        <f t="shared" si="3"/>
        <v/>
      </c>
      <c r="H1608" s="60">
        <f>IFERROR(__xludf.DUMMYFUNCTION("IFERROR(GOOGLEFINANCE(A1608,""PRICE""),)"),406.8)</f>
        <v>406.8</v>
      </c>
      <c r="I1608" s="61">
        <f>IFERROR(__xludf.DUMMYFUNCTION("IFERROR(GOOGLEFINANCE(A1608,""VOLUME""),)"),165387.0)</f>
        <v>165387</v>
      </c>
      <c r="J1608" s="60">
        <f>IFERROR(__xludf.DUMMYFUNCTION("IFERROR(INDEX(SPLIT(A1608,"":""),1,2),)"),500247.0)</f>
        <v>500247</v>
      </c>
      <c r="K1608" s="60">
        <f t="shared" si="4"/>
        <v>671</v>
      </c>
      <c r="L1608" s="60" t="str">
        <f t="shared" si="5"/>
        <v/>
      </c>
      <c r="M1608" s="60">
        <f t="shared" si="6"/>
        <v>645</v>
      </c>
      <c r="N1608" s="62">
        <f>IFERROR(__xludf.DUMMYFUNCTION("IFERROR(GOOGLEFINANCE(A1608,""TRADETIME""),)"),46086.64583333333)</f>
        <v>46086.64583</v>
      </c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</row>
    <row r="1609">
      <c r="A1609" s="68" t="s">
        <v>1654</v>
      </c>
      <c r="B1609" s="64" t="str">
        <f>IFERROR(__xludf.DUMMYFUNCTION("IFERROR(GOOGLEFINANCE(A1609,""NAME""),)"),"Larsen and Toubro Ltd")</f>
        <v>Larsen and Toubro Ltd</v>
      </c>
      <c r="C1609" s="64">
        <f>IFERROR(__xludf.DUMMYFUNCTION("IFERROR(GOOGLEFINANCE(A1609,""CHANGE""),)"),142.85)</f>
        <v>142.85</v>
      </c>
      <c r="D1609" s="64">
        <f>IFERROR(__xludf.DUMMYFUNCTION("IFERROR(GOOGLEFINANCE(A1609,""CHANGEPCT""),)"),3.68)</f>
        <v>3.68</v>
      </c>
      <c r="E1609" s="64" t="str">
        <f t="shared" si="1"/>
        <v>3.68%</v>
      </c>
      <c r="F1609" s="64">
        <f t="shared" si="2"/>
        <v>3.68</v>
      </c>
      <c r="G1609" s="64" t="str">
        <f t="shared" si="3"/>
        <v/>
      </c>
      <c r="H1609" s="64">
        <f>IFERROR(__xludf.DUMMYFUNCTION("IFERROR(GOOGLEFINANCE(A1609,""PRICE""),)"),4025.0)</f>
        <v>4025</v>
      </c>
      <c r="I1609" s="65">
        <f>IFERROR(__xludf.DUMMYFUNCTION("IFERROR(GOOGLEFINANCE(A1609,""VOLUME""),)"),194466.0)</f>
        <v>194466</v>
      </c>
      <c r="J1609" s="64">
        <f>IFERROR(__xludf.DUMMYFUNCTION("IFERROR(INDEX(SPLIT(A1609,"":""),1,2),)"),500510.0)</f>
        <v>500510</v>
      </c>
      <c r="K1609" s="64">
        <f t="shared" si="4"/>
        <v>175</v>
      </c>
      <c r="L1609" s="64" t="str">
        <f t="shared" si="5"/>
        <v/>
      </c>
      <c r="M1609" s="64">
        <f t="shared" si="6"/>
        <v>614</v>
      </c>
      <c r="N1609" s="66">
        <f>IFERROR(__xludf.DUMMYFUNCTION("IFERROR(GOOGLEFINANCE(A1609,""TRADETIME""),)"),46086.64583333333)</f>
        <v>46086.64583</v>
      </c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</row>
    <row r="1610">
      <c r="A1610" s="67" t="s">
        <v>1655</v>
      </c>
      <c r="B1610" s="60" t="str">
        <f>IFERROR(__xludf.DUMMYFUNCTION("IFERROR(GOOGLEFINANCE(A1610,""NAME""),)"),"Mahindra And Mahindra Ltd")</f>
        <v>Mahindra And Mahindra Ltd</v>
      </c>
      <c r="C1610" s="60">
        <f>IFERROR(__xludf.DUMMYFUNCTION("IFERROR(GOOGLEFINANCE(A1610,""CHANGE""),)"),89.0)</f>
        <v>89</v>
      </c>
      <c r="D1610" s="60">
        <f>IFERROR(__xludf.DUMMYFUNCTION("IFERROR(GOOGLEFINANCE(A1610,""CHANGEPCT""),)"),2.73)</f>
        <v>2.73</v>
      </c>
      <c r="E1610" s="60" t="str">
        <f t="shared" si="1"/>
        <v>2.73%</v>
      </c>
      <c r="F1610" s="60">
        <f t="shared" si="2"/>
        <v>2.73</v>
      </c>
      <c r="G1610" s="60" t="str">
        <f t="shared" si="3"/>
        <v/>
      </c>
      <c r="H1610" s="60">
        <f>IFERROR(__xludf.DUMMYFUNCTION("IFERROR(GOOGLEFINANCE(A1610,""PRICE""),)"),3347.9)</f>
        <v>3347.9</v>
      </c>
      <c r="I1610" s="61">
        <f>IFERROR(__xludf.DUMMYFUNCTION("IFERROR(GOOGLEFINANCE(A1610,""VOLUME""),)"),73732.0)</f>
        <v>73732</v>
      </c>
      <c r="J1610" s="60">
        <f>IFERROR(__xludf.DUMMYFUNCTION("IFERROR(INDEX(SPLIT(A1610,"":""),1,2),)"),500520.0)</f>
        <v>500520</v>
      </c>
      <c r="K1610" s="60">
        <f t="shared" si="4"/>
        <v>306</v>
      </c>
      <c r="L1610" s="60" t="str">
        <f t="shared" si="5"/>
        <v/>
      </c>
      <c r="M1610" s="60">
        <f t="shared" si="6"/>
        <v>832</v>
      </c>
      <c r="N1610" s="62">
        <f>IFERROR(__xludf.DUMMYFUNCTION("IFERROR(GOOGLEFINANCE(A1610,""TRADETIME""),)"),46086.64583333333)</f>
        <v>46086.64583</v>
      </c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</row>
    <row r="1611">
      <c r="A1611" s="68" t="s">
        <v>1656</v>
      </c>
      <c r="B1611" s="64" t="str">
        <f>IFERROR(__xludf.DUMMYFUNCTION("IFERROR(GOOGLEFINANCE(A1611,""NAME""),)"),"Maruti Suzuki India Ltd")</f>
        <v>Maruti Suzuki India Ltd</v>
      </c>
      <c r="C1611" s="64">
        <f>IFERROR(__xludf.DUMMYFUNCTION("IFERROR(GOOGLEFINANCE(A1611,""CHANGE""),)"),296.55)</f>
        <v>296.55</v>
      </c>
      <c r="D1611" s="64">
        <f>IFERROR(__xludf.DUMMYFUNCTION("IFERROR(GOOGLEFINANCE(A1611,""CHANGEPCT""),)"),2.1)</f>
        <v>2.1</v>
      </c>
      <c r="E1611" s="64" t="str">
        <f t="shared" si="1"/>
        <v>2.1%</v>
      </c>
      <c r="F1611" s="64">
        <f t="shared" si="2"/>
        <v>2.1</v>
      </c>
      <c r="G1611" s="64" t="str">
        <f t="shared" si="3"/>
        <v/>
      </c>
      <c r="H1611" s="64">
        <f>IFERROR(__xludf.DUMMYFUNCTION("IFERROR(GOOGLEFINANCE(A1611,""PRICE""),)"),14449.0)</f>
        <v>14449</v>
      </c>
      <c r="I1611" s="65">
        <f>IFERROR(__xludf.DUMMYFUNCTION("IFERROR(GOOGLEFINANCE(A1611,""VOLUME""),)"),20274.0)</f>
        <v>20274</v>
      </c>
      <c r="J1611" s="64">
        <f>IFERROR(__xludf.DUMMYFUNCTION("IFERROR(INDEX(SPLIT(A1611,"":""),1,2),)"),532500.0)</f>
        <v>532500</v>
      </c>
      <c r="K1611" s="64">
        <f t="shared" si="4"/>
        <v>420</v>
      </c>
      <c r="L1611" s="64" t="str">
        <f t="shared" si="5"/>
        <v/>
      </c>
      <c r="M1611" s="64">
        <f t="shared" si="6"/>
        <v>1137</v>
      </c>
      <c r="N1611" s="66">
        <f>IFERROR(__xludf.DUMMYFUNCTION("IFERROR(GOOGLEFINANCE(A1611,""TRADETIME""),)"),46086.6396412037)</f>
        <v>46086.63964</v>
      </c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</row>
    <row r="1612">
      <c r="A1612" s="67" t="s">
        <v>1657</v>
      </c>
      <c r="B1612" s="60" t="str">
        <f>IFERROR(__xludf.DUMMYFUNCTION("IFERROR(GOOGLEFINANCE(A1612,""NAME""),)"),"Nestle India Ltd")</f>
        <v>Nestle India Ltd</v>
      </c>
      <c r="C1612" s="60">
        <f>IFERROR(__xludf.DUMMYFUNCTION("IFERROR(GOOGLEFINANCE(A1612,""CHANGE""),)"),2.05)</f>
        <v>2.05</v>
      </c>
      <c r="D1612" s="60">
        <f>IFERROR(__xludf.DUMMYFUNCTION("IFERROR(GOOGLEFINANCE(A1612,""CHANGEPCT""),)"),0.16)</f>
        <v>0.16</v>
      </c>
      <c r="E1612" s="60" t="str">
        <f t="shared" si="1"/>
        <v>0.16%</v>
      </c>
      <c r="F1612" s="60">
        <f t="shared" si="2"/>
        <v>0.16</v>
      </c>
      <c r="G1612" s="60" t="str">
        <f t="shared" si="3"/>
        <v/>
      </c>
      <c r="H1612" s="60">
        <f>IFERROR(__xludf.DUMMYFUNCTION("IFERROR(GOOGLEFINANCE(A1612,""PRICE""),)"),1246.65)</f>
        <v>1246.65</v>
      </c>
      <c r="I1612" s="61">
        <f>IFERROR(__xludf.DUMMYFUNCTION("IFERROR(GOOGLEFINANCE(A1612,""VOLUME""),)"),18834.0)</f>
        <v>18834</v>
      </c>
      <c r="J1612" s="60">
        <f>IFERROR(__xludf.DUMMYFUNCTION("IFERROR(INDEX(SPLIT(A1612,"":""),1,2),)"),500790.0)</f>
        <v>500790</v>
      </c>
      <c r="K1612" s="60">
        <f t="shared" si="4"/>
        <v>962</v>
      </c>
      <c r="L1612" s="60" t="str">
        <f t="shared" si="5"/>
        <v/>
      </c>
      <c r="M1612" s="60">
        <f t="shared" si="6"/>
        <v>1156</v>
      </c>
      <c r="N1612" s="62">
        <f>IFERROR(__xludf.DUMMYFUNCTION("IFERROR(GOOGLEFINANCE(A1612,""TRADETIME""),)"),46086.64583333333)</f>
        <v>46086.64583</v>
      </c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</row>
    <row r="1613">
      <c r="A1613" s="68" t="s">
        <v>1658</v>
      </c>
      <c r="B1613" s="64" t="str">
        <f>IFERROR(__xludf.DUMMYFUNCTION("IFERROR(GOOGLEFINANCE(A1613,""NAME""),)"),"NTPC Ltd")</f>
        <v>NTPC Ltd</v>
      </c>
      <c r="C1613" s="64">
        <f>IFERROR(__xludf.DUMMYFUNCTION("IFERROR(GOOGLEFINANCE(A1613,""CHANGE""),)"),11.5)</f>
        <v>11.5</v>
      </c>
      <c r="D1613" s="64">
        <f>IFERROR(__xludf.DUMMYFUNCTION("IFERROR(GOOGLEFINANCE(A1613,""CHANGEPCT""),)"),3.23)</f>
        <v>3.23</v>
      </c>
      <c r="E1613" s="64" t="str">
        <f t="shared" si="1"/>
        <v>3.23%</v>
      </c>
      <c r="F1613" s="64">
        <f t="shared" si="2"/>
        <v>3.23</v>
      </c>
      <c r="G1613" s="64" t="str">
        <f t="shared" si="3"/>
        <v/>
      </c>
      <c r="H1613" s="64">
        <f>IFERROR(__xludf.DUMMYFUNCTION("IFERROR(GOOGLEFINANCE(A1613,""PRICE""),)"),377.1)</f>
        <v>377.1</v>
      </c>
      <c r="I1613" s="65">
        <f>IFERROR(__xludf.DUMMYFUNCTION("IFERROR(GOOGLEFINANCE(A1613,""VOLUME""),)"),2012506.0)</f>
        <v>2012506</v>
      </c>
      <c r="J1613" s="64">
        <f>IFERROR(__xludf.DUMMYFUNCTION("IFERROR(INDEX(SPLIT(A1613,"":""),1,2),)"),532555.0)</f>
        <v>532555</v>
      </c>
      <c r="K1613" s="64">
        <f t="shared" si="4"/>
        <v>220</v>
      </c>
      <c r="L1613" s="64" t="str">
        <f t="shared" si="5"/>
        <v/>
      </c>
      <c r="M1613" s="64">
        <f t="shared" si="6"/>
        <v>203</v>
      </c>
      <c r="N1613" s="66">
        <f>IFERROR(__xludf.DUMMYFUNCTION("IFERROR(GOOGLEFINANCE(A1613,""TRADETIME""),)"),46086.64583333333)</f>
        <v>46086.64583</v>
      </c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</row>
    <row r="1614">
      <c r="A1614" s="67" t="s">
        <v>1659</v>
      </c>
      <c r="B1614" s="60" t="str">
        <f>IFERROR(__xludf.DUMMYFUNCTION("IFERROR(GOOGLEFINANCE(A1614,""NAME""),)"),"Oil and Natural Gas Corporation Ltd")</f>
        <v>Oil and Natural Gas Corporation Ltd</v>
      </c>
      <c r="C1614" s="60">
        <f>IFERROR(__xludf.DUMMYFUNCTION("IFERROR(GOOGLEFINANCE(A1614,""CHANGE""),)"),-0.15)</f>
        <v>-0.15</v>
      </c>
      <c r="D1614" s="60">
        <f>IFERROR(__xludf.DUMMYFUNCTION("IFERROR(GOOGLEFINANCE(A1614,""CHANGEPCT""),)"),-0.05)</f>
        <v>-0.05</v>
      </c>
      <c r="E1614" s="60" t="str">
        <f t="shared" si="1"/>
        <v>-0.05%</v>
      </c>
      <c r="F1614" s="60" t="str">
        <f t="shared" si="2"/>
        <v/>
      </c>
      <c r="G1614" s="60">
        <f t="shared" si="3"/>
        <v>-0.05</v>
      </c>
      <c r="H1614" s="60">
        <f>IFERROR(__xludf.DUMMYFUNCTION("IFERROR(GOOGLEFINANCE(A1614,""PRICE""),)"),276.9)</f>
        <v>276.9</v>
      </c>
      <c r="I1614" s="61">
        <f>IFERROR(__xludf.DUMMYFUNCTION("IFERROR(GOOGLEFINANCE(A1614,""VOLUME""),)"),4979471.0)</f>
        <v>4979471</v>
      </c>
      <c r="J1614" s="60">
        <f>IFERROR(__xludf.DUMMYFUNCTION("IFERROR(INDEX(SPLIT(A1614,"":""),1,2),)"),500312.0)</f>
        <v>500312</v>
      </c>
      <c r="K1614" s="60" t="str">
        <f t="shared" si="4"/>
        <v/>
      </c>
      <c r="L1614" s="60">
        <f t="shared" si="5"/>
        <v>14</v>
      </c>
      <c r="M1614" s="60">
        <f t="shared" si="6"/>
        <v>110</v>
      </c>
      <c r="N1614" s="62">
        <f>IFERROR(__xludf.DUMMYFUNCTION("IFERROR(GOOGLEFINANCE(A1614,""TRADETIME""),)"),46086.64583333333)</f>
        <v>46086.64583</v>
      </c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</row>
    <row r="1615">
      <c r="A1615" s="68" t="s">
        <v>1660</v>
      </c>
      <c r="B1615" s="64" t="str">
        <f>IFERROR(__xludf.DUMMYFUNCTION("IFERROR(GOOGLEFINANCE(A1615,""NAME""),)"),"Power Grid Corporation of India Ltd")</f>
        <v>Power Grid Corporation of India Ltd</v>
      </c>
      <c r="C1615" s="64">
        <f>IFERROR(__xludf.DUMMYFUNCTION("IFERROR(GOOGLEFINANCE(A1615,""CHANGE""),)"),6.8)</f>
        <v>6.8</v>
      </c>
      <c r="D1615" s="64">
        <f>IFERROR(__xludf.DUMMYFUNCTION("IFERROR(GOOGLEFINANCE(A1615,""CHANGEPCT""),)"),2.33)</f>
        <v>2.33</v>
      </c>
      <c r="E1615" s="64" t="str">
        <f t="shared" si="1"/>
        <v>2.33%</v>
      </c>
      <c r="F1615" s="64">
        <f t="shared" si="2"/>
        <v>2.33</v>
      </c>
      <c r="G1615" s="64" t="str">
        <f t="shared" si="3"/>
        <v/>
      </c>
      <c r="H1615" s="64">
        <f>IFERROR(__xludf.DUMMYFUNCTION("IFERROR(GOOGLEFINANCE(A1615,""PRICE""),)"),298.5)</f>
        <v>298.5</v>
      </c>
      <c r="I1615" s="65">
        <f>IFERROR(__xludf.DUMMYFUNCTION("IFERROR(GOOGLEFINANCE(A1615,""VOLUME""),)"),880684.0)</f>
        <v>880684</v>
      </c>
      <c r="J1615" s="64">
        <f>IFERROR(__xludf.DUMMYFUNCTION("IFERROR(INDEX(SPLIT(A1615,"":""),1,2),)"),532898.0)</f>
        <v>532898</v>
      </c>
      <c r="K1615" s="64">
        <f t="shared" si="4"/>
        <v>369</v>
      </c>
      <c r="L1615" s="64" t="str">
        <f t="shared" si="5"/>
        <v/>
      </c>
      <c r="M1615" s="64">
        <f t="shared" si="6"/>
        <v>305</v>
      </c>
      <c r="N1615" s="66">
        <f>IFERROR(__xludf.DUMMYFUNCTION("IFERROR(GOOGLEFINANCE(A1615,""TRADETIME""),)"),46086.64583333333)</f>
        <v>46086.64583</v>
      </c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</row>
    <row r="1616">
      <c r="A1616" s="67" t="s">
        <v>1661</v>
      </c>
      <c r="B1616" s="60" t="str">
        <f>IFERROR(__xludf.DUMMYFUNCTION("IFERROR(GOOGLEFINANCE(A1616,""NAME""),)"),"Reliance Industries Ltd")</f>
        <v>Reliance Industries Ltd</v>
      </c>
      <c r="C1616" s="60">
        <f>IFERROR(__xludf.DUMMYFUNCTION("IFERROR(GOOGLEFINANCE(A1616,""CHANGE""),)"),41.55)</f>
        <v>41.55</v>
      </c>
      <c r="D1616" s="60">
        <f>IFERROR(__xludf.DUMMYFUNCTION("IFERROR(GOOGLEFINANCE(A1616,""CHANGEPCT""),)"),3.09)</f>
        <v>3.09</v>
      </c>
      <c r="E1616" s="60" t="str">
        <f t="shared" si="1"/>
        <v>3.09%</v>
      </c>
      <c r="F1616" s="60">
        <f t="shared" si="2"/>
        <v>3.09</v>
      </c>
      <c r="G1616" s="60" t="str">
        <f t="shared" si="3"/>
        <v/>
      </c>
      <c r="H1616" s="60">
        <f>IFERROR(__xludf.DUMMYFUNCTION("IFERROR(GOOGLEFINANCE(A1616,""PRICE""),)"),1387.1)</f>
        <v>1387.1</v>
      </c>
      <c r="I1616" s="61">
        <f>IFERROR(__xludf.DUMMYFUNCTION("IFERROR(GOOGLEFINANCE(A1616,""VOLUME""),)"),1513137.0)</f>
        <v>1513137</v>
      </c>
      <c r="J1616" s="60">
        <f>IFERROR(__xludf.DUMMYFUNCTION("IFERROR(INDEX(SPLIT(A1616,"":""),1,2),)"),500325.0)</f>
        <v>500325</v>
      </c>
      <c r="K1616" s="60">
        <f t="shared" si="4"/>
        <v>240</v>
      </c>
      <c r="L1616" s="60" t="str">
        <f t="shared" si="5"/>
        <v/>
      </c>
      <c r="M1616" s="60">
        <f t="shared" si="6"/>
        <v>240</v>
      </c>
      <c r="N1616" s="62">
        <f>IFERROR(__xludf.DUMMYFUNCTION("IFERROR(GOOGLEFINANCE(A1616,""TRADETIME""),)"),46086.64583333333)</f>
        <v>46086.64583</v>
      </c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</row>
    <row r="1617">
      <c r="A1617" s="68" t="s">
        <v>1662</v>
      </c>
      <c r="B1617" s="64" t="str">
        <f>IFERROR(__xludf.DUMMYFUNCTION("IFERROR(GOOGLEFINANCE(A1617,""NAME""),)"),"State Bank of India")</f>
        <v>State Bank of India</v>
      </c>
      <c r="C1617" s="64">
        <f>IFERROR(__xludf.DUMMYFUNCTION("IFERROR(GOOGLEFINANCE(A1617,""CHANGE""),)"),-3.5)</f>
        <v>-3.5</v>
      </c>
      <c r="D1617" s="64">
        <f>IFERROR(__xludf.DUMMYFUNCTION("IFERROR(GOOGLEFINANCE(A1617,""CHANGEPCT""),)"),-0.3)</f>
        <v>-0.3</v>
      </c>
      <c r="E1617" s="64" t="str">
        <f t="shared" si="1"/>
        <v>-0.3%</v>
      </c>
      <c r="F1617" s="64" t="str">
        <f t="shared" si="2"/>
        <v/>
      </c>
      <c r="G1617" s="64">
        <f t="shared" si="3"/>
        <v>-0.3</v>
      </c>
      <c r="H1617" s="64">
        <f>IFERROR(__xludf.DUMMYFUNCTION("IFERROR(GOOGLEFINANCE(A1617,""PRICE""),)"),1167.35)</f>
        <v>1167.35</v>
      </c>
      <c r="I1617" s="65">
        <f>IFERROR(__xludf.DUMMYFUNCTION("IFERROR(GOOGLEFINANCE(A1617,""VOLUME""),)"),1320602.0)</f>
        <v>1320602</v>
      </c>
      <c r="J1617" s="64">
        <f>IFERROR(__xludf.DUMMYFUNCTION("IFERROR(INDEX(SPLIT(A1617,"":""),1,2),)"),500112.0)</f>
        <v>500112</v>
      </c>
      <c r="K1617" s="64" t="str">
        <f t="shared" si="4"/>
        <v/>
      </c>
      <c r="L1617" s="64">
        <f t="shared" si="5"/>
        <v>79</v>
      </c>
      <c r="M1617" s="64">
        <f t="shared" si="6"/>
        <v>253</v>
      </c>
      <c r="N1617" s="66">
        <f>IFERROR(__xludf.DUMMYFUNCTION("IFERROR(GOOGLEFINANCE(A1617,""TRADETIME""),)"),46086.64583333333)</f>
        <v>46086.64583</v>
      </c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</row>
    <row r="1618">
      <c r="A1618" s="67" t="s">
        <v>1663</v>
      </c>
      <c r="B1618" s="60" t="str">
        <f>IFERROR(__xludf.DUMMYFUNCTION("IFERROR(GOOGLEFINANCE(A1618,""NAME""),)"),"Sun Pharmaceutical Industries Ltd")</f>
        <v>Sun Pharmaceutical Industries Ltd</v>
      </c>
      <c r="C1618" s="60">
        <f>IFERROR(__xludf.DUMMYFUNCTION("IFERROR(GOOGLEFINANCE(A1618,""CHANGE""),)"),30.65)</f>
        <v>30.65</v>
      </c>
      <c r="D1618" s="60">
        <f>IFERROR(__xludf.DUMMYFUNCTION("IFERROR(GOOGLEFINANCE(A1618,""CHANGEPCT""),)"),1.75)</f>
        <v>1.75</v>
      </c>
      <c r="E1618" s="60" t="str">
        <f t="shared" si="1"/>
        <v>1.75%</v>
      </c>
      <c r="F1618" s="60">
        <f t="shared" si="2"/>
        <v>1.75</v>
      </c>
      <c r="G1618" s="60" t="str">
        <f t="shared" si="3"/>
        <v/>
      </c>
      <c r="H1618" s="60">
        <f>IFERROR(__xludf.DUMMYFUNCTION("IFERROR(GOOGLEFINANCE(A1618,""PRICE""),)"),1780.55)</f>
        <v>1780.55</v>
      </c>
      <c r="I1618" s="61">
        <f>IFERROR(__xludf.DUMMYFUNCTION("IFERROR(GOOGLEFINANCE(A1618,""VOLUME""),)"),237933.0)</f>
        <v>237933</v>
      </c>
      <c r="J1618" s="60">
        <f>IFERROR(__xludf.DUMMYFUNCTION("IFERROR(INDEX(SPLIT(A1618,"":""),1,2),)"),524715.0)</f>
        <v>524715</v>
      </c>
      <c r="K1618" s="60">
        <f t="shared" si="4"/>
        <v>509</v>
      </c>
      <c r="L1618" s="60" t="str">
        <f t="shared" si="5"/>
        <v/>
      </c>
      <c r="M1618" s="60">
        <f t="shared" si="6"/>
        <v>567</v>
      </c>
      <c r="N1618" s="62">
        <f>IFERROR(__xludf.DUMMYFUNCTION("IFERROR(GOOGLEFINANCE(A1618,""TRADETIME""),)"),46086.64583333333)</f>
        <v>46086.64583</v>
      </c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</row>
    <row r="1619">
      <c r="A1619" s="68" t="s">
        <v>1664</v>
      </c>
      <c r="B1619" s="64" t="str">
        <f>IFERROR(__xludf.DUMMYFUNCTION("IFERROR(GOOGLEFINANCE(A1619,""NAME""),)"),"Tata Consultancy Services Ltd")</f>
        <v>Tata Consultancy Services Ltd</v>
      </c>
      <c r="C1619" s="64">
        <f>IFERROR(__xludf.DUMMYFUNCTION("IFERROR(GOOGLEFINANCE(A1619,""CHANGE""),)"),-12.35)</f>
        <v>-12.35</v>
      </c>
      <c r="D1619" s="64">
        <f>IFERROR(__xludf.DUMMYFUNCTION("IFERROR(GOOGLEFINANCE(A1619,""CHANGEPCT""),)"),-0.48)</f>
        <v>-0.48</v>
      </c>
      <c r="E1619" s="64" t="str">
        <f t="shared" si="1"/>
        <v>-0.48%</v>
      </c>
      <c r="F1619" s="64" t="str">
        <f t="shared" si="2"/>
        <v/>
      </c>
      <c r="G1619" s="64">
        <f t="shared" si="3"/>
        <v>-0.48</v>
      </c>
      <c r="H1619" s="64">
        <f>IFERROR(__xludf.DUMMYFUNCTION("IFERROR(GOOGLEFINANCE(A1619,""PRICE""),)"),2575.0)</f>
        <v>2575</v>
      </c>
      <c r="I1619" s="65">
        <f>IFERROR(__xludf.DUMMYFUNCTION("IFERROR(GOOGLEFINANCE(A1619,""VOLUME""),)"),207135.0)</f>
        <v>207135</v>
      </c>
      <c r="J1619" s="64">
        <f>IFERROR(__xludf.DUMMYFUNCTION("IFERROR(INDEX(SPLIT(A1619,"":""),1,2),)"),532540.0)</f>
        <v>532540</v>
      </c>
      <c r="K1619" s="64" t="str">
        <f t="shared" si="4"/>
        <v/>
      </c>
      <c r="L1619" s="64">
        <f t="shared" si="5"/>
        <v>116</v>
      </c>
      <c r="M1619" s="64">
        <f t="shared" si="6"/>
        <v>594</v>
      </c>
      <c r="N1619" s="66">
        <f>IFERROR(__xludf.DUMMYFUNCTION("IFERROR(GOOGLEFINANCE(A1619,""TRADETIME""),)"),46086.64583333333)</f>
        <v>46086.64583</v>
      </c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</row>
    <row r="1620">
      <c r="A1620" s="67" t="s">
        <v>1665</v>
      </c>
      <c r="B1620" s="60" t="str">
        <f>IFERROR(__xludf.DUMMYFUNCTION("IFERROR(GOOGLEFINANCE(A1620,""NAME""),)"),"Tech Mahindra Ltd")</f>
        <v>Tech Mahindra Ltd</v>
      </c>
      <c r="C1620" s="60">
        <f>IFERROR(__xludf.DUMMYFUNCTION("IFERROR(GOOGLEFINANCE(A1620,""CHANGE""),)"),-17.6)</f>
        <v>-17.6</v>
      </c>
      <c r="D1620" s="60">
        <f>IFERROR(__xludf.DUMMYFUNCTION("IFERROR(GOOGLEFINANCE(A1620,""CHANGEPCT""),)"),-1.3)</f>
        <v>-1.3</v>
      </c>
      <c r="E1620" s="60" t="str">
        <f t="shared" si="1"/>
        <v>-1.3%</v>
      </c>
      <c r="F1620" s="60" t="str">
        <f t="shared" si="2"/>
        <v/>
      </c>
      <c r="G1620" s="60">
        <f t="shared" si="3"/>
        <v>-1.3</v>
      </c>
      <c r="H1620" s="60">
        <f>IFERROR(__xludf.DUMMYFUNCTION("IFERROR(GOOGLEFINANCE(A1620,""PRICE""),)"),1333.0)</f>
        <v>1333</v>
      </c>
      <c r="I1620" s="61">
        <f>IFERROR(__xludf.DUMMYFUNCTION("IFERROR(GOOGLEFINANCE(A1620,""VOLUME""),)"),41093.0)</f>
        <v>41093</v>
      </c>
      <c r="J1620" s="60">
        <f>IFERROR(__xludf.DUMMYFUNCTION("IFERROR(INDEX(SPLIT(A1620,"":""),1,2),)"),532755.0)</f>
        <v>532755</v>
      </c>
      <c r="K1620" s="60" t="str">
        <f t="shared" si="4"/>
        <v/>
      </c>
      <c r="L1620" s="60">
        <f t="shared" si="5"/>
        <v>265</v>
      </c>
      <c r="M1620" s="60">
        <f t="shared" si="6"/>
        <v>987</v>
      </c>
      <c r="N1620" s="62">
        <f>IFERROR(__xludf.DUMMYFUNCTION("IFERROR(GOOGLEFINANCE(A1620,""TRADETIME""),)"),46086.64583333333)</f>
        <v>46086.64583</v>
      </c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</row>
    <row r="1621">
      <c r="A1621" s="68" t="s">
        <v>1666</v>
      </c>
      <c r="B1621" s="64" t="str">
        <f>IFERROR(__xludf.DUMMYFUNCTION("IFERROR(GOOGLEFINANCE(A1621,""NAME""),)"),"Titan Company Ltd")</f>
        <v>Titan Company Ltd</v>
      </c>
      <c r="C1621" s="64">
        <f>IFERROR(__xludf.DUMMYFUNCTION("IFERROR(GOOGLEFINANCE(A1621,""CHANGE""),)"),57.15)</f>
        <v>57.15</v>
      </c>
      <c r="D1621" s="64">
        <f>IFERROR(__xludf.DUMMYFUNCTION("IFERROR(GOOGLEFINANCE(A1621,""CHANGEPCT""),)"),1.31)</f>
        <v>1.31</v>
      </c>
      <c r="E1621" s="64" t="str">
        <f t="shared" si="1"/>
        <v>1.31%</v>
      </c>
      <c r="F1621" s="64">
        <f t="shared" si="2"/>
        <v>1.31</v>
      </c>
      <c r="G1621" s="64" t="str">
        <f t="shared" si="3"/>
        <v/>
      </c>
      <c r="H1621" s="64">
        <f>IFERROR(__xludf.DUMMYFUNCTION("IFERROR(GOOGLEFINANCE(A1621,""PRICE""),)"),4253.85)</f>
        <v>4253.85</v>
      </c>
      <c r="I1621" s="65">
        <f>IFERROR(__xludf.DUMMYFUNCTION("IFERROR(GOOGLEFINANCE(A1621,""VOLUME""),)"),27780.0)</f>
        <v>27780</v>
      </c>
      <c r="J1621" s="64">
        <f>IFERROR(__xludf.DUMMYFUNCTION("IFERROR(INDEX(SPLIT(A1621,"":""),1,2),)"),500114.0)</f>
        <v>500114</v>
      </c>
      <c r="K1621" s="64">
        <f t="shared" si="4"/>
        <v>639</v>
      </c>
      <c r="L1621" s="64" t="str">
        <f t="shared" si="5"/>
        <v/>
      </c>
      <c r="M1621" s="64">
        <f t="shared" si="6"/>
        <v>1073</v>
      </c>
      <c r="N1621" s="66">
        <f>IFERROR(__xludf.DUMMYFUNCTION("IFERROR(GOOGLEFINANCE(A1621,""TRADETIME""),)"),46086.64583333333)</f>
        <v>46086.64583</v>
      </c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</row>
    <row r="1622">
      <c r="A1622" s="67" t="s">
        <v>1667</v>
      </c>
      <c r="B1622" s="60" t="str">
        <f>IFERROR(__xludf.DUMMYFUNCTION("IFERROR(GOOGLEFINANCE(A1622,""NAME""),)"),"UltraTech Cement Ltd")</f>
        <v>UltraTech Cement Ltd</v>
      </c>
      <c r="C1622" s="60">
        <f>IFERROR(__xludf.DUMMYFUNCTION("IFERROR(GOOGLEFINANCE(A1622,""CHANGE""),)"),185.55)</f>
        <v>185.55</v>
      </c>
      <c r="D1622" s="60">
        <f>IFERROR(__xludf.DUMMYFUNCTION("IFERROR(GOOGLEFINANCE(A1622,""CHANGEPCT""),)"),1.53)</f>
        <v>1.53</v>
      </c>
      <c r="E1622" s="60" t="str">
        <f t="shared" si="1"/>
        <v>1.53%</v>
      </c>
      <c r="F1622" s="60">
        <f t="shared" si="2"/>
        <v>1.53</v>
      </c>
      <c r="G1622" s="60" t="str">
        <f t="shared" si="3"/>
        <v/>
      </c>
      <c r="H1622" s="60">
        <f>IFERROR(__xludf.DUMMYFUNCTION("IFERROR(GOOGLEFINANCE(A1622,""PRICE""),)"),12290.9)</f>
        <v>12290.9</v>
      </c>
      <c r="I1622" s="61">
        <f>IFERROR(__xludf.DUMMYFUNCTION("IFERROR(GOOGLEFINANCE(A1622,""VOLUME""),)"),48786.0)</f>
        <v>48786</v>
      </c>
      <c r="J1622" s="60">
        <f>IFERROR(__xludf.DUMMYFUNCTION("IFERROR(INDEX(SPLIT(A1622,"":""),1,2),)"),532538.0)</f>
        <v>532538</v>
      </c>
      <c r="K1622" s="60">
        <f t="shared" si="4"/>
        <v>565</v>
      </c>
      <c r="L1622" s="60" t="str">
        <f t="shared" si="5"/>
        <v/>
      </c>
      <c r="M1622" s="60">
        <f t="shared" si="6"/>
        <v>940</v>
      </c>
      <c r="N1622" s="62">
        <f>IFERROR(__xludf.DUMMYFUNCTION("IFERROR(GOOGLEFINANCE(A1622,""TRADETIME""),)"),46086.64583333333)</f>
        <v>46086.64583</v>
      </c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</row>
    <row r="1623">
      <c r="A1623" s="63" t="s">
        <v>1668</v>
      </c>
      <c r="B1623" s="64" t="str">
        <f>IFERROR(__xludf.DUMMYFUNCTION("IFERROR(GOOGLEFINANCE(A1623,""NAME""),)"),"")</f>
        <v/>
      </c>
      <c r="C1623" s="64" t="str">
        <f>IFERROR(__xludf.DUMMYFUNCTION("IFERROR(GOOGLEFINANCE(A1623,""CHANGE""),)"),"")</f>
        <v/>
      </c>
      <c r="D1623" s="64" t="str">
        <f>IFERROR(__xludf.DUMMYFUNCTION("IFERROR(GOOGLEFINANCE(A1623,""CHANGEPCT""),)"),"")</f>
        <v/>
      </c>
      <c r="E1623" s="64" t="str">
        <f t="shared" si="1"/>
        <v>%</v>
      </c>
      <c r="F1623" s="64" t="str">
        <f t="shared" si="2"/>
        <v/>
      </c>
      <c r="G1623" s="64" t="str">
        <f t="shared" si="3"/>
        <v/>
      </c>
      <c r="H1623" s="64" t="str">
        <f>IFERROR(__xludf.DUMMYFUNCTION("IFERROR(GOOGLEFINANCE(A1623,""PRICE""),)"),"")</f>
        <v/>
      </c>
      <c r="I1623" s="65" t="str">
        <f>IFERROR(__xludf.DUMMYFUNCTION("IFERROR(GOOGLEFINANCE(A1623,""VOLUME""),)"),"")</f>
        <v/>
      </c>
      <c r="J1623" s="64" t="str">
        <f>IFERROR(__xludf.DUMMYFUNCTION("IFERROR(INDEX(SPLIT(A1623,"":""),1,2),)"),"ZOMATO")</f>
        <v>ZOMATO</v>
      </c>
      <c r="K1623" s="64" t="str">
        <f t="shared" si="4"/>
        <v/>
      </c>
      <c r="L1623" s="64" t="str">
        <f t="shared" si="5"/>
        <v/>
      </c>
      <c r="M1623" s="64" t="str">
        <f t="shared" si="6"/>
        <v/>
      </c>
      <c r="N1623" s="66" t="str">
        <f>IFERROR(__xludf.DUMMYFUNCTION("IFERROR(GOOGLEFINANCE(A1623,""TRADETIME""),)"),"")</f>
        <v/>
      </c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</row>
    <row r="1624">
      <c r="A1624" s="59" t="s">
        <v>1669</v>
      </c>
      <c r="B1624" s="60" t="str">
        <f>IFERROR(__xludf.DUMMYFUNCTION("IFERROR(GOOGLEFINANCE(A1624,""NAME""),)"),"Fsn E-Commerce Ventures Ltd")</f>
        <v>Fsn E-Commerce Ventures Ltd</v>
      </c>
      <c r="C1624" s="60">
        <f>IFERROR(__xludf.DUMMYFUNCTION("IFERROR(GOOGLEFINANCE(A1624,""CHANGE""),)"),6.65)</f>
        <v>6.65</v>
      </c>
      <c r="D1624" s="60">
        <f>IFERROR(__xludf.DUMMYFUNCTION("IFERROR(GOOGLEFINANCE(A1624,""CHANGEPCT""),)"),2.6)</f>
        <v>2.6</v>
      </c>
      <c r="E1624" s="60" t="str">
        <f t="shared" si="1"/>
        <v>2.6%</v>
      </c>
      <c r="F1624" s="60">
        <f t="shared" si="2"/>
        <v>2.6</v>
      </c>
      <c r="G1624" s="60" t="str">
        <f t="shared" si="3"/>
        <v/>
      </c>
      <c r="H1624" s="60">
        <f>IFERROR(__xludf.DUMMYFUNCTION("IFERROR(GOOGLEFINANCE(A1624,""PRICE""),)"),260.35)</f>
        <v>260.35</v>
      </c>
      <c r="I1624" s="61">
        <f>IFERROR(__xludf.DUMMYFUNCTION("IFERROR(GOOGLEFINANCE(A1624,""VOLUME""),)"),223401.0)</f>
        <v>223401</v>
      </c>
      <c r="J1624" s="60">
        <f>IFERROR(__xludf.DUMMYFUNCTION("IFERROR(INDEX(SPLIT(A1624,"":""),1,2),)"),543384.0)</f>
        <v>543384</v>
      </c>
      <c r="K1624" s="60">
        <f t="shared" si="4"/>
        <v>324</v>
      </c>
      <c r="L1624" s="60" t="str">
        <f t="shared" si="5"/>
        <v/>
      </c>
      <c r="M1624" s="60">
        <f t="shared" si="6"/>
        <v>578</v>
      </c>
      <c r="N1624" s="62">
        <f>IFERROR(__xludf.DUMMYFUNCTION("IFERROR(GOOGLEFINANCE(A1624,""TRADETIME""),)"),46086.64583333333)</f>
        <v>46086.64583</v>
      </c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</row>
  </sheetData>
  <autoFilter ref="$A$3:$N$1624"/>
  <drawing r:id="rId1"/>
</worksheet>
</file>